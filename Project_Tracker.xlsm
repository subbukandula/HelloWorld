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slicers/slicer1.xml" ContentType="application/vnd.ms-excel.slicer+xml"/>
  <Override PartName="/xl/drawings/drawing3.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xml"/>
  <Override PartName="/xl/tables/table1.xml" ContentType="application/vnd.openxmlformats-officedocument.spreadsheetml.table+xml"/>
  <Override PartName="/xl/drawings/drawing5.xml" ContentType="application/vnd.openxmlformats-officedocument.drawing+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Users\subbu\Main\Technology\Kanban-Board-Template-Someka-V3F\"/>
    </mc:Choice>
  </mc:AlternateContent>
  <xr:revisionPtr revIDLastSave="0" documentId="13_ncr:1_{C73D9CEF-A67E-4AB4-9418-762B41DD534D}" xr6:coauthVersionLast="46" xr6:coauthVersionMax="46" xr10:uidLastSave="{00000000-0000-0000-0000-000000000000}"/>
  <bookViews>
    <workbookView showSheetTabs="0" xWindow="-110" yWindow="-110" windowWidth="19420" windowHeight="10420" activeTab="1" xr2:uid="{5B36CBF1-84C3-4D6A-8007-B28509267DB3}"/>
  </bookViews>
  <sheets>
    <sheet name="ToDo" sheetId="17" r:id="rId1"/>
    <sheet name="Kanban" sheetId="11" r:id="rId2"/>
    <sheet name="Dashboard" sheetId="1" r:id="rId3"/>
    <sheet name="Database" sheetId="15" r:id="rId4"/>
    <sheet name="Settings" sheetId="13" r:id="rId5"/>
    <sheet name="Calc" sheetId="12" state="hidden" r:id="rId6"/>
    <sheet name="Charts_Source" sheetId="14" state="hidden" r:id="rId7"/>
    <sheet name="Kanban_Helper" sheetId="16" state="hidden" r:id="rId8"/>
  </sheets>
  <externalReferences>
    <externalReference r:id="rId9"/>
  </externalReferences>
  <definedNames>
    <definedName name="Database_Calc">OFFSET(Calc!$C$7,,,Calc!$AD$7,COUNTA(Calc!$C$7:$Y$7))</definedName>
    <definedName name="list_priority">[1]Kanban!$G$30:$G$34</definedName>
    <definedName name="list_type">[1]Kanban!$C$30:$C$34</definedName>
    <definedName name="_xlnm.Print_Area" localSheetId="5">Calc!$B$6:$Z$502</definedName>
    <definedName name="_xlnm.Print_Area" localSheetId="2">Dashboard!$B$2:$O$39</definedName>
    <definedName name="_xlnm.Print_Area" localSheetId="3">Database!$B$6:$P$503</definedName>
    <definedName name="_xlnm.Print_Area" localSheetId="1">Kanban!$B$9:$I$87</definedName>
    <definedName name="_xlnm.Print_Area" localSheetId="4">Settings!$B$2:$K$35</definedName>
    <definedName name="Slicer_Board_Section">#N/A</definedName>
    <definedName name="Slicer_Overdue">#N/A</definedName>
    <definedName name="Slicer_Overdue1">#N/A</definedName>
    <definedName name="Slicer_Priority">#N/A</definedName>
    <definedName name="Slicer_Priority1">#N/A</definedName>
    <definedName name="Slicer_Responsible_Person">#N/A</definedName>
    <definedName name="Slicer_Responsible_Person1">#N/A</definedName>
    <definedName name="Slicer_Task_Due_Date">#N/A</definedName>
    <definedName name="Slicer_Task_Due_Date1">#N/A</definedName>
    <definedName name="Slicer_Task_Start_Date1">#N/A</definedName>
    <definedName name="valuevx">42.314159</definedName>
    <definedName name="vertex42_copyright" hidden="1">"© 2017 Vertex42 LLC"</definedName>
    <definedName name="vertex42_id" hidden="1">"agile-kanban-board.xlsx"</definedName>
    <definedName name="vertex42_title" hidden="1">"Kanban Board Template"</definedName>
  </definedNames>
  <calcPr calcId="181029"/>
  <pivotCaches>
    <pivotCache cacheId="0" r:id="rId10"/>
  </pivotCaches>
  <extLst>
    <ext xmlns:x14="http://schemas.microsoft.com/office/spreadsheetml/2009/9/main" uri="{BBE1A952-AA13-448e-AADC-164F8A28A991}">
      <x14:slicerCaches>
        <x14:slicerCache r:id="rId11"/>
        <x14:slicerCache r:id="rId12"/>
        <x14:slicerCache r:id="rId13"/>
        <x14:slicerCache r:id="rId14"/>
        <x14:slicerCache r:id="rId15"/>
        <x14:slicerCache r:id="rId16"/>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7"/>
        <x14:slicerCache r:id="rId18"/>
        <x14:slicerCache r:id="rId19"/>
        <x14:slicerCache r:id="rId20"/>
      </x15:slicerCache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11" i="17" l="1"/>
  <c r="H10" i="17"/>
  <c r="H12" i="17" s="1"/>
  <c r="H9" i="17"/>
  <c r="C3" i="11"/>
  <c r="J620" i="16"/>
  <c r="J621" i="16"/>
  <c r="I620" i="16"/>
  <c r="I622" i="16"/>
  <c r="H620" i="16"/>
  <c r="H622" i="16"/>
  <c r="G620" i="16"/>
  <c r="F620" i="16"/>
  <c r="F621" i="16"/>
  <c r="E620" i="16"/>
  <c r="E621" i="16"/>
  <c r="J617" i="16"/>
  <c r="J618" i="16"/>
  <c r="I617" i="16"/>
  <c r="H617" i="16"/>
  <c r="H618" i="16"/>
  <c r="G617" i="16"/>
  <c r="G618" i="16"/>
  <c r="F617" i="16"/>
  <c r="F618" i="16"/>
  <c r="E617" i="16"/>
  <c r="E619" i="16"/>
  <c r="J614" i="16"/>
  <c r="J615" i="16"/>
  <c r="I614" i="16"/>
  <c r="I615" i="16"/>
  <c r="H614" i="16"/>
  <c r="H615" i="16"/>
  <c r="G614" i="16"/>
  <c r="G616" i="16"/>
  <c r="F614" i="16"/>
  <c r="F616" i="16"/>
  <c r="E614" i="16"/>
  <c r="E616" i="16"/>
  <c r="J611" i="16"/>
  <c r="J612" i="16"/>
  <c r="I611" i="16"/>
  <c r="I613" i="16"/>
  <c r="H611" i="16"/>
  <c r="H612" i="16"/>
  <c r="G611" i="16"/>
  <c r="G613" i="16"/>
  <c r="F611" i="16"/>
  <c r="F613" i="16"/>
  <c r="E611" i="16"/>
  <c r="H610" i="16"/>
  <c r="J608" i="16"/>
  <c r="J609" i="16"/>
  <c r="I608" i="16"/>
  <c r="I610" i="16"/>
  <c r="H608" i="16"/>
  <c r="H609" i="16"/>
  <c r="G608" i="16"/>
  <c r="F608" i="16"/>
  <c r="F609" i="16"/>
  <c r="E608" i="16"/>
  <c r="E609" i="16"/>
  <c r="J605" i="16"/>
  <c r="J606" i="16"/>
  <c r="I605" i="16"/>
  <c r="H605" i="16"/>
  <c r="H606" i="16"/>
  <c r="G605" i="16"/>
  <c r="G606" i="16"/>
  <c r="F605" i="16"/>
  <c r="F606" i="16"/>
  <c r="E605" i="16"/>
  <c r="E607" i="16"/>
  <c r="E603" i="16"/>
  <c r="J602" i="16"/>
  <c r="J603" i="16"/>
  <c r="I602" i="16"/>
  <c r="I603" i="16"/>
  <c r="H602" i="16"/>
  <c r="H603" i="16"/>
  <c r="G602" i="16"/>
  <c r="G604" i="16"/>
  <c r="F602" i="16"/>
  <c r="F604" i="16"/>
  <c r="E602" i="16"/>
  <c r="E604" i="16"/>
  <c r="J316" i="16"/>
  <c r="I316" i="16"/>
  <c r="H316" i="16"/>
  <c r="G316" i="16"/>
  <c r="F316" i="16"/>
  <c r="E316" i="16"/>
  <c r="J4" i="16"/>
  <c r="I4" i="16"/>
  <c r="H4" i="16"/>
  <c r="G4" i="16"/>
  <c r="F4" i="16"/>
  <c r="E4" i="16"/>
  <c r="J619" i="16"/>
  <c r="J607" i="16"/>
  <c r="J622" i="16"/>
  <c r="E615" i="16"/>
  <c r="E618" i="16"/>
  <c r="G603" i="16"/>
  <c r="I604" i="16"/>
  <c r="G607" i="16"/>
  <c r="I612" i="16"/>
  <c r="F615" i="16"/>
  <c r="I621" i="16"/>
  <c r="I609" i="16"/>
  <c r="F603" i="16"/>
  <c r="E610" i="16"/>
  <c r="G615" i="16"/>
  <c r="F612" i="16"/>
  <c r="B8" i="16"/>
  <c r="B9" i="16"/>
  <c r="B10" i="16"/>
  <c r="B11" i="16"/>
  <c r="J610" i="16"/>
  <c r="G612" i="16"/>
  <c r="H613" i="16"/>
  <c r="E606" i="16"/>
  <c r="H621" i="16"/>
  <c r="I618" i="16"/>
  <c r="I619" i="16"/>
  <c r="G621" i="16"/>
  <c r="G622" i="16"/>
  <c r="G609" i="16"/>
  <c r="G610" i="16"/>
  <c r="I606" i="16"/>
  <c r="I607" i="16"/>
  <c r="E612" i="16"/>
  <c r="E613" i="16"/>
  <c r="H604" i="16"/>
  <c r="F607" i="16"/>
  <c r="J613" i="16"/>
  <c r="H616" i="16"/>
  <c r="F619" i="16"/>
  <c r="I616" i="16"/>
  <c r="G619" i="16"/>
  <c r="E622" i="16"/>
  <c r="J604" i="16"/>
  <c r="H607" i="16"/>
  <c r="F610" i="16"/>
  <c r="J616" i="16"/>
  <c r="H619" i="16"/>
  <c r="F622" i="16"/>
  <c r="BJ16" i="14"/>
  <c r="BJ18" i="14"/>
  <c r="B12" i="16"/>
  <c r="B13" i="16"/>
  <c r="B14" i="16"/>
  <c r="M8" i="12"/>
  <c r="M9" i="12"/>
  <c r="M10" i="12"/>
  <c r="M11" i="12"/>
  <c r="M12" i="12"/>
  <c r="M13" i="12"/>
  <c r="M14" i="12"/>
  <c r="M15" i="12"/>
  <c r="M16" i="12"/>
  <c r="M17" i="12"/>
  <c r="M18" i="12"/>
  <c r="M19" i="12"/>
  <c r="M20" i="12"/>
  <c r="M21" i="12"/>
  <c r="M22" i="12"/>
  <c r="M23" i="12"/>
  <c r="M24" i="12"/>
  <c r="M25" i="12"/>
  <c r="M26" i="12"/>
  <c r="M27" i="12"/>
  <c r="M28" i="12"/>
  <c r="M29" i="12"/>
  <c r="M30" i="12"/>
  <c r="M31" i="12"/>
  <c r="M32" i="12"/>
  <c r="M33" i="12"/>
  <c r="M34" i="12"/>
  <c r="M35" i="12"/>
  <c r="M36" i="12"/>
  <c r="M37" i="12"/>
  <c r="M38" i="12"/>
  <c r="M39" i="12"/>
  <c r="M40" i="12"/>
  <c r="M41" i="12"/>
  <c r="M42" i="12"/>
  <c r="M43" i="12"/>
  <c r="M44" i="12"/>
  <c r="M45" i="12"/>
  <c r="M46" i="12"/>
  <c r="M47" i="12"/>
  <c r="M48" i="12"/>
  <c r="M49" i="12"/>
  <c r="M50" i="12"/>
  <c r="M51" i="12"/>
  <c r="M52" i="12"/>
  <c r="M53" i="12"/>
  <c r="M54" i="12"/>
  <c r="M55" i="12"/>
  <c r="M56" i="12"/>
  <c r="M57" i="12"/>
  <c r="M58" i="12"/>
  <c r="M59" i="12"/>
  <c r="M60" i="12"/>
  <c r="M61" i="12"/>
  <c r="M62" i="12"/>
  <c r="M63" i="12"/>
  <c r="M64" i="12"/>
  <c r="M65" i="12"/>
  <c r="M66" i="12"/>
  <c r="M67" i="12"/>
  <c r="M68" i="12"/>
  <c r="M69" i="12"/>
  <c r="M70" i="12"/>
  <c r="M71" i="12"/>
  <c r="M72" i="12"/>
  <c r="M73" i="12"/>
  <c r="M74" i="12"/>
  <c r="M75" i="12"/>
  <c r="M76" i="12"/>
  <c r="M77" i="12"/>
  <c r="M78" i="12"/>
  <c r="M79" i="12"/>
  <c r="M80" i="12"/>
  <c r="M81" i="12"/>
  <c r="M82" i="12"/>
  <c r="M83" i="12"/>
  <c r="M84" i="12"/>
  <c r="M85" i="12"/>
  <c r="M86" i="12"/>
  <c r="M87" i="12"/>
  <c r="M88" i="12"/>
  <c r="M89" i="12"/>
  <c r="M90" i="12"/>
  <c r="M91" i="12"/>
  <c r="M92" i="12"/>
  <c r="M93" i="12"/>
  <c r="M94" i="12"/>
  <c r="M95" i="12"/>
  <c r="M96" i="12"/>
  <c r="M97" i="12"/>
  <c r="M98" i="12"/>
  <c r="M99" i="12"/>
  <c r="M100" i="12"/>
  <c r="M101" i="12"/>
  <c r="M102" i="12"/>
  <c r="M103" i="12"/>
  <c r="M104" i="12"/>
  <c r="M105" i="12"/>
  <c r="M106" i="12"/>
  <c r="M107" i="12"/>
  <c r="M108" i="12"/>
  <c r="M109" i="12"/>
  <c r="M110" i="12"/>
  <c r="M111" i="12"/>
  <c r="M112" i="12"/>
  <c r="M113" i="12"/>
  <c r="M114" i="12"/>
  <c r="M115" i="12"/>
  <c r="M116" i="12"/>
  <c r="M117" i="12"/>
  <c r="M118" i="12"/>
  <c r="M119" i="12"/>
  <c r="M120" i="12"/>
  <c r="M121" i="12"/>
  <c r="M122" i="12"/>
  <c r="M123" i="12"/>
  <c r="M124" i="12"/>
  <c r="M125" i="12"/>
  <c r="M126" i="12"/>
  <c r="M127" i="12"/>
  <c r="M128" i="12"/>
  <c r="M129" i="12"/>
  <c r="M130" i="12"/>
  <c r="M131" i="12"/>
  <c r="M132" i="12"/>
  <c r="M133" i="12"/>
  <c r="M134" i="12"/>
  <c r="M135" i="12"/>
  <c r="M136" i="12"/>
  <c r="M137" i="12"/>
  <c r="M138" i="12"/>
  <c r="M139" i="12"/>
  <c r="M140" i="12"/>
  <c r="M141" i="12"/>
  <c r="M142" i="12"/>
  <c r="M143" i="12"/>
  <c r="M144" i="12"/>
  <c r="M145" i="12"/>
  <c r="M146" i="12"/>
  <c r="M147" i="12"/>
  <c r="M148" i="12"/>
  <c r="M149" i="12"/>
  <c r="M150" i="12"/>
  <c r="M151" i="12"/>
  <c r="M152" i="12"/>
  <c r="M153" i="12"/>
  <c r="M154" i="12"/>
  <c r="M155" i="12"/>
  <c r="M156" i="12"/>
  <c r="M157" i="12"/>
  <c r="M158" i="12"/>
  <c r="M159" i="12"/>
  <c r="M160" i="12"/>
  <c r="M161" i="12"/>
  <c r="M162" i="12"/>
  <c r="M163" i="12"/>
  <c r="M164" i="12"/>
  <c r="M165" i="12"/>
  <c r="M166" i="12"/>
  <c r="M167" i="12"/>
  <c r="M168" i="12"/>
  <c r="M169" i="12"/>
  <c r="M170" i="12"/>
  <c r="M171" i="12"/>
  <c r="M172" i="12"/>
  <c r="M173" i="12"/>
  <c r="M174" i="12"/>
  <c r="M175" i="12"/>
  <c r="M176" i="12"/>
  <c r="M177" i="12"/>
  <c r="M178" i="12"/>
  <c r="M179" i="12"/>
  <c r="M180" i="12"/>
  <c r="M181" i="12"/>
  <c r="M182" i="12"/>
  <c r="M183" i="12"/>
  <c r="M184" i="12"/>
  <c r="M185" i="12"/>
  <c r="M186" i="12"/>
  <c r="M187" i="12"/>
  <c r="M188" i="12"/>
  <c r="M189" i="12"/>
  <c r="M190" i="12"/>
  <c r="M191" i="12"/>
  <c r="M192" i="12"/>
  <c r="M193" i="12"/>
  <c r="M194" i="12"/>
  <c r="M195" i="12"/>
  <c r="M196" i="12"/>
  <c r="M197" i="12"/>
  <c r="M198" i="12"/>
  <c r="M199" i="12"/>
  <c r="M200" i="12"/>
  <c r="M201" i="12"/>
  <c r="M202" i="12"/>
  <c r="M203" i="12"/>
  <c r="M204" i="12"/>
  <c r="M205" i="12"/>
  <c r="M206" i="12"/>
  <c r="M207" i="12"/>
  <c r="M208" i="12"/>
  <c r="M209" i="12"/>
  <c r="M210" i="12"/>
  <c r="M211" i="12"/>
  <c r="M212" i="12"/>
  <c r="M213" i="12"/>
  <c r="M214" i="12"/>
  <c r="M215" i="12"/>
  <c r="M216" i="12"/>
  <c r="M217" i="12"/>
  <c r="M218" i="12"/>
  <c r="M219" i="12"/>
  <c r="M220" i="12"/>
  <c r="M221" i="12"/>
  <c r="M222" i="12"/>
  <c r="M223" i="12"/>
  <c r="M224" i="12"/>
  <c r="M225" i="12"/>
  <c r="M226" i="12"/>
  <c r="M227" i="12"/>
  <c r="M228" i="12"/>
  <c r="M229" i="12"/>
  <c r="M230" i="12"/>
  <c r="M231" i="12"/>
  <c r="M232" i="12"/>
  <c r="M233" i="12"/>
  <c r="M234" i="12"/>
  <c r="M235" i="12"/>
  <c r="M236" i="12"/>
  <c r="M237" i="12"/>
  <c r="M238" i="12"/>
  <c r="M239" i="12"/>
  <c r="M240" i="12"/>
  <c r="M241" i="12"/>
  <c r="M242" i="12"/>
  <c r="M243" i="12"/>
  <c r="M244" i="12"/>
  <c r="M245" i="12"/>
  <c r="M246" i="12"/>
  <c r="M247" i="12"/>
  <c r="M248" i="12"/>
  <c r="M249" i="12"/>
  <c r="M250" i="12"/>
  <c r="M251" i="12"/>
  <c r="M252" i="12"/>
  <c r="M253" i="12"/>
  <c r="M254" i="12"/>
  <c r="M255" i="12"/>
  <c r="M256" i="12"/>
  <c r="M257" i="12"/>
  <c r="M258" i="12"/>
  <c r="M259" i="12"/>
  <c r="M260" i="12"/>
  <c r="M261" i="12"/>
  <c r="M262" i="12"/>
  <c r="M263" i="12"/>
  <c r="M264" i="12"/>
  <c r="M265" i="12"/>
  <c r="M266" i="12"/>
  <c r="M267" i="12"/>
  <c r="M268" i="12"/>
  <c r="M269" i="12"/>
  <c r="M270" i="12"/>
  <c r="M271" i="12"/>
  <c r="M272" i="12"/>
  <c r="M273" i="12"/>
  <c r="M274" i="12"/>
  <c r="M275" i="12"/>
  <c r="M276" i="12"/>
  <c r="M277" i="12"/>
  <c r="M278" i="12"/>
  <c r="M279" i="12"/>
  <c r="M280" i="12"/>
  <c r="M281" i="12"/>
  <c r="M282" i="12"/>
  <c r="M283" i="12"/>
  <c r="M284" i="12"/>
  <c r="M285" i="12"/>
  <c r="M286" i="12"/>
  <c r="M287" i="12"/>
  <c r="M288" i="12"/>
  <c r="M289" i="12"/>
  <c r="M290" i="12"/>
  <c r="M291" i="12"/>
  <c r="M292" i="12"/>
  <c r="M293" i="12"/>
  <c r="M294" i="12"/>
  <c r="M295" i="12"/>
  <c r="M296" i="12"/>
  <c r="M297" i="12"/>
  <c r="M298" i="12"/>
  <c r="M299" i="12"/>
  <c r="M300" i="12"/>
  <c r="M301" i="12"/>
  <c r="M302" i="12"/>
  <c r="M303" i="12"/>
  <c r="M304" i="12"/>
  <c r="M305" i="12"/>
  <c r="M306" i="12"/>
  <c r="M307" i="12"/>
  <c r="M308" i="12"/>
  <c r="M309" i="12"/>
  <c r="M310" i="12"/>
  <c r="M311" i="12"/>
  <c r="M312" i="12"/>
  <c r="M313" i="12"/>
  <c r="M314" i="12"/>
  <c r="M315" i="12"/>
  <c r="M316" i="12"/>
  <c r="M317" i="12"/>
  <c r="M318" i="12"/>
  <c r="M319" i="12"/>
  <c r="M320" i="12"/>
  <c r="M321" i="12"/>
  <c r="M322" i="12"/>
  <c r="M323" i="12"/>
  <c r="M324" i="12"/>
  <c r="M325" i="12"/>
  <c r="M326" i="12"/>
  <c r="M327" i="12"/>
  <c r="M328" i="12"/>
  <c r="M329" i="12"/>
  <c r="M330" i="12"/>
  <c r="M331" i="12"/>
  <c r="M332" i="12"/>
  <c r="M333" i="12"/>
  <c r="M334" i="12"/>
  <c r="M335" i="12"/>
  <c r="M336" i="12"/>
  <c r="M337" i="12"/>
  <c r="M338" i="12"/>
  <c r="M339" i="12"/>
  <c r="M340" i="12"/>
  <c r="M341" i="12"/>
  <c r="M342" i="12"/>
  <c r="M343" i="12"/>
  <c r="M344" i="12"/>
  <c r="M345" i="12"/>
  <c r="M346" i="12"/>
  <c r="M347" i="12"/>
  <c r="M348" i="12"/>
  <c r="M349" i="12"/>
  <c r="M350" i="12"/>
  <c r="M351" i="12"/>
  <c r="M352" i="12"/>
  <c r="M353" i="12"/>
  <c r="M354" i="12"/>
  <c r="M355" i="12"/>
  <c r="M356" i="12"/>
  <c r="M357" i="12"/>
  <c r="M358" i="12"/>
  <c r="M359" i="12"/>
  <c r="M360" i="12"/>
  <c r="M361" i="12"/>
  <c r="M362" i="12"/>
  <c r="M363" i="12"/>
  <c r="M364" i="12"/>
  <c r="M365" i="12"/>
  <c r="M366" i="12"/>
  <c r="M367" i="12"/>
  <c r="M368" i="12"/>
  <c r="M369" i="12"/>
  <c r="M370" i="12"/>
  <c r="M371" i="12"/>
  <c r="M372" i="12"/>
  <c r="M373" i="12"/>
  <c r="M374" i="12"/>
  <c r="M375" i="12"/>
  <c r="M376" i="12"/>
  <c r="M377" i="12"/>
  <c r="M378" i="12"/>
  <c r="M379" i="12"/>
  <c r="M380" i="12"/>
  <c r="M381" i="12"/>
  <c r="M382" i="12"/>
  <c r="M383" i="12"/>
  <c r="M384" i="12"/>
  <c r="M385" i="12"/>
  <c r="M386" i="12"/>
  <c r="M387" i="12"/>
  <c r="M388" i="12"/>
  <c r="M389" i="12"/>
  <c r="M390" i="12"/>
  <c r="M391" i="12"/>
  <c r="M392" i="12"/>
  <c r="M393" i="12"/>
  <c r="M394" i="12"/>
  <c r="M395" i="12"/>
  <c r="M396" i="12"/>
  <c r="M397" i="12"/>
  <c r="M398" i="12"/>
  <c r="M399" i="12"/>
  <c r="M400" i="12"/>
  <c r="M401" i="12"/>
  <c r="M402" i="12"/>
  <c r="M403" i="12"/>
  <c r="M404" i="12"/>
  <c r="M405" i="12"/>
  <c r="M406" i="12"/>
  <c r="M407" i="12"/>
  <c r="M408" i="12"/>
  <c r="M409" i="12"/>
  <c r="M410" i="12"/>
  <c r="M411" i="12"/>
  <c r="M412" i="12"/>
  <c r="M413" i="12"/>
  <c r="M414" i="12"/>
  <c r="M415" i="12"/>
  <c r="M416" i="12"/>
  <c r="M417" i="12"/>
  <c r="M418" i="12"/>
  <c r="M419" i="12"/>
  <c r="M420" i="12"/>
  <c r="M421" i="12"/>
  <c r="M422" i="12"/>
  <c r="M423" i="12"/>
  <c r="M424" i="12"/>
  <c r="M425" i="12"/>
  <c r="M426" i="12"/>
  <c r="M427" i="12"/>
  <c r="M428" i="12"/>
  <c r="M429" i="12"/>
  <c r="M430" i="12"/>
  <c r="M431" i="12"/>
  <c r="M432" i="12"/>
  <c r="M433" i="12"/>
  <c r="M434" i="12"/>
  <c r="M435" i="12"/>
  <c r="M436" i="12"/>
  <c r="M437" i="12"/>
  <c r="M438" i="12"/>
  <c r="M439" i="12"/>
  <c r="M440" i="12"/>
  <c r="M441" i="12"/>
  <c r="M442" i="12"/>
  <c r="M443" i="12"/>
  <c r="M444" i="12"/>
  <c r="M445" i="12"/>
  <c r="M446" i="12"/>
  <c r="M447" i="12"/>
  <c r="M448" i="12"/>
  <c r="M449" i="12"/>
  <c r="M450" i="12"/>
  <c r="M451" i="12"/>
  <c r="M452" i="12"/>
  <c r="M453" i="12"/>
  <c r="M454" i="12"/>
  <c r="M455" i="12"/>
  <c r="M456" i="12"/>
  <c r="M457" i="12"/>
  <c r="M458" i="12"/>
  <c r="M459" i="12"/>
  <c r="M460" i="12"/>
  <c r="M461" i="12"/>
  <c r="M462" i="12"/>
  <c r="M463" i="12"/>
  <c r="M464" i="12"/>
  <c r="M465" i="12"/>
  <c r="M466" i="12"/>
  <c r="M467" i="12"/>
  <c r="M468" i="12"/>
  <c r="M469" i="12"/>
  <c r="M470" i="12"/>
  <c r="M471" i="12"/>
  <c r="M472" i="12"/>
  <c r="M473" i="12"/>
  <c r="M474" i="12"/>
  <c r="M475" i="12"/>
  <c r="M476" i="12"/>
  <c r="M477" i="12"/>
  <c r="M478" i="12"/>
  <c r="M479" i="12"/>
  <c r="M480" i="12"/>
  <c r="M481" i="12"/>
  <c r="M482" i="12"/>
  <c r="M483" i="12"/>
  <c r="M484" i="12"/>
  <c r="M485" i="12"/>
  <c r="M486" i="12"/>
  <c r="M487" i="12"/>
  <c r="M488" i="12"/>
  <c r="M489" i="12"/>
  <c r="M490" i="12"/>
  <c r="M491" i="12"/>
  <c r="M492" i="12"/>
  <c r="M493" i="12"/>
  <c r="M494" i="12"/>
  <c r="M495" i="12"/>
  <c r="M496" i="12"/>
  <c r="M497" i="12"/>
  <c r="M498" i="12"/>
  <c r="M499" i="12"/>
  <c r="M500" i="12"/>
  <c r="L8" i="12"/>
  <c r="L9" i="12"/>
  <c r="L10" i="12"/>
  <c r="L11" i="12"/>
  <c r="L12" i="12"/>
  <c r="L13" i="12"/>
  <c r="L14" i="12"/>
  <c r="L15" i="12"/>
  <c r="L16" i="12"/>
  <c r="L17" i="12"/>
  <c r="L18" i="12"/>
  <c r="L19" i="12"/>
  <c r="L20" i="12"/>
  <c r="L21" i="12"/>
  <c r="L22" i="12"/>
  <c r="L23" i="12"/>
  <c r="L24" i="12"/>
  <c r="L25" i="12"/>
  <c r="L26" i="12"/>
  <c r="L27" i="12"/>
  <c r="L28" i="12"/>
  <c r="L29" i="12"/>
  <c r="L30" i="12"/>
  <c r="L31" i="12"/>
  <c r="L32" i="12"/>
  <c r="L33" i="12"/>
  <c r="L34" i="12"/>
  <c r="L35" i="12"/>
  <c r="L36" i="12"/>
  <c r="L37" i="12"/>
  <c r="L38" i="12"/>
  <c r="L39" i="12"/>
  <c r="L40" i="12"/>
  <c r="L41" i="12"/>
  <c r="L42" i="12"/>
  <c r="L43" i="12"/>
  <c r="L44" i="12"/>
  <c r="L45" i="12"/>
  <c r="L46" i="12"/>
  <c r="L47" i="12"/>
  <c r="L48" i="12"/>
  <c r="L49" i="12"/>
  <c r="L50" i="12"/>
  <c r="L51" i="12"/>
  <c r="L52" i="12"/>
  <c r="L53" i="12"/>
  <c r="L54" i="12"/>
  <c r="L55" i="12"/>
  <c r="L56" i="12"/>
  <c r="L57" i="12"/>
  <c r="L58" i="12"/>
  <c r="L59" i="12"/>
  <c r="L60" i="12"/>
  <c r="L61" i="12"/>
  <c r="L62" i="12"/>
  <c r="L63" i="12"/>
  <c r="L64" i="12"/>
  <c r="L65" i="12"/>
  <c r="L66" i="12"/>
  <c r="L67" i="12"/>
  <c r="L68" i="12"/>
  <c r="L69" i="12"/>
  <c r="L70" i="12"/>
  <c r="L71" i="12"/>
  <c r="L72" i="12"/>
  <c r="L73" i="12"/>
  <c r="L74" i="12"/>
  <c r="L75" i="12"/>
  <c r="L76" i="12"/>
  <c r="L77" i="12"/>
  <c r="L78" i="12"/>
  <c r="L79" i="12"/>
  <c r="L80" i="12"/>
  <c r="L81" i="12"/>
  <c r="L82" i="12"/>
  <c r="L83" i="12"/>
  <c r="L84" i="12"/>
  <c r="L85" i="12"/>
  <c r="L86" i="12"/>
  <c r="L87" i="12"/>
  <c r="L88" i="12"/>
  <c r="L89" i="12"/>
  <c r="L90" i="12"/>
  <c r="L91" i="12"/>
  <c r="L92" i="12"/>
  <c r="L93" i="12"/>
  <c r="L94" i="12"/>
  <c r="L95" i="12"/>
  <c r="L96" i="12"/>
  <c r="L97" i="12"/>
  <c r="L98" i="12"/>
  <c r="L99" i="12"/>
  <c r="L100" i="12"/>
  <c r="L101" i="12"/>
  <c r="L102" i="12"/>
  <c r="L103" i="12"/>
  <c r="L104" i="12"/>
  <c r="L105" i="12"/>
  <c r="L106" i="12"/>
  <c r="L107" i="12"/>
  <c r="L108" i="12"/>
  <c r="L109" i="12"/>
  <c r="L110" i="12"/>
  <c r="L111" i="12"/>
  <c r="L112" i="12"/>
  <c r="L113" i="12"/>
  <c r="L114" i="12"/>
  <c r="L115" i="12"/>
  <c r="L116" i="12"/>
  <c r="L117" i="12"/>
  <c r="L118" i="12"/>
  <c r="L119" i="12"/>
  <c r="L120" i="12"/>
  <c r="L121" i="12"/>
  <c r="L122" i="12"/>
  <c r="L123" i="12"/>
  <c r="L124" i="12"/>
  <c r="L125" i="12"/>
  <c r="L126" i="12"/>
  <c r="L127" i="12"/>
  <c r="L128" i="12"/>
  <c r="L129" i="12"/>
  <c r="L130" i="12"/>
  <c r="L131" i="12"/>
  <c r="L132" i="12"/>
  <c r="L133" i="12"/>
  <c r="L134" i="12"/>
  <c r="L135" i="12"/>
  <c r="L136" i="12"/>
  <c r="L137" i="12"/>
  <c r="L138" i="12"/>
  <c r="L139" i="12"/>
  <c r="L140" i="12"/>
  <c r="L141" i="12"/>
  <c r="L142" i="12"/>
  <c r="L143" i="12"/>
  <c r="L144" i="12"/>
  <c r="L145" i="12"/>
  <c r="L146" i="12"/>
  <c r="L147" i="12"/>
  <c r="L148" i="12"/>
  <c r="L149" i="12"/>
  <c r="L150" i="12"/>
  <c r="L151" i="12"/>
  <c r="L152" i="12"/>
  <c r="L153" i="12"/>
  <c r="L154" i="12"/>
  <c r="L155" i="12"/>
  <c r="L156" i="12"/>
  <c r="L157" i="12"/>
  <c r="L158" i="12"/>
  <c r="L159" i="12"/>
  <c r="L160" i="12"/>
  <c r="L161" i="12"/>
  <c r="L162" i="12"/>
  <c r="L163" i="12"/>
  <c r="L164" i="12"/>
  <c r="L165" i="12"/>
  <c r="L166" i="12"/>
  <c r="L167" i="12"/>
  <c r="L168" i="12"/>
  <c r="L169" i="12"/>
  <c r="L170" i="12"/>
  <c r="L171" i="12"/>
  <c r="L172" i="12"/>
  <c r="L173" i="12"/>
  <c r="L174" i="12"/>
  <c r="L175" i="12"/>
  <c r="L176" i="12"/>
  <c r="L177" i="12"/>
  <c r="L178" i="12"/>
  <c r="L179" i="12"/>
  <c r="L180" i="12"/>
  <c r="L181" i="12"/>
  <c r="L182" i="12"/>
  <c r="L183" i="12"/>
  <c r="L184" i="12"/>
  <c r="L185" i="12"/>
  <c r="L186" i="12"/>
  <c r="L187" i="12"/>
  <c r="L188" i="12"/>
  <c r="L189" i="12"/>
  <c r="L190" i="12"/>
  <c r="L191" i="12"/>
  <c r="L192" i="12"/>
  <c r="L193" i="12"/>
  <c r="L194" i="12"/>
  <c r="L195" i="12"/>
  <c r="L196" i="12"/>
  <c r="L197" i="12"/>
  <c r="L198" i="12"/>
  <c r="L199" i="12"/>
  <c r="L200" i="12"/>
  <c r="L201" i="12"/>
  <c r="L202" i="12"/>
  <c r="L203" i="12"/>
  <c r="L204" i="12"/>
  <c r="L205" i="12"/>
  <c r="L206" i="12"/>
  <c r="L207" i="12"/>
  <c r="L208" i="12"/>
  <c r="L209" i="12"/>
  <c r="L210" i="12"/>
  <c r="L211" i="12"/>
  <c r="L212" i="12"/>
  <c r="L213" i="12"/>
  <c r="L214" i="12"/>
  <c r="L215" i="12"/>
  <c r="L216" i="12"/>
  <c r="L217" i="12"/>
  <c r="L218" i="12"/>
  <c r="L219" i="12"/>
  <c r="L220" i="12"/>
  <c r="L221" i="12"/>
  <c r="L222" i="12"/>
  <c r="L223" i="12"/>
  <c r="L224" i="12"/>
  <c r="L225" i="12"/>
  <c r="L226" i="12"/>
  <c r="L227" i="12"/>
  <c r="L228" i="12"/>
  <c r="L229" i="12"/>
  <c r="L230" i="12"/>
  <c r="L231" i="12"/>
  <c r="L232" i="12"/>
  <c r="L233" i="12"/>
  <c r="L234" i="12"/>
  <c r="L235" i="12"/>
  <c r="L236" i="12"/>
  <c r="L237" i="12"/>
  <c r="L238" i="12"/>
  <c r="L239" i="12"/>
  <c r="L240" i="12"/>
  <c r="L241" i="12"/>
  <c r="L242" i="12"/>
  <c r="L243" i="12"/>
  <c r="L244" i="12"/>
  <c r="L245" i="12"/>
  <c r="L246" i="12"/>
  <c r="L247" i="12"/>
  <c r="L248" i="12"/>
  <c r="L249" i="12"/>
  <c r="L250" i="12"/>
  <c r="L251" i="12"/>
  <c r="L252" i="12"/>
  <c r="L253" i="12"/>
  <c r="L254" i="12"/>
  <c r="L255" i="12"/>
  <c r="L256" i="12"/>
  <c r="L257" i="12"/>
  <c r="L258" i="12"/>
  <c r="L259" i="12"/>
  <c r="L260" i="12"/>
  <c r="L261" i="12"/>
  <c r="L262" i="12"/>
  <c r="L263" i="12"/>
  <c r="L264" i="12"/>
  <c r="L265" i="12"/>
  <c r="L266" i="12"/>
  <c r="L267" i="12"/>
  <c r="L268" i="12"/>
  <c r="L269" i="12"/>
  <c r="L270" i="12"/>
  <c r="L271" i="12"/>
  <c r="L272" i="12"/>
  <c r="L273" i="12"/>
  <c r="L274" i="12"/>
  <c r="L275" i="12"/>
  <c r="L276" i="12"/>
  <c r="L277" i="12"/>
  <c r="L278" i="12"/>
  <c r="L279" i="12"/>
  <c r="L280" i="12"/>
  <c r="L281" i="12"/>
  <c r="L282" i="12"/>
  <c r="L283" i="12"/>
  <c r="L284" i="12"/>
  <c r="L285" i="12"/>
  <c r="L286" i="12"/>
  <c r="L287" i="12"/>
  <c r="L288" i="12"/>
  <c r="L289" i="12"/>
  <c r="L290" i="12"/>
  <c r="L291" i="12"/>
  <c r="L292" i="12"/>
  <c r="L293" i="12"/>
  <c r="L294" i="12"/>
  <c r="L295" i="12"/>
  <c r="L296" i="12"/>
  <c r="L297" i="12"/>
  <c r="L298" i="12"/>
  <c r="L299" i="12"/>
  <c r="L300" i="12"/>
  <c r="L301" i="12"/>
  <c r="L302" i="12"/>
  <c r="L303" i="12"/>
  <c r="L304" i="12"/>
  <c r="L305" i="12"/>
  <c r="L306" i="12"/>
  <c r="L307" i="12"/>
  <c r="L308" i="12"/>
  <c r="L309" i="12"/>
  <c r="L310" i="12"/>
  <c r="L311" i="12"/>
  <c r="L312" i="12"/>
  <c r="L313" i="12"/>
  <c r="L314" i="12"/>
  <c r="L315" i="12"/>
  <c r="L316" i="12"/>
  <c r="L317" i="12"/>
  <c r="L318" i="12"/>
  <c r="L319" i="12"/>
  <c r="L320" i="12"/>
  <c r="L321" i="12"/>
  <c r="L322" i="12"/>
  <c r="L323" i="12"/>
  <c r="L324" i="12"/>
  <c r="L325" i="12"/>
  <c r="L326" i="12"/>
  <c r="L327" i="12"/>
  <c r="L328" i="12"/>
  <c r="L329" i="12"/>
  <c r="L330" i="12"/>
  <c r="L331" i="12"/>
  <c r="L332" i="12"/>
  <c r="L333" i="12"/>
  <c r="L334" i="12"/>
  <c r="L335" i="12"/>
  <c r="L336" i="12"/>
  <c r="L337" i="12"/>
  <c r="L338" i="12"/>
  <c r="L339" i="12"/>
  <c r="L340" i="12"/>
  <c r="L341" i="12"/>
  <c r="L342" i="12"/>
  <c r="L343" i="12"/>
  <c r="L344" i="12"/>
  <c r="L345" i="12"/>
  <c r="L346" i="12"/>
  <c r="L347" i="12"/>
  <c r="L348" i="12"/>
  <c r="L349" i="12"/>
  <c r="L350" i="12"/>
  <c r="L351" i="12"/>
  <c r="L352" i="12"/>
  <c r="L353" i="12"/>
  <c r="L354" i="12"/>
  <c r="L355" i="12"/>
  <c r="L356" i="12"/>
  <c r="L357" i="12"/>
  <c r="L358" i="12"/>
  <c r="L359" i="12"/>
  <c r="L360" i="12"/>
  <c r="L361" i="12"/>
  <c r="L362" i="12"/>
  <c r="L363" i="12"/>
  <c r="L364" i="12"/>
  <c r="L365" i="12"/>
  <c r="L366" i="12"/>
  <c r="L367" i="12"/>
  <c r="L368" i="12"/>
  <c r="L369" i="12"/>
  <c r="L370" i="12"/>
  <c r="L371" i="12"/>
  <c r="L372" i="12"/>
  <c r="L373" i="12"/>
  <c r="L374" i="12"/>
  <c r="L375" i="12"/>
  <c r="L376" i="12"/>
  <c r="L377" i="12"/>
  <c r="L378" i="12"/>
  <c r="L379" i="12"/>
  <c r="L380" i="12"/>
  <c r="L381" i="12"/>
  <c r="L382" i="12"/>
  <c r="L383" i="12"/>
  <c r="L384" i="12"/>
  <c r="L385" i="12"/>
  <c r="L386" i="12"/>
  <c r="L387" i="12"/>
  <c r="L388" i="12"/>
  <c r="L389" i="12"/>
  <c r="L390" i="12"/>
  <c r="L391" i="12"/>
  <c r="L392" i="12"/>
  <c r="L393" i="12"/>
  <c r="L394" i="12"/>
  <c r="L395" i="12"/>
  <c r="L396" i="12"/>
  <c r="L397" i="12"/>
  <c r="L398" i="12"/>
  <c r="L399" i="12"/>
  <c r="L400" i="12"/>
  <c r="L401" i="12"/>
  <c r="L402" i="12"/>
  <c r="L403" i="12"/>
  <c r="L404" i="12"/>
  <c r="L405" i="12"/>
  <c r="L406" i="12"/>
  <c r="L407" i="12"/>
  <c r="L408" i="12"/>
  <c r="L409" i="12"/>
  <c r="L410" i="12"/>
  <c r="L411" i="12"/>
  <c r="L412" i="12"/>
  <c r="L413" i="12"/>
  <c r="L414" i="12"/>
  <c r="L415" i="12"/>
  <c r="L416" i="12"/>
  <c r="L417" i="12"/>
  <c r="L418" i="12"/>
  <c r="L419" i="12"/>
  <c r="L420" i="12"/>
  <c r="L421" i="12"/>
  <c r="L422" i="12"/>
  <c r="L423" i="12"/>
  <c r="L424" i="12"/>
  <c r="L425" i="12"/>
  <c r="L426" i="12"/>
  <c r="L427" i="12"/>
  <c r="L428" i="12"/>
  <c r="L429" i="12"/>
  <c r="L430" i="12"/>
  <c r="L431" i="12"/>
  <c r="L432" i="12"/>
  <c r="L433" i="12"/>
  <c r="L434" i="12"/>
  <c r="L435" i="12"/>
  <c r="L436" i="12"/>
  <c r="L437" i="12"/>
  <c r="L438" i="12"/>
  <c r="L439" i="12"/>
  <c r="L440" i="12"/>
  <c r="L441" i="12"/>
  <c r="L442" i="12"/>
  <c r="L443" i="12"/>
  <c r="L444" i="12"/>
  <c r="L445" i="12"/>
  <c r="L446" i="12"/>
  <c r="L447" i="12"/>
  <c r="L448" i="12"/>
  <c r="L449" i="12"/>
  <c r="L450" i="12"/>
  <c r="L451" i="12"/>
  <c r="L452" i="12"/>
  <c r="L453" i="12"/>
  <c r="L454" i="12"/>
  <c r="L455" i="12"/>
  <c r="L456" i="12"/>
  <c r="L457" i="12"/>
  <c r="L458" i="12"/>
  <c r="L459" i="12"/>
  <c r="L460" i="12"/>
  <c r="L461" i="12"/>
  <c r="L462" i="12"/>
  <c r="L463" i="12"/>
  <c r="L464" i="12"/>
  <c r="L465" i="12"/>
  <c r="L466" i="12"/>
  <c r="L467" i="12"/>
  <c r="L468" i="12"/>
  <c r="L469" i="12"/>
  <c r="L470" i="12"/>
  <c r="L471" i="12"/>
  <c r="L472" i="12"/>
  <c r="L473" i="12"/>
  <c r="L474" i="12"/>
  <c r="L475" i="12"/>
  <c r="L476" i="12"/>
  <c r="L477" i="12"/>
  <c r="L478" i="12"/>
  <c r="L479" i="12"/>
  <c r="L480" i="12"/>
  <c r="L481" i="12"/>
  <c r="L482" i="12"/>
  <c r="L483" i="12"/>
  <c r="L484" i="12"/>
  <c r="L485" i="12"/>
  <c r="L486" i="12"/>
  <c r="L487" i="12"/>
  <c r="L488" i="12"/>
  <c r="L489" i="12"/>
  <c r="L490" i="12"/>
  <c r="L491" i="12"/>
  <c r="L492" i="12"/>
  <c r="L493" i="12"/>
  <c r="L494" i="12"/>
  <c r="L495" i="12"/>
  <c r="L496" i="12"/>
  <c r="L497" i="12"/>
  <c r="L498" i="12"/>
  <c r="L499" i="12"/>
  <c r="L500" i="12"/>
  <c r="I8" i="12"/>
  <c r="I9" i="12"/>
  <c r="I10" i="12"/>
  <c r="I11" i="12"/>
  <c r="I12" i="12"/>
  <c r="I13" i="12"/>
  <c r="I14" i="12"/>
  <c r="I15" i="12"/>
  <c r="I16" i="12"/>
  <c r="I17" i="12"/>
  <c r="I18" i="12"/>
  <c r="I19" i="12"/>
  <c r="I20" i="12"/>
  <c r="I21" i="12"/>
  <c r="I22" i="12"/>
  <c r="I23" i="12"/>
  <c r="I24" i="12"/>
  <c r="I25" i="12"/>
  <c r="I26" i="12"/>
  <c r="I27" i="12"/>
  <c r="I28" i="12"/>
  <c r="I29" i="12"/>
  <c r="I30" i="12"/>
  <c r="I31" i="12"/>
  <c r="I32" i="12"/>
  <c r="I33" i="12"/>
  <c r="I34" i="12"/>
  <c r="I35" i="12"/>
  <c r="I36" i="12"/>
  <c r="I37" i="12"/>
  <c r="I38" i="12"/>
  <c r="I39" i="12"/>
  <c r="I40" i="12"/>
  <c r="I41" i="12"/>
  <c r="I42" i="12"/>
  <c r="I43" i="12"/>
  <c r="I44" i="12"/>
  <c r="I45" i="12"/>
  <c r="I46" i="12"/>
  <c r="I47" i="12"/>
  <c r="I48" i="12"/>
  <c r="I49" i="12"/>
  <c r="I50" i="12"/>
  <c r="I51" i="12"/>
  <c r="I52" i="12"/>
  <c r="I53" i="12"/>
  <c r="I54" i="12"/>
  <c r="I55" i="12"/>
  <c r="I56" i="12"/>
  <c r="I57" i="12"/>
  <c r="I58" i="12"/>
  <c r="I59" i="12"/>
  <c r="I60" i="12"/>
  <c r="I61" i="12"/>
  <c r="I62" i="12"/>
  <c r="I63" i="12"/>
  <c r="I64" i="12"/>
  <c r="I65" i="12"/>
  <c r="I66" i="12"/>
  <c r="I67" i="12"/>
  <c r="I68" i="12"/>
  <c r="I69" i="12"/>
  <c r="I70" i="12"/>
  <c r="I71" i="12"/>
  <c r="I72" i="12"/>
  <c r="I73" i="12"/>
  <c r="I74" i="12"/>
  <c r="I75" i="12"/>
  <c r="I76" i="12"/>
  <c r="I77" i="12"/>
  <c r="I78" i="12"/>
  <c r="I79" i="12"/>
  <c r="I80" i="12"/>
  <c r="I81" i="12"/>
  <c r="I82" i="12"/>
  <c r="I83" i="12"/>
  <c r="I84" i="12"/>
  <c r="I85" i="12"/>
  <c r="I86" i="12"/>
  <c r="I87" i="12"/>
  <c r="I88" i="12"/>
  <c r="I89" i="12"/>
  <c r="I90" i="12"/>
  <c r="I91" i="12"/>
  <c r="I92" i="12"/>
  <c r="I93" i="12"/>
  <c r="I94" i="12"/>
  <c r="I95" i="12"/>
  <c r="I96" i="12"/>
  <c r="I97" i="12"/>
  <c r="I98" i="12"/>
  <c r="I99" i="12"/>
  <c r="I100" i="12"/>
  <c r="I101" i="12"/>
  <c r="I102" i="12"/>
  <c r="I103" i="12"/>
  <c r="I104" i="12"/>
  <c r="I105" i="12"/>
  <c r="I106" i="12"/>
  <c r="I107" i="12"/>
  <c r="I108" i="12"/>
  <c r="I109" i="12"/>
  <c r="I110" i="12"/>
  <c r="I111" i="12"/>
  <c r="I112" i="12"/>
  <c r="I113" i="12"/>
  <c r="I114" i="12"/>
  <c r="I115" i="12"/>
  <c r="I116" i="12"/>
  <c r="I117" i="12"/>
  <c r="I118" i="12"/>
  <c r="I119" i="12"/>
  <c r="I120" i="12"/>
  <c r="I121" i="12"/>
  <c r="I122" i="12"/>
  <c r="I123" i="12"/>
  <c r="I124" i="12"/>
  <c r="I125" i="12"/>
  <c r="I126" i="12"/>
  <c r="I127" i="12"/>
  <c r="I128" i="12"/>
  <c r="I129" i="12"/>
  <c r="I130" i="12"/>
  <c r="I131" i="12"/>
  <c r="I132" i="12"/>
  <c r="I133" i="12"/>
  <c r="I134" i="12"/>
  <c r="I135" i="12"/>
  <c r="I136" i="12"/>
  <c r="I137" i="12"/>
  <c r="I138" i="12"/>
  <c r="I139" i="12"/>
  <c r="I140" i="12"/>
  <c r="I141" i="12"/>
  <c r="I142" i="12"/>
  <c r="I143" i="12"/>
  <c r="I144" i="12"/>
  <c r="I145" i="12"/>
  <c r="I146" i="12"/>
  <c r="I147" i="12"/>
  <c r="I148" i="12"/>
  <c r="I149" i="12"/>
  <c r="I150" i="12"/>
  <c r="I151" i="12"/>
  <c r="I152" i="12"/>
  <c r="I153" i="12"/>
  <c r="I154" i="12"/>
  <c r="I155" i="12"/>
  <c r="I156" i="12"/>
  <c r="I157" i="12"/>
  <c r="I158" i="12"/>
  <c r="I159" i="12"/>
  <c r="I160" i="12"/>
  <c r="I161" i="12"/>
  <c r="I162" i="12"/>
  <c r="I163" i="12"/>
  <c r="I164" i="12"/>
  <c r="I165" i="12"/>
  <c r="I166" i="12"/>
  <c r="I167" i="12"/>
  <c r="I168" i="12"/>
  <c r="I169" i="12"/>
  <c r="I170" i="12"/>
  <c r="I171" i="12"/>
  <c r="I172" i="12"/>
  <c r="I173" i="12"/>
  <c r="I174" i="12"/>
  <c r="I175" i="12"/>
  <c r="I176" i="12"/>
  <c r="I177" i="12"/>
  <c r="I178" i="12"/>
  <c r="I179" i="12"/>
  <c r="I180" i="12"/>
  <c r="I181" i="12"/>
  <c r="I182" i="12"/>
  <c r="I183" i="12"/>
  <c r="I184" i="12"/>
  <c r="I185" i="12"/>
  <c r="I186" i="12"/>
  <c r="I187" i="12"/>
  <c r="I188" i="12"/>
  <c r="I189" i="12"/>
  <c r="I190" i="12"/>
  <c r="I191" i="12"/>
  <c r="I192" i="12"/>
  <c r="I193" i="12"/>
  <c r="I194" i="12"/>
  <c r="I195" i="12"/>
  <c r="I196" i="12"/>
  <c r="I197" i="12"/>
  <c r="I198" i="12"/>
  <c r="I199" i="12"/>
  <c r="I200" i="12"/>
  <c r="I201" i="12"/>
  <c r="I202" i="12"/>
  <c r="I203" i="12"/>
  <c r="I204" i="12"/>
  <c r="I205" i="12"/>
  <c r="I206" i="12"/>
  <c r="I207" i="12"/>
  <c r="I208" i="12"/>
  <c r="I209" i="12"/>
  <c r="I210" i="12"/>
  <c r="I211" i="12"/>
  <c r="I212" i="12"/>
  <c r="I213" i="12"/>
  <c r="I214" i="12"/>
  <c r="I215" i="12"/>
  <c r="I216" i="12"/>
  <c r="I217" i="12"/>
  <c r="I218" i="12"/>
  <c r="I219" i="12"/>
  <c r="I220" i="12"/>
  <c r="I221" i="12"/>
  <c r="I222" i="12"/>
  <c r="I223" i="12"/>
  <c r="I224" i="12"/>
  <c r="I225" i="12"/>
  <c r="I226" i="12"/>
  <c r="I227" i="12"/>
  <c r="I228" i="12"/>
  <c r="I229" i="12"/>
  <c r="I230" i="12"/>
  <c r="I231" i="12"/>
  <c r="I232" i="12"/>
  <c r="I233" i="12"/>
  <c r="I234" i="12"/>
  <c r="I235" i="12"/>
  <c r="I236" i="12"/>
  <c r="I237" i="12"/>
  <c r="I238" i="12"/>
  <c r="I239" i="12"/>
  <c r="I240" i="12"/>
  <c r="I241" i="12"/>
  <c r="I242" i="12"/>
  <c r="I243" i="12"/>
  <c r="I244" i="12"/>
  <c r="I245" i="12"/>
  <c r="I246" i="12"/>
  <c r="I247" i="12"/>
  <c r="I248" i="12"/>
  <c r="I249" i="12"/>
  <c r="I250" i="12"/>
  <c r="I251" i="12"/>
  <c r="I252" i="12"/>
  <c r="I253" i="12"/>
  <c r="I254" i="12"/>
  <c r="I255" i="12"/>
  <c r="I256" i="12"/>
  <c r="I257" i="12"/>
  <c r="I258" i="12"/>
  <c r="I259" i="12"/>
  <c r="I260" i="12"/>
  <c r="I261" i="12"/>
  <c r="I262" i="12"/>
  <c r="I263" i="12"/>
  <c r="I264" i="12"/>
  <c r="I265" i="12"/>
  <c r="I266" i="12"/>
  <c r="I267" i="12"/>
  <c r="I268" i="12"/>
  <c r="I269" i="12"/>
  <c r="I270" i="12"/>
  <c r="I271" i="12"/>
  <c r="I272" i="12"/>
  <c r="I273" i="12"/>
  <c r="I274" i="12"/>
  <c r="I275" i="12"/>
  <c r="I276" i="12"/>
  <c r="I277" i="12"/>
  <c r="I278" i="12"/>
  <c r="I279" i="12"/>
  <c r="I280" i="12"/>
  <c r="I281" i="12"/>
  <c r="I282" i="12"/>
  <c r="I283" i="12"/>
  <c r="I284" i="12"/>
  <c r="I285" i="12"/>
  <c r="I286" i="12"/>
  <c r="I287" i="12"/>
  <c r="I288" i="12"/>
  <c r="I289" i="12"/>
  <c r="I290" i="12"/>
  <c r="I291" i="12"/>
  <c r="I292" i="12"/>
  <c r="I293" i="12"/>
  <c r="I294" i="12"/>
  <c r="I295" i="12"/>
  <c r="I296" i="12"/>
  <c r="I297" i="12"/>
  <c r="I298" i="12"/>
  <c r="I299" i="12"/>
  <c r="I300" i="12"/>
  <c r="I301" i="12"/>
  <c r="I302" i="12"/>
  <c r="I303" i="12"/>
  <c r="I304" i="12"/>
  <c r="I305" i="12"/>
  <c r="I306" i="12"/>
  <c r="I307" i="12"/>
  <c r="I308" i="12"/>
  <c r="I309" i="12"/>
  <c r="I310" i="12"/>
  <c r="I311" i="12"/>
  <c r="I312" i="12"/>
  <c r="I313" i="12"/>
  <c r="I314" i="12"/>
  <c r="I315" i="12"/>
  <c r="I316" i="12"/>
  <c r="I317" i="12"/>
  <c r="I318" i="12"/>
  <c r="I319" i="12"/>
  <c r="I320" i="12"/>
  <c r="I321" i="12"/>
  <c r="I322" i="12"/>
  <c r="I323" i="12"/>
  <c r="I324" i="12"/>
  <c r="I325" i="12"/>
  <c r="I326" i="12"/>
  <c r="I327" i="12"/>
  <c r="I328" i="12"/>
  <c r="I329" i="12"/>
  <c r="I330" i="12"/>
  <c r="I331" i="12"/>
  <c r="I332" i="12"/>
  <c r="I333" i="12"/>
  <c r="I334" i="12"/>
  <c r="I335" i="12"/>
  <c r="I336" i="12"/>
  <c r="I337" i="12"/>
  <c r="I338" i="12"/>
  <c r="I339" i="12"/>
  <c r="I340" i="12"/>
  <c r="I341" i="12"/>
  <c r="I342" i="12"/>
  <c r="I343" i="12"/>
  <c r="I344" i="12"/>
  <c r="I345" i="12"/>
  <c r="I346" i="12"/>
  <c r="I347" i="12"/>
  <c r="I348" i="12"/>
  <c r="I349" i="12"/>
  <c r="I350" i="12"/>
  <c r="I351" i="12"/>
  <c r="I352" i="12"/>
  <c r="I353" i="12"/>
  <c r="I354" i="12"/>
  <c r="I355" i="12"/>
  <c r="I356" i="12"/>
  <c r="I357" i="12"/>
  <c r="I358" i="12"/>
  <c r="I359" i="12"/>
  <c r="I360" i="12"/>
  <c r="I361" i="12"/>
  <c r="I362" i="12"/>
  <c r="I363" i="12"/>
  <c r="I364" i="12"/>
  <c r="I365" i="12"/>
  <c r="I366" i="12"/>
  <c r="I367" i="12"/>
  <c r="I368" i="12"/>
  <c r="I369" i="12"/>
  <c r="I370" i="12"/>
  <c r="I371" i="12"/>
  <c r="I372" i="12"/>
  <c r="I373" i="12"/>
  <c r="I374" i="12"/>
  <c r="I375" i="12"/>
  <c r="I376" i="12"/>
  <c r="I377" i="12"/>
  <c r="I378" i="12"/>
  <c r="I379" i="12"/>
  <c r="I380" i="12"/>
  <c r="I381" i="12"/>
  <c r="I382" i="12"/>
  <c r="I383" i="12"/>
  <c r="I384" i="12"/>
  <c r="I385" i="12"/>
  <c r="I386" i="12"/>
  <c r="I387" i="12"/>
  <c r="I388" i="12"/>
  <c r="I389" i="12"/>
  <c r="I390" i="12"/>
  <c r="I391" i="12"/>
  <c r="I392" i="12"/>
  <c r="I393" i="12"/>
  <c r="I394" i="12"/>
  <c r="I395" i="12"/>
  <c r="I396" i="12"/>
  <c r="I397" i="12"/>
  <c r="I398" i="12"/>
  <c r="I399" i="12"/>
  <c r="I400" i="12"/>
  <c r="I401" i="12"/>
  <c r="I402" i="12"/>
  <c r="I403" i="12"/>
  <c r="I404" i="12"/>
  <c r="I405" i="12"/>
  <c r="I406" i="12"/>
  <c r="I407" i="12"/>
  <c r="I408" i="12"/>
  <c r="I409" i="12"/>
  <c r="I410" i="12"/>
  <c r="I411" i="12"/>
  <c r="I412" i="12"/>
  <c r="I413" i="12"/>
  <c r="I414" i="12"/>
  <c r="I415" i="12"/>
  <c r="I416" i="12"/>
  <c r="I417" i="12"/>
  <c r="I418" i="12"/>
  <c r="I419" i="12"/>
  <c r="I420" i="12"/>
  <c r="I421" i="12"/>
  <c r="I422" i="12"/>
  <c r="I423" i="12"/>
  <c r="I424" i="12"/>
  <c r="I425" i="12"/>
  <c r="I426" i="12"/>
  <c r="I427" i="12"/>
  <c r="I428" i="12"/>
  <c r="I429" i="12"/>
  <c r="I430" i="12"/>
  <c r="I431" i="12"/>
  <c r="I432" i="12"/>
  <c r="I433" i="12"/>
  <c r="I434" i="12"/>
  <c r="I435" i="12"/>
  <c r="I436" i="12"/>
  <c r="I437" i="12"/>
  <c r="I438" i="12"/>
  <c r="I439" i="12"/>
  <c r="I440" i="12"/>
  <c r="I441" i="12"/>
  <c r="I442" i="12"/>
  <c r="I443" i="12"/>
  <c r="I444" i="12"/>
  <c r="I445" i="12"/>
  <c r="I446" i="12"/>
  <c r="I447" i="12"/>
  <c r="I448" i="12"/>
  <c r="I449" i="12"/>
  <c r="I450" i="12"/>
  <c r="I451" i="12"/>
  <c r="I452" i="12"/>
  <c r="I453" i="12"/>
  <c r="I454" i="12"/>
  <c r="I455" i="12"/>
  <c r="I456" i="12"/>
  <c r="I457" i="12"/>
  <c r="I458" i="12"/>
  <c r="I459" i="12"/>
  <c r="I460" i="12"/>
  <c r="I461" i="12"/>
  <c r="I462" i="12"/>
  <c r="I463" i="12"/>
  <c r="I464" i="12"/>
  <c r="I465" i="12"/>
  <c r="I466" i="12"/>
  <c r="I467" i="12"/>
  <c r="I468" i="12"/>
  <c r="I469" i="12"/>
  <c r="I470" i="12"/>
  <c r="I471" i="12"/>
  <c r="I472" i="12"/>
  <c r="I473" i="12"/>
  <c r="I474" i="12"/>
  <c r="I475" i="12"/>
  <c r="I476" i="12"/>
  <c r="I477" i="12"/>
  <c r="I478" i="12"/>
  <c r="I479" i="12"/>
  <c r="I480" i="12"/>
  <c r="I481" i="12"/>
  <c r="I482" i="12"/>
  <c r="I483" i="12"/>
  <c r="I484" i="12"/>
  <c r="I485" i="12"/>
  <c r="I486" i="12"/>
  <c r="I487" i="12"/>
  <c r="I488" i="12"/>
  <c r="I489" i="12"/>
  <c r="I490" i="12"/>
  <c r="I491" i="12"/>
  <c r="I492" i="12"/>
  <c r="I493" i="12"/>
  <c r="I494" i="12"/>
  <c r="I495" i="12"/>
  <c r="I496" i="12"/>
  <c r="I497" i="12"/>
  <c r="I498" i="12"/>
  <c r="I499" i="12"/>
  <c r="I500" i="12"/>
  <c r="H8" i="12"/>
  <c r="H9" i="12"/>
  <c r="V9" i="12" s="1"/>
  <c r="H10" i="12"/>
  <c r="H11" i="12"/>
  <c r="H12" i="12"/>
  <c r="H13" i="12"/>
  <c r="H14" i="12"/>
  <c r="H15" i="12"/>
  <c r="H16" i="12"/>
  <c r="H17" i="12"/>
  <c r="H18" i="12"/>
  <c r="H19" i="12"/>
  <c r="H20" i="12"/>
  <c r="H21" i="12"/>
  <c r="V21" i="12" s="1"/>
  <c r="H22" i="12"/>
  <c r="H23" i="12"/>
  <c r="H24" i="12"/>
  <c r="H25" i="12"/>
  <c r="H26" i="12"/>
  <c r="H27" i="12"/>
  <c r="H28" i="12"/>
  <c r="H29" i="12"/>
  <c r="H30" i="12"/>
  <c r="H31" i="12"/>
  <c r="H32" i="12"/>
  <c r="H33" i="12"/>
  <c r="H34" i="12"/>
  <c r="H35" i="12"/>
  <c r="H36" i="12"/>
  <c r="H37" i="12"/>
  <c r="V37" i="12" s="1"/>
  <c r="H38" i="12"/>
  <c r="H39" i="12"/>
  <c r="H40" i="12"/>
  <c r="H41" i="12"/>
  <c r="V41" i="12" s="1"/>
  <c r="H42" i="12"/>
  <c r="H43" i="12"/>
  <c r="H44" i="12"/>
  <c r="H45" i="12"/>
  <c r="H46" i="12"/>
  <c r="H47" i="12"/>
  <c r="H48" i="12"/>
  <c r="H49" i="12"/>
  <c r="H50" i="12"/>
  <c r="H51" i="12"/>
  <c r="H52" i="12"/>
  <c r="H53" i="12"/>
  <c r="V53" i="12" s="1"/>
  <c r="H54" i="12"/>
  <c r="H55" i="12"/>
  <c r="H56" i="12"/>
  <c r="H57" i="12"/>
  <c r="H58" i="12"/>
  <c r="H59" i="12"/>
  <c r="H60" i="12"/>
  <c r="H61" i="12"/>
  <c r="H62" i="12"/>
  <c r="H63" i="12"/>
  <c r="H64" i="12"/>
  <c r="H65" i="12"/>
  <c r="H66" i="12"/>
  <c r="H67" i="12"/>
  <c r="H68" i="12"/>
  <c r="H69" i="12"/>
  <c r="V69" i="12" s="1"/>
  <c r="H70" i="12"/>
  <c r="H71" i="12"/>
  <c r="H72" i="12"/>
  <c r="H73" i="12"/>
  <c r="V73" i="12" s="1"/>
  <c r="H74" i="12"/>
  <c r="H75" i="12"/>
  <c r="H76" i="12"/>
  <c r="H77" i="12"/>
  <c r="H78" i="12"/>
  <c r="H79" i="12"/>
  <c r="H80" i="12"/>
  <c r="H81" i="12"/>
  <c r="H82" i="12"/>
  <c r="H83" i="12"/>
  <c r="H84" i="12"/>
  <c r="H85" i="12"/>
  <c r="V85" i="12" s="1"/>
  <c r="H86" i="12"/>
  <c r="H87" i="12"/>
  <c r="H88" i="12"/>
  <c r="H89" i="12"/>
  <c r="H90" i="12"/>
  <c r="H91" i="12"/>
  <c r="H92" i="12"/>
  <c r="H93" i="12"/>
  <c r="H94" i="12"/>
  <c r="H95" i="12"/>
  <c r="H96" i="12"/>
  <c r="H97" i="12"/>
  <c r="H98" i="12"/>
  <c r="H99" i="12"/>
  <c r="H100" i="12"/>
  <c r="H101" i="12"/>
  <c r="V101" i="12" s="1"/>
  <c r="H102" i="12"/>
  <c r="H103" i="12"/>
  <c r="H104" i="12"/>
  <c r="H105" i="12"/>
  <c r="V105" i="12" s="1"/>
  <c r="H106" i="12"/>
  <c r="H107" i="12"/>
  <c r="H108" i="12"/>
  <c r="H109" i="12"/>
  <c r="H110" i="12"/>
  <c r="H111" i="12"/>
  <c r="H112" i="12"/>
  <c r="H113" i="12"/>
  <c r="H114" i="12"/>
  <c r="H115" i="12"/>
  <c r="H116" i="12"/>
  <c r="H117" i="12"/>
  <c r="V117" i="12" s="1"/>
  <c r="H118" i="12"/>
  <c r="H119" i="12"/>
  <c r="H120" i="12"/>
  <c r="H121" i="12"/>
  <c r="H122" i="12"/>
  <c r="H123" i="12"/>
  <c r="H124" i="12"/>
  <c r="H125" i="12"/>
  <c r="H126" i="12"/>
  <c r="H127" i="12"/>
  <c r="H128" i="12"/>
  <c r="H129" i="12"/>
  <c r="H130" i="12"/>
  <c r="H131" i="12"/>
  <c r="H132" i="12"/>
  <c r="H133" i="12"/>
  <c r="V133" i="12" s="1"/>
  <c r="H134" i="12"/>
  <c r="H135" i="12"/>
  <c r="H136" i="12"/>
  <c r="H137" i="12"/>
  <c r="V137" i="12" s="1"/>
  <c r="H138" i="12"/>
  <c r="H139" i="12"/>
  <c r="H140" i="12"/>
  <c r="H141" i="12"/>
  <c r="H142" i="12"/>
  <c r="H143" i="12"/>
  <c r="H144" i="12"/>
  <c r="H145" i="12"/>
  <c r="H146" i="12"/>
  <c r="H147" i="12"/>
  <c r="H148" i="12"/>
  <c r="H149" i="12"/>
  <c r="V149" i="12" s="1"/>
  <c r="H150" i="12"/>
  <c r="H151" i="12"/>
  <c r="H152" i="12"/>
  <c r="H153" i="12"/>
  <c r="H154" i="12"/>
  <c r="H155" i="12"/>
  <c r="H156" i="12"/>
  <c r="H157" i="12"/>
  <c r="H158" i="12"/>
  <c r="H159" i="12"/>
  <c r="H160" i="12"/>
  <c r="H161" i="12"/>
  <c r="H162" i="12"/>
  <c r="H163" i="12"/>
  <c r="H164" i="12"/>
  <c r="H165" i="12"/>
  <c r="V165" i="12" s="1"/>
  <c r="H166" i="12"/>
  <c r="H167" i="12"/>
  <c r="H168" i="12"/>
  <c r="H169" i="12"/>
  <c r="V169" i="12" s="1"/>
  <c r="H170" i="12"/>
  <c r="H171" i="12"/>
  <c r="H172" i="12"/>
  <c r="H173" i="12"/>
  <c r="H174" i="12"/>
  <c r="H175" i="12"/>
  <c r="H176" i="12"/>
  <c r="H177" i="12"/>
  <c r="H178" i="12"/>
  <c r="H179" i="12"/>
  <c r="H180" i="12"/>
  <c r="H181" i="12"/>
  <c r="V181" i="12" s="1"/>
  <c r="H182" i="12"/>
  <c r="H183" i="12"/>
  <c r="H184" i="12"/>
  <c r="H185" i="12"/>
  <c r="H186" i="12"/>
  <c r="H187" i="12"/>
  <c r="H188" i="12"/>
  <c r="H189" i="12"/>
  <c r="H190" i="12"/>
  <c r="H191" i="12"/>
  <c r="H192" i="12"/>
  <c r="H193" i="12"/>
  <c r="H194" i="12"/>
  <c r="H195" i="12"/>
  <c r="H196" i="12"/>
  <c r="H197" i="12"/>
  <c r="H198" i="12"/>
  <c r="H199" i="12"/>
  <c r="H200" i="12"/>
  <c r="H201" i="12"/>
  <c r="H202" i="12"/>
  <c r="H203" i="12"/>
  <c r="H204" i="12"/>
  <c r="H205" i="12"/>
  <c r="H206" i="12"/>
  <c r="H207" i="12"/>
  <c r="H208" i="12"/>
  <c r="H209" i="12"/>
  <c r="H210" i="12"/>
  <c r="H211" i="12"/>
  <c r="H212" i="12"/>
  <c r="H213" i="12"/>
  <c r="H214" i="12"/>
  <c r="H215" i="12"/>
  <c r="H216" i="12"/>
  <c r="H217" i="12"/>
  <c r="H218" i="12"/>
  <c r="H219" i="12"/>
  <c r="H220" i="12"/>
  <c r="H221" i="12"/>
  <c r="H222" i="12"/>
  <c r="H223" i="12"/>
  <c r="H224" i="12"/>
  <c r="H225" i="12"/>
  <c r="H226" i="12"/>
  <c r="H227" i="12"/>
  <c r="H228" i="12"/>
  <c r="H229" i="12"/>
  <c r="H230" i="12"/>
  <c r="H231" i="12"/>
  <c r="H232" i="12"/>
  <c r="H233" i="12"/>
  <c r="H234" i="12"/>
  <c r="H235" i="12"/>
  <c r="H236" i="12"/>
  <c r="H237" i="12"/>
  <c r="H238" i="12"/>
  <c r="H239" i="12"/>
  <c r="H240" i="12"/>
  <c r="H241" i="12"/>
  <c r="H242" i="12"/>
  <c r="H243" i="12"/>
  <c r="H244" i="12"/>
  <c r="H245" i="12"/>
  <c r="H246" i="12"/>
  <c r="H247" i="12"/>
  <c r="H248" i="12"/>
  <c r="H249" i="12"/>
  <c r="H250" i="12"/>
  <c r="H251" i="12"/>
  <c r="H252" i="12"/>
  <c r="H253" i="12"/>
  <c r="H254" i="12"/>
  <c r="H255" i="12"/>
  <c r="H256" i="12"/>
  <c r="H257" i="12"/>
  <c r="H258" i="12"/>
  <c r="H259" i="12"/>
  <c r="H260" i="12"/>
  <c r="H261" i="12"/>
  <c r="H262" i="12"/>
  <c r="H263" i="12"/>
  <c r="H264" i="12"/>
  <c r="H265" i="12"/>
  <c r="H266" i="12"/>
  <c r="H267" i="12"/>
  <c r="H268" i="12"/>
  <c r="H269" i="12"/>
  <c r="H270" i="12"/>
  <c r="H271" i="12"/>
  <c r="H272" i="12"/>
  <c r="H273" i="12"/>
  <c r="H274" i="12"/>
  <c r="H275" i="12"/>
  <c r="H276" i="12"/>
  <c r="H277" i="12"/>
  <c r="H278" i="12"/>
  <c r="H279" i="12"/>
  <c r="H280" i="12"/>
  <c r="H281" i="12"/>
  <c r="H282" i="12"/>
  <c r="H283" i="12"/>
  <c r="H284" i="12"/>
  <c r="H285" i="12"/>
  <c r="H286" i="12"/>
  <c r="H287" i="12"/>
  <c r="H288" i="12"/>
  <c r="H289" i="12"/>
  <c r="H290" i="12"/>
  <c r="H291" i="12"/>
  <c r="H292" i="12"/>
  <c r="H293" i="12"/>
  <c r="H294" i="12"/>
  <c r="H295" i="12"/>
  <c r="H296" i="12"/>
  <c r="H297" i="12"/>
  <c r="H298" i="12"/>
  <c r="H299" i="12"/>
  <c r="H300" i="12"/>
  <c r="H301" i="12"/>
  <c r="H302" i="12"/>
  <c r="H303" i="12"/>
  <c r="H304" i="12"/>
  <c r="H305" i="12"/>
  <c r="H306" i="12"/>
  <c r="H307" i="12"/>
  <c r="H308" i="12"/>
  <c r="H309" i="12"/>
  <c r="H310" i="12"/>
  <c r="H311" i="12"/>
  <c r="H312" i="12"/>
  <c r="H313" i="12"/>
  <c r="H314" i="12"/>
  <c r="H315" i="12"/>
  <c r="H316" i="12"/>
  <c r="H317" i="12"/>
  <c r="H318" i="12"/>
  <c r="H319" i="12"/>
  <c r="H320" i="12"/>
  <c r="H321" i="12"/>
  <c r="H322" i="12"/>
  <c r="H323" i="12"/>
  <c r="H324" i="12"/>
  <c r="H325" i="12"/>
  <c r="H326" i="12"/>
  <c r="H327" i="12"/>
  <c r="H328" i="12"/>
  <c r="H329" i="12"/>
  <c r="H330" i="12"/>
  <c r="H331" i="12"/>
  <c r="H332" i="12"/>
  <c r="H333" i="12"/>
  <c r="H334" i="12"/>
  <c r="H335" i="12"/>
  <c r="H336" i="12"/>
  <c r="H337" i="12"/>
  <c r="H338" i="12"/>
  <c r="H339" i="12"/>
  <c r="H340" i="12"/>
  <c r="H341" i="12"/>
  <c r="H342" i="12"/>
  <c r="H343" i="12"/>
  <c r="H344" i="12"/>
  <c r="H345" i="12"/>
  <c r="H346" i="12"/>
  <c r="H347" i="12"/>
  <c r="H348" i="12"/>
  <c r="H349" i="12"/>
  <c r="H350" i="12"/>
  <c r="H351" i="12"/>
  <c r="H352" i="12"/>
  <c r="H353" i="12"/>
  <c r="H354" i="12"/>
  <c r="H355" i="12"/>
  <c r="H356" i="12"/>
  <c r="H357" i="12"/>
  <c r="H358" i="12"/>
  <c r="H359" i="12"/>
  <c r="H360" i="12"/>
  <c r="H361" i="12"/>
  <c r="H362" i="12"/>
  <c r="H363" i="12"/>
  <c r="H364" i="12"/>
  <c r="H365" i="12"/>
  <c r="H366" i="12"/>
  <c r="H367" i="12"/>
  <c r="H368" i="12"/>
  <c r="H369" i="12"/>
  <c r="H370" i="12"/>
  <c r="H371" i="12"/>
  <c r="H372" i="12"/>
  <c r="H373" i="12"/>
  <c r="H374" i="12"/>
  <c r="H375" i="12"/>
  <c r="H376" i="12"/>
  <c r="H377" i="12"/>
  <c r="H378" i="12"/>
  <c r="H379" i="12"/>
  <c r="H380" i="12"/>
  <c r="H381" i="12"/>
  <c r="H382" i="12"/>
  <c r="H383" i="12"/>
  <c r="H384" i="12"/>
  <c r="H385" i="12"/>
  <c r="H386" i="12"/>
  <c r="H387" i="12"/>
  <c r="H388" i="12"/>
  <c r="H389" i="12"/>
  <c r="H390" i="12"/>
  <c r="H391" i="12"/>
  <c r="H392" i="12"/>
  <c r="H393" i="12"/>
  <c r="H394" i="12"/>
  <c r="H395" i="12"/>
  <c r="H396" i="12"/>
  <c r="H397" i="12"/>
  <c r="H398" i="12"/>
  <c r="H399" i="12"/>
  <c r="H400" i="12"/>
  <c r="H401" i="12"/>
  <c r="H402" i="12"/>
  <c r="H403" i="12"/>
  <c r="H404" i="12"/>
  <c r="H405" i="12"/>
  <c r="H406" i="12"/>
  <c r="H407" i="12"/>
  <c r="H408" i="12"/>
  <c r="H409" i="12"/>
  <c r="H410" i="12"/>
  <c r="H411" i="12"/>
  <c r="H412" i="12"/>
  <c r="H413" i="12"/>
  <c r="H414" i="12"/>
  <c r="H415" i="12"/>
  <c r="H416" i="12"/>
  <c r="H417" i="12"/>
  <c r="H418" i="12"/>
  <c r="H419" i="12"/>
  <c r="H420" i="12"/>
  <c r="H421" i="12"/>
  <c r="H422" i="12"/>
  <c r="H423" i="12"/>
  <c r="H424" i="12"/>
  <c r="H425" i="12"/>
  <c r="H426" i="12"/>
  <c r="H427" i="12"/>
  <c r="H428" i="12"/>
  <c r="H429" i="12"/>
  <c r="H430" i="12"/>
  <c r="H431" i="12"/>
  <c r="H432" i="12"/>
  <c r="H433" i="12"/>
  <c r="H434" i="12"/>
  <c r="H435" i="12"/>
  <c r="H436" i="12"/>
  <c r="H437" i="12"/>
  <c r="H438" i="12"/>
  <c r="H439" i="12"/>
  <c r="H440" i="12"/>
  <c r="H441" i="12"/>
  <c r="H442" i="12"/>
  <c r="H443" i="12"/>
  <c r="H444" i="12"/>
  <c r="H445" i="12"/>
  <c r="H446" i="12"/>
  <c r="H447" i="12"/>
  <c r="H448" i="12"/>
  <c r="H449" i="12"/>
  <c r="H450" i="12"/>
  <c r="H451" i="12"/>
  <c r="H452" i="12"/>
  <c r="H453" i="12"/>
  <c r="H454" i="12"/>
  <c r="H455" i="12"/>
  <c r="H456" i="12"/>
  <c r="H457" i="12"/>
  <c r="H458" i="12"/>
  <c r="H459" i="12"/>
  <c r="H460" i="12"/>
  <c r="H461" i="12"/>
  <c r="H462" i="12"/>
  <c r="H463" i="12"/>
  <c r="H464" i="12"/>
  <c r="H465" i="12"/>
  <c r="H466" i="12"/>
  <c r="H467" i="12"/>
  <c r="H468" i="12"/>
  <c r="H469" i="12"/>
  <c r="H470" i="12"/>
  <c r="H471" i="12"/>
  <c r="H472" i="12"/>
  <c r="H473" i="12"/>
  <c r="H474" i="12"/>
  <c r="H475" i="12"/>
  <c r="H476" i="12"/>
  <c r="H477" i="12"/>
  <c r="H478" i="12"/>
  <c r="H479" i="12"/>
  <c r="H480" i="12"/>
  <c r="H481" i="12"/>
  <c r="H482" i="12"/>
  <c r="H483" i="12"/>
  <c r="H484" i="12"/>
  <c r="H485" i="12"/>
  <c r="H486" i="12"/>
  <c r="H487" i="12"/>
  <c r="H488" i="12"/>
  <c r="H489" i="12"/>
  <c r="H490" i="12"/>
  <c r="H491" i="12"/>
  <c r="H492" i="12"/>
  <c r="H493" i="12"/>
  <c r="H494" i="12"/>
  <c r="H495" i="12"/>
  <c r="H496" i="12"/>
  <c r="H497" i="12"/>
  <c r="H498" i="12"/>
  <c r="H499" i="12"/>
  <c r="H500" i="12"/>
  <c r="G8" i="12"/>
  <c r="V8" i="12" s="1"/>
  <c r="G9" i="12"/>
  <c r="G10" i="12"/>
  <c r="G11" i="12"/>
  <c r="V11" i="12" s="1"/>
  <c r="G12" i="12"/>
  <c r="G13" i="12"/>
  <c r="G14" i="12"/>
  <c r="G15" i="12"/>
  <c r="G16" i="12"/>
  <c r="V16" i="12"/>
  <c r="G17" i="12"/>
  <c r="G18" i="12"/>
  <c r="G19" i="12"/>
  <c r="G20" i="12"/>
  <c r="G21" i="12"/>
  <c r="G22" i="12"/>
  <c r="G23" i="12"/>
  <c r="G24" i="12"/>
  <c r="V24" i="12" s="1"/>
  <c r="G25" i="12"/>
  <c r="G26" i="12"/>
  <c r="G27" i="12"/>
  <c r="G28" i="12"/>
  <c r="G29" i="12"/>
  <c r="V29" i="12" s="1"/>
  <c r="G30" i="12"/>
  <c r="G31" i="12"/>
  <c r="G32" i="12"/>
  <c r="V32" i="12"/>
  <c r="G33" i="12"/>
  <c r="G34" i="12"/>
  <c r="G35" i="12"/>
  <c r="G36" i="12"/>
  <c r="V36" i="12" s="1"/>
  <c r="G37" i="12"/>
  <c r="G38" i="12"/>
  <c r="G39" i="12"/>
  <c r="G40" i="12"/>
  <c r="V40" i="12" s="1"/>
  <c r="G41" i="12"/>
  <c r="G42" i="12"/>
  <c r="G43" i="12"/>
  <c r="V43" i="12" s="1"/>
  <c r="G44" i="12"/>
  <c r="G45" i="12"/>
  <c r="G46" i="12"/>
  <c r="G47" i="12"/>
  <c r="G48" i="12"/>
  <c r="V48" i="12"/>
  <c r="G49" i="12"/>
  <c r="G50" i="12"/>
  <c r="R50" i="12" s="1"/>
  <c r="G51" i="12"/>
  <c r="G52" i="12"/>
  <c r="G53" i="12"/>
  <c r="G54" i="12"/>
  <c r="G55" i="12"/>
  <c r="G56" i="12"/>
  <c r="V56" i="12" s="1"/>
  <c r="G57" i="12"/>
  <c r="G58" i="12"/>
  <c r="G59" i="12"/>
  <c r="G60" i="12"/>
  <c r="G61" i="12"/>
  <c r="V61" i="12" s="1"/>
  <c r="G62" i="12"/>
  <c r="G63" i="12"/>
  <c r="G64" i="12"/>
  <c r="V64" i="12"/>
  <c r="G65" i="12"/>
  <c r="G66" i="12"/>
  <c r="G67" i="12"/>
  <c r="G68" i="12"/>
  <c r="V68" i="12" s="1"/>
  <c r="G69" i="12"/>
  <c r="G70" i="12"/>
  <c r="G71" i="12"/>
  <c r="G72" i="12"/>
  <c r="V72" i="12" s="1"/>
  <c r="G73" i="12"/>
  <c r="G74" i="12"/>
  <c r="G75" i="12"/>
  <c r="V75" i="12" s="1"/>
  <c r="G76" i="12"/>
  <c r="G77" i="12"/>
  <c r="G78" i="12"/>
  <c r="G79" i="12"/>
  <c r="G80" i="12"/>
  <c r="V80" i="12"/>
  <c r="G81" i="12"/>
  <c r="G82" i="12"/>
  <c r="G83" i="12"/>
  <c r="G84" i="12"/>
  <c r="G85" i="12"/>
  <c r="G86" i="12"/>
  <c r="G87" i="12"/>
  <c r="G88" i="12"/>
  <c r="V88" i="12" s="1"/>
  <c r="G89" i="12"/>
  <c r="G90" i="12"/>
  <c r="G91" i="12"/>
  <c r="G92" i="12"/>
  <c r="G93" i="12"/>
  <c r="V93" i="12" s="1"/>
  <c r="G94" i="12"/>
  <c r="G95" i="12"/>
  <c r="G96" i="12"/>
  <c r="V96" i="12"/>
  <c r="G97" i="12"/>
  <c r="G98" i="12"/>
  <c r="G99" i="12"/>
  <c r="G100" i="12"/>
  <c r="V100" i="12" s="1"/>
  <c r="G101" i="12"/>
  <c r="G102" i="12"/>
  <c r="G103" i="12"/>
  <c r="G104" i="12"/>
  <c r="V104" i="12" s="1"/>
  <c r="G105" i="12"/>
  <c r="G106" i="12"/>
  <c r="G107" i="12"/>
  <c r="V107" i="12" s="1"/>
  <c r="G108" i="12"/>
  <c r="G109" i="12"/>
  <c r="G110" i="12"/>
  <c r="G111" i="12"/>
  <c r="G112" i="12"/>
  <c r="V112" i="12"/>
  <c r="G113" i="12"/>
  <c r="G114" i="12"/>
  <c r="R114" i="12" s="1"/>
  <c r="G115" i="12"/>
  <c r="G116" i="12"/>
  <c r="G117" i="12"/>
  <c r="G118" i="12"/>
  <c r="G119" i="12"/>
  <c r="G120" i="12"/>
  <c r="V120" i="12" s="1"/>
  <c r="G121" i="12"/>
  <c r="G122" i="12"/>
  <c r="G123" i="12"/>
  <c r="G124" i="12"/>
  <c r="G125" i="12"/>
  <c r="V125" i="12" s="1"/>
  <c r="G126" i="12"/>
  <c r="G127" i="12"/>
  <c r="G128" i="12"/>
  <c r="V128" i="12"/>
  <c r="G129" i="12"/>
  <c r="G130" i="12"/>
  <c r="G131" i="12"/>
  <c r="G132" i="12"/>
  <c r="V132" i="12" s="1"/>
  <c r="G133" i="12"/>
  <c r="G134" i="12"/>
  <c r="G135" i="12"/>
  <c r="G136" i="12"/>
  <c r="G137" i="12"/>
  <c r="G138" i="12"/>
  <c r="G139" i="12"/>
  <c r="V139" i="12" s="1"/>
  <c r="G140" i="12"/>
  <c r="G141" i="12"/>
  <c r="G142" i="12"/>
  <c r="G143" i="12"/>
  <c r="G144" i="12"/>
  <c r="V144" i="12"/>
  <c r="G145" i="12"/>
  <c r="G146" i="12"/>
  <c r="G147" i="12"/>
  <c r="G148" i="12"/>
  <c r="G149" i="12"/>
  <c r="G150" i="12"/>
  <c r="G151" i="12"/>
  <c r="G152" i="12"/>
  <c r="V152" i="12" s="1"/>
  <c r="G153" i="12"/>
  <c r="G154" i="12"/>
  <c r="G155" i="12"/>
  <c r="G156" i="12"/>
  <c r="G157" i="12"/>
  <c r="V157" i="12" s="1"/>
  <c r="G158" i="12"/>
  <c r="G159" i="12"/>
  <c r="G160" i="12"/>
  <c r="V160" i="12"/>
  <c r="G161" i="12"/>
  <c r="G162" i="12"/>
  <c r="G163" i="12"/>
  <c r="G164" i="12"/>
  <c r="V164" i="12" s="1"/>
  <c r="G165" i="12"/>
  <c r="G166" i="12"/>
  <c r="G167" i="12"/>
  <c r="G168" i="12"/>
  <c r="V168" i="12" s="1"/>
  <c r="G169" i="12"/>
  <c r="G170" i="12"/>
  <c r="G171" i="12"/>
  <c r="V171" i="12" s="1"/>
  <c r="G172" i="12"/>
  <c r="G173" i="12"/>
  <c r="G174" i="12"/>
  <c r="G175" i="12"/>
  <c r="G176" i="12"/>
  <c r="V176" i="12"/>
  <c r="G177" i="12"/>
  <c r="G178" i="12"/>
  <c r="R178" i="12" s="1"/>
  <c r="G179" i="12"/>
  <c r="G180" i="12"/>
  <c r="G181" i="12"/>
  <c r="G182" i="12"/>
  <c r="G183" i="12"/>
  <c r="G184" i="12"/>
  <c r="V184" i="12" s="1"/>
  <c r="G185" i="12"/>
  <c r="G186" i="12"/>
  <c r="G187" i="12"/>
  <c r="G188" i="12"/>
  <c r="G189" i="12"/>
  <c r="V189" i="12" s="1"/>
  <c r="G190" i="12"/>
  <c r="G191" i="12"/>
  <c r="G192" i="12"/>
  <c r="G193" i="12"/>
  <c r="G194" i="12"/>
  <c r="G195" i="12"/>
  <c r="G196" i="12"/>
  <c r="G197" i="12"/>
  <c r="R197" i="12" s="1"/>
  <c r="G198" i="12"/>
  <c r="G199" i="12"/>
  <c r="G200" i="12"/>
  <c r="G201" i="12"/>
  <c r="G202" i="12"/>
  <c r="G203" i="12"/>
  <c r="G204" i="12"/>
  <c r="G205" i="12"/>
  <c r="G206" i="12"/>
  <c r="G207" i="12"/>
  <c r="G208" i="12"/>
  <c r="G209" i="12"/>
  <c r="G210" i="12"/>
  <c r="G211" i="12"/>
  <c r="G212" i="12"/>
  <c r="G213" i="12"/>
  <c r="R213" i="12" s="1"/>
  <c r="G214" i="12"/>
  <c r="G215" i="12"/>
  <c r="G216" i="12"/>
  <c r="G217" i="12"/>
  <c r="G218" i="12"/>
  <c r="G219" i="12"/>
  <c r="G220" i="12"/>
  <c r="G221" i="12"/>
  <c r="G222" i="12"/>
  <c r="G223" i="12"/>
  <c r="G224" i="12"/>
  <c r="G225" i="12"/>
  <c r="G226" i="12"/>
  <c r="G227" i="12"/>
  <c r="G228" i="12"/>
  <c r="G229" i="12"/>
  <c r="R229" i="12" s="1"/>
  <c r="G230" i="12"/>
  <c r="G231" i="12"/>
  <c r="G232" i="12"/>
  <c r="G233" i="12"/>
  <c r="G234" i="12"/>
  <c r="G235" i="12"/>
  <c r="G236" i="12"/>
  <c r="G237" i="12"/>
  <c r="G238" i="12"/>
  <c r="G239" i="12"/>
  <c r="G240" i="12"/>
  <c r="G241" i="12"/>
  <c r="G242" i="12"/>
  <c r="G243" i="12"/>
  <c r="G244" i="12"/>
  <c r="G245" i="12"/>
  <c r="R245" i="12" s="1"/>
  <c r="G246" i="12"/>
  <c r="G247" i="12"/>
  <c r="G248" i="12"/>
  <c r="G249" i="12"/>
  <c r="G250" i="12"/>
  <c r="G251" i="12"/>
  <c r="G252" i="12"/>
  <c r="G253" i="12"/>
  <c r="G254" i="12"/>
  <c r="G255" i="12"/>
  <c r="G256" i="12"/>
  <c r="G257" i="12"/>
  <c r="R257" i="12" s="1"/>
  <c r="G258" i="12"/>
  <c r="G259" i="12"/>
  <c r="G260" i="12"/>
  <c r="G261" i="12"/>
  <c r="R261" i="12" s="1"/>
  <c r="G262" i="12"/>
  <c r="G263" i="12"/>
  <c r="G264" i="12"/>
  <c r="G265" i="12"/>
  <c r="G266" i="12"/>
  <c r="G267" i="12"/>
  <c r="G268" i="12"/>
  <c r="G269" i="12"/>
  <c r="G270" i="12"/>
  <c r="G271" i="12"/>
  <c r="G272" i="12"/>
  <c r="G273" i="12"/>
  <c r="R273" i="12" s="1"/>
  <c r="G274" i="12"/>
  <c r="G275" i="12"/>
  <c r="G276" i="12"/>
  <c r="G277" i="12"/>
  <c r="R277" i="12" s="1"/>
  <c r="G278" i="12"/>
  <c r="G279" i="12"/>
  <c r="G280" i="12"/>
  <c r="G281" i="12"/>
  <c r="G282" i="12"/>
  <c r="G283" i="12"/>
  <c r="G284" i="12"/>
  <c r="G285" i="12"/>
  <c r="G286" i="12"/>
  <c r="G287" i="12"/>
  <c r="G288" i="12"/>
  <c r="G289" i="12"/>
  <c r="R289" i="12" s="1"/>
  <c r="G290" i="12"/>
  <c r="G291" i="12"/>
  <c r="G292" i="12"/>
  <c r="G293" i="12"/>
  <c r="R293" i="12" s="1"/>
  <c r="G294" i="12"/>
  <c r="G295" i="12"/>
  <c r="G296" i="12"/>
  <c r="G297" i="12"/>
  <c r="G298" i="12"/>
  <c r="G299" i="12"/>
  <c r="G300" i="12"/>
  <c r="G301" i="12"/>
  <c r="G302" i="12"/>
  <c r="G303" i="12"/>
  <c r="G304" i="12"/>
  <c r="G305" i="12"/>
  <c r="R305" i="12" s="1"/>
  <c r="G306" i="12"/>
  <c r="G307" i="12"/>
  <c r="G308" i="12"/>
  <c r="G309" i="12"/>
  <c r="R309" i="12" s="1"/>
  <c r="G310" i="12"/>
  <c r="G311" i="12"/>
  <c r="G312" i="12"/>
  <c r="G313" i="12"/>
  <c r="G314" i="12"/>
  <c r="G315" i="12"/>
  <c r="G316" i="12"/>
  <c r="G317" i="12"/>
  <c r="G318" i="12"/>
  <c r="G319" i="12"/>
  <c r="G320" i="12"/>
  <c r="G321" i="12"/>
  <c r="G322" i="12"/>
  <c r="G323" i="12"/>
  <c r="G324" i="12"/>
  <c r="G325" i="12"/>
  <c r="R325" i="12" s="1"/>
  <c r="G326" i="12"/>
  <c r="G327" i="12"/>
  <c r="G328" i="12"/>
  <c r="G329" i="12"/>
  <c r="G330" i="12"/>
  <c r="G331" i="12"/>
  <c r="G332" i="12"/>
  <c r="G333" i="12"/>
  <c r="G334" i="12"/>
  <c r="G335" i="12"/>
  <c r="G336" i="12"/>
  <c r="G337" i="12"/>
  <c r="G338" i="12"/>
  <c r="G339" i="12"/>
  <c r="G340" i="12"/>
  <c r="G341" i="12"/>
  <c r="R341" i="12" s="1"/>
  <c r="G342" i="12"/>
  <c r="G343" i="12"/>
  <c r="G344" i="12"/>
  <c r="G345" i="12"/>
  <c r="G346" i="12"/>
  <c r="G347" i="12"/>
  <c r="G348" i="12"/>
  <c r="G349" i="12"/>
  <c r="G350" i="12"/>
  <c r="G351" i="12"/>
  <c r="G352" i="12"/>
  <c r="G353" i="12"/>
  <c r="G354" i="12"/>
  <c r="G355" i="12"/>
  <c r="G356" i="12"/>
  <c r="G357" i="12"/>
  <c r="R357" i="12" s="1"/>
  <c r="G358" i="12"/>
  <c r="G359" i="12"/>
  <c r="G360" i="12"/>
  <c r="G361" i="12"/>
  <c r="G362" i="12"/>
  <c r="G363" i="12"/>
  <c r="G364" i="12"/>
  <c r="G365" i="12"/>
  <c r="G366" i="12"/>
  <c r="G367" i="12"/>
  <c r="G368" i="12"/>
  <c r="G369" i="12"/>
  <c r="G370" i="12"/>
  <c r="G371" i="12"/>
  <c r="G372" i="12"/>
  <c r="G373" i="12"/>
  <c r="R373" i="12" s="1"/>
  <c r="G374" i="12"/>
  <c r="G375" i="12"/>
  <c r="G376" i="12"/>
  <c r="G377" i="12"/>
  <c r="G378" i="12"/>
  <c r="G379" i="12"/>
  <c r="G380" i="12"/>
  <c r="G381" i="12"/>
  <c r="G382" i="12"/>
  <c r="G383" i="12"/>
  <c r="G384" i="12"/>
  <c r="G385" i="12"/>
  <c r="R385" i="12" s="1"/>
  <c r="G386" i="12"/>
  <c r="G387" i="12"/>
  <c r="G388" i="12"/>
  <c r="G389" i="12"/>
  <c r="R389" i="12" s="1"/>
  <c r="G390" i="12"/>
  <c r="G391" i="12"/>
  <c r="G392" i="12"/>
  <c r="G393" i="12"/>
  <c r="G394" i="12"/>
  <c r="G395" i="12"/>
  <c r="G396" i="12"/>
  <c r="G397" i="12"/>
  <c r="G398" i="12"/>
  <c r="G399" i="12"/>
  <c r="G400" i="12"/>
  <c r="G401" i="12"/>
  <c r="R401" i="12" s="1"/>
  <c r="G402" i="12"/>
  <c r="G403" i="12"/>
  <c r="G404" i="12"/>
  <c r="G405" i="12"/>
  <c r="R405" i="12" s="1"/>
  <c r="G406" i="12"/>
  <c r="G407" i="12"/>
  <c r="G408" i="12"/>
  <c r="G409" i="12"/>
  <c r="G410" i="12"/>
  <c r="G411" i="12"/>
  <c r="G412" i="12"/>
  <c r="G413" i="12"/>
  <c r="G414" i="12"/>
  <c r="G415" i="12"/>
  <c r="G416" i="12"/>
  <c r="G417" i="12"/>
  <c r="R417" i="12" s="1"/>
  <c r="G418" i="12"/>
  <c r="G419" i="12"/>
  <c r="G420" i="12"/>
  <c r="G421" i="12"/>
  <c r="R421" i="12" s="1"/>
  <c r="G422" i="12"/>
  <c r="G423" i="12"/>
  <c r="G424" i="12"/>
  <c r="G425" i="12"/>
  <c r="G426" i="12"/>
  <c r="G427" i="12"/>
  <c r="G428" i="12"/>
  <c r="G429" i="12"/>
  <c r="G430" i="12"/>
  <c r="G431" i="12"/>
  <c r="G432" i="12"/>
  <c r="G433" i="12"/>
  <c r="R433" i="12" s="1"/>
  <c r="G434" i="12"/>
  <c r="G435" i="12"/>
  <c r="G436" i="12"/>
  <c r="G437" i="12"/>
  <c r="R437" i="12" s="1"/>
  <c r="G438" i="12"/>
  <c r="G439" i="12"/>
  <c r="G440" i="12"/>
  <c r="G441" i="12"/>
  <c r="G442" i="12"/>
  <c r="G443" i="12"/>
  <c r="G444" i="12"/>
  <c r="G445" i="12"/>
  <c r="G446" i="12"/>
  <c r="G447" i="12"/>
  <c r="G448" i="12"/>
  <c r="G449" i="12"/>
  <c r="G450" i="12"/>
  <c r="G451" i="12"/>
  <c r="G452" i="12"/>
  <c r="G453" i="12"/>
  <c r="R453" i="12" s="1"/>
  <c r="G454" i="12"/>
  <c r="G455" i="12"/>
  <c r="G456" i="12"/>
  <c r="G457" i="12"/>
  <c r="G458" i="12"/>
  <c r="G459" i="12"/>
  <c r="G460" i="12"/>
  <c r="G461" i="12"/>
  <c r="G462" i="12"/>
  <c r="G463" i="12"/>
  <c r="G464" i="12"/>
  <c r="G465" i="12"/>
  <c r="G466" i="12"/>
  <c r="G467" i="12"/>
  <c r="G468" i="12"/>
  <c r="G469" i="12"/>
  <c r="R469" i="12" s="1"/>
  <c r="G470" i="12"/>
  <c r="G471" i="12"/>
  <c r="G472" i="12"/>
  <c r="G473" i="12"/>
  <c r="G474" i="12"/>
  <c r="G475" i="12"/>
  <c r="G476" i="12"/>
  <c r="G477" i="12"/>
  <c r="G478" i="12"/>
  <c r="G479" i="12"/>
  <c r="G480" i="12"/>
  <c r="G481" i="12"/>
  <c r="G482" i="12"/>
  <c r="G483" i="12"/>
  <c r="G484" i="12"/>
  <c r="G485" i="12"/>
  <c r="R485" i="12" s="1"/>
  <c r="G486" i="12"/>
  <c r="G487" i="12"/>
  <c r="G488" i="12"/>
  <c r="G489" i="12"/>
  <c r="G490" i="12"/>
  <c r="G491" i="12"/>
  <c r="G492" i="12"/>
  <c r="G493" i="12"/>
  <c r="G494" i="12"/>
  <c r="G495" i="12"/>
  <c r="G496" i="12"/>
  <c r="G497" i="12"/>
  <c r="G498" i="12"/>
  <c r="G499" i="12"/>
  <c r="G500" i="12"/>
  <c r="F8" i="12"/>
  <c r="F9" i="12"/>
  <c r="F10" i="12"/>
  <c r="F11" i="12"/>
  <c r="F12" i="12"/>
  <c r="F13" i="12"/>
  <c r="F14" i="12"/>
  <c r="F15" i="12"/>
  <c r="F16" i="12"/>
  <c r="F17" i="12"/>
  <c r="F18" i="12"/>
  <c r="F19" i="12"/>
  <c r="F20" i="12"/>
  <c r="F21" i="12"/>
  <c r="F22" i="12"/>
  <c r="F23" i="12"/>
  <c r="F24" i="12"/>
  <c r="F25" i="12"/>
  <c r="F26" i="12"/>
  <c r="F27" i="12"/>
  <c r="F28" i="12"/>
  <c r="F29" i="12"/>
  <c r="F30" i="12"/>
  <c r="F31" i="12"/>
  <c r="F32" i="12"/>
  <c r="F33" i="12"/>
  <c r="F34" i="12"/>
  <c r="F35" i="12"/>
  <c r="F36" i="12"/>
  <c r="F37" i="12"/>
  <c r="F38" i="12"/>
  <c r="F39" i="12"/>
  <c r="F40" i="12"/>
  <c r="F41" i="12"/>
  <c r="F42" i="12"/>
  <c r="F43" i="12"/>
  <c r="F44" i="12"/>
  <c r="F45" i="12"/>
  <c r="F46" i="12"/>
  <c r="F47" i="12"/>
  <c r="F48" i="12"/>
  <c r="F49" i="12"/>
  <c r="F50" i="12"/>
  <c r="F51" i="12"/>
  <c r="F52" i="12"/>
  <c r="F53" i="12"/>
  <c r="F54" i="12"/>
  <c r="F55" i="12"/>
  <c r="F56" i="12"/>
  <c r="F57" i="12"/>
  <c r="F58" i="12"/>
  <c r="F59" i="12"/>
  <c r="F60" i="12"/>
  <c r="F61" i="12"/>
  <c r="F62" i="12"/>
  <c r="F63" i="12"/>
  <c r="F64" i="12"/>
  <c r="F65" i="12"/>
  <c r="F66" i="12"/>
  <c r="F67" i="12"/>
  <c r="F68" i="12"/>
  <c r="F69" i="12"/>
  <c r="F70" i="12"/>
  <c r="F71" i="12"/>
  <c r="F72" i="12"/>
  <c r="F73" i="12"/>
  <c r="F74" i="12"/>
  <c r="F75" i="12"/>
  <c r="F76" i="12"/>
  <c r="F77" i="12"/>
  <c r="F78" i="12"/>
  <c r="F79" i="12"/>
  <c r="F80" i="12"/>
  <c r="F81" i="12"/>
  <c r="F82" i="12"/>
  <c r="F83" i="12"/>
  <c r="F84" i="12"/>
  <c r="F85" i="12"/>
  <c r="F86" i="12"/>
  <c r="F87" i="12"/>
  <c r="F88" i="12"/>
  <c r="F89" i="12"/>
  <c r="F90" i="12"/>
  <c r="F91" i="12"/>
  <c r="F92" i="12"/>
  <c r="F93" i="12"/>
  <c r="F94" i="12"/>
  <c r="F95" i="12"/>
  <c r="F96" i="12"/>
  <c r="F97" i="12"/>
  <c r="F98" i="12"/>
  <c r="F99" i="12"/>
  <c r="F100" i="12"/>
  <c r="F101" i="12"/>
  <c r="F102" i="12"/>
  <c r="F103" i="12"/>
  <c r="F104" i="12"/>
  <c r="F105" i="12"/>
  <c r="F106" i="12"/>
  <c r="F107" i="12"/>
  <c r="F108" i="12"/>
  <c r="F109" i="12"/>
  <c r="F110" i="12"/>
  <c r="F111" i="12"/>
  <c r="F112" i="12"/>
  <c r="F113" i="12"/>
  <c r="F114" i="12"/>
  <c r="F115" i="12"/>
  <c r="F116" i="12"/>
  <c r="F117" i="12"/>
  <c r="F118" i="12"/>
  <c r="F119" i="12"/>
  <c r="F120" i="12"/>
  <c r="F121" i="12"/>
  <c r="F122" i="12"/>
  <c r="F123" i="12"/>
  <c r="F124" i="12"/>
  <c r="F125" i="12"/>
  <c r="F126" i="12"/>
  <c r="F127" i="12"/>
  <c r="F128" i="12"/>
  <c r="F129" i="12"/>
  <c r="F130" i="12"/>
  <c r="F131" i="12"/>
  <c r="F132" i="12"/>
  <c r="F133" i="12"/>
  <c r="F134" i="12"/>
  <c r="F135" i="12"/>
  <c r="F136" i="12"/>
  <c r="F137" i="12"/>
  <c r="F138" i="12"/>
  <c r="F139" i="12"/>
  <c r="F140" i="12"/>
  <c r="F141" i="12"/>
  <c r="F142" i="12"/>
  <c r="F143" i="12"/>
  <c r="F144" i="12"/>
  <c r="F145" i="12"/>
  <c r="F146" i="12"/>
  <c r="F147" i="12"/>
  <c r="F148" i="12"/>
  <c r="F149" i="12"/>
  <c r="F150" i="12"/>
  <c r="F151" i="12"/>
  <c r="F152" i="12"/>
  <c r="F153" i="12"/>
  <c r="F154" i="12"/>
  <c r="F155" i="12"/>
  <c r="F156" i="12"/>
  <c r="F157" i="12"/>
  <c r="F158" i="12"/>
  <c r="F159" i="12"/>
  <c r="F160" i="12"/>
  <c r="F161" i="12"/>
  <c r="F162" i="12"/>
  <c r="F163" i="12"/>
  <c r="F164" i="12"/>
  <c r="F165" i="12"/>
  <c r="F166" i="12"/>
  <c r="F167" i="12"/>
  <c r="F168" i="12"/>
  <c r="F169" i="12"/>
  <c r="F170" i="12"/>
  <c r="F171" i="12"/>
  <c r="F172" i="12"/>
  <c r="F173" i="12"/>
  <c r="F174" i="12"/>
  <c r="F175" i="12"/>
  <c r="F176" i="12"/>
  <c r="F177" i="12"/>
  <c r="F178" i="12"/>
  <c r="F179" i="12"/>
  <c r="F180" i="12"/>
  <c r="F181" i="12"/>
  <c r="F182" i="12"/>
  <c r="F183" i="12"/>
  <c r="F184" i="12"/>
  <c r="F185" i="12"/>
  <c r="F186" i="12"/>
  <c r="F187" i="12"/>
  <c r="F188" i="12"/>
  <c r="F189" i="12"/>
  <c r="F190" i="12"/>
  <c r="F191" i="12"/>
  <c r="F192" i="12"/>
  <c r="F193" i="12"/>
  <c r="F194" i="12"/>
  <c r="F195" i="12"/>
  <c r="F196" i="12"/>
  <c r="F197" i="12"/>
  <c r="F198" i="12"/>
  <c r="F199" i="12"/>
  <c r="F200" i="12"/>
  <c r="F201" i="12"/>
  <c r="F202" i="12"/>
  <c r="F203" i="12"/>
  <c r="F204" i="12"/>
  <c r="F205" i="12"/>
  <c r="F206" i="12"/>
  <c r="F207" i="12"/>
  <c r="F208" i="12"/>
  <c r="F209" i="12"/>
  <c r="F210" i="12"/>
  <c r="F211" i="12"/>
  <c r="F212" i="12"/>
  <c r="F213" i="12"/>
  <c r="F214" i="12"/>
  <c r="F215" i="12"/>
  <c r="F216" i="12"/>
  <c r="F217" i="12"/>
  <c r="F218" i="12"/>
  <c r="F219" i="12"/>
  <c r="F220" i="12"/>
  <c r="F221" i="12"/>
  <c r="F222" i="12"/>
  <c r="F223" i="12"/>
  <c r="F224" i="12"/>
  <c r="F225" i="12"/>
  <c r="F226" i="12"/>
  <c r="F227" i="12"/>
  <c r="F228" i="12"/>
  <c r="F229" i="12"/>
  <c r="F230" i="12"/>
  <c r="F231" i="12"/>
  <c r="F232" i="12"/>
  <c r="F233" i="12"/>
  <c r="F234" i="12"/>
  <c r="F235" i="12"/>
  <c r="F236" i="12"/>
  <c r="F237" i="12"/>
  <c r="F238" i="12"/>
  <c r="F239" i="12"/>
  <c r="F240" i="12"/>
  <c r="F241" i="12"/>
  <c r="F242" i="12"/>
  <c r="F243" i="12"/>
  <c r="F244" i="12"/>
  <c r="F245" i="12"/>
  <c r="F246" i="12"/>
  <c r="F247" i="12"/>
  <c r="F248" i="12"/>
  <c r="F249" i="12"/>
  <c r="F250" i="12"/>
  <c r="F251" i="12"/>
  <c r="F252" i="12"/>
  <c r="F253" i="12"/>
  <c r="F254" i="12"/>
  <c r="F255" i="12"/>
  <c r="F256" i="12"/>
  <c r="F257" i="12"/>
  <c r="F258" i="12"/>
  <c r="F259" i="12"/>
  <c r="F260" i="12"/>
  <c r="F261" i="12"/>
  <c r="F262" i="12"/>
  <c r="F263" i="12"/>
  <c r="F264" i="12"/>
  <c r="F265" i="12"/>
  <c r="F266" i="12"/>
  <c r="F267" i="12"/>
  <c r="F268" i="12"/>
  <c r="F269" i="12"/>
  <c r="F270" i="12"/>
  <c r="F271" i="12"/>
  <c r="F272" i="12"/>
  <c r="F273" i="12"/>
  <c r="F274" i="12"/>
  <c r="F275" i="12"/>
  <c r="F276" i="12"/>
  <c r="F277" i="12"/>
  <c r="F278" i="12"/>
  <c r="F279" i="12"/>
  <c r="F280" i="12"/>
  <c r="F281" i="12"/>
  <c r="F282" i="12"/>
  <c r="F283" i="12"/>
  <c r="F284" i="12"/>
  <c r="F285" i="12"/>
  <c r="F286" i="12"/>
  <c r="F287" i="12"/>
  <c r="F288" i="12"/>
  <c r="F289" i="12"/>
  <c r="F290" i="12"/>
  <c r="F291" i="12"/>
  <c r="F292" i="12"/>
  <c r="F293" i="12"/>
  <c r="F294" i="12"/>
  <c r="F295" i="12"/>
  <c r="F296" i="12"/>
  <c r="F297" i="12"/>
  <c r="F298" i="12"/>
  <c r="F299" i="12"/>
  <c r="F300" i="12"/>
  <c r="F301" i="12"/>
  <c r="F302" i="12"/>
  <c r="F303" i="12"/>
  <c r="F304" i="12"/>
  <c r="F305" i="12"/>
  <c r="F306" i="12"/>
  <c r="F307" i="12"/>
  <c r="F308" i="12"/>
  <c r="F309" i="12"/>
  <c r="F310" i="12"/>
  <c r="F311" i="12"/>
  <c r="F312" i="12"/>
  <c r="F313" i="12"/>
  <c r="F314" i="12"/>
  <c r="F315" i="12"/>
  <c r="F316" i="12"/>
  <c r="F317" i="12"/>
  <c r="F318" i="12"/>
  <c r="F319" i="12"/>
  <c r="F320" i="12"/>
  <c r="F321" i="12"/>
  <c r="F322" i="12"/>
  <c r="F323" i="12"/>
  <c r="F324" i="12"/>
  <c r="F325" i="12"/>
  <c r="F326" i="12"/>
  <c r="F327" i="12"/>
  <c r="F328" i="12"/>
  <c r="F329" i="12"/>
  <c r="F330" i="12"/>
  <c r="F331" i="12"/>
  <c r="F332" i="12"/>
  <c r="F333" i="12"/>
  <c r="F334" i="12"/>
  <c r="F335" i="12"/>
  <c r="F336" i="12"/>
  <c r="F337" i="12"/>
  <c r="F338" i="12"/>
  <c r="F339" i="12"/>
  <c r="F340" i="12"/>
  <c r="F341" i="12"/>
  <c r="F342" i="12"/>
  <c r="F343" i="12"/>
  <c r="F344" i="12"/>
  <c r="F345" i="12"/>
  <c r="F346" i="12"/>
  <c r="F347" i="12"/>
  <c r="F348" i="12"/>
  <c r="F349" i="12"/>
  <c r="F350" i="12"/>
  <c r="F351" i="12"/>
  <c r="F352" i="12"/>
  <c r="F353" i="12"/>
  <c r="F354" i="12"/>
  <c r="F355" i="12"/>
  <c r="F356" i="12"/>
  <c r="F357" i="12"/>
  <c r="F358" i="12"/>
  <c r="F359" i="12"/>
  <c r="F360" i="12"/>
  <c r="F361" i="12"/>
  <c r="F362" i="12"/>
  <c r="F363" i="12"/>
  <c r="F364" i="12"/>
  <c r="F365" i="12"/>
  <c r="F366" i="12"/>
  <c r="F367" i="12"/>
  <c r="F368" i="12"/>
  <c r="F369" i="12"/>
  <c r="F370" i="12"/>
  <c r="F371" i="12"/>
  <c r="F372" i="12"/>
  <c r="F373" i="12"/>
  <c r="F374" i="12"/>
  <c r="F375" i="12"/>
  <c r="F376" i="12"/>
  <c r="F377" i="12"/>
  <c r="F378" i="12"/>
  <c r="F379" i="12"/>
  <c r="F380" i="12"/>
  <c r="F381" i="12"/>
  <c r="F382" i="12"/>
  <c r="F383" i="12"/>
  <c r="F384" i="12"/>
  <c r="F385" i="12"/>
  <c r="F386" i="12"/>
  <c r="F387" i="12"/>
  <c r="F388" i="12"/>
  <c r="F389" i="12"/>
  <c r="F390" i="12"/>
  <c r="F391" i="12"/>
  <c r="F392" i="12"/>
  <c r="F393" i="12"/>
  <c r="F394" i="12"/>
  <c r="F395" i="12"/>
  <c r="F396" i="12"/>
  <c r="F397" i="12"/>
  <c r="F398" i="12"/>
  <c r="F399" i="12"/>
  <c r="F400" i="12"/>
  <c r="F401" i="12"/>
  <c r="F402" i="12"/>
  <c r="F403" i="12"/>
  <c r="F404" i="12"/>
  <c r="F405" i="12"/>
  <c r="F406" i="12"/>
  <c r="F407" i="12"/>
  <c r="F408" i="12"/>
  <c r="F409" i="12"/>
  <c r="F410" i="12"/>
  <c r="F411" i="12"/>
  <c r="F412" i="12"/>
  <c r="F413" i="12"/>
  <c r="F414" i="12"/>
  <c r="F415" i="12"/>
  <c r="F416" i="12"/>
  <c r="F417" i="12"/>
  <c r="F418" i="12"/>
  <c r="F419" i="12"/>
  <c r="F420" i="12"/>
  <c r="F421" i="12"/>
  <c r="F422" i="12"/>
  <c r="F423" i="12"/>
  <c r="F424" i="12"/>
  <c r="F425" i="12"/>
  <c r="F426" i="12"/>
  <c r="F427" i="12"/>
  <c r="F428" i="12"/>
  <c r="F429" i="12"/>
  <c r="F430" i="12"/>
  <c r="F431" i="12"/>
  <c r="F432" i="12"/>
  <c r="F433" i="12"/>
  <c r="F434" i="12"/>
  <c r="F435" i="12"/>
  <c r="F436" i="12"/>
  <c r="F437" i="12"/>
  <c r="F438" i="12"/>
  <c r="F439" i="12"/>
  <c r="F440" i="12"/>
  <c r="F441" i="12"/>
  <c r="F442" i="12"/>
  <c r="F443" i="12"/>
  <c r="F444" i="12"/>
  <c r="F445" i="12"/>
  <c r="F446" i="12"/>
  <c r="F447" i="12"/>
  <c r="F448" i="12"/>
  <c r="F449" i="12"/>
  <c r="F450" i="12"/>
  <c r="F451" i="12"/>
  <c r="F452" i="12"/>
  <c r="F453" i="12"/>
  <c r="F454" i="12"/>
  <c r="F455" i="12"/>
  <c r="F456" i="12"/>
  <c r="F457" i="12"/>
  <c r="F458" i="12"/>
  <c r="F459" i="12"/>
  <c r="F460" i="12"/>
  <c r="F461" i="12"/>
  <c r="F462" i="12"/>
  <c r="F463" i="12"/>
  <c r="F464" i="12"/>
  <c r="F465" i="12"/>
  <c r="F466" i="12"/>
  <c r="F467" i="12"/>
  <c r="F468" i="12"/>
  <c r="F469" i="12"/>
  <c r="F470" i="12"/>
  <c r="F471" i="12"/>
  <c r="F472" i="12"/>
  <c r="F473" i="12"/>
  <c r="F474" i="12"/>
  <c r="F475" i="12"/>
  <c r="F476" i="12"/>
  <c r="F477" i="12"/>
  <c r="F478" i="12"/>
  <c r="F479" i="12"/>
  <c r="F480" i="12"/>
  <c r="F481" i="12"/>
  <c r="F482" i="12"/>
  <c r="F483" i="12"/>
  <c r="F484" i="12"/>
  <c r="F485" i="12"/>
  <c r="F486" i="12"/>
  <c r="F487" i="12"/>
  <c r="F488" i="12"/>
  <c r="F489" i="12"/>
  <c r="F490" i="12"/>
  <c r="F491" i="12"/>
  <c r="F492" i="12"/>
  <c r="F493" i="12"/>
  <c r="F494" i="12"/>
  <c r="F495" i="12"/>
  <c r="F496" i="12"/>
  <c r="F497" i="12"/>
  <c r="F498" i="12"/>
  <c r="F499" i="12"/>
  <c r="F500" i="12"/>
  <c r="E8" i="12"/>
  <c r="E9" i="12"/>
  <c r="E10" i="12"/>
  <c r="E11" i="12"/>
  <c r="E12" i="12"/>
  <c r="E13" i="12"/>
  <c r="E14" i="12"/>
  <c r="E15" i="12"/>
  <c r="E16" i="12"/>
  <c r="E17" i="12"/>
  <c r="E18" i="12"/>
  <c r="E19" i="12"/>
  <c r="E20" i="12"/>
  <c r="E21" i="12"/>
  <c r="E22" i="12"/>
  <c r="E23" i="12"/>
  <c r="E24" i="12"/>
  <c r="E25" i="12"/>
  <c r="E26" i="12"/>
  <c r="E27" i="12"/>
  <c r="E28" i="12"/>
  <c r="E29" i="12"/>
  <c r="E30" i="12"/>
  <c r="E31" i="12"/>
  <c r="E32" i="12"/>
  <c r="E33" i="12"/>
  <c r="E34" i="12"/>
  <c r="E35" i="12"/>
  <c r="E36" i="12"/>
  <c r="E37" i="12"/>
  <c r="E38" i="12"/>
  <c r="E39" i="12"/>
  <c r="E40" i="12"/>
  <c r="E41" i="12"/>
  <c r="E42" i="12"/>
  <c r="E43" i="12"/>
  <c r="E44" i="12"/>
  <c r="E45" i="12"/>
  <c r="E46" i="12"/>
  <c r="E47" i="12"/>
  <c r="E48" i="12"/>
  <c r="E49" i="12"/>
  <c r="E50" i="12"/>
  <c r="E51" i="12"/>
  <c r="E52" i="12"/>
  <c r="E53" i="12"/>
  <c r="E54" i="12"/>
  <c r="E55" i="12"/>
  <c r="E56" i="12"/>
  <c r="E57" i="12"/>
  <c r="E58" i="12"/>
  <c r="E59" i="12"/>
  <c r="E60" i="12"/>
  <c r="E61" i="12"/>
  <c r="E62" i="12"/>
  <c r="E63" i="12"/>
  <c r="E64" i="12"/>
  <c r="E65" i="12"/>
  <c r="E66" i="12"/>
  <c r="E67" i="12"/>
  <c r="E68" i="12"/>
  <c r="E69" i="12"/>
  <c r="E70" i="12"/>
  <c r="E71" i="12"/>
  <c r="E72" i="12"/>
  <c r="E73" i="12"/>
  <c r="E74" i="12"/>
  <c r="E75" i="12"/>
  <c r="E76" i="12"/>
  <c r="E77" i="12"/>
  <c r="E78" i="12"/>
  <c r="E79" i="12"/>
  <c r="E80" i="12"/>
  <c r="E81" i="12"/>
  <c r="E82" i="12"/>
  <c r="E83" i="12"/>
  <c r="E84" i="12"/>
  <c r="E85" i="12"/>
  <c r="E86" i="12"/>
  <c r="E87" i="12"/>
  <c r="E88" i="12"/>
  <c r="E89" i="12"/>
  <c r="E90" i="12"/>
  <c r="E91" i="12"/>
  <c r="E92" i="12"/>
  <c r="E93" i="12"/>
  <c r="E94" i="12"/>
  <c r="E95" i="12"/>
  <c r="E96" i="12"/>
  <c r="E97" i="12"/>
  <c r="E98" i="12"/>
  <c r="E99" i="12"/>
  <c r="E100" i="12"/>
  <c r="E101" i="12"/>
  <c r="E102" i="12"/>
  <c r="E103" i="12"/>
  <c r="E104" i="12"/>
  <c r="E105" i="12"/>
  <c r="E106" i="12"/>
  <c r="E107" i="12"/>
  <c r="E108" i="12"/>
  <c r="E109" i="12"/>
  <c r="E110" i="12"/>
  <c r="E111" i="12"/>
  <c r="E112" i="12"/>
  <c r="E113" i="12"/>
  <c r="E114" i="12"/>
  <c r="E115" i="12"/>
  <c r="E116" i="12"/>
  <c r="E117" i="12"/>
  <c r="E118" i="12"/>
  <c r="E119" i="12"/>
  <c r="E120" i="12"/>
  <c r="E121" i="12"/>
  <c r="E122" i="12"/>
  <c r="E123" i="12"/>
  <c r="E124" i="12"/>
  <c r="E125" i="12"/>
  <c r="E126" i="12"/>
  <c r="E127" i="12"/>
  <c r="E128" i="12"/>
  <c r="E129" i="12"/>
  <c r="E130" i="12"/>
  <c r="E131" i="12"/>
  <c r="E132" i="12"/>
  <c r="E133" i="12"/>
  <c r="E134" i="12"/>
  <c r="E135" i="12"/>
  <c r="E136" i="12"/>
  <c r="E137" i="12"/>
  <c r="E138" i="12"/>
  <c r="E139" i="12"/>
  <c r="E140" i="12"/>
  <c r="E141" i="12"/>
  <c r="E142" i="12"/>
  <c r="E143" i="12"/>
  <c r="E144" i="12"/>
  <c r="E145" i="12"/>
  <c r="E146" i="12"/>
  <c r="E147" i="12"/>
  <c r="E148" i="12"/>
  <c r="E149" i="12"/>
  <c r="E150" i="12"/>
  <c r="E151" i="12"/>
  <c r="E152" i="12"/>
  <c r="E153" i="12"/>
  <c r="E154" i="12"/>
  <c r="E155" i="12"/>
  <c r="E156" i="12"/>
  <c r="E157" i="12"/>
  <c r="E158" i="12"/>
  <c r="E159" i="12"/>
  <c r="E160" i="12"/>
  <c r="E161" i="12"/>
  <c r="E162" i="12"/>
  <c r="E163" i="12"/>
  <c r="E164" i="12"/>
  <c r="E165" i="12"/>
  <c r="E166" i="12"/>
  <c r="E167" i="12"/>
  <c r="E168" i="12"/>
  <c r="E169" i="12"/>
  <c r="E170" i="12"/>
  <c r="E171" i="12"/>
  <c r="E172" i="12"/>
  <c r="E173" i="12"/>
  <c r="E174" i="12"/>
  <c r="E175" i="12"/>
  <c r="E176" i="12"/>
  <c r="E177" i="12"/>
  <c r="E178" i="12"/>
  <c r="E179" i="12"/>
  <c r="E180" i="12"/>
  <c r="E181" i="12"/>
  <c r="E182" i="12"/>
  <c r="E183" i="12"/>
  <c r="E184" i="12"/>
  <c r="E185" i="12"/>
  <c r="E186" i="12"/>
  <c r="E187" i="12"/>
  <c r="E188" i="12"/>
  <c r="E189" i="12"/>
  <c r="E190" i="12"/>
  <c r="E191" i="12"/>
  <c r="E192" i="12"/>
  <c r="E193" i="12"/>
  <c r="E194" i="12"/>
  <c r="E195" i="12"/>
  <c r="E196" i="12"/>
  <c r="E197" i="12"/>
  <c r="E198" i="12"/>
  <c r="E199" i="12"/>
  <c r="E200" i="12"/>
  <c r="E201" i="12"/>
  <c r="E202" i="12"/>
  <c r="E203" i="12"/>
  <c r="E204" i="12"/>
  <c r="E205" i="12"/>
  <c r="E206" i="12"/>
  <c r="E207" i="12"/>
  <c r="E208" i="12"/>
  <c r="E209" i="12"/>
  <c r="E210" i="12"/>
  <c r="E211" i="12"/>
  <c r="E212" i="12"/>
  <c r="E213" i="12"/>
  <c r="E214" i="12"/>
  <c r="E215" i="12"/>
  <c r="E216" i="12"/>
  <c r="E217" i="12"/>
  <c r="E218" i="12"/>
  <c r="E219" i="12"/>
  <c r="E220" i="12"/>
  <c r="E221" i="12"/>
  <c r="E222" i="12"/>
  <c r="E223" i="12"/>
  <c r="E224" i="12"/>
  <c r="E225" i="12"/>
  <c r="E226" i="12"/>
  <c r="E227" i="12"/>
  <c r="E228" i="12"/>
  <c r="E229" i="12"/>
  <c r="E230" i="12"/>
  <c r="E231" i="12"/>
  <c r="E232" i="12"/>
  <c r="E233" i="12"/>
  <c r="E234" i="12"/>
  <c r="E235" i="12"/>
  <c r="E236" i="12"/>
  <c r="E237" i="12"/>
  <c r="E238" i="12"/>
  <c r="E239" i="12"/>
  <c r="E240" i="12"/>
  <c r="E241" i="12"/>
  <c r="E242" i="12"/>
  <c r="E243" i="12"/>
  <c r="E244" i="12"/>
  <c r="E245" i="12"/>
  <c r="E246" i="12"/>
  <c r="E247" i="12"/>
  <c r="E248" i="12"/>
  <c r="E249" i="12"/>
  <c r="E250" i="12"/>
  <c r="E251" i="12"/>
  <c r="E252" i="12"/>
  <c r="E253" i="12"/>
  <c r="E254" i="12"/>
  <c r="E255" i="12"/>
  <c r="E256" i="12"/>
  <c r="E257" i="12"/>
  <c r="E258" i="12"/>
  <c r="E259" i="12"/>
  <c r="E260" i="12"/>
  <c r="E261" i="12"/>
  <c r="E262" i="12"/>
  <c r="E263" i="12"/>
  <c r="E264" i="12"/>
  <c r="E265" i="12"/>
  <c r="E266" i="12"/>
  <c r="E267" i="12"/>
  <c r="E268" i="12"/>
  <c r="E269" i="12"/>
  <c r="E270" i="12"/>
  <c r="E271" i="12"/>
  <c r="E272" i="12"/>
  <c r="E273" i="12"/>
  <c r="E274" i="12"/>
  <c r="E275" i="12"/>
  <c r="E276" i="12"/>
  <c r="E277" i="12"/>
  <c r="E278" i="12"/>
  <c r="E279" i="12"/>
  <c r="E280" i="12"/>
  <c r="E281" i="12"/>
  <c r="E282" i="12"/>
  <c r="E283" i="12"/>
  <c r="E284" i="12"/>
  <c r="E285" i="12"/>
  <c r="E286" i="12"/>
  <c r="E287" i="12"/>
  <c r="E288" i="12"/>
  <c r="E289" i="12"/>
  <c r="E290" i="12"/>
  <c r="E291" i="12"/>
  <c r="E292" i="12"/>
  <c r="E293" i="12"/>
  <c r="E294" i="12"/>
  <c r="E295" i="12"/>
  <c r="E296" i="12"/>
  <c r="E297" i="12"/>
  <c r="E298" i="12"/>
  <c r="E299" i="12"/>
  <c r="E300" i="12"/>
  <c r="E301" i="12"/>
  <c r="E302" i="12"/>
  <c r="E303" i="12"/>
  <c r="E304" i="12"/>
  <c r="E305" i="12"/>
  <c r="E306" i="12"/>
  <c r="E307" i="12"/>
  <c r="E308" i="12"/>
  <c r="E309" i="12"/>
  <c r="E310" i="12"/>
  <c r="E311" i="12"/>
  <c r="E312" i="12"/>
  <c r="E313" i="12"/>
  <c r="E314" i="12"/>
  <c r="E315" i="12"/>
  <c r="E316" i="12"/>
  <c r="E317" i="12"/>
  <c r="E318" i="12"/>
  <c r="E319" i="12"/>
  <c r="E320" i="12"/>
  <c r="E321" i="12"/>
  <c r="E322" i="12"/>
  <c r="E323" i="12"/>
  <c r="E324" i="12"/>
  <c r="E325" i="12"/>
  <c r="E326" i="12"/>
  <c r="E327" i="12"/>
  <c r="E328" i="12"/>
  <c r="E329" i="12"/>
  <c r="E330" i="12"/>
  <c r="E331" i="12"/>
  <c r="E332" i="12"/>
  <c r="E333" i="12"/>
  <c r="E334" i="12"/>
  <c r="E335" i="12"/>
  <c r="E336" i="12"/>
  <c r="E337" i="12"/>
  <c r="E338" i="12"/>
  <c r="E339" i="12"/>
  <c r="E340" i="12"/>
  <c r="E341" i="12"/>
  <c r="E342" i="12"/>
  <c r="E343" i="12"/>
  <c r="E344" i="12"/>
  <c r="E345" i="12"/>
  <c r="E346" i="12"/>
  <c r="E347" i="12"/>
  <c r="E348" i="12"/>
  <c r="E349" i="12"/>
  <c r="E350" i="12"/>
  <c r="E351" i="12"/>
  <c r="E352" i="12"/>
  <c r="E353" i="12"/>
  <c r="E354" i="12"/>
  <c r="E355" i="12"/>
  <c r="E356" i="12"/>
  <c r="E357" i="12"/>
  <c r="E358" i="12"/>
  <c r="E359" i="12"/>
  <c r="E360" i="12"/>
  <c r="E361" i="12"/>
  <c r="E362" i="12"/>
  <c r="E363" i="12"/>
  <c r="E364" i="12"/>
  <c r="E365" i="12"/>
  <c r="E366" i="12"/>
  <c r="E367" i="12"/>
  <c r="E368" i="12"/>
  <c r="E369" i="12"/>
  <c r="E370" i="12"/>
  <c r="E371" i="12"/>
  <c r="E372" i="12"/>
  <c r="E373" i="12"/>
  <c r="E374" i="12"/>
  <c r="E375" i="12"/>
  <c r="E376" i="12"/>
  <c r="E377" i="12"/>
  <c r="E378" i="12"/>
  <c r="E379" i="12"/>
  <c r="E380" i="12"/>
  <c r="E381" i="12"/>
  <c r="E382" i="12"/>
  <c r="E383" i="12"/>
  <c r="E384" i="12"/>
  <c r="E385" i="12"/>
  <c r="E386" i="12"/>
  <c r="E387" i="12"/>
  <c r="E388" i="12"/>
  <c r="E389" i="12"/>
  <c r="E390" i="12"/>
  <c r="E391" i="12"/>
  <c r="E392" i="12"/>
  <c r="E393" i="12"/>
  <c r="E394" i="12"/>
  <c r="E395" i="12"/>
  <c r="E396" i="12"/>
  <c r="E397" i="12"/>
  <c r="E398" i="12"/>
  <c r="E399" i="12"/>
  <c r="E400" i="12"/>
  <c r="E401" i="12"/>
  <c r="E402" i="12"/>
  <c r="E403" i="12"/>
  <c r="E404" i="12"/>
  <c r="E405" i="12"/>
  <c r="E406" i="12"/>
  <c r="E407" i="12"/>
  <c r="E408" i="12"/>
  <c r="E409" i="12"/>
  <c r="E410" i="12"/>
  <c r="E411" i="12"/>
  <c r="E412" i="12"/>
  <c r="E413" i="12"/>
  <c r="E414" i="12"/>
  <c r="E415" i="12"/>
  <c r="E416" i="12"/>
  <c r="E417" i="12"/>
  <c r="E418" i="12"/>
  <c r="E419" i="12"/>
  <c r="E420" i="12"/>
  <c r="E421" i="12"/>
  <c r="E422" i="12"/>
  <c r="E423" i="12"/>
  <c r="E424" i="12"/>
  <c r="E425" i="12"/>
  <c r="E426" i="12"/>
  <c r="E427" i="12"/>
  <c r="E428" i="12"/>
  <c r="E429" i="12"/>
  <c r="E430" i="12"/>
  <c r="E431" i="12"/>
  <c r="E432" i="12"/>
  <c r="E433" i="12"/>
  <c r="E434" i="12"/>
  <c r="E435" i="12"/>
  <c r="E436" i="12"/>
  <c r="E437" i="12"/>
  <c r="E438" i="12"/>
  <c r="E439" i="12"/>
  <c r="E440" i="12"/>
  <c r="E441" i="12"/>
  <c r="E442" i="12"/>
  <c r="E443" i="12"/>
  <c r="E444" i="12"/>
  <c r="E445" i="12"/>
  <c r="E446" i="12"/>
  <c r="E447" i="12"/>
  <c r="E448" i="12"/>
  <c r="E449" i="12"/>
  <c r="E450" i="12"/>
  <c r="E451" i="12"/>
  <c r="E452" i="12"/>
  <c r="E453" i="12"/>
  <c r="E454" i="12"/>
  <c r="E455" i="12"/>
  <c r="E456" i="12"/>
  <c r="E457" i="12"/>
  <c r="E458" i="12"/>
  <c r="E459" i="12"/>
  <c r="E460" i="12"/>
  <c r="E461" i="12"/>
  <c r="E462" i="12"/>
  <c r="E463" i="12"/>
  <c r="E464" i="12"/>
  <c r="E465" i="12"/>
  <c r="E466" i="12"/>
  <c r="E467" i="12"/>
  <c r="E468" i="12"/>
  <c r="E469" i="12"/>
  <c r="E470" i="12"/>
  <c r="E471" i="12"/>
  <c r="E472" i="12"/>
  <c r="E473" i="12"/>
  <c r="E474" i="12"/>
  <c r="E475" i="12"/>
  <c r="E476" i="12"/>
  <c r="E477" i="12"/>
  <c r="E478" i="12"/>
  <c r="E479" i="12"/>
  <c r="E480" i="12"/>
  <c r="E481" i="12"/>
  <c r="E482" i="12"/>
  <c r="E483" i="12"/>
  <c r="E484" i="12"/>
  <c r="E485" i="12"/>
  <c r="E486" i="12"/>
  <c r="E487" i="12"/>
  <c r="E488" i="12"/>
  <c r="E489" i="12"/>
  <c r="E490" i="12"/>
  <c r="E491" i="12"/>
  <c r="E492" i="12"/>
  <c r="E493" i="12"/>
  <c r="E494" i="12"/>
  <c r="E495" i="12"/>
  <c r="E496" i="12"/>
  <c r="E497" i="12"/>
  <c r="E498" i="12"/>
  <c r="E499" i="12"/>
  <c r="E500" i="12"/>
  <c r="V173" i="12"/>
  <c r="V141" i="12"/>
  <c r="V109" i="12"/>
  <c r="V77" i="12"/>
  <c r="V45" i="12"/>
  <c r="V13" i="12"/>
  <c r="V187" i="12"/>
  <c r="V179" i="12"/>
  <c r="V163" i="12"/>
  <c r="V155" i="12"/>
  <c r="V147" i="12"/>
  <c r="V131" i="12"/>
  <c r="V123" i="12"/>
  <c r="V115" i="12"/>
  <c r="V99" i="12"/>
  <c r="V91" i="12"/>
  <c r="V83" i="12"/>
  <c r="V67" i="12"/>
  <c r="V59" i="12"/>
  <c r="V51" i="12"/>
  <c r="V35" i="12"/>
  <c r="V27" i="12"/>
  <c r="V19" i="12"/>
  <c r="V188" i="12"/>
  <c r="V180" i="12"/>
  <c r="V172" i="12"/>
  <c r="V156" i="12"/>
  <c r="V148" i="12"/>
  <c r="V140" i="12"/>
  <c r="V124" i="12"/>
  <c r="V116" i="12"/>
  <c r="V108" i="12"/>
  <c r="V92" i="12"/>
  <c r="V84" i="12"/>
  <c r="V76" i="12"/>
  <c r="V60" i="12"/>
  <c r="V52" i="12"/>
  <c r="V44" i="12"/>
  <c r="V28" i="12"/>
  <c r="V20" i="12"/>
  <c r="V12" i="12"/>
  <c r="R498" i="12"/>
  <c r="V498" i="12"/>
  <c r="R490" i="12"/>
  <c r="V490" i="12"/>
  <c r="R482" i="12"/>
  <c r="V482" i="12"/>
  <c r="R474" i="12"/>
  <c r="V474" i="12"/>
  <c r="R466" i="12"/>
  <c r="V466" i="12"/>
  <c r="R458" i="12"/>
  <c r="V458" i="12"/>
  <c r="R450" i="12"/>
  <c r="V450" i="12"/>
  <c r="R442" i="12"/>
  <c r="V442" i="12"/>
  <c r="R434" i="12"/>
  <c r="V434" i="12"/>
  <c r="R426" i="12"/>
  <c r="V426" i="12"/>
  <c r="R418" i="12"/>
  <c r="V418" i="12"/>
  <c r="R410" i="12"/>
  <c r="V410" i="12"/>
  <c r="R402" i="12"/>
  <c r="V402" i="12"/>
  <c r="R394" i="12"/>
  <c r="V394" i="12"/>
  <c r="R386" i="12"/>
  <c r="V386" i="12"/>
  <c r="R378" i="12"/>
  <c r="V378" i="12"/>
  <c r="R370" i="12"/>
  <c r="V370" i="12"/>
  <c r="R362" i="12"/>
  <c r="V362" i="12"/>
  <c r="R354" i="12"/>
  <c r="V354" i="12"/>
  <c r="R346" i="12"/>
  <c r="V346" i="12"/>
  <c r="R338" i="12"/>
  <c r="V338" i="12"/>
  <c r="R330" i="12"/>
  <c r="V330" i="12"/>
  <c r="R322" i="12"/>
  <c r="V322" i="12"/>
  <c r="R314" i="12"/>
  <c r="V314" i="12"/>
  <c r="R306" i="12"/>
  <c r="V306" i="12"/>
  <c r="R298" i="12"/>
  <c r="V298" i="12"/>
  <c r="R290" i="12"/>
  <c r="V290" i="12"/>
  <c r="R282" i="12"/>
  <c r="V282" i="12"/>
  <c r="R274" i="12"/>
  <c r="V274" i="12"/>
  <c r="R266" i="12"/>
  <c r="V266" i="12"/>
  <c r="R258" i="12"/>
  <c r="V258" i="12"/>
  <c r="R250" i="12"/>
  <c r="V250" i="12"/>
  <c r="R242" i="12"/>
  <c r="V242" i="12"/>
  <c r="R234" i="12"/>
  <c r="V234" i="12"/>
  <c r="R226" i="12"/>
  <c r="V226" i="12"/>
  <c r="R218" i="12"/>
  <c r="V218" i="12"/>
  <c r="R210" i="12"/>
  <c r="V210" i="12"/>
  <c r="R202" i="12"/>
  <c r="V202" i="12"/>
  <c r="R194" i="12"/>
  <c r="V194" i="12"/>
  <c r="R186" i="12"/>
  <c r="V186" i="12"/>
  <c r="R170" i="12"/>
  <c r="V170" i="12"/>
  <c r="R162" i="12"/>
  <c r="V162" i="12"/>
  <c r="R154" i="12"/>
  <c r="V154" i="12"/>
  <c r="V146" i="12"/>
  <c r="R138" i="12"/>
  <c r="V138" i="12"/>
  <c r="R130" i="12"/>
  <c r="V130" i="12"/>
  <c r="R122" i="12"/>
  <c r="V122" i="12"/>
  <c r="V114" i="12"/>
  <c r="R106" i="12"/>
  <c r="V106" i="12"/>
  <c r="R98" i="12"/>
  <c r="V98" i="12"/>
  <c r="R90" i="12"/>
  <c r="V90" i="12"/>
  <c r="V82" i="12"/>
  <c r="R74" i="12"/>
  <c r="V74" i="12"/>
  <c r="R66" i="12"/>
  <c r="V66" i="12"/>
  <c r="R58" i="12"/>
  <c r="V58" i="12"/>
  <c r="R42" i="12"/>
  <c r="V42" i="12"/>
  <c r="R34" i="12"/>
  <c r="V34" i="12"/>
  <c r="R26" i="12"/>
  <c r="V26" i="12"/>
  <c r="V18" i="12"/>
  <c r="R10" i="12"/>
  <c r="V10" i="12"/>
  <c r="V449" i="12"/>
  <c r="V385" i="12"/>
  <c r="V321" i="12"/>
  <c r="V257" i="12"/>
  <c r="V193" i="12"/>
  <c r="R177" i="12"/>
  <c r="V177" i="12"/>
  <c r="R169" i="12"/>
  <c r="R161" i="12"/>
  <c r="V161" i="12"/>
  <c r="R145" i="12"/>
  <c r="V145" i="12"/>
  <c r="R137" i="12"/>
  <c r="R129" i="12"/>
  <c r="V129" i="12"/>
  <c r="R113" i="12"/>
  <c r="V113" i="12"/>
  <c r="R105" i="12"/>
  <c r="R97" i="12"/>
  <c r="V97" i="12"/>
  <c r="R81" i="12"/>
  <c r="V81" i="12"/>
  <c r="R73" i="12"/>
  <c r="R65" i="12"/>
  <c r="V65" i="12"/>
  <c r="R49" i="12"/>
  <c r="V49" i="12"/>
  <c r="R41" i="12"/>
  <c r="R33" i="12"/>
  <c r="V33" i="12"/>
  <c r="R17" i="12"/>
  <c r="V17" i="12"/>
  <c r="R9" i="12"/>
  <c r="R496" i="12"/>
  <c r="V496" i="12"/>
  <c r="R488" i="12"/>
  <c r="V488" i="12"/>
  <c r="R480" i="12"/>
  <c r="V480" i="12"/>
  <c r="R472" i="12"/>
  <c r="V472" i="12"/>
  <c r="R464" i="12"/>
  <c r="V464" i="12"/>
  <c r="R456" i="12"/>
  <c r="V456" i="12"/>
  <c r="R448" i="12"/>
  <c r="V448" i="12"/>
  <c r="R440" i="12"/>
  <c r="V440" i="12"/>
  <c r="R432" i="12"/>
  <c r="V432" i="12"/>
  <c r="R424" i="12"/>
  <c r="V424" i="12"/>
  <c r="R416" i="12"/>
  <c r="V416" i="12"/>
  <c r="R408" i="12"/>
  <c r="V408" i="12"/>
  <c r="R400" i="12"/>
  <c r="V400" i="12"/>
  <c r="R392" i="12"/>
  <c r="V392" i="12"/>
  <c r="R384" i="12"/>
  <c r="V384" i="12"/>
  <c r="R376" i="12"/>
  <c r="V376" i="12"/>
  <c r="R368" i="12"/>
  <c r="V368" i="12"/>
  <c r="R360" i="12"/>
  <c r="V360" i="12"/>
  <c r="R352" i="12"/>
  <c r="V352" i="12"/>
  <c r="R344" i="12"/>
  <c r="V344" i="12"/>
  <c r="R336" i="12"/>
  <c r="V336" i="12"/>
  <c r="R328" i="12"/>
  <c r="V328" i="12"/>
  <c r="R320" i="12"/>
  <c r="V320" i="12"/>
  <c r="R312" i="12"/>
  <c r="V312" i="12"/>
  <c r="R304" i="12"/>
  <c r="V304" i="12"/>
  <c r="R296" i="12"/>
  <c r="V296" i="12"/>
  <c r="R288" i="12"/>
  <c r="V288" i="12"/>
  <c r="R280" i="12"/>
  <c r="V280" i="12"/>
  <c r="R272" i="12"/>
  <c r="V272" i="12"/>
  <c r="R264" i="12"/>
  <c r="V264" i="12"/>
  <c r="R256" i="12"/>
  <c r="V256" i="12"/>
  <c r="R248" i="12"/>
  <c r="V248" i="12"/>
  <c r="R240" i="12"/>
  <c r="V240" i="12"/>
  <c r="R232" i="12"/>
  <c r="V232" i="12"/>
  <c r="R224" i="12"/>
  <c r="V224" i="12"/>
  <c r="R216" i="12"/>
  <c r="V216" i="12"/>
  <c r="R208" i="12"/>
  <c r="V208" i="12"/>
  <c r="R200" i="12"/>
  <c r="V200" i="12"/>
  <c r="R192" i="12"/>
  <c r="V192" i="12"/>
  <c r="R495" i="12"/>
  <c r="V495" i="12"/>
  <c r="P487" i="12"/>
  <c r="V487" i="12"/>
  <c r="R479" i="12"/>
  <c r="V479" i="12"/>
  <c r="R471" i="12"/>
  <c r="V471" i="12"/>
  <c r="R463" i="12"/>
  <c r="V463" i="12"/>
  <c r="P455" i="12"/>
  <c r="V455" i="12"/>
  <c r="R447" i="12"/>
  <c r="V447" i="12"/>
  <c r="R439" i="12"/>
  <c r="V439" i="12"/>
  <c r="R431" i="12"/>
  <c r="V431" i="12"/>
  <c r="P423" i="12"/>
  <c r="V423" i="12"/>
  <c r="R415" i="12"/>
  <c r="V415" i="12"/>
  <c r="R407" i="12"/>
  <c r="V407" i="12"/>
  <c r="R399" i="12"/>
  <c r="V399" i="12"/>
  <c r="P391" i="12"/>
  <c r="V391" i="12"/>
  <c r="R383" i="12"/>
  <c r="V383" i="12"/>
  <c r="R375" i="12"/>
  <c r="V375" i="12"/>
  <c r="R367" i="12"/>
  <c r="V367" i="12"/>
  <c r="P359" i="12"/>
  <c r="V359" i="12"/>
  <c r="R351" i="12"/>
  <c r="V351" i="12"/>
  <c r="R343" i="12"/>
  <c r="V343" i="12"/>
  <c r="R335" i="12"/>
  <c r="V335" i="12"/>
  <c r="P327" i="12"/>
  <c r="V327" i="12"/>
  <c r="R319" i="12"/>
  <c r="V319" i="12"/>
  <c r="R311" i="12"/>
  <c r="V311" i="12"/>
  <c r="R303" i="12"/>
  <c r="V303" i="12"/>
  <c r="P295" i="12"/>
  <c r="V295" i="12"/>
  <c r="R287" i="12"/>
  <c r="V287" i="12"/>
  <c r="R279" i="12"/>
  <c r="V279" i="12"/>
  <c r="R271" i="12"/>
  <c r="V271" i="12"/>
  <c r="P263" i="12"/>
  <c r="V263" i="12"/>
  <c r="R255" i="12"/>
  <c r="V255" i="12"/>
  <c r="R247" i="12"/>
  <c r="V247" i="12"/>
  <c r="R239" i="12"/>
  <c r="V239" i="12"/>
  <c r="P231" i="12"/>
  <c r="V231" i="12"/>
  <c r="R223" i="12"/>
  <c r="V223" i="12"/>
  <c r="R215" i="12"/>
  <c r="V215" i="12"/>
  <c r="R207" i="12"/>
  <c r="V207" i="12"/>
  <c r="P199" i="12"/>
  <c r="V199" i="12"/>
  <c r="R191" i="12"/>
  <c r="V191" i="12"/>
  <c r="P183" i="12"/>
  <c r="V183" i="12"/>
  <c r="P167" i="12"/>
  <c r="V167" i="12"/>
  <c r="P159" i="12"/>
  <c r="V159" i="12"/>
  <c r="P151" i="12"/>
  <c r="V151" i="12"/>
  <c r="P135" i="12"/>
  <c r="V135" i="12"/>
  <c r="P127" i="12"/>
  <c r="V127" i="12"/>
  <c r="P119" i="12"/>
  <c r="V119" i="12"/>
  <c r="P103" i="12"/>
  <c r="V103" i="12"/>
  <c r="P95" i="12"/>
  <c r="V95" i="12"/>
  <c r="P87" i="12"/>
  <c r="V87" i="12"/>
  <c r="P71" i="12"/>
  <c r="V71" i="12"/>
  <c r="P63" i="12"/>
  <c r="V63" i="12"/>
  <c r="P55" i="12"/>
  <c r="V55" i="12"/>
  <c r="P39" i="12"/>
  <c r="V39" i="12"/>
  <c r="P31" i="12"/>
  <c r="V31" i="12"/>
  <c r="P23" i="12"/>
  <c r="V23" i="12"/>
  <c r="R494" i="12"/>
  <c r="V494" i="12"/>
  <c r="P486" i="12"/>
  <c r="V486" i="12"/>
  <c r="R478" i="12"/>
  <c r="V478" i="12"/>
  <c r="R470" i="12"/>
  <c r="V470" i="12"/>
  <c r="R462" i="12"/>
  <c r="V462" i="12"/>
  <c r="P454" i="12"/>
  <c r="V454" i="12"/>
  <c r="R446" i="12"/>
  <c r="V446" i="12"/>
  <c r="R438" i="12"/>
  <c r="V438" i="12"/>
  <c r="R430" i="12"/>
  <c r="V430" i="12"/>
  <c r="P422" i="12"/>
  <c r="V422" i="12"/>
  <c r="R414" i="12"/>
  <c r="V414" i="12"/>
  <c r="R406" i="12"/>
  <c r="V406" i="12"/>
  <c r="R398" i="12"/>
  <c r="V398" i="12"/>
  <c r="P390" i="12"/>
  <c r="V390" i="12"/>
  <c r="R382" i="12"/>
  <c r="V382" i="12"/>
  <c r="R374" i="12"/>
  <c r="V374" i="12"/>
  <c r="R366" i="12"/>
  <c r="V366" i="12"/>
  <c r="P358" i="12"/>
  <c r="V358" i="12"/>
  <c r="R350" i="12"/>
  <c r="V350" i="12"/>
  <c r="R342" i="12"/>
  <c r="V342" i="12"/>
  <c r="R334" i="12"/>
  <c r="V334" i="12"/>
  <c r="P326" i="12"/>
  <c r="V326" i="12"/>
  <c r="R318" i="12"/>
  <c r="V318" i="12"/>
  <c r="R310" i="12"/>
  <c r="V310" i="12"/>
  <c r="R302" i="12"/>
  <c r="V302" i="12"/>
  <c r="P294" i="12"/>
  <c r="V294" i="12"/>
  <c r="R286" i="12"/>
  <c r="V286" i="12"/>
  <c r="R278" i="12"/>
  <c r="V278" i="12"/>
  <c r="R270" i="12"/>
  <c r="V270" i="12"/>
  <c r="P262" i="12"/>
  <c r="V262" i="12"/>
  <c r="R254" i="12"/>
  <c r="V254" i="12"/>
  <c r="R246" i="12"/>
  <c r="V246" i="12"/>
  <c r="R238" i="12"/>
  <c r="V238" i="12"/>
  <c r="P230" i="12"/>
  <c r="V230" i="12"/>
  <c r="R222" i="12"/>
  <c r="V222" i="12"/>
  <c r="R214" i="12"/>
  <c r="V214" i="12"/>
  <c r="R206" i="12"/>
  <c r="V206" i="12"/>
  <c r="P198" i="12"/>
  <c r="V198" i="12"/>
  <c r="R190" i="12"/>
  <c r="V190" i="12"/>
  <c r="R174" i="12"/>
  <c r="V174" i="12"/>
  <c r="P166" i="12"/>
  <c r="V166" i="12"/>
  <c r="P158" i="12"/>
  <c r="V158" i="12"/>
  <c r="P142" i="12"/>
  <c r="V142" i="12"/>
  <c r="P134" i="12"/>
  <c r="V134" i="12"/>
  <c r="P126" i="12"/>
  <c r="V126" i="12"/>
  <c r="P110" i="12"/>
  <c r="V110" i="12"/>
  <c r="P102" i="12"/>
  <c r="V102" i="12"/>
  <c r="P94" i="12"/>
  <c r="V94" i="12"/>
  <c r="P78" i="12"/>
  <c r="V78" i="12"/>
  <c r="P70" i="12"/>
  <c r="V70" i="12"/>
  <c r="P62" i="12"/>
  <c r="V62" i="12"/>
  <c r="P46" i="12"/>
  <c r="V46" i="12"/>
  <c r="P38" i="12"/>
  <c r="V38" i="12"/>
  <c r="P30" i="12"/>
  <c r="V30" i="12"/>
  <c r="P14" i="12"/>
  <c r="V14" i="12"/>
  <c r="V469" i="12"/>
  <c r="V405" i="12"/>
  <c r="V341" i="12"/>
  <c r="V309" i="12"/>
  <c r="V277" i="12"/>
  <c r="V245" i="12"/>
  <c r="V213" i="12"/>
  <c r="R500" i="12"/>
  <c r="V500" i="12"/>
  <c r="R492" i="12"/>
  <c r="V492" i="12"/>
  <c r="R484" i="12"/>
  <c r="V484" i="12"/>
  <c r="R476" i="12"/>
  <c r="V476" i="12"/>
  <c r="R468" i="12"/>
  <c r="V468" i="12"/>
  <c r="R460" i="12"/>
  <c r="V460" i="12"/>
  <c r="R452" i="12"/>
  <c r="V452" i="12"/>
  <c r="R444" i="12"/>
  <c r="V444" i="12"/>
  <c r="R436" i="12"/>
  <c r="V436" i="12"/>
  <c r="R428" i="12"/>
  <c r="V428" i="12"/>
  <c r="R420" i="12"/>
  <c r="V420" i="12"/>
  <c r="R412" i="12"/>
  <c r="V412" i="12"/>
  <c r="R404" i="12"/>
  <c r="V404" i="12"/>
  <c r="R396" i="12"/>
  <c r="V396" i="12"/>
  <c r="R388" i="12"/>
  <c r="V388" i="12"/>
  <c r="R380" i="12"/>
  <c r="V380" i="12"/>
  <c r="R372" i="12"/>
  <c r="V372" i="12"/>
  <c r="R364" i="12"/>
  <c r="V364" i="12"/>
  <c r="R356" i="12"/>
  <c r="V356" i="12"/>
  <c r="R348" i="12"/>
  <c r="V348" i="12"/>
  <c r="R340" i="12"/>
  <c r="V340" i="12"/>
  <c r="R332" i="12"/>
  <c r="V332" i="12"/>
  <c r="R324" i="12"/>
  <c r="V324" i="12"/>
  <c r="R316" i="12"/>
  <c r="V316" i="12"/>
  <c r="R308" i="12"/>
  <c r="V308" i="12"/>
  <c r="R300" i="12"/>
  <c r="V300" i="12"/>
  <c r="R292" i="12"/>
  <c r="V292" i="12"/>
  <c r="R284" i="12"/>
  <c r="V284" i="12"/>
  <c r="R276" i="12"/>
  <c r="V276" i="12"/>
  <c r="R268" i="12"/>
  <c r="V268" i="12"/>
  <c r="R260" i="12"/>
  <c r="V260" i="12"/>
  <c r="R252" i="12"/>
  <c r="V252" i="12"/>
  <c r="R244" i="12"/>
  <c r="V244" i="12"/>
  <c r="R236" i="12"/>
  <c r="V236" i="12"/>
  <c r="R228" i="12"/>
  <c r="V228" i="12"/>
  <c r="R220" i="12"/>
  <c r="V220" i="12"/>
  <c r="R212" i="12"/>
  <c r="V212" i="12"/>
  <c r="R204" i="12"/>
  <c r="V204" i="12"/>
  <c r="R196" i="12"/>
  <c r="V196" i="12"/>
  <c r="R499" i="12"/>
  <c r="V499" i="12"/>
  <c r="R491" i="12"/>
  <c r="V491" i="12"/>
  <c r="R483" i="12"/>
  <c r="V483" i="12"/>
  <c r="R475" i="12"/>
  <c r="V475" i="12"/>
  <c r="R467" i="12"/>
  <c r="V467" i="12"/>
  <c r="R459" i="12"/>
  <c r="V459" i="12"/>
  <c r="R451" i="12"/>
  <c r="V451" i="12"/>
  <c r="R443" i="12"/>
  <c r="V443" i="12"/>
  <c r="R435" i="12"/>
  <c r="V435" i="12"/>
  <c r="R427" i="12"/>
  <c r="V427" i="12"/>
  <c r="R419" i="12"/>
  <c r="V419" i="12"/>
  <c r="R411" i="12"/>
  <c r="V411" i="12"/>
  <c r="R403" i="12"/>
  <c r="V403" i="12"/>
  <c r="R395" i="12"/>
  <c r="V395" i="12"/>
  <c r="R387" i="12"/>
  <c r="V387" i="12"/>
  <c r="R379" i="12"/>
  <c r="V379" i="12"/>
  <c r="R371" i="12"/>
  <c r="V371" i="12"/>
  <c r="R363" i="12"/>
  <c r="V363" i="12"/>
  <c r="R355" i="12"/>
  <c r="V355" i="12"/>
  <c r="R347" i="12"/>
  <c r="V347" i="12"/>
  <c r="R339" i="12"/>
  <c r="V339" i="12"/>
  <c r="R331" i="12"/>
  <c r="V331" i="12"/>
  <c r="R323" i="12"/>
  <c r="V323" i="12"/>
  <c r="R315" i="12"/>
  <c r="V315" i="12"/>
  <c r="R307" i="12"/>
  <c r="V307" i="12"/>
  <c r="R299" i="12"/>
  <c r="V299" i="12"/>
  <c r="R291" i="12"/>
  <c r="V291" i="12"/>
  <c r="R283" i="12"/>
  <c r="V283" i="12"/>
  <c r="R275" i="12"/>
  <c r="V275" i="12"/>
  <c r="R267" i="12"/>
  <c r="V267" i="12"/>
  <c r="R259" i="12"/>
  <c r="V259" i="12"/>
  <c r="R251" i="12"/>
  <c r="V251" i="12"/>
  <c r="R243" i="12"/>
  <c r="V243" i="12"/>
  <c r="R235" i="12"/>
  <c r="V235" i="12"/>
  <c r="R227" i="12"/>
  <c r="V227" i="12"/>
  <c r="R219" i="12"/>
  <c r="V219" i="12"/>
  <c r="R211" i="12"/>
  <c r="V211" i="12"/>
  <c r="R203" i="12"/>
  <c r="V203" i="12"/>
  <c r="R195" i="12"/>
  <c r="V195" i="12"/>
  <c r="J460" i="12"/>
  <c r="J388" i="12"/>
  <c r="J340" i="12"/>
  <c r="J276" i="12"/>
  <c r="J236" i="12"/>
  <c r="J204" i="12"/>
  <c r="J164" i="12"/>
  <c r="J124" i="12"/>
  <c r="J100" i="12"/>
  <c r="J76" i="12"/>
  <c r="J60" i="12"/>
  <c r="J36" i="12"/>
  <c r="J12" i="12"/>
  <c r="J492" i="12"/>
  <c r="J444" i="12"/>
  <c r="J404" i="12"/>
  <c r="J348" i="12"/>
  <c r="J300" i="12"/>
  <c r="J252" i="12"/>
  <c r="J220" i="12"/>
  <c r="J180" i="12"/>
  <c r="J156" i="12"/>
  <c r="J132" i="12"/>
  <c r="J108" i="12"/>
  <c r="J84" i="12"/>
  <c r="J68" i="12"/>
  <c r="J44" i="12"/>
  <c r="J28" i="12"/>
  <c r="J499" i="12"/>
  <c r="J491" i="12"/>
  <c r="J483" i="12"/>
  <c r="J475" i="12"/>
  <c r="J467" i="12"/>
  <c r="J459" i="12"/>
  <c r="J451" i="12"/>
  <c r="J443" i="12"/>
  <c r="J435" i="12"/>
  <c r="J427" i="12"/>
  <c r="J419" i="12"/>
  <c r="J411" i="12"/>
  <c r="J403" i="12"/>
  <c r="J395" i="12"/>
  <c r="J387" i="12"/>
  <c r="J379" i="12"/>
  <c r="J371" i="12"/>
  <c r="J363" i="12"/>
  <c r="J355" i="12"/>
  <c r="J347" i="12"/>
  <c r="J339" i="12"/>
  <c r="J331" i="12"/>
  <c r="J323" i="12"/>
  <c r="J315" i="12"/>
  <c r="J307" i="12"/>
  <c r="J299" i="12"/>
  <c r="J291" i="12"/>
  <c r="J283" i="12"/>
  <c r="J275" i="12"/>
  <c r="J267" i="12"/>
  <c r="J259" i="12"/>
  <c r="J251" i="12"/>
  <c r="J243" i="12"/>
  <c r="J235" i="12"/>
  <c r="J227" i="12"/>
  <c r="J219" i="12"/>
  <c r="J211" i="12"/>
  <c r="J203" i="12"/>
  <c r="J195" i="12"/>
  <c r="J187" i="12"/>
  <c r="J179" i="12"/>
  <c r="J171" i="12"/>
  <c r="J163" i="12"/>
  <c r="J155" i="12"/>
  <c r="J147" i="12"/>
  <c r="J139" i="12"/>
  <c r="J131" i="12"/>
  <c r="J107" i="12"/>
  <c r="J99" i="12"/>
  <c r="J91" i="12"/>
  <c r="J83" i="12"/>
  <c r="J75" i="12"/>
  <c r="J67" i="12"/>
  <c r="J43" i="12"/>
  <c r="J35" i="12"/>
  <c r="J27" i="12"/>
  <c r="J19" i="12"/>
  <c r="J11" i="12"/>
  <c r="J484" i="12"/>
  <c r="J420" i="12"/>
  <c r="J364" i="12"/>
  <c r="J316" i="12"/>
  <c r="J260" i="12"/>
  <c r="J212" i="12"/>
  <c r="J172" i="12"/>
  <c r="J148" i="12"/>
  <c r="J92" i="12"/>
  <c r="J20" i="12"/>
  <c r="J498" i="12"/>
  <c r="J490" i="12"/>
  <c r="J482" i="12"/>
  <c r="J474" i="12"/>
  <c r="J466" i="12"/>
  <c r="J458" i="12"/>
  <c r="J450" i="12"/>
  <c r="J442" i="12"/>
  <c r="J434" i="12"/>
  <c r="J426" i="12"/>
  <c r="J418" i="12"/>
  <c r="J410" i="12"/>
  <c r="J402" i="12"/>
  <c r="J394" i="12"/>
  <c r="J386" i="12"/>
  <c r="J378" i="12"/>
  <c r="J370" i="12"/>
  <c r="J362" i="12"/>
  <c r="J354" i="12"/>
  <c r="J346" i="12"/>
  <c r="J338" i="12"/>
  <c r="J330" i="12"/>
  <c r="J322" i="12"/>
  <c r="J314" i="12"/>
  <c r="J306" i="12"/>
  <c r="J298" i="12"/>
  <c r="J290" i="12"/>
  <c r="J282" i="12"/>
  <c r="J274" i="12"/>
  <c r="J266" i="12"/>
  <c r="J258" i="12"/>
  <c r="J250" i="12"/>
  <c r="J242" i="12"/>
  <c r="J234" i="12"/>
  <c r="J226" i="12"/>
  <c r="J218" i="12"/>
  <c r="J210" i="12"/>
  <c r="J202" i="12"/>
  <c r="J194" i="12"/>
  <c r="J186" i="12"/>
  <c r="J178" i="12"/>
  <c r="J170" i="12"/>
  <c r="J162" i="12"/>
  <c r="J154" i="12"/>
  <c r="J146" i="12"/>
  <c r="J138" i="12"/>
  <c r="J130" i="12"/>
  <c r="J122" i="12"/>
  <c r="J106" i="12"/>
  <c r="J98" i="12"/>
  <c r="J90" i="12"/>
  <c r="J82" i="12"/>
  <c r="J74" i="12"/>
  <c r="J66" i="12"/>
  <c r="J58" i="12"/>
  <c r="J42" i="12"/>
  <c r="J34" i="12"/>
  <c r="J26" i="12"/>
  <c r="J18" i="12"/>
  <c r="J10" i="12"/>
  <c r="J468" i="12"/>
  <c r="J412" i="12"/>
  <c r="J356" i="12"/>
  <c r="J324" i="12"/>
  <c r="J268" i="12"/>
  <c r="J228" i="12"/>
  <c r="J188" i="12"/>
  <c r="J140" i="12"/>
  <c r="J305" i="12"/>
  <c r="J257" i="12"/>
  <c r="J217" i="12"/>
  <c r="J169" i="12"/>
  <c r="J137" i="12"/>
  <c r="J129" i="12"/>
  <c r="J121" i="12"/>
  <c r="J81" i="12"/>
  <c r="J65" i="12"/>
  <c r="J57" i="12"/>
  <c r="J9" i="12"/>
  <c r="J452" i="12"/>
  <c r="J396" i="12"/>
  <c r="J308" i="12"/>
  <c r="J496" i="12"/>
  <c r="J488" i="12"/>
  <c r="J480" i="12"/>
  <c r="J472" i="12"/>
  <c r="J464" i="12"/>
  <c r="J456" i="12"/>
  <c r="J448" i="12"/>
  <c r="J440" i="12"/>
  <c r="J432" i="12"/>
  <c r="J424" i="12"/>
  <c r="J416" i="12"/>
  <c r="J408" i="12"/>
  <c r="J400" i="12"/>
  <c r="J392" i="12"/>
  <c r="J384" i="12"/>
  <c r="J376" i="12"/>
  <c r="J368" i="12"/>
  <c r="J360" i="12"/>
  <c r="J352" i="12"/>
  <c r="J344" i="12"/>
  <c r="J336" i="12"/>
  <c r="J328" i="12"/>
  <c r="J320" i="12"/>
  <c r="J312" i="12"/>
  <c r="J304" i="12"/>
  <c r="J296" i="12"/>
  <c r="J288" i="12"/>
  <c r="J280" i="12"/>
  <c r="J272" i="12"/>
  <c r="J264" i="12"/>
  <c r="J256" i="12"/>
  <c r="J248" i="12"/>
  <c r="J240" i="12"/>
  <c r="J232" i="12"/>
  <c r="J224" i="12"/>
  <c r="J216" i="12"/>
  <c r="J208" i="12"/>
  <c r="J200" i="12"/>
  <c r="J192" i="12"/>
  <c r="J184" i="12"/>
  <c r="J176" i="12"/>
  <c r="J168" i="12"/>
  <c r="J160" i="12"/>
  <c r="J152" i="12"/>
  <c r="J104" i="12"/>
  <c r="J96" i="12"/>
  <c r="J88" i="12"/>
  <c r="J40" i="12"/>
  <c r="J32" i="12"/>
  <c r="J24" i="12"/>
  <c r="J500" i="12"/>
  <c r="J436" i="12"/>
  <c r="J380" i="12"/>
  <c r="J292" i="12"/>
  <c r="J476" i="12"/>
  <c r="J428" i="12"/>
  <c r="J372" i="12"/>
  <c r="J332" i="12"/>
  <c r="J284" i="12"/>
  <c r="J244" i="12"/>
  <c r="J196" i="12"/>
  <c r="J494" i="12"/>
  <c r="J486" i="12"/>
  <c r="J478" i="12"/>
  <c r="J470" i="12"/>
  <c r="J462" i="12"/>
  <c r="J454" i="12"/>
  <c r="J446" i="12"/>
  <c r="J438" i="12"/>
  <c r="J430" i="12"/>
  <c r="J422" i="12"/>
  <c r="J414" i="12"/>
  <c r="J406" i="12"/>
  <c r="J398" i="12"/>
  <c r="J390" i="12"/>
  <c r="J382" i="12"/>
  <c r="J374" i="12"/>
  <c r="J366" i="12"/>
  <c r="J358" i="12"/>
  <c r="J350" i="12"/>
  <c r="J342" i="12"/>
  <c r="J334" i="12"/>
  <c r="J326" i="12"/>
  <c r="J318" i="12"/>
  <c r="J310" i="12"/>
  <c r="J302" i="12"/>
  <c r="J294" i="12"/>
  <c r="J286" i="12"/>
  <c r="J278" i="12"/>
  <c r="J270" i="12"/>
  <c r="J262" i="12"/>
  <c r="J254" i="12"/>
  <c r="J246" i="12"/>
  <c r="J238" i="12"/>
  <c r="J230" i="12"/>
  <c r="J222" i="12"/>
  <c r="J214" i="12"/>
  <c r="J206" i="12"/>
  <c r="J198" i="12"/>
  <c r="J190" i="12"/>
  <c r="J182" i="12"/>
  <c r="J174" i="12"/>
  <c r="J166" i="12"/>
  <c r="J158" i="12"/>
  <c r="J110" i="12"/>
  <c r="J102" i="12"/>
  <c r="J94" i="12"/>
  <c r="J46" i="12"/>
  <c r="J38" i="12"/>
  <c r="J30" i="12"/>
  <c r="J493" i="12"/>
  <c r="J485" i="12"/>
  <c r="J477" i="12"/>
  <c r="J469" i="12"/>
  <c r="J461" i="12"/>
  <c r="J453" i="12"/>
  <c r="J445" i="12"/>
  <c r="J437" i="12"/>
  <c r="J429" i="12"/>
  <c r="J421" i="12"/>
  <c r="J413" i="12"/>
  <c r="J405" i="12"/>
  <c r="J397" i="12"/>
  <c r="J389" i="12"/>
  <c r="J381" i="12"/>
  <c r="J373" i="12"/>
  <c r="J365" i="12"/>
  <c r="J357" i="12"/>
  <c r="J349" i="12"/>
  <c r="J341" i="12"/>
  <c r="J333" i="12"/>
  <c r="J325" i="12"/>
  <c r="J317" i="12"/>
  <c r="J309" i="12"/>
  <c r="J301" i="12"/>
  <c r="J293" i="12"/>
  <c r="J285" i="12"/>
  <c r="J277" i="12"/>
  <c r="J269" i="12"/>
  <c r="J261" i="12"/>
  <c r="J253" i="12"/>
  <c r="J245" i="12"/>
  <c r="J237" i="12"/>
  <c r="J229" i="12"/>
  <c r="J221" i="12"/>
  <c r="J213" i="12"/>
  <c r="J205" i="12"/>
  <c r="J197" i="12"/>
  <c r="J189" i="12"/>
  <c r="J181" i="12"/>
  <c r="J173" i="12"/>
  <c r="J165" i="12"/>
  <c r="J157" i="12"/>
  <c r="J149" i="12"/>
  <c r="J141" i="12"/>
  <c r="J133" i="12"/>
  <c r="J109" i="12"/>
  <c r="J101" i="12"/>
  <c r="J93" i="12"/>
  <c r="J85" i="12"/>
  <c r="J77" i="12"/>
  <c r="J69" i="12"/>
  <c r="J45" i="12"/>
  <c r="J37" i="12"/>
  <c r="J29" i="12"/>
  <c r="J21" i="12"/>
  <c r="J13" i="12"/>
  <c r="B15" i="16"/>
  <c r="B16" i="16"/>
  <c r="B17" i="16"/>
  <c r="P26" i="12"/>
  <c r="R263" i="12"/>
  <c r="P201" i="12"/>
  <c r="R487" i="12"/>
  <c r="R231" i="12"/>
  <c r="P257" i="12"/>
  <c r="R455" i="12"/>
  <c r="R199" i="12"/>
  <c r="P313" i="12"/>
  <c r="P178" i="12"/>
  <c r="R423" i="12"/>
  <c r="R167" i="12"/>
  <c r="P433" i="12"/>
  <c r="P305" i="12"/>
  <c r="P154" i="12"/>
  <c r="R391" i="12"/>
  <c r="R135" i="12"/>
  <c r="P425" i="12"/>
  <c r="P297" i="12"/>
  <c r="P122" i="12"/>
  <c r="R359" i="12"/>
  <c r="R103" i="12"/>
  <c r="P90" i="12"/>
  <c r="R327" i="12"/>
  <c r="R71" i="12"/>
  <c r="P281" i="12"/>
  <c r="P58" i="12"/>
  <c r="R295" i="12"/>
  <c r="R39" i="12"/>
  <c r="R128" i="12"/>
  <c r="P128" i="12"/>
  <c r="R64" i="12"/>
  <c r="P64" i="12"/>
  <c r="R152" i="12"/>
  <c r="P152" i="12"/>
  <c r="R56" i="12"/>
  <c r="P56" i="12"/>
  <c r="P496" i="12"/>
  <c r="P488" i="12"/>
  <c r="P480" i="12"/>
  <c r="P472" i="12"/>
  <c r="P464" i="12"/>
  <c r="P456" i="12"/>
  <c r="P448" i="12"/>
  <c r="P440" i="12"/>
  <c r="P432" i="12"/>
  <c r="P424" i="12"/>
  <c r="P416" i="12"/>
  <c r="P408" i="12"/>
  <c r="P400" i="12"/>
  <c r="P392" i="12"/>
  <c r="P384" i="12"/>
  <c r="P376" i="12"/>
  <c r="P368" i="12"/>
  <c r="P360" i="12"/>
  <c r="P352" i="12"/>
  <c r="P344" i="12"/>
  <c r="P336" i="12"/>
  <c r="P328" i="12"/>
  <c r="P320" i="12"/>
  <c r="P312" i="12"/>
  <c r="P304" i="12"/>
  <c r="P296" i="12"/>
  <c r="P288" i="12"/>
  <c r="P280" i="12"/>
  <c r="P272" i="12"/>
  <c r="P264" i="12"/>
  <c r="P256" i="12"/>
  <c r="P248" i="12"/>
  <c r="P240" i="12"/>
  <c r="P232" i="12"/>
  <c r="P224" i="12"/>
  <c r="P216" i="12"/>
  <c r="P208" i="12"/>
  <c r="P200" i="12"/>
  <c r="P192" i="12"/>
  <c r="P177" i="12"/>
  <c r="P121" i="12"/>
  <c r="P57" i="12"/>
  <c r="R486" i="12"/>
  <c r="R454" i="12"/>
  <c r="R422" i="12"/>
  <c r="R390" i="12"/>
  <c r="R358" i="12"/>
  <c r="R326" i="12"/>
  <c r="R294" i="12"/>
  <c r="R262" i="12"/>
  <c r="R230" i="12"/>
  <c r="R198" i="12"/>
  <c r="R166" i="12"/>
  <c r="R134" i="12"/>
  <c r="R102" i="12"/>
  <c r="R70" i="12"/>
  <c r="R38" i="12"/>
  <c r="P136" i="12"/>
  <c r="R96" i="12"/>
  <c r="P96" i="12"/>
  <c r="R48" i="12"/>
  <c r="P48" i="12"/>
  <c r="P495" i="12"/>
  <c r="P479" i="12"/>
  <c r="P471" i="12"/>
  <c r="P463" i="12"/>
  <c r="P447" i="12"/>
  <c r="P439" i="12"/>
  <c r="P431" i="12"/>
  <c r="P415" i="12"/>
  <c r="P407" i="12"/>
  <c r="P399" i="12"/>
  <c r="P383" i="12"/>
  <c r="P375" i="12"/>
  <c r="P367" i="12"/>
  <c r="P351" i="12"/>
  <c r="P343" i="12"/>
  <c r="P335" i="12"/>
  <c r="P319" i="12"/>
  <c r="P311" i="12"/>
  <c r="P303" i="12"/>
  <c r="P287" i="12"/>
  <c r="P279" i="12"/>
  <c r="P271" i="12"/>
  <c r="P255" i="12"/>
  <c r="P247" i="12"/>
  <c r="P239" i="12"/>
  <c r="P223" i="12"/>
  <c r="P215" i="12"/>
  <c r="P207" i="12"/>
  <c r="P191" i="12"/>
  <c r="P175" i="12"/>
  <c r="P114" i="12"/>
  <c r="P50" i="12"/>
  <c r="R159" i="12"/>
  <c r="R127" i="12"/>
  <c r="R95" i="12"/>
  <c r="R63" i="12"/>
  <c r="R31" i="12"/>
  <c r="R160" i="12"/>
  <c r="P160" i="12"/>
  <c r="R88" i="12"/>
  <c r="P88" i="12"/>
  <c r="R24" i="12"/>
  <c r="P24" i="12"/>
  <c r="P189" i="12"/>
  <c r="R189" i="12"/>
  <c r="P181" i="12"/>
  <c r="R181" i="12"/>
  <c r="P173" i="12"/>
  <c r="R173" i="12"/>
  <c r="P165" i="12"/>
  <c r="R165" i="12"/>
  <c r="P157" i="12"/>
  <c r="R157" i="12"/>
  <c r="P149" i="12"/>
  <c r="R149" i="12"/>
  <c r="P141" i="12"/>
  <c r="R141" i="12"/>
  <c r="P133" i="12"/>
  <c r="R133" i="12"/>
  <c r="P125" i="12"/>
  <c r="R125" i="12"/>
  <c r="P117" i="12"/>
  <c r="R117" i="12"/>
  <c r="P109" i="12"/>
  <c r="R109" i="12"/>
  <c r="P101" i="12"/>
  <c r="R101" i="12"/>
  <c r="P93" i="12"/>
  <c r="R93" i="12"/>
  <c r="P85" i="12"/>
  <c r="R85" i="12"/>
  <c r="P77" i="12"/>
  <c r="R77" i="12"/>
  <c r="P69" i="12"/>
  <c r="R69" i="12"/>
  <c r="P61" i="12"/>
  <c r="R61" i="12"/>
  <c r="P53" i="12"/>
  <c r="R53" i="12"/>
  <c r="P45" i="12"/>
  <c r="R45" i="12"/>
  <c r="P37" i="12"/>
  <c r="R37" i="12"/>
  <c r="P29" i="12"/>
  <c r="R29" i="12"/>
  <c r="P21" i="12"/>
  <c r="R21" i="12"/>
  <c r="P13" i="12"/>
  <c r="R13" i="12"/>
  <c r="P494" i="12"/>
  <c r="P478" i="12"/>
  <c r="P470" i="12"/>
  <c r="P462" i="12"/>
  <c r="P446" i="12"/>
  <c r="P438" i="12"/>
  <c r="P430" i="12"/>
  <c r="P414" i="12"/>
  <c r="P406" i="12"/>
  <c r="P398" i="12"/>
  <c r="P382" i="12"/>
  <c r="P374" i="12"/>
  <c r="P366" i="12"/>
  <c r="P350" i="12"/>
  <c r="P342" i="12"/>
  <c r="P334" i="12"/>
  <c r="P318" i="12"/>
  <c r="P310" i="12"/>
  <c r="P302" i="12"/>
  <c r="P286" i="12"/>
  <c r="P278" i="12"/>
  <c r="P270" i="12"/>
  <c r="P254" i="12"/>
  <c r="P246" i="12"/>
  <c r="P238" i="12"/>
  <c r="P222" i="12"/>
  <c r="P214" i="12"/>
  <c r="P206" i="12"/>
  <c r="P190" i="12"/>
  <c r="P174" i="12"/>
  <c r="P145" i="12"/>
  <c r="P113" i="12"/>
  <c r="P81" i="12"/>
  <c r="P49" i="12"/>
  <c r="P17" i="12"/>
  <c r="R158" i="12"/>
  <c r="R126" i="12"/>
  <c r="R94" i="12"/>
  <c r="R62" i="12"/>
  <c r="R30" i="12"/>
  <c r="R168" i="12"/>
  <c r="P168" i="12"/>
  <c r="R104" i="12"/>
  <c r="P104" i="12"/>
  <c r="R32" i="12"/>
  <c r="P32" i="12"/>
  <c r="P188" i="12"/>
  <c r="R188" i="12"/>
  <c r="P180" i="12"/>
  <c r="R180" i="12"/>
  <c r="P172" i="12"/>
  <c r="R172" i="12"/>
  <c r="P164" i="12"/>
  <c r="R164" i="12"/>
  <c r="P156" i="12"/>
  <c r="R156" i="12"/>
  <c r="P148" i="12"/>
  <c r="R148" i="12"/>
  <c r="P140" i="12"/>
  <c r="R140" i="12"/>
  <c r="P132" i="12"/>
  <c r="R132" i="12"/>
  <c r="P124" i="12"/>
  <c r="R124" i="12"/>
  <c r="P116" i="12"/>
  <c r="R116" i="12"/>
  <c r="P108" i="12"/>
  <c r="R108" i="12"/>
  <c r="P100" i="12"/>
  <c r="R100" i="12"/>
  <c r="P92" i="12"/>
  <c r="R92" i="12"/>
  <c r="P84" i="12"/>
  <c r="R84" i="12"/>
  <c r="P76" i="12"/>
  <c r="R76" i="12"/>
  <c r="P68" i="12"/>
  <c r="R68" i="12"/>
  <c r="P60" i="12"/>
  <c r="R60" i="12"/>
  <c r="P52" i="12"/>
  <c r="R52" i="12"/>
  <c r="P44" i="12"/>
  <c r="R44" i="12"/>
  <c r="P36" i="12"/>
  <c r="R36" i="12"/>
  <c r="P28" i="12"/>
  <c r="R28" i="12"/>
  <c r="P20" i="12"/>
  <c r="R20" i="12"/>
  <c r="P12" i="12"/>
  <c r="R12" i="12"/>
  <c r="P485" i="12"/>
  <c r="P477" i="12"/>
  <c r="P453" i="12"/>
  <c r="P445" i="12"/>
  <c r="P437" i="12"/>
  <c r="P421" i="12"/>
  <c r="P413" i="12"/>
  <c r="P405" i="12"/>
  <c r="P389" i="12"/>
  <c r="P381" i="12"/>
  <c r="P373" i="12"/>
  <c r="P357" i="12"/>
  <c r="P349" i="12"/>
  <c r="P341" i="12"/>
  <c r="P325" i="12"/>
  <c r="P317" i="12"/>
  <c r="P309" i="12"/>
  <c r="P293" i="12"/>
  <c r="P285" i="12"/>
  <c r="P277" i="12"/>
  <c r="P261" i="12"/>
  <c r="P253" i="12"/>
  <c r="P245" i="12"/>
  <c r="P229" i="12"/>
  <c r="P221" i="12"/>
  <c r="P213" i="12"/>
  <c r="P205" i="12"/>
  <c r="P197" i="12"/>
  <c r="P186" i="12"/>
  <c r="P170" i="12"/>
  <c r="P138" i="12"/>
  <c r="P106" i="12"/>
  <c r="P74" i="12"/>
  <c r="P42" i="12"/>
  <c r="P10" i="12"/>
  <c r="R183" i="12"/>
  <c r="R151" i="12"/>
  <c r="R119" i="12"/>
  <c r="R87" i="12"/>
  <c r="R55" i="12"/>
  <c r="R23" i="12"/>
  <c r="R184" i="12"/>
  <c r="P184" i="12"/>
  <c r="R120" i="12"/>
  <c r="P120" i="12"/>
  <c r="R80" i="12"/>
  <c r="P80" i="12"/>
  <c r="R8" i="12"/>
  <c r="P8" i="12"/>
  <c r="P187" i="12"/>
  <c r="R187" i="12"/>
  <c r="P179" i="12"/>
  <c r="R179" i="12"/>
  <c r="P171" i="12"/>
  <c r="R171" i="12"/>
  <c r="P163" i="12"/>
  <c r="R163" i="12"/>
  <c r="P155" i="12"/>
  <c r="R155" i="12"/>
  <c r="P147" i="12"/>
  <c r="R147" i="12"/>
  <c r="P139" i="12"/>
  <c r="R139" i="12"/>
  <c r="P131" i="12"/>
  <c r="R131" i="12"/>
  <c r="P123" i="12"/>
  <c r="R123" i="12"/>
  <c r="P115" i="12"/>
  <c r="R115" i="12"/>
  <c r="P107" i="12"/>
  <c r="R107" i="12"/>
  <c r="P99" i="12"/>
  <c r="R99" i="12"/>
  <c r="P91" i="12"/>
  <c r="R91" i="12"/>
  <c r="P83" i="12"/>
  <c r="R83" i="12"/>
  <c r="P75" i="12"/>
  <c r="R75" i="12"/>
  <c r="P67" i="12"/>
  <c r="R67" i="12"/>
  <c r="P59" i="12"/>
  <c r="R59" i="12"/>
  <c r="P51" i="12"/>
  <c r="R51" i="12"/>
  <c r="P43" i="12"/>
  <c r="R43" i="12"/>
  <c r="P35" i="12"/>
  <c r="R35" i="12"/>
  <c r="P27" i="12"/>
  <c r="R27" i="12"/>
  <c r="P19" i="12"/>
  <c r="R19" i="12"/>
  <c r="P11" i="12"/>
  <c r="R11" i="12"/>
  <c r="P500" i="12"/>
  <c r="P492" i="12"/>
  <c r="P484" i="12"/>
  <c r="P476" i="12"/>
  <c r="P468" i="12"/>
  <c r="P460" i="12"/>
  <c r="P452" i="12"/>
  <c r="P444" i="12"/>
  <c r="P436" i="12"/>
  <c r="P428" i="12"/>
  <c r="P420" i="12"/>
  <c r="P412" i="12"/>
  <c r="P404" i="12"/>
  <c r="P396" i="12"/>
  <c r="P388" i="12"/>
  <c r="P380" i="12"/>
  <c r="P372" i="12"/>
  <c r="P364" i="12"/>
  <c r="P356" i="12"/>
  <c r="P348" i="12"/>
  <c r="P340" i="12"/>
  <c r="P332" i="12"/>
  <c r="P324" i="12"/>
  <c r="P316" i="12"/>
  <c r="P308" i="12"/>
  <c r="P300" i="12"/>
  <c r="P292" i="12"/>
  <c r="P284" i="12"/>
  <c r="P276" i="12"/>
  <c r="P268" i="12"/>
  <c r="P260" i="12"/>
  <c r="P252" i="12"/>
  <c r="P244" i="12"/>
  <c r="P236" i="12"/>
  <c r="P228" i="12"/>
  <c r="P220" i="12"/>
  <c r="P212" i="12"/>
  <c r="P204" i="12"/>
  <c r="P196" i="12"/>
  <c r="P185" i="12"/>
  <c r="P169" i="12"/>
  <c r="P137" i="12"/>
  <c r="P105" i="12"/>
  <c r="P73" i="12"/>
  <c r="P41" i="12"/>
  <c r="P9" i="12"/>
  <c r="R182" i="12"/>
  <c r="R150" i="12"/>
  <c r="R118" i="12"/>
  <c r="R86" i="12"/>
  <c r="R54" i="12"/>
  <c r="R22" i="12"/>
  <c r="R144" i="12"/>
  <c r="P144" i="12"/>
  <c r="R112" i="12"/>
  <c r="P112" i="12"/>
  <c r="R40" i="12"/>
  <c r="P40" i="12"/>
  <c r="P499" i="12"/>
  <c r="P491" i="12"/>
  <c r="P483" i="12"/>
  <c r="P475" i="12"/>
  <c r="P467" i="12"/>
  <c r="P459" i="12"/>
  <c r="P451" i="12"/>
  <c r="P443" i="12"/>
  <c r="P435" i="12"/>
  <c r="P427" i="12"/>
  <c r="P419" i="12"/>
  <c r="P411" i="12"/>
  <c r="P403" i="12"/>
  <c r="P395" i="12"/>
  <c r="P387" i="12"/>
  <c r="P379" i="12"/>
  <c r="P371" i="12"/>
  <c r="P363" i="12"/>
  <c r="P355" i="12"/>
  <c r="P347" i="12"/>
  <c r="P339" i="12"/>
  <c r="P331" i="12"/>
  <c r="P323" i="12"/>
  <c r="P315" i="12"/>
  <c r="P307" i="12"/>
  <c r="P299" i="12"/>
  <c r="P291" i="12"/>
  <c r="P283" i="12"/>
  <c r="P275" i="12"/>
  <c r="P267" i="12"/>
  <c r="P259" i="12"/>
  <c r="P251" i="12"/>
  <c r="P243" i="12"/>
  <c r="P235" i="12"/>
  <c r="P227" i="12"/>
  <c r="P219" i="12"/>
  <c r="P211" i="12"/>
  <c r="P203" i="12"/>
  <c r="P195" i="12"/>
  <c r="P162" i="12"/>
  <c r="P130" i="12"/>
  <c r="P98" i="12"/>
  <c r="P66" i="12"/>
  <c r="P34" i="12"/>
  <c r="R143" i="12"/>
  <c r="R111" i="12"/>
  <c r="R79" i="12"/>
  <c r="R47" i="12"/>
  <c r="R15" i="12"/>
  <c r="R176" i="12"/>
  <c r="P176" i="12"/>
  <c r="R72" i="12"/>
  <c r="P72" i="12"/>
  <c r="R16" i="12"/>
  <c r="P16" i="12"/>
  <c r="P498" i="12"/>
  <c r="P490" i="12"/>
  <c r="P482" i="12"/>
  <c r="P474" i="12"/>
  <c r="P466" i="12"/>
  <c r="P458" i="12"/>
  <c r="P450" i="12"/>
  <c r="P442" i="12"/>
  <c r="P434" i="12"/>
  <c r="P426" i="12"/>
  <c r="P418" i="12"/>
  <c r="P410" i="12"/>
  <c r="P402" i="12"/>
  <c r="P394" i="12"/>
  <c r="P386" i="12"/>
  <c r="P378" i="12"/>
  <c r="P370" i="12"/>
  <c r="P362" i="12"/>
  <c r="P354" i="12"/>
  <c r="P346" i="12"/>
  <c r="P338" i="12"/>
  <c r="P330" i="12"/>
  <c r="P322" i="12"/>
  <c r="P314" i="12"/>
  <c r="P306" i="12"/>
  <c r="P298" i="12"/>
  <c r="P290" i="12"/>
  <c r="P282" i="12"/>
  <c r="P274" i="12"/>
  <c r="P266" i="12"/>
  <c r="P258" i="12"/>
  <c r="P250" i="12"/>
  <c r="P242" i="12"/>
  <c r="P234" i="12"/>
  <c r="P226" i="12"/>
  <c r="P218" i="12"/>
  <c r="P210" i="12"/>
  <c r="P202" i="12"/>
  <c r="P194" i="12"/>
  <c r="P161" i="12"/>
  <c r="P129" i="12"/>
  <c r="P97" i="12"/>
  <c r="P65" i="12"/>
  <c r="P33" i="12"/>
  <c r="R142" i="12"/>
  <c r="R110" i="12"/>
  <c r="R78" i="12"/>
  <c r="R46" i="12"/>
  <c r="R14" i="12"/>
  <c r="S497" i="12"/>
  <c r="Q497" i="12"/>
  <c r="J497" i="12"/>
  <c r="S489" i="12"/>
  <c r="Q489" i="12"/>
  <c r="J489" i="12"/>
  <c r="S481" i="12"/>
  <c r="Q481" i="12"/>
  <c r="J481" i="12"/>
  <c r="S473" i="12"/>
  <c r="Q473" i="12"/>
  <c r="J473" i="12"/>
  <c r="S465" i="12"/>
  <c r="Q465" i="12"/>
  <c r="J465" i="12"/>
  <c r="S457" i="12"/>
  <c r="Q457" i="12"/>
  <c r="J457" i="12"/>
  <c r="S449" i="12"/>
  <c r="Q449" i="12"/>
  <c r="J449" i="12"/>
  <c r="S441" i="12"/>
  <c r="Q441" i="12"/>
  <c r="J441" i="12"/>
  <c r="S433" i="12"/>
  <c r="Q433" i="12"/>
  <c r="J433" i="12"/>
  <c r="S425" i="12"/>
  <c r="Q425" i="12"/>
  <c r="J425" i="12"/>
  <c r="S417" i="12"/>
  <c r="Q417" i="12"/>
  <c r="J417" i="12"/>
  <c r="S409" i="12"/>
  <c r="Q409" i="12"/>
  <c r="J409" i="12"/>
  <c r="S401" i="12"/>
  <c r="Q401" i="12"/>
  <c r="J401" i="12"/>
  <c r="S393" i="12"/>
  <c r="Q393" i="12"/>
  <c r="J393" i="12"/>
  <c r="S385" i="12"/>
  <c r="Q385" i="12"/>
  <c r="J385" i="12"/>
  <c r="S377" i="12"/>
  <c r="Q377" i="12"/>
  <c r="J377" i="12"/>
  <c r="S369" i="12"/>
  <c r="Q369" i="12"/>
  <c r="J369" i="12"/>
  <c r="S361" i="12"/>
  <c r="Q361" i="12"/>
  <c r="J361" i="12"/>
  <c r="S353" i="12"/>
  <c r="Q353" i="12"/>
  <c r="J353" i="12"/>
  <c r="S345" i="12"/>
  <c r="Q345" i="12"/>
  <c r="J345" i="12"/>
  <c r="S313" i="12"/>
  <c r="Q313" i="12"/>
  <c r="S289" i="12"/>
  <c r="Q289" i="12"/>
  <c r="S241" i="12"/>
  <c r="Q241" i="12"/>
  <c r="S193" i="12"/>
  <c r="Q193" i="12"/>
  <c r="S145" i="12"/>
  <c r="Q145" i="12"/>
  <c r="S73" i="12"/>
  <c r="Q73" i="12"/>
  <c r="S33" i="12"/>
  <c r="Q33" i="12"/>
  <c r="Q496" i="12"/>
  <c r="S496" i="12"/>
  <c r="Q488" i="12"/>
  <c r="S488" i="12"/>
  <c r="S480" i="12"/>
  <c r="Q480" i="12"/>
  <c r="Q472" i="12"/>
  <c r="S472" i="12"/>
  <c r="S464" i="12"/>
  <c r="Q464" i="12"/>
  <c r="S456" i="12"/>
  <c r="Q456" i="12"/>
  <c r="S448" i="12"/>
  <c r="Q448" i="12"/>
  <c r="S440" i="12"/>
  <c r="Q440" i="12"/>
  <c r="Q432" i="12"/>
  <c r="S432" i="12"/>
  <c r="S424" i="12"/>
  <c r="Q424" i="12"/>
  <c r="S416" i="12"/>
  <c r="Q416" i="12"/>
  <c r="S408" i="12"/>
  <c r="Q408" i="12"/>
  <c r="S400" i="12"/>
  <c r="Q400" i="12"/>
  <c r="S392" i="12"/>
  <c r="Q392" i="12"/>
  <c r="S384" i="12"/>
  <c r="Q384" i="12"/>
  <c r="Q376" i="12"/>
  <c r="S376" i="12"/>
  <c r="Q368" i="12"/>
  <c r="S368" i="12"/>
  <c r="S360" i="12"/>
  <c r="Q360" i="12"/>
  <c r="S352" i="12"/>
  <c r="Q352" i="12"/>
  <c r="Q344" i="12"/>
  <c r="S344" i="12"/>
  <c r="S336" i="12"/>
  <c r="Q336" i="12"/>
  <c r="Q328" i="12"/>
  <c r="S328" i="12"/>
  <c r="S320" i="12"/>
  <c r="Q320" i="12"/>
  <c r="Q312" i="12"/>
  <c r="S312" i="12"/>
  <c r="Q304" i="12"/>
  <c r="S304" i="12"/>
  <c r="Q296" i="12"/>
  <c r="S296" i="12"/>
  <c r="S288" i="12"/>
  <c r="Q288" i="12"/>
  <c r="Q280" i="12"/>
  <c r="S280" i="12"/>
  <c r="S272" i="12"/>
  <c r="Q272" i="12"/>
  <c r="Q264" i="12"/>
  <c r="S264" i="12"/>
  <c r="S256" i="12"/>
  <c r="Q256" i="12"/>
  <c r="Q248" i="12"/>
  <c r="S248" i="12"/>
  <c r="Q240" i="12"/>
  <c r="S240" i="12"/>
  <c r="Q232" i="12"/>
  <c r="S232" i="12"/>
  <c r="S224" i="12"/>
  <c r="Q224" i="12"/>
  <c r="Q216" i="12"/>
  <c r="S216" i="12"/>
  <c r="S208" i="12"/>
  <c r="Q208" i="12"/>
  <c r="Q200" i="12"/>
  <c r="S200" i="12"/>
  <c r="S192" i="12"/>
  <c r="Q192" i="12"/>
  <c r="S184" i="12"/>
  <c r="Q184" i="12"/>
  <c r="Q176" i="12"/>
  <c r="S176" i="12"/>
  <c r="S168" i="12"/>
  <c r="Q168" i="12"/>
  <c r="Q160" i="12"/>
  <c r="S160" i="12"/>
  <c r="S152" i="12"/>
  <c r="Q152" i="12"/>
  <c r="Q144" i="12"/>
  <c r="S144" i="12"/>
  <c r="S136" i="12"/>
  <c r="Q136" i="12"/>
  <c r="S128" i="12"/>
  <c r="Q128" i="12"/>
  <c r="S120" i="12"/>
  <c r="Q120" i="12"/>
  <c r="S112" i="12"/>
  <c r="Q112" i="12"/>
  <c r="S104" i="12"/>
  <c r="Q104" i="12"/>
  <c r="S96" i="12"/>
  <c r="Q96" i="12"/>
  <c r="S88" i="12"/>
  <c r="Q88" i="12"/>
  <c r="S80" i="12"/>
  <c r="Q80" i="12"/>
  <c r="S72" i="12"/>
  <c r="Q72" i="12"/>
  <c r="S64" i="12"/>
  <c r="Q64" i="12"/>
  <c r="S56" i="12"/>
  <c r="Q56" i="12"/>
  <c r="S48" i="12"/>
  <c r="Q48" i="12"/>
  <c r="S40" i="12"/>
  <c r="Q40" i="12"/>
  <c r="S32" i="12"/>
  <c r="Q32" i="12"/>
  <c r="S24" i="12"/>
  <c r="Q24" i="12"/>
  <c r="S16" i="12"/>
  <c r="Q16" i="12"/>
  <c r="S8" i="12"/>
  <c r="Q8" i="12"/>
  <c r="J112" i="12"/>
  <c r="J48" i="12"/>
  <c r="S337" i="12"/>
  <c r="Q337" i="12"/>
  <c r="S273" i="12"/>
  <c r="Q273" i="12"/>
  <c r="S209" i="12"/>
  <c r="Q209" i="12"/>
  <c r="S153" i="12"/>
  <c r="Q153" i="12"/>
  <c r="S89" i="12"/>
  <c r="Q89" i="12"/>
  <c r="S17" i="12"/>
  <c r="Q17" i="12"/>
  <c r="Q495" i="12"/>
  <c r="S495" i="12"/>
  <c r="S487" i="12"/>
  <c r="Q487" i="12"/>
  <c r="Q479" i="12"/>
  <c r="S479" i="12"/>
  <c r="S447" i="12"/>
  <c r="Q447" i="12"/>
  <c r="S439" i="12"/>
  <c r="Q439" i="12"/>
  <c r="Q431" i="12"/>
  <c r="S431" i="12"/>
  <c r="S423" i="12"/>
  <c r="Q423" i="12"/>
  <c r="Q415" i="12"/>
  <c r="S415" i="12"/>
  <c r="S407" i="12"/>
  <c r="Q407" i="12"/>
  <c r="S399" i="12"/>
  <c r="Q399" i="12"/>
  <c r="S391" i="12"/>
  <c r="Q391" i="12"/>
  <c r="S383" i="12"/>
  <c r="Q383" i="12"/>
  <c r="S375" i="12"/>
  <c r="Q375" i="12"/>
  <c r="Q367" i="12"/>
  <c r="S367" i="12"/>
  <c r="S359" i="12"/>
  <c r="Q359" i="12"/>
  <c r="Q351" i="12"/>
  <c r="S351" i="12"/>
  <c r="S343" i="12"/>
  <c r="Q343" i="12"/>
  <c r="Q335" i="12"/>
  <c r="S335" i="12"/>
  <c r="S327" i="12"/>
  <c r="Q327" i="12"/>
  <c r="S319" i="12"/>
  <c r="Q319" i="12"/>
  <c r="S311" i="12"/>
  <c r="Q311" i="12"/>
  <c r="S303" i="12"/>
  <c r="Q303" i="12"/>
  <c r="S295" i="12"/>
  <c r="Q295" i="12"/>
  <c r="S287" i="12"/>
  <c r="Q287" i="12"/>
  <c r="Q279" i="12"/>
  <c r="S279" i="12"/>
  <c r="Q271" i="12"/>
  <c r="S271" i="12"/>
  <c r="S263" i="12"/>
  <c r="Q263" i="12"/>
  <c r="S255" i="12"/>
  <c r="Q255" i="12"/>
  <c r="S247" i="12"/>
  <c r="Q247" i="12"/>
  <c r="S239" i="12"/>
  <c r="Q239" i="12"/>
  <c r="S231" i="12"/>
  <c r="Q231" i="12"/>
  <c r="S223" i="12"/>
  <c r="Q223" i="12"/>
  <c r="S215" i="12"/>
  <c r="Q215" i="12"/>
  <c r="Q207" i="12"/>
  <c r="S207" i="12"/>
  <c r="S199" i="12"/>
  <c r="Q199" i="12"/>
  <c r="Q191" i="12"/>
  <c r="S191" i="12"/>
  <c r="S183" i="12"/>
  <c r="Q183" i="12"/>
  <c r="S175" i="12"/>
  <c r="Q175" i="12"/>
  <c r="S167" i="12"/>
  <c r="Q167" i="12"/>
  <c r="S159" i="12"/>
  <c r="Q159" i="12"/>
  <c r="S151" i="12"/>
  <c r="Q151" i="12"/>
  <c r="J151" i="12"/>
  <c r="S143" i="12"/>
  <c r="Q143" i="12"/>
  <c r="J143" i="12"/>
  <c r="J135" i="12"/>
  <c r="S135" i="12"/>
  <c r="Q135" i="12"/>
  <c r="S127" i="12"/>
  <c r="Q127" i="12"/>
  <c r="J127" i="12"/>
  <c r="S119" i="12"/>
  <c r="J119" i="12"/>
  <c r="Q119" i="12"/>
  <c r="S111" i="12"/>
  <c r="J111" i="12"/>
  <c r="Q111" i="12"/>
  <c r="S103" i="12"/>
  <c r="Q103" i="12"/>
  <c r="J103" i="12"/>
  <c r="S95" i="12"/>
  <c r="J95" i="12"/>
  <c r="Q95" i="12"/>
  <c r="S87" i="12"/>
  <c r="Q87" i="12"/>
  <c r="J87" i="12"/>
  <c r="S79" i="12"/>
  <c r="Q79" i="12"/>
  <c r="J79" i="12"/>
  <c r="S71" i="12"/>
  <c r="J71" i="12"/>
  <c r="Q71" i="12"/>
  <c r="S63" i="12"/>
  <c r="Q63" i="12"/>
  <c r="J63" i="12"/>
  <c r="S55" i="12"/>
  <c r="J55" i="12"/>
  <c r="Q55" i="12"/>
  <c r="S47" i="12"/>
  <c r="Q47" i="12"/>
  <c r="J47" i="12"/>
  <c r="S39" i="12"/>
  <c r="Q39" i="12"/>
  <c r="J39" i="12"/>
  <c r="S31" i="12"/>
  <c r="Q31" i="12"/>
  <c r="J31" i="12"/>
  <c r="S23" i="12"/>
  <c r="Q23" i="12"/>
  <c r="J23" i="12"/>
  <c r="S15" i="12"/>
  <c r="Q15" i="12"/>
  <c r="J15" i="12"/>
  <c r="J120" i="12"/>
  <c r="J56" i="12"/>
  <c r="S329" i="12"/>
  <c r="Q329" i="12"/>
  <c r="S265" i="12"/>
  <c r="Q265" i="12"/>
  <c r="S201" i="12"/>
  <c r="Q201" i="12"/>
  <c r="S161" i="12"/>
  <c r="Q161" i="12"/>
  <c r="S97" i="12"/>
  <c r="Q97" i="12"/>
  <c r="S49" i="12"/>
  <c r="Q49" i="12"/>
  <c r="Q471" i="12"/>
  <c r="S471" i="12"/>
  <c r="S478" i="12"/>
  <c r="Q478" i="12"/>
  <c r="S446" i="12"/>
  <c r="Q446" i="12"/>
  <c r="Q422" i="12"/>
  <c r="S422" i="12"/>
  <c r="S398" i="12"/>
  <c r="Q398" i="12"/>
  <c r="S390" i="12"/>
  <c r="Q390" i="12"/>
  <c r="S382" i="12"/>
  <c r="Q382" i="12"/>
  <c r="S374" i="12"/>
  <c r="Q374" i="12"/>
  <c r="S366" i="12"/>
  <c r="Q366" i="12"/>
  <c r="S350" i="12"/>
  <c r="Q350" i="12"/>
  <c r="S334" i="12"/>
  <c r="Q334" i="12"/>
  <c r="S326" i="12"/>
  <c r="Q326" i="12"/>
  <c r="S318" i="12"/>
  <c r="Q318" i="12"/>
  <c r="Q310" i="12"/>
  <c r="S310" i="12"/>
  <c r="Q302" i="12"/>
  <c r="S302" i="12"/>
  <c r="Q294" i="12"/>
  <c r="S294" i="12"/>
  <c r="S286" i="12"/>
  <c r="Q286" i="12"/>
  <c r="Q278" i="12"/>
  <c r="S278" i="12"/>
  <c r="S270" i="12"/>
  <c r="Q270" i="12"/>
  <c r="Q262" i="12"/>
  <c r="S262" i="12"/>
  <c r="Q254" i="12"/>
  <c r="S254" i="12"/>
  <c r="Q246" i="12"/>
  <c r="S246" i="12"/>
  <c r="Q238" i="12"/>
  <c r="S238" i="12"/>
  <c r="Q230" i="12"/>
  <c r="S230" i="12"/>
  <c r="S222" i="12"/>
  <c r="Q222" i="12"/>
  <c r="Q214" i="12"/>
  <c r="S214" i="12"/>
  <c r="S206" i="12"/>
  <c r="Q206" i="12"/>
  <c r="Q198" i="12"/>
  <c r="S198" i="12"/>
  <c r="Q190" i="12"/>
  <c r="S190" i="12"/>
  <c r="S182" i="12"/>
  <c r="Q182" i="12"/>
  <c r="Q174" i="12"/>
  <c r="S174" i="12"/>
  <c r="S166" i="12"/>
  <c r="Q166" i="12"/>
  <c r="Q158" i="12"/>
  <c r="S158" i="12"/>
  <c r="S150" i="12"/>
  <c r="Q150" i="12"/>
  <c r="S142" i="12"/>
  <c r="Q142" i="12"/>
  <c r="S134" i="12"/>
  <c r="Q134" i="12"/>
  <c r="S126" i="12"/>
  <c r="Q126" i="12"/>
  <c r="S118" i="12"/>
  <c r="Q118" i="12"/>
  <c r="S110" i="12"/>
  <c r="Q110" i="12"/>
  <c r="S102" i="12"/>
  <c r="Q102" i="12"/>
  <c r="S94" i="12"/>
  <c r="Q94" i="12"/>
  <c r="S86" i="12"/>
  <c r="Q86" i="12"/>
  <c r="S78" i="12"/>
  <c r="Q78" i="12"/>
  <c r="S70" i="12"/>
  <c r="Q70" i="12"/>
  <c r="S62" i="12"/>
  <c r="Q62" i="12"/>
  <c r="S54" i="12"/>
  <c r="Q54" i="12"/>
  <c r="S46" i="12"/>
  <c r="Q46" i="12"/>
  <c r="S38" i="12"/>
  <c r="Q38" i="12"/>
  <c r="S30" i="12"/>
  <c r="Q30" i="12"/>
  <c r="S22" i="12"/>
  <c r="Q22" i="12"/>
  <c r="S14" i="12"/>
  <c r="Q14" i="12"/>
  <c r="J128" i="12"/>
  <c r="J118" i="12"/>
  <c r="J73" i="12"/>
  <c r="J64" i="12"/>
  <c r="J54" i="12"/>
  <c r="S297" i="12"/>
  <c r="Q297" i="12"/>
  <c r="S249" i="12"/>
  <c r="Q249" i="12"/>
  <c r="S225" i="12"/>
  <c r="Q225" i="12"/>
  <c r="S177" i="12"/>
  <c r="Q177" i="12"/>
  <c r="Q129" i="12"/>
  <c r="S129" i="12"/>
  <c r="S65" i="12"/>
  <c r="Q65" i="12"/>
  <c r="S41" i="12"/>
  <c r="Q41" i="12"/>
  <c r="S455" i="12"/>
  <c r="Q455" i="12"/>
  <c r="S494" i="12"/>
  <c r="Q494" i="12"/>
  <c r="Q470" i="12"/>
  <c r="S470" i="12"/>
  <c r="Q454" i="12"/>
  <c r="S454" i="12"/>
  <c r="S430" i="12"/>
  <c r="Q430" i="12"/>
  <c r="S406" i="12"/>
  <c r="Q406" i="12"/>
  <c r="S342" i="12"/>
  <c r="Q342" i="12"/>
  <c r="S493" i="12"/>
  <c r="Q493" i="12"/>
  <c r="S477" i="12"/>
  <c r="Q477" i="12"/>
  <c r="S469" i="12"/>
  <c r="Q469" i="12"/>
  <c r="S461" i="12"/>
  <c r="Q461" i="12"/>
  <c r="S453" i="12"/>
  <c r="Q453" i="12"/>
  <c r="S445" i="12"/>
  <c r="Q445" i="12"/>
  <c r="S437" i="12"/>
  <c r="Q437" i="12"/>
  <c r="S429" i="12"/>
  <c r="Q429" i="12"/>
  <c r="S421" i="12"/>
  <c r="Q421" i="12"/>
  <c r="S413" i="12"/>
  <c r="Q413" i="12"/>
  <c r="S405" i="12"/>
  <c r="Q405" i="12"/>
  <c r="S397" i="12"/>
  <c r="Q397" i="12"/>
  <c r="S389" i="12"/>
  <c r="Q389" i="12"/>
  <c r="S381" i="12"/>
  <c r="Q381" i="12"/>
  <c r="S373" i="12"/>
  <c r="Q373" i="12"/>
  <c r="S365" i="12"/>
  <c r="Q365" i="12"/>
  <c r="S357" i="12"/>
  <c r="Q357" i="12"/>
  <c r="S349" i="12"/>
  <c r="Q349" i="12"/>
  <c r="S341" i="12"/>
  <c r="Q341" i="12"/>
  <c r="S333" i="12"/>
  <c r="Q333" i="12"/>
  <c r="S325" i="12"/>
  <c r="Q325" i="12"/>
  <c r="S317" i="12"/>
  <c r="Q317" i="12"/>
  <c r="S309" i="12"/>
  <c r="Q309" i="12"/>
  <c r="S301" i="12"/>
  <c r="Q301" i="12"/>
  <c r="S293" i="12"/>
  <c r="Q293" i="12"/>
  <c r="S285" i="12"/>
  <c r="Q285" i="12"/>
  <c r="S277" i="12"/>
  <c r="Q277" i="12"/>
  <c r="S269" i="12"/>
  <c r="Q269" i="12"/>
  <c r="S261" i="12"/>
  <c r="Q261" i="12"/>
  <c r="S253" i="12"/>
  <c r="Q253" i="12"/>
  <c r="S245" i="12"/>
  <c r="Q245" i="12"/>
  <c r="S237" i="12"/>
  <c r="Q237" i="12"/>
  <c r="S229" i="12"/>
  <c r="Q229" i="12"/>
  <c r="S221" i="12"/>
  <c r="Q221" i="12"/>
  <c r="S213" i="12"/>
  <c r="Q213" i="12"/>
  <c r="S205" i="12"/>
  <c r="Q205" i="12"/>
  <c r="S197" i="12"/>
  <c r="Q197" i="12"/>
  <c r="S189" i="12"/>
  <c r="Q189" i="12"/>
  <c r="S181" i="12"/>
  <c r="Q181" i="12"/>
  <c r="S173" i="12"/>
  <c r="Q173" i="12"/>
  <c r="S165" i="12"/>
  <c r="Q165" i="12"/>
  <c r="S157" i="12"/>
  <c r="Q157" i="12"/>
  <c r="S149" i="12"/>
  <c r="Q149" i="12"/>
  <c r="S141" i="12"/>
  <c r="Q141" i="12"/>
  <c r="S133" i="12"/>
  <c r="Q133" i="12"/>
  <c r="S125" i="12"/>
  <c r="Q125" i="12"/>
  <c r="S117" i="12"/>
  <c r="Q117" i="12"/>
  <c r="S109" i="12"/>
  <c r="Q109" i="12"/>
  <c r="S101" i="12"/>
  <c r="Q101" i="12"/>
  <c r="S93" i="12"/>
  <c r="Q93" i="12"/>
  <c r="S85" i="12"/>
  <c r="Q85" i="12"/>
  <c r="S77" i="12"/>
  <c r="Q77" i="12"/>
  <c r="S69" i="12"/>
  <c r="Q69" i="12"/>
  <c r="S61" i="12"/>
  <c r="Q61" i="12"/>
  <c r="S53" i="12"/>
  <c r="Q53" i="12"/>
  <c r="S45" i="12"/>
  <c r="Q45" i="12"/>
  <c r="S37" i="12"/>
  <c r="Q37" i="12"/>
  <c r="S29" i="12"/>
  <c r="Q29" i="12"/>
  <c r="S21" i="12"/>
  <c r="Q21" i="12"/>
  <c r="S13" i="12"/>
  <c r="Q13" i="12"/>
  <c r="J145" i="12"/>
  <c r="J136" i="12"/>
  <c r="J126" i="12"/>
  <c r="J117" i="12"/>
  <c r="J72" i="12"/>
  <c r="J62" i="12"/>
  <c r="J53" i="12"/>
  <c r="J17" i="12"/>
  <c r="J8" i="12"/>
  <c r="S321" i="12"/>
  <c r="Q321" i="12"/>
  <c r="S281" i="12"/>
  <c r="Q281" i="12"/>
  <c r="S233" i="12"/>
  <c r="Q233" i="12"/>
  <c r="S185" i="12"/>
  <c r="Q185" i="12"/>
  <c r="S137" i="12"/>
  <c r="Q137" i="12"/>
  <c r="S57" i="12"/>
  <c r="Q57" i="12"/>
  <c r="S25" i="12"/>
  <c r="Q25" i="12"/>
  <c r="S463" i="12"/>
  <c r="Q463" i="12"/>
  <c r="Q486" i="12"/>
  <c r="S486" i="12"/>
  <c r="S462" i="12"/>
  <c r="Q462" i="12"/>
  <c r="Q438" i="12"/>
  <c r="S438" i="12"/>
  <c r="S414" i="12"/>
  <c r="Q414" i="12"/>
  <c r="S358" i="12"/>
  <c r="Q358" i="12"/>
  <c r="S485" i="12"/>
  <c r="Q485" i="12"/>
  <c r="S500" i="12"/>
  <c r="Q500" i="12"/>
  <c r="Q492" i="12"/>
  <c r="S492" i="12"/>
  <c r="Q484" i="12"/>
  <c r="S484" i="12"/>
  <c r="Q476" i="12"/>
  <c r="S476" i="12"/>
  <c r="Q468" i="12"/>
  <c r="S468" i="12"/>
  <c r="Q460" i="12"/>
  <c r="S460" i="12"/>
  <c r="Q452" i="12"/>
  <c r="S452" i="12"/>
  <c r="Q444" i="12"/>
  <c r="S444" i="12"/>
  <c r="S436" i="12"/>
  <c r="Q436" i="12"/>
  <c r="Q428" i="12"/>
  <c r="S428" i="12"/>
  <c r="Q420" i="12"/>
  <c r="S420" i="12"/>
  <c r="Q412" i="12"/>
  <c r="S412" i="12"/>
  <c r="Q404" i="12"/>
  <c r="S404" i="12"/>
  <c r="Q396" i="12"/>
  <c r="S396" i="12"/>
  <c r="Q388" i="12"/>
  <c r="S388" i="12"/>
  <c r="Q380" i="12"/>
  <c r="S380" i="12"/>
  <c r="S372" i="12"/>
  <c r="Q372" i="12"/>
  <c r="Q364" i="12"/>
  <c r="S364" i="12"/>
  <c r="Q356" i="12"/>
  <c r="S356" i="12"/>
  <c r="Q348" i="12"/>
  <c r="S348" i="12"/>
  <c r="Q340" i="12"/>
  <c r="S340" i="12"/>
  <c r="Q332" i="12"/>
  <c r="S332" i="12"/>
  <c r="Q324" i="12"/>
  <c r="S324" i="12"/>
  <c r="Q316" i="12"/>
  <c r="S316" i="12"/>
  <c r="S308" i="12"/>
  <c r="Q308" i="12"/>
  <c r="Q300" i="12"/>
  <c r="S300" i="12"/>
  <c r="Q292" i="12"/>
  <c r="S292" i="12"/>
  <c r="Q284" i="12"/>
  <c r="S284" i="12"/>
  <c r="Q276" i="12"/>
  <c r="S276" i="12"/>
  <c r="Q268" i="12"/>
  <c r="S268" i="12"/>
  <c r="Q260" i="12"/>
  <c r="S260" i="12"/>
  <c r="Q252" i="12"/>
  <c r="S252" i="12"/>
  <c r="S244" i="12"/>
  <c r="Q244" i="12"/>
  <c r="Q236" i="12"/>
  <c r="S236" i="12"/>
  <c r="Q228" i="12"/>
  <c r="S228" i="12"/>
  <c r="Q220" i="12"/>
  <c r="S220" i="12"/>
  <c r="Q212" i="12"/>
  <c r="S212" i="12"/>
  <c r="Q204" i="12"/>
  <c r="S204" i="12"/>
  <c r="Q196" i="12"/>
  <c r="S196" i="12"/>
  <c r="S188" i="12"/>
  <c r="Q188" i="12"/>
  <c r="Q180" i="12"/>
  <c r="S180" i="12"/>
  <c r="Q172" i="12"/>
  <c r="S172" i="12"/>
  <c r="Q164" i="12"/>
  <c r="S164" i="12"/>
  <c r="S156" i="12"/>
  <c r="Q156" i="12"/>
  <c r="Q148" i="12"/>
  <c r="S148" i="12"/>
  <c r="S140" i="12"/>
  <c r="Q140" i="12"/>
  <c r="S132" i="12"/>
  <c r="Q132" i="12"/>
  <c r="Q124" i="12"/>
  <c r="S124" i="12"/>
  <c r="S116" i="12"/>
  <c r="Q116" i="12"/>
  <c r="Q108" i="12"/>
  <c r="S108" i="12"/>
  <c r="S100" i="12"/>
  <c r="Q100" i="12"/>
  <c r="Q92" i="12"/>
  <c r="S92" i="12"/>
  <c r="S84" i="12"/>
  <c r="Q84" i="12"/>
  <c r="Q76" i="12"/>
  <c r="S76" i="12"/>
  <c r="S68" i="12"/>
  <c r="Q68" i="12"/>
  <c r="S60" i="12"/>
  <c r="Q60" i="12"/>
  <c r="S52" i="12"/>
  <c r="Q52" i="12"/>
  <c r="S44" i="12"/>
  <c r="Q44" i="12"/>
  <c r="S36" i="12"/>
  <c r="Q36" i="12"/>
  <c r="S28" i="12"/>
  <c r="Q28" i="12"/>
  <c r="S20" i="12"/>
  <c r="Q20" i="12"/>
  <c r="S12" i="12"/>
  <c r="Q12" i="12"/>
  <c r="J337" i="12"/>
  <c r="J329" i="12"/>
  <c r="J321" i="12"/>
  <c r="J313" i="12"/>
  <c r="J297" i="12"/>
  <c r="J289" i="12"/>
  <c r="J281" i="12"/>
  <c r="J273" i="12"/>
  <c r="J265" i="12"/>
  <c r="J249" i="12"/>
  <c r="J241" i="12"/>
  <c r="J233" i="12"/>
  <c r="J225" i="12"/>
  <c r="J209" i="12"/>
  <c r="J201" i="12"/>
  <c r="J193" i="12"/>
  <c r="J185" i="12"/>
  <c r="J177" i="12"/>
  <c r="J161" i="12"/>
  <c r="J153" i="12"/>
  <c r="J144" i="12"/>
  <c r="J134" i="12"/>
  <c r="J125" i="12"/>
  <c r="J116" i="12"/>
  <c r="J89" i="12"/>
  <c r="J80" i="12"/>
  <c r="J70" i="12"/>
  <c r="J61" i="12"/>
  <c r="J52" i="12"/>
  <c r="J25" i="12"/>
  <c r="J16" i="12"/>
  <c r="S105" i="12"/>
  <c r="Q105" i="12"/>
  <c r="S499" i="12"/>
  <c r="Q499" i="12"/>
  <c r="S483" i="12"/>
  <c r="Q483" i="12"/>
  <c r="S467" i="12"/>
  <c r="Q467" i="12"/>
  <c r="S451" i="12"/>
  <c r="Q451" i="12"/>
  <c r="S435" i="12"/>
  <c r="Q435" i="12"/>
  <c r="S419" i="12"/>
  <c r="Q419" i="12"/>
  <c r="S403" i="12"/>
  <c r="Q403" i="12"/>
  <c r="S387" i="12"/>
  <c r="Q387" i="12"/>
  <c r="S371" i="12"/>
  <c r="Q371" i="12"/>
  <c r="S363" i="12"/>
  <c r="Q363" i="12"/>
  <c r="S355" i="12"/>
  <c r="Q355" i="12"/>
  <c r="S347" i="12"/>
  <c r="Q347" i="12"/>
  <c r="S339" i="12"/>
  <c r="Q339" i="12"/>
  <c r="S331" i="12"/>
  <c r="Q331" i="12"/>
  <c r="S323" i="12"/>
  <c r="Q323" i="12"/>
  <c r="S315" i="12"/>
  <c r="Q315" i="12"/>
  <c r="S299" i="12"/>
  <c r="Q299" i="12"/>
  <c r="S291" i="12"/>
  <c r="Q291" i="12"/>
  <c r="S283" i="12"/>
  <c r="Q283" i="12"/>
  <c r="S275" i="12"/>
  <c r="Q275" i="12"/>
  <c r="S267" i="12"/>
  <c r="Q267" i="12"/>
  <c r="S259" i="12"/>
  <c r="Q259" i="12"/>
  <c r="S251" i="12"/>
  <c r="Q251" i="12"/>
  <c r="S243" i="12"/>
  <c r="Q243" i="12"/>
  <c r="S235" i="12"/>
  <c r="Q235" i="12"/>
  <c r="S227" i="12"/>
  <c r="Q227" i="12"/>
  <c r="S219" i="12"/>
  <c r="Q219" i="12"/>
  <c r="S211" i="12"/>
  <c r="Q211" i="12"/>
  <c r="S203" i="12"/>
  <c r="Q203" i="12"/>
  <c r="S195" i="12"/>
  <c r="Q195" i="12"/>
  <c r="S187" i="12"/>
  <c r="Q187" i="12"/>
  <c r="S179" i="12"/>
  <c r="Q179" i="12"/>
  <c r="S171" i="12"/>
  <c r="Q171" i="12"/>
  <c r="S163" i="12"/>
  <c r="Q163" i="12"/>
  <c r="S155" i="12"/>
  <c r="Q155" i="12"/>
  <c r="S147" i="12"/>
  <c r="Q147" i="12"/>
  <c r="Q139" i="12"/>
  <c r="S139" i="12"/>
  <c r="S131" i="12"/>
  <c r="Q131" i="12"/>
  <c r="S123" i="12"/>
  <c r="Q123" i="12"/>
  <c r="S115" i="12"/>
  <c r="Q115" i="12"/>
  <c r="S107" i="12"/>
  <c r="Q107" i="12"/>
  <c r="Q99" i="12"/>
  <c r="S99" i="12"/>
  <c r="Q91" i="12"/>
  <c r="S91" i="12"/>
  <c r="S83" i="12"/>
  <c r="Q83" i="12"/>
  <c r="S75" i="12"/>
  <c r="Q75" i="12"/>
  <c r="S67" i="12"/>
  <c r="Q67" i="12"/>
  <c r="S59" i="12"/>
  <c r="Q59" i="12"/>
  <c r="S51" i="12"/>
  <c r="Q51" i="12"/>
  <c r="Q43" i="12"/>
  <c r="S43" i="12"/>
  <c r="Q35" i="12"/>
  <c r="S35" i="12"/>
  <c r="Q27" i="12"/>
  <c r="S27" i="12"/>
  <c r="Q19" i="12"/>
  <c r="S19" i="12"/>
  <c r="Q11" i="12"/>
  <c r="S11" i="12"/>
  <c r="J142" i="12"/>
  <c r="J115" i="12"/>
  <c r="J97" i="12"/>
  <c r="J78" i="12"/>
  <c r="J51" i="12"/>
  <c r="J33" i="12"/>
  <c r="J14" i="12"/>
  <c r="S113" i="12"/>
  <c r="Q113" i="12"/>
  <c r="S491" i="12"/>
  <c r="Q491" i="12"/>
  <c r="S475" i="12"/>
  <c r="Q475" i="12"/>
  <c r="S459" i="12"/>
  <c r="Q459" i="12"/>
  <c r="S443" i="12"/>
  <c r="Q443" i="12"/>
  <c r="S427" i="12"/>
  <c r="Q427" i="12"/>
  <c r="S411" i="12"/>
  <c r="Q411" i="12"/>
  <c r="S395" i="12"/>
  <c r="Q395" i="12"/>
  <c r="S379" i="12"/>
  <c r="Q379" i="12"/>
  <c r="S307" i="12"/>
  <c r="Q307" i="12"/>
  <c r="Q498" i="12"/>
  <c r="S498" i="12"/>
  <c r="S490" i="12"/>
  <c r="Q490" i="12"/>
  <c r="S482" i="12"/>
  <c r="Q482" i="12"/>
  <c r="S474" i="12"/>
  <c r="Q474" i="12"/>
  <c r="S466" i="12"/>
  <c r="Q466" i="12"/>
  <c r="Q458" i="12"/>
  <c r="S458" i="12"/>
  <c r="Q450" i="12"/>
  <c r="S450" i="12"/>
  <c r="S442" i="12"/>
  <c r="Q442" i="12"/>
  <c r="Q434" i="12"/>
  <c r="S434" i="12"/>
  <c r="S426" i="12"/>
  <c r="Q426" i="12"/>
  <c r="Q418" i="12"/>
  <c r="S418" i="12"/>
  <c r="S410" i="12"/>
  <c r="Q410" i="12"/>
  <c r="S402" i="12"/>
  <c r="Q402" i="12"/>
  <c r="Q394" i="12"/>
  <c r="S394" i="12"/>
  <c r="Q386" i="12"/>
  <c r="S386" i="12"/>
  <c r="S378" i="12"/>
  <c r="Q378" i="12"/>
  <c r="Q370" i="12"/>
  <c r="S370" i="12"/>
  <c r="S362" i="12"/>
  <c r="Q362" i="12"/>
  <c r="Q354" i="12"/>
  <c r="S354" i="12"/>
  <c r="S346" i="12"/>
  <c r="Q346" i="12"/>
  <c r="S338" i="12"/>
  <c r="Q338" i="12"/>
  <c r="Q330" i="12"/>
  <c r="S330" i="12"/>
  <c r="S322" i="12"/>
  <c r="Q322" i="12"/>
  <c r="S314" i="12"/>
  <c r="Q314" i="12"/>
  <c r="Q306" i="12"/>
  <c r="S306" i="12"/>
  <c r="S298" i="12"/>
  <c r="Q298" i="12"/>
  <c r="S290" i="12"/>
  <c r="Q290" i="12"/>
  <c r="S282" i="12"/>
  <c r="Q282" i="12"/>
  <c r="Q274" i="12"/>
  <c r="S274" i="12"/>
  <c r="Q266" i="12"/>
  <c r="S266" i="12"/>
  <c r="S258" i="12"/>
  <c r="Q258" i="12"/>
  <c r="S250" i="12"/>
  <c r="Q250" i="12"/>
  <c r="Q242" i="12"/>
  <c r="S242" i="12"/>
  <c r="S234" i="12"/>
  <c r="Q234" i="12"/>
  <c r="S226" i="12"/>
  <c r="Q226" i="12"/>
  <c r="S218" i="12"/>
  <c r="Q218" i="12"/>
  <c r="Q210" i="12"/>
  <c r="S210" i="12"/>
  <c r="Q202" i="12"/>
  <c r="S202" i="12"/>
  <c r="S194" i="12"/>
  <c r="Q194" i="12"/>
  <c r="S186" i="12"/>
  <c r="Q186" i="12"/>
  <c r="S178" i="12"/>
  <c r="Q178" i="12"/>
  <c r="S170" i="12"/>
  <c r="Q170" i="12"/>
  <c r="S162" i="12"/>
  <c r="Q162" i="12"/>
  <c r="S154" i="12"/>
  <c r="Q154" i="12"/>
  <c r="S146" i="12"/>
  <c r="Q146" i="12"/>
  <c r="S138" i="12"/>
  <c r="Q138" i="12"/>
  <c r="S130" i="12"/>
  <c r="Q130" i="12"/>
  <c r="S122" i="12"/>
  <c r="Q122" i="12"/>
  <c r="S114" i="12"/>
  <c r="Q114" i="12"/>
  <c r="S106" i="12"/>
  <c r="Q106" i="12"/>
  <c r="S98" i="12"/>
  <c r="Q98" i="12"/>
  <c r="S90" i="12"/>
  <c r="Q90" i="12"/>
  <c r="S82" i="12"/>
  <c r="Q82" i="12"/>
  <c r="S74" i="12"/>
  <c r="Q74" i="12"/>
  <c r="S66" i="12"/>
  <c r="Q66" i="12"/>
  <c r="S58" i="12"/>
  <c r="Q58" i="12"/>
  <c r="S50" i="12"/>
  <c r="Q50" i="12"/>
  <c r="S42" i="12"/>
  <c r="Q42" i="12"/>
  <c r="S34" i="12"/>
  <c r="Q34" i="12"/>
  <c r="S26" i="12"/>
  <c r="Q26" i="12"/>
  <c r="S18" i="12"/>
  <c r="Q18" i="12"/>
  <c r="S10" i="12"/>
  <c r="Q10" i="12"/>
  <c r="J495" i="12"/>
  <c r="J487" i="12"/>
  <c r="J479" i="12"/>
  <c r="J471" i="12"/>
  <c r="J463" i="12"/>
  <c r="J455" i="12"/>
  <c r="J447" i="12"/>
  <c r="J439" i="12"/>
  <c r="J431" i="12"/>
  <c r="J423" i="12"/>
  <c r="J415" i="12"/>
  <c r="J407" i="12"/>
  <c r="J399" i="12"/>
  <c r="J391" i="12"/>
  <c r="J383" i="12"/>
  <c r="J375" i="12"/>
  <c r="J367" i="12"/>
  <c r="J359" i="12"/>
  <c r="J351" i="12"/>
  <c r="J343" i="12"/>
  <c r="J335" i="12"/>
  <c r="J327" i="12"/>
  <c r="J319" i="12"/>
  <c r="J311" i="12"/>
  <c r="J303" i="12"/>
  <c r="J295" i="12"/>
  <c r="J287" i="12"/>
  <c r="J279" i="12"/>
  <c r="J271" i="12"/>
  <c r="J263" i="12"/>
  <c r="J255" i="12"/>
  <c r="J247" i="12"/>
  <c r="J239" i="12"/>
  <c r="J231" i="12"/>
  <c r="J223" i="12"/>
  <c r="J215" i="12"/>
  <c r="J207" i="12"/>
  <c r="J199" i="12"/>
  <c r="J191" i="12"/>
  <c r="J183" i="12"/>
  <c r="J175" i="12"/>
  <c r="J167" i="12"/>
  <c r="J159" i="12"/>
  <c r="J150" i="12"/>
  <c r="J123" i="12"/>
  <c r="J114" i="12"/>
  <c r="J105" i="12"/>
  <c r="J86" i="12"/>
  <c r="J59" i="12"/>
  <c r="J50" i="12"/>
  <c r="J41" i="12"/>
  <c r="J22" i="12"/>
  <c r="S305" i="12"/>
  <c r="Q305" i="12"/>
  <c r="S257" i="12"/>
  <c r="Q257" i="12"/>
  <c r="S217" i="12"/>
  <c r="Q217" i="12"/>
  <c r="Q169" i="12"/>
  <c r="S169" i="12"/>
  <c r="S121" i="12"/>
  <c r="Q121" i="12"/>
  <c r="S81" i="12"/>
  <c r="Q81" i="12"/>
  <c r="S9" i="12"/>
  <c r="Q9" i="12"/>
  <c r="J113" i="12"/>
  <c r="J49" i="12"/>
  <c r="U33" i="13"/>
  <c r="U32" i="13"/>
  <c r="U31" i="13"/>
  <c r="U30" i="13"/>
  <c r="U29" i="13"/>
  <c r="U28" i="13"/>
  <c r="U27" i="13"/>
  <c r="U26" i="13"/>
  <c r="U25" i="13"/>
  <c r="U24" i="13"/>
  <c r="U23" i="13"/>
  <c r="U22" i="13"/>
  <c r="U21" i="13"/>
  <c r="U20" i="13"/>
  <c r="U19" i="13"/>
  <c r="U18" i="13"/>
  <c r="U17" i="13"/>
  <c r="U16" i="13"/>
  <c r="U15" i="13"/>
  <c r="U14" i="13"/>
  <c r="U13" i="13"/>
  <c r="U12" i="13"/>
  <c r="U11" i="13"/>
  <c r="U10" i="13"/>
  <c r="U9" i="13"/>
  <c r="S33" i="13"/>
  <c r="B18" i="16"/>
  <c r="B19" i="16"/>
  <c r="B20" i="16"/>
  <c r="N8" i="12"/>
  <c r="N9" i="12"/>
  <c r="N10" i="12"/>
  <c r="N11" i="12"/>
  <c r="N12" i="12"/>
  <c r="N13" i="12"/>
  <c r="N14" i="12"/>
  <c r="N15" i="12"/>
  <c r="N16" i="12"/>
  <c r="N17" i="12"/>
  <c r="N18" i="12"/>
  <c r="N19" i="12"/>
  <c r="N20" i="12"/>
  <c r="N21" i="12"/>
  <c r="N22" i="12"/>
  <c r="N23" i="12"/>
  <c r="N24" i="12"/>
  <c r="N25" i="12"/>
  <c r="N26" i="12"/>
  <c r="N27" i="12"/>
  <c r="N28" i="12"/>
  <c r="N29" i="12"/>
  <c r="N30" i="12"/>
  <c r="N31" i="12"/>
  <c r="N32" i="12"/>
  <c r="N33" i="12"/>
  <c r="N34" i="12"/>
  <c r="N35" i="12"/>
  <c r="N36" i="12"/>
  <c r="N37" i="12"/>
  <c r="N38" i="12"/>
  <c r="N39" i="12"/>
  <c r="N40" i="12"/>
  <c r="N41" i="12"/>
  <c r="N42" i="12"/>
  <c r="N43" i="12"/>
  <c r="N44" i="12"/>
  <c r="N45" i="12"/>
  <c r="N46" i="12"/>
  <c r="N47" i="12"/>
  <c r="N48" i="12"/>
  <c r="N49" i="12"/>
  <c r="N50" i="12"/>
  <c r="N51" i="12"/>
  <c r="N52" i="12"/>
  <c r="N53" i="12"/>
  <c r="N54" i="12"/>
  <c r="N55" i="12"/>
  <c r="N56" i="12"/>
  <c r="N57" i="12"/>
  <c r="N58" i="12"/>
  <c r="N59" i="12"/>
  <c r="N60" i="12"/>
  <c r="N61" i="12"/>
  <c r="N62" i="12"/>
  <c r="N63" i="12"/>
  <c r="N64" i="12"/>
  <c r="N65" i="12"/>
  <c r="N66" i="12"/>
  <c r="N67" i="12"/>
  <c r="N68" i="12"/>
  <c r="N69" i="12"/>
  <c r="N70" i="12"/>
  <c r="N71" i="12"/>
  <c r="N72" i="12"/>
  <c r="N73" i="12"/>
  <c r="N74" i="12"/>
  <c r="N75" i="12"/>
  <c r="N76" i="12"/>
  <c r="N77" i="12"/>
  <c r="N78" i="12"/>
  <c r="N79" i="12"/>
  <c r="N80" i="12"/>
  <c r="N81" i="12"/>
  <c r="N82" i="12"/>
  <c r="N83" i="12"/>
  <c r="N84" i="12"/>
  <c r="N85" i="12"/>
  <c r="N86" i="12"/>
  <c r="N87" i="12"/>
  <c r="N88" i="12"/>
  <c r="N89" i="12"/>
  <c r="N90" i="12"/>
  <c r="N91" i="12"/>
  <c r="N92" i="12"/>
  <c r="N93" i="12"/>
  <c r="N94" i="12"/>
  <c r="N95" i="12"/>
  <c r="N96" i="12"/>
  <c r="N97" i="12"/>
  <c r="N98" i="12"/>
  <c r="N99" i="12"/>
  <c r="N100" i="12"/>
  <c r="N101" i="12"/>
  <c r="N102" i="12"/>
  <c r="N103" i="12"/>
  <c r="N104" i="12"/>
  <c r="N105" i="12"/>
  <c r="N106" i="12"/>
  <c r="N107" i="12"/>
  <c r="N108" i="12"/>
  <c r="N109" i="12"/>
  <c r="N110" i="12"/>
  <c r="N111" i="12"/>
  <c r="N112" i="12"/>
  <c r="N113" i="12"/>
  <c r="N114" i="12"/>
  <c r="N115" i="12"/>
  <c r="N116" i="12"/>
  <c r="N117" i="12"/>
  <c r="N118" i="12"/>
  <c r="N119" i="12"/>
  <c r="N120" i="12"/>
  <c r="N121" i="12"/>
  <c r="N122" i="12"/>
  <c r="N123" i="12"/>
  <c r="N124" i="12"/>
  <c r="N125" i="12"/>
  <c r="N126" i="12"/>
  <c r="N127" i="12"/>
  <c r="N128" i="12"/>
  <c r="N129" i="12"/>
  <c r="N130" i="12"/>
  <c r="N131" i="12"/>
  <c r="N132" i="12"/>
  <c r="N133" i="12"/>
  <c r="N134" i="12"/>
  <c r="N135" i="12"/>
  <c r="N136" i="12"/>
  <c r="N137" i="12"/>
  <c r="N138" i="12"/>
  <c r="N139" i="12"/>
  <c r="N140" i="12"/>
  <c r="N141" i="12"/>
  <c r="N142" i="12"/>
  <c r="N143" i="12"/>
  <c r="N144" i="12"/>
  <c r="N145" i="12"/>
  <c r="N146" i="12"/>
  <c r="N147" i="12"/>
  <c r="N148" i="12"/>
  <c r="N149" i="12"/>
  <c r="N150" i="12"/>
  <c r="N151" i="12"/>
  <c r="N152" i="12"/>
  <c r="N153" i="12"/>
  <c r="N154" i="12"/>
  <c r="N155" i="12"/>
  <c r="N156" i="12"/>
  <c r="N157" i="12"/>
  <c r="N158" i="12"/>
  <c r="N159" i="12"/>
  <c r="N160" i="12"/>
  <c r="N161" i="12"/>
  <c r="N162" i="12"/>
  <c r="N163" i="12"/>
  <c r="N164" i="12"/>
  <c r="N165" i="12"/>
  <c r="N166" i="12"/>
  <c r="N167" i="12"/>
  <c r="N168" i="12"/>
  <c r="N169" i="12"/>
  <c r="N170" i="12"/>
  <c r="N171" i="12"/>
  <c r="N172" i="12"/>
  <c r="N173" i="12"/>
  <c r="N174" i="12"/>
  <c r="N175" i="12"/>
  <c r="N176" i="12"/>
  <c r="N177" i="12"/>
  <c r="N178" i="12"/>
  <c r="N179" i="12"/>
  <c r="N180" i="12"/>
  <c r="N181" i="12"/>
  <c r="N182" i="12"/>
  <c r="N183" i="12"/>
  <c r="N184" i="12"/>
  <c r="N185" i="12"/>
  <c r="N186" i="12"/>
  <c r="N187" i="12"/>
  <c r="N188" i="12"/>
  <c r="N189" i="12"/>
  <c r="N190" i="12"/>
  <c r="N191" i="12"/>
  <c r="N192" i="12"/>
  <c r="N193" i="12"/>
  <c r="N194" i="12"/>
  <c r="N195" i="12"/>
  <c r="N196" i="12"/>
  <c r="N197" i="12"/>
  <c r="N198" i="12"/>
  <c r="N199" i="12"/>
  <c r="N200" i="12"/>
  <c r="N201" i="12"/>
  <c r="N202" i="12"/>
  <c r="N203" i="12"/>
  <c r="N204" i="12"/>
  <c r="N205" i="12"/>
  <c r="N206" i="12"/>
  <c r="N207" i="12"/>
  <c r="N208" i="12"/>
  <c r="N209" i="12"/>
  <c r="N210" i="12"/>
  <c r="N211" i="12"/>
  <c r="N212" i="12"/>
  <c r="N213" i="12"/>
  <c r="N214" i="12"/>
  <c r="N215" i="12"/>
  <c r="N216" i="12"/>
  <c r="N217" i="12"/>
  <c r="N218" i="12"/>
  <c r="N219" i="12"/>
  <c r="N220" i="12"/>
  <c r="N221" i="12"/>
  <c r="N222" i="12"/>
  <c r="N223" i="12"/>
  <c r="N224" i="12"/>
  <c r="N225" i="12"/>
  <c r="N226" i="12"/>
  <c r="N227" i="12"/>
  <c r="N228" i="12"/>
  <c r="N229" i="12"/>
  <c r="N230" i="12"/>
  <c r="N231" i="12"/>
  <c r="N232" i="12"/>
  <c r="N233" i="12"/>
  <c r="N234" i="12"/>
  <c r="N235" i="12"/>
  <c r="N236" i="12"/>
  <c r="N237" i="12"/>
  <c r="N238" i="12"/>
  <c r="N239" i="12"/>
  <c r="N240" i="12"/>
  <c r="N241" i="12"/>
  <c r="N242" i="12"/>
  <c r="N243" i="12"/>
  <c r="N244" i="12"/>
  <c r="N245" i="12"/>
  <c r="N246" i="12"/>
  <c r="N247" i="12"/>
  <c r="N248" i="12"/>
  <c r="N249" i="12"/>
  <c r="N250" i="12"/>
  <c r="N251" i="12"/>
  <c r="N252" i="12"/>
  <c r="N253" i="12"/>
  <c r="N254" i="12"/>
  <c r="N255" i="12"/>
  <c r="N256" i="12"/>
  <c r="N257" i="12"/>
  <c r="N258" i="12"/>
  <c r="N259" i="12"/>
  <c r="N260" i="12"/>
  <c r="N261" i="12"/>
  <c r="N262" i="12"/>
  <c r="N263" i="12"/>
  <c r="N264" i="12"/>
  <c r="N265" i="12"/>
  <c r="N266" i="12"/>
  <c r="N267" i="12"/>
  <c r="N268" i="12"/>
  <c r="N269" i="12"/>
  <c r="N270" i="12"/>
  <c r="N271" i="12"/>
  <c r="N272" i="12"/>
  <c r="N273" i="12"/>
  <c r="N274" i="12"/>
  <c r="N275" i="12"/>
  <c r="N276" i="12"/>
  <c r="N277" i="12"/>
  <c r="N278" i="12"/>
  <c r="N279" i="12"/>
  <c r="N280" i="12"/>
  <c r="N281" i="12"/>
  <c r="N282" i="12"/>
  <c r="N283" i="12"/>
  <c r="N284" i="12"/>
  <c r="N285" i="12"/>
  <c r="N286" i="12"/>
  <c r="N287" i="12"/>
  <c r="N288" i="12"/>
  <c r="N289" i="12"/>
  <c r="N290" i="12"/>
  <c r="N291" i="12"/>
  <c r="N292" i="12"/>
  <c r="N293" i="12"/>
  <c r="N294" i="12"/>
  <c r="N295" i="12"/>
  <c r="N296" i="12"/>
  <c r="N297" i="12"/>
  <c r="N298" i="12"/>
  <c r="N299" i="12"/>
  <c r="N300" i="12"/>
  <c r="N301" i="12"/>
  <c r="N302" i="12"/>
  <c r="N303" i="12"/>
  <c r="N304" i="12"/>
  <c r="N305" i="12"/>
  <c r="N306" i="12"/>
  <c r="N307" i="12"/>
  <c r="N308" i="12"/>
  <c r="N309" i="12"/>
  <c r="N310" i="12"/>
  <c r="N311" i="12"/>
  <c r="N312" i="12"/>
  <c r="N313" i="12"/>
  <c r="N314" i="12"/>
  <c r="N315" i="12"/>
  <c r="N316" i="12"/>
  <c r="N317" i="12"/>
  <c r="N318" i="12"/>
  <c r="N319" i="12"/>
  <c r="N320" i="12"/>
  <c r="N321" i="12"/>
  <c r="N322" i="12"/>
  <c r="N323" i="12"/>
  <c r="N324" i="12"/>
  <c r="N325" i="12"/>
  <c r="N326" i="12"/>
  <c r="N327" i="12"/>
  <c r="N328" i="12"/>
  <c r="N329" i="12"/>
  <c r="N330" i="12"/>
  <c r="N331" i="12"/>
  <c r="N332" i="12"/>
  <c r="N333" i="12"/>
  <c r="N334" i="12"/>
  <c r="N335" i="12"/>
  <c r="N336" i="12"/>
  <c r="N337" i="12"/>
  <c r="N338" i="12"/>
  <c r="N339" i="12"/>
  <c r="N340" i="12"/>
  <c r="N341" i="12"/>
  <c r="N342" i="12"/>
  <c r="N343" i="12"/>
  <c r="N344" i="12"/>
  <c r="N345" i="12"/>
  <c r="N346" i="12"/>
  <c r="N347" i="12"/>
  <c r="N348" i="12"/>
  <c r="N349" i="12"/>
  <c r="N350" i="12"/>
  <c r="N351" i="12"/>
  <c r="N352" i="12"/>
  <c r="N353" i="12"/>
  <c r="N354" i="12"/>
  <c r="N355" i="12"/>
  <c r="N356" i="12"/>
  <c r="N357" i="12"/>
  <c r="N358" i="12"/>
  <c r="N359" i="12"/>
  <c r="N360" i="12"/>
  <c r="N361" i="12"/>
  <c r="N362" i="12"/>
  <c r="N363" i="12"/>
  <c r="N364" i="12"/>
  <c r="N365" i="12"/>
  <c r="N366" i="12"/>
  <c r="N367" i="12"/>
  <c r="N368" i="12"/>
  <c r="N369" i="12"/>
  <c r="N370" i="12"/>
  <c r="N371" i="12"/>
  <c r="N372" i="12"/>
  <c r="N373" i="12"/>
  <c r="N374" i="12"/>
  <c r="N375" i="12"/>
  <c r="N376" i="12"/>
  <c r="N377" i="12"/>
  <c r="N378" i="12"/>
  <c r="N379" i="12"/>
  <c r="N380" i="12"/>
  <c r="N381" i="12"/>
  <c r="N382" i="12"/>
  <c r="N383" i="12"/>
  <c r="N384" i="12"/>
  <c r="N385" i="12"/>
  <c r="N386" i="12"/>
  <c r="N387" i="12"/>
  <c r="N388" i="12"/>
  <c r="N389" i="12"/>
  <c r="N390" i="12"/>
  <c r="N391" i="12"/>
  <c r="N392" i="12"/>
  <c r="N393" i="12"/>
  <c r="N394" i="12"/>
  <c r="N395" i="12"/>
  <c r="N396" i="12"/>
  <c r="N397" i="12"/>
  <c r="N398" i="12"/>
  <c r="N399" i="12"/>
  <c r="N400" i="12"/>
  <c r="N401" i="12"/>
  <c r="N402" i="12"/>
  <c r="N403" i="12"/>
  <c r="N404" i="12"/>
  <c r="N405" i="12"/>
  <c r="N406" i="12"/>
  <c r="N407" i="12"/>
  <c r="N408" i="12"/>
  <c r="N409" i="12"/>
  <c r="N410" i="12"/>
  <c r="N411" i="12"/>
  <c r="N412" i="12"/>
  <c r="N413" i="12"/>
  <c r="N414" i="12"/>
  <c r="N415" i="12"/>
  <c r="N416" i="12"/>
  <c r="N417" i="12"/>
  <c r="N418" i="12"/>
  <c r="N419" i="12"/>
  <c r="N420" i="12"/>
  <c r="N421" i="12"/>
  <c r="N422" i="12"/>
  <c r="N423" i="12"/>
  <c r="N424" i="12"/>
  <c r="N425" i="12"/>
  <c r="N426" i="12"/>
  <c r="N427" i="12"/>
  <c r="N428" i="12"/>
  <c r="N429" i="12"/>
  <c r="N430" i="12"/>
  <c r="N431" i="12"/>
  <c r="N432" i="12"/>
  <c r="N433" i="12"/>
  <c r="N434" i="12"/>
  <c r="N435" i="12"/>
  <c r="N436" i="12"/>
  <c r="N437" i="12"/>
  <c r="N438" i="12"/>
  <c r="N439" i="12"/>
  <c r="N440" i="12"/>
  <c r="N441" i="12"/>
  <c r="N442" i="12"/>
  <c r="N443" i="12"/>
  <c r="N444" i="12"/>
  <c r="N445" i="12"/>
  <c r="N446" i="12"/>
  <c r="N447" i="12"/>
  <c r="N448" i="12"/>
  <c r="N449" i="12"/>
  <c r="N450" i="12"/>
  <c r="N451" i="12"/>
  <c r="N452" i="12"/>
  <c r="N453" i="12"/>
  <c r="N454" i="12"/>
  <c r="N455" i="12"/>
  <c r="N456" i="12"/>
  <c r="N457" i="12"/>
  <c r="N458" i="12"/>
  <c r="N459" i="12"/>
  <c r="N460" i="12"/>
  <c r="N461" i="12"/>
  <c r="N462" i="12"/>
  <c r="N463" i="12"/>
  <c r="N464" i="12"/>
  <c r="N465" i="12"/>
  <c r="N466" i="12"/>
  <c r="N467" i="12"/>
  <c r="N468" i="12"/>
  <c r="N469" i="12"/>
  <c r="N470" i="12"/>
  <c r="N471" i="12"/>
  <c r="N472" i="12"/>
  <c r="N473" i="12"/>
  <c r="N474" i="12"/>
  <c r="N475" i="12"/>
  <c r="N476" i="12"/>
  <c r="N477" i="12"/>
  <c r="N478" i="12"/>
  <c r="N479" i="12"/>
  <c r="N480" i="12"/>
  <c r="N481" i="12"/>
  <c r="N482" i="12"/>
  <c r="N483" i="12"/>
  <c r="N484" i="12"/>
  <c r="N485" i="12"/>
  <c r="N486" i="12"/>
  <c r="N487" i="12"/>
  <c r="N488" i="12"/>
  <c r="N489" i="12"/>
  <c r="N490" i="12"/>
  <c r="N491" i="12"/>
  <c r="N492" i="12"/>
  <c r="N493" i="12"/>
  <c r="N494" i="12"/>
  <c r="N495" i="12"/>
  <c r="N496" i="12"/>
  <c r="N497" i="12"/>
  <c r="N498" i="12"/>
  <c r="N499" i="12"/>
  <c r="N500" i="12"/>
  <c r="K8" i="12"/>
  <c r="K9" i="12"/>
  <c r="K10" i="12"/>
  <c r="K11" i="12"/>
  <c r="K12" i="12"/>
  <c r="K13" i="12"/>
  <c r="K14" i="12"/>
  <c r="K15" i="12"/>
  <c r="K16" i="12"/>
  <c r="K17" i="12"/>
  <c r="K18" i="12"/>
  <c r="K19" i="12"/>
  <c r="K20" i="12"/>
  <c r="K21" i="12"/>
  <c r="K22" i="12"/>
  <c r="K23" i="12"/>
  <c r="K24" i="12"/>
  <c r="K25" i="12"/>
  <c r="K26" i="12"/>
  <c r="K27" i="12"/>
  <c r="K28" i="12"/>
  <c r="K29" i="12"/>
  <c r="K30" i="12"/>
  <c r="K31" i="12"/>
  <c r="K32" i="12"/>
  <c r="K33" i="12"/>
  <c r="K34" i="12"/>
  <c r="K35" i="12"/>
  <c r="K36" i="12"/>
  <c r="K37" i="12"/>
  <c r="K38" i="12"/>
  <c r="K39" i="12"/>
  <c r="K40" i="12"/>
  <c r="K41" i="12"/>
  <c r="K42" i="12"/>
  <c r="K43" i="12"/>
  <c r="K44" i="12"/>
  <c r="K45" i="12"/>
  <c r="K46" i="12"/>
  <c r="K47" i="12"/>
  <c r="K48" i="12"/>
  <c r="K49" i="12"/>
  <c r="K50" i="12"/>
  <c r="K51" i="12"/>
  <c r="K52" i="12"/>
  <c r="K53" i="12"/>
  <c r="K54" i="12"/>
  <c r="K55" i="12"/>
  <c r="K56" i="12"/>
  <c r="K57" i="12"/>
  <c r="K58" i="12"/>
  <c r="K59" i="12"/>
  <c r="K60" i="12"/>
  <c r="K61" i="12"/>
  <c r="K62" i="12"/>
  <c r="K63" i="12"/>
  <c r="K64" i="12"/>
  <c r="K65" i="12"/>
  <c r="K66" i="12"/>
  <c r="K67" i="12"/>
  <c r="K68" i="12"/>
  <c r="K69" i="12"/>
  <c r="K70" i="12"/>
  <c r="K71" i="12"/>
  <c r="K72" i="12"/>
  <c r="K73" i="12"/>
  <c r="K74" i="12"/>
  <c r="K75" i="12"/>
  <c r="K76" i="12"/>
  <c r="K77" i="12"/>
  <c r="K78" i="12"/>
  <c r="K79" i="12"/>
  <c r="K80" i="12"/>
  <c r="K81" i="12"/>
  <c r="K82" i="12"/>
  <c r="K83" i="12"/>
  <c r="K84" i="12"/>
  <c r="K85" i="12"/>
  <c r="K86" i="12"/>
  <c r="K87" i="12"/>
  <c r="K88" i="12"/>
  <c r="K89" i="12"/>
  <c r="K90" i="12"/>
  <c r="K91" i="12"/>
  <c r="K92" i="12"/>
  <c r="K93" i="12"/>
  <c r="K94" i="12"/>
  <c r="K95" i="12"/>
  <c r="K96" i="12"/>
  <c r="K97" i="12"/>
  <c r="K98" i="12"/>
  <c r="K99" i="12"/>
  <c r="K100" i="12"/>
  <c r="K101" i="12"/>
  <c r="K102" i="12"/>
  <c r="K103" i="12"/>
  <c r="K104" i="12"/>
  <c r="K105" i="12"/>
  <c r="K106" i="12"/>
  <c r="K107" i="12"/>
  <c r="K108" i="12"/>
  <c r="K109" i="12"/>
  <c r="K110" i="12"/>
  <c r="K111" i="12"/>
  <c r="K112" i="12"/>
  <c r="K113" i="12"/>
  <c r="K114" i="12"/>
  <c r="K115" i="12"/>
  <c r="K116" i="12"/>
  <c r="K117" i="12"/>
  <c r="K118" i="12"/>
  <c r="K119" i="12"/>
  <c r="K120" i="12"/>
  <c r="K121" i="12"/>
  <c r="K122" i="12"/>
  <c r="K123" i="12"/>
  <c r="K124" i="12"/>
  <c r="K125" i="12"/>
  <c r="K126" i="12"/>
  <c r="K127" i="12"/>
  <c r="K128" i="12"/>
  <c r="K129" i="12"/>
  <c r="K130" i="12"/>
  <c r="K131" i="12"/>
  <c r="K132" i="12"/>
  <c r="K133" i="12"/>
  <c r="K134" i="12"/>
  <c r="K135" i="12"/>
  <c r="K136" i="12"/>
  <c r="K137" i="12"/>
  <c r="K138" i="12"/>
  <c r="K139" i="12"/>
  <c r="K140" i="12"/>
  <c r="K141" i="12"/>
  <c r="K142" i="12"/>
  <c r="K143" i="12"/>
  <c r="K144" i="12"/>
  <c r="K145" i="12"/>
  <c r="K146" i="12"/>
  <c r="K147" i="12"/>
  <c r="K148" i="12"/>
  <c r="K149" i="12"/>
  <c r="K150" i="12"/>
  <c r="K151" i="12"/>
  <c r="K152" i="12"/>
  <c r="K153" i="12"/>
  <c r="K154" i="12"/>
  <c r="K155" i="12"/>
  <c r="K156" i="12"/>
  <c r="K157" i="12"/>
  <c r="K158" i="12"/>
  <c r="K159" i="12"/>
  <c r="K160" i="12"/>
  <c r="K161" i="12"/>
  <c r="K162" i="12"/>
  <c r="K163" i="12"/>
  <c r="K164" i="12"/>
  <c r="K165" i="12"/>
  <c r="K166" i="12"/>
  <c r="K167" i="12"/>
  <c r="K168" i="12"/>
  <c r="K169" i="12"/>
  <c r="K170" i="12"/>
  <c r="K171" i="12"/>
  <c r="K172" i="12"/>
  <c r="K173" i="12"/>
  <c r="K174" i="12"/>
  <c r="K175" i="12"/>
  <c r="K176" i="12"/>
  <c r="K177" i="12"/>
  <c r="K178" i="12"/>
  <c r="K179" i="12"/>
  <c r="K180" i="12"/>
  <c r="K181" i="12"/>
  <c r="K182" i="12"/>
  <c r="K183" i="12"/>
  <c r="K184" i="12"/>
  <c r="K185" i="12"/>
  <c r="K186" i="12"/>
  <c r="K187" i="12"/>
  <c r="K188" i="12"/>
  <c r="K189" i="12"/>
  <c r="K190" i="12"/>
  <c r="K191" i="12"/>
  <c r="K192" i="12"/>
  <c r="K193" i="12"/>
  <c r="K194" i="12"/>
  <c r="K195" i="12"/>
  <c r="K196" i="12"/>
  <c r="K197" i="12"/>
  <c r="K198" i="12"/>
  <c r="K199" i="12"/>
  <c r="K200" i="12"/>
  <c r="K201" i="12"/>
  <c r="K202" i="12"/>
  <c r="K203" i="12"/>
  <c r="K204" i="12"/>
  <c r="K205" i="12"/>
  <c r="K206" i="12"/>
  <c r="K207" i="12"/>
  <c r="K208" i="12"/>
  <c r="K209" i="12"/>
  <c r="K210" i="12"/>
  <c r="K211" i="12"/>
  <c r="K212" i="12"/>
  <c r="K213" i="12"/>
  <c r="K214" i="12"/>
  <c r="K215" i="12"/>
  <c r="K216" i="12"/>
  <c r="K217" i="12"/>
  <c r="K218" i="12"/>
  <c r="K219" i="12"/>
  <c r="K220" i="12"/>
  <c r="K221" i="12"/>
  <c r="K222" i="12"/>
  <c r="K223" i="12"/>
  <c r="K224" i="12"/>
  <c r="K225" i="12"/>
  <c r="K226" i="12"/>
  <c r="K227" i="12"/>
  <c r="K228" i="12"/>
  <c r="K229" i="12"/>
  <c r="K230" i="12"/>
  <c r="K231" i="12"/>
  <c r="K232" i="12"/>
  <c r="K233" i="12"/>
  <c r="K234" i="12"/>
  <c r="K235" i="12"/>
  <c r="K236" i="12"/>
  <c r="K237" i="12"/>
  <c r="K238" i="12"/>
  <c r="K239" i="12"/>
  <c r="K240" i="12"/>
  <c r="K241" i="12"/>
  <c r="K242" i="12"/>
  <c r="K243" i="12"/>
  <c r="K244" i="12"/>
  <c r="K245" i="12"/>
  <c r="K246" i="12"/>
  <c r="K247" i="12"/>
  <c r="K248" i="12"/>
  <c r="K249" i="12"/>
  <c r="K250" i="12"/>
  <c r="K251" i="12"/>
  <c r="K252" i="12"/>
  <c r="K253" i="12"/>
  <c r="K254" i="12"/>
  <c r="K255" i="12"/>
  <c r="K256" i="12"/>
  <c r="K257" i="12"/>
  <c r="K258" i="12"/>
  <c r="K259" i="12"/>
  <c r="K260" i="12"/>
  <c r="K261" i="12"/>
  <c r="K262" i="12"/>
  <c r="K263" i="12"/>
  <c r="K264" i="12"/>
  <c r="K265" i="12"/>
  <c r="K266" i="12"/>
  <c r="K267" i="12"/>
  <c r="K268" i="12"/>
  <c r="K269" i="12"/>
  <c r="K270" i="12"/>
  <c r="K271" i="12"/>
  <c r="K272" i="12"/>
  <c r="K273" i="12"/>
  <c r="K274" i="12"/>
  <c r="K275" i="12"/>
  <c r="K276" i="12"/>
  <c r="K277" i="12"/>
  <c r="K278" i="12"/>
  <c r="K279" i="12"/>
  <c r="K280" i="12"/>
  <c r="K281" i="12"/>
  <c r="K282" i="12"/>
  <c r="K283" i="12"/>
  <c r="K284" i="12"/>
  <c r="K285" i="12"/>
  <c r="K286" i="12"/>
  <c r="K287" i="12"/>
  <c r="K288" i="12"/>
  <c r="K289" i="12"/>
  <c r="K290" i="12"/>
  <c r="K291" i="12"/>
  <c r="K292" i="12"/>
  <c r="K293" i="12"/>
  <c r="K294" i="12"/>
  <c r="K295" i="12"/>
  <c r="K296" i="12"/>
  <c r="K297" i="12"/>
  <c r="K298" i="12"/>
  <c r="K299" i="12"/>
  <c r="K300" i="12"/>
  <c r="K301" i="12"/>
  <c r="K302" i="12"/>
  <c r="K303" i="12"/>
  <c r="K304" i="12"/>
  <c r="K305" i="12"/>
  <c r="K306" i="12"/>
  <c r="K307" i="12"/>
  <c r="K308" i="12"/>
  <c r="K309" i="12"/>
  <c r="K310" i="12"/>
  <c r="K311" i="12"/>
  <c r="K312" i="12"/>
  <c r="K313" i="12"/>
  <c r="K314" i="12"/>
  <c r="K315" i="12"/>
  <c r="K316" i="12"/>
  <c r="K317" i="12"/>
  <c r="K318" i="12"/>
  <c r="K319" i="12"/>
  <c r="K320" i="12"/>
  <c r="K321" i="12"/>
  <c r="K322" i="12"/>
  <c r="K323" i="12"/>
  <c r="K324" i="12"/>
  <c r="K325" i="12"/>
  <c r="K326" i="12"/>
  <c r="K327" i="12"/>
  <c r="K328" i="12"/>
  <c r="K329" i="12"/>
  <c r="K330" i="12"/>
  <c r="K331" i="12"/>
  <c r="K332" i="12"/>
  <c r="K333" i="12"/>
  <c r="K334" i="12"/>
  <c r="K335" i="12"/>
  <c r="K336" i="12"/>
  <c r="K337" i="12"/>
  <c r="K338" i="12"/>
  <c r="K339" i="12"/>
  <c r="K340" i="12"/>
  <c r="K341" i="12"/>
  <c r="K342" i="12"/>
  <c r="K343" i="12"/>
  <c r="K344" i="12"/>
  <c r="K345" i="12"/>
  <c r="K346" i="12"/>
  <c r="K347" i="12"/>
  <c r="K348" i="12"/>
  <c r="K349" i="12"/>
  <c r="K350" i="12"/>
  <c r="K351" i="12"/>
  <c r="K352" i="12"/>
  <c r="K353" i="12"/>
  <c r="K354" i="12"/>
  <c r="K355" i="12"/>
  <c r="K356" i="12"/>
  <c r="K357" i="12"/>
  <c r="K358" i="12"/>
  <c r="K359" i="12"/>
  <c r="K360" i="12"/>
  <c r="K361" i="12"/>
  <c r="K362" i="12"/>
  <c r="K363" i="12"/>
  <c r="K364" i="12"/>
  <c r="K365" i="12"/>
  <c r="K366" i="12"/>
  <c r="K367" i="12"/>
  <c r="K368" i="12"/>
  <c r="K369" i="12"/>
  <c r="K370" i="12"/>
  <c r="K371" i="12"/>
  <c r="K372" i="12"/>
  <c r="K373" i="12"/>
  <c r="K374" i="12"/>
  <c r="K375" i="12"/>
  <c r="K376" i="12"/>
  <c r="K377" i="12"/>
  <c r="K378" i="12"/>
  <c r="K379" i="12"/>
  <c r="K380" i="12"/>
  <c r="K381" i="12"/>
  <c r="K382" i="12"/>
  <c r="K383" i="12"/>
  <c r="K384" i="12"/>
  <c r="K385" i="12"/>
  <c r="K386" i="12"/>
  <c r="K387" i="12"/>
  <c r="K388" i="12"/>
  <c r="K389" i="12"/>
  <c r="K390" i="12"/>
  <c r="K391" i="12"/>
  <c r="K392" i="12"/>
  <c r="K393" i="12"/>
  <c r="K394" i="12"/>
  <c r="K395" i="12"/>
  <c r="K396" i="12"/>
  <c r="K397" i="12"/>
  <c r="K398" i="12"/>
  <c r="K399" i="12"/>
  <c r="K400" i="12"/>
  <c r="K401" i="12"/>
  <c r="K402" i="12"/>
  <c r="K403" i="12"/>
  <c r="K404" i="12"/>
  <c r="K405" i="12"/>
  <c r="K406" i="12"/>
  <c r="K407" i="12"/>
  <c r="K408" i="12"/>
  <c r="K409" i="12"/>
  <c r="K410" i="12"/>
  <c r="K411" i="12"/>
  <c r="K412" i="12"/>
  <c r="K413" i="12"/>
  <c r="K414" i="12"/>
  <c r="K415" i="12"/>
  <c r="K416" i="12"/>
  <c r="K417" i="12"/>
  <c r="K418" i="12"/>
  <c r="K419" i="12"/>
  <c r="K420" i="12"/>
  <c r="K421" i="12"/>
  <c r="K422" i="12"/>
  <c r="K423" i="12"/>
  <c r="K424" i="12"/>
  <c r="K425" i="12"/>
  <c r="K426" i="12"/>
  <c r="K427" i="12"/>
  <c r="K428" i="12"/>
  <c r="K429" i="12"/>
  <c r="K430" i="12"/>
  <c r="K431" i="12"/>
  <c r="K432" i="12"/>
  <c r="K433" i="12"/>
  <c r="K434" i="12"/>
  <c r="K435" i="12"/>
  <c r="K436" i="12"/>
  <c r="K437" i="12"/>
  <c r="K438" i="12"/>
  <c r="K439" i="12"/>
  <c r="K440" i="12"/>
  <c r="K441" i="12"/>
  <c r="K442" i="12"/>
  <c r="K443" i="12"/>
  <c r="K444" i="12"/>
  <c r="K445" i="12"/>
  <c r="K446" i="12"/>
  <c r="K447" i="12"/>
  <c r="K448" i="12"/>
  <c r="K449" i="12"/>
  <c r="K450" i="12"/>
  <c r="K451" i="12"/>
  <c r="K452" i="12"/>
  <c r="K453" i="12"/>
  <c r="K454" i="12"/>
  <c r="K455" i="12"/>
  <c r="K456" i="12"/>
  <c r="K457" i="12"/>
  <c r="K458" i="12"/>
  <c r="K459" i="12"/>
  <c r="K460" i="12"/>
  <c r="K461" i="12"/>
  <c r="K462" i="12"/>
  <c r="K463" i="12"/>
  <c r="K464" i="12"/>
  <c r="K465" i="12"/>
  <c r="K466" i="12"/>
  <c r="K467" i="12"/>
  <c r="K468" i="12"/>
  <c r="K469" i="12"/>
  <c r="K470" i="12"/>
  <c r="K471" i="12"/>
  <c r="K472" i="12"/>
  <c r="K473" i="12"/>
  <c r="K474" i="12"/>
  <c r="K475" i="12"/>
  <c r="K476" i="12"/>
  <c r="K477" i="12"/>
  <c r="K478" i="12"/>
  <c r="K479" i="12"/>
  <c r="K480" i="12"/>
  <c r="K481" i="12"/>
  <c r="K482" i="12"/>
  <c r="K483" i="12"/>
  <c r="K484" i="12"/>
  <c r="K485" i="12"/>
  <c r="K486" i="12"/>
  <c r="K487" i="12"/>
  <c r="K488" i="12"/>
  <c r="K489" i="12"/>
  <c r="K490" i="12"/>
  <c r="K491" i="12"/>
  <c r="K492" i="12"/>
  <c r="K493" i="12"/>
  <c r="K494" i="12"/>
  <c r="K495" i="12"/>
  <c r="K496" i="12"/>
  <c r="K497" i="12"/>
  <c r="K498" i="12"/>
  <c r="K499" i="12"/>
  <c r="K500" i="12"/>
  <c r="D8" i="12"/>
  <c r="Y8" i="12"/>
  <c r="D9" i="12"/>
  <c r="D10" i="12"/>
  <c r="D11" i="12"/>
  <c r="D12" i="12"/>
  <c r="D13" i="12"/>
  <c r="D14" i="12"/>
  <c r="D15" i="12"/>
  <c r="D16" i="12"/>
  <c r="O16" i="12" s="1"/>
  <c r="D17" i="12"/>
  <c r="O17" i="12" s="1"/>
  <c r="D18" i="12"/>
  <c r="D19" i="12"/>
  <c r="D20" i="12"/>
  <c r="D21" i="12"/>
  <c r="D22" i="12"/>
  <c r="D23" i="12"/>
  <c r="D24" i="12"/>
  <c r="O24" i="12" s="1"/>
  <c r="D25" i="12"/>
  <c r="D26" i="12"/>
  <c r="D27" i="12"/>
  <c r="D28" i="12"/>
  <c r="D29" i="12"/>
  <c r="D30" i="12"/>
  <c r="D31" i="12"/>
  <c r="D32" i="12"/>
  <c r="O32" i="12" s="1"/>
  <c r="D33" i="12"/>
  <c r="D34" i="12"/>
  <c r="D35" i="12"/>
  <c r="D36" i="12"/>
  <c r="D37" i="12"/>
  <c r="D38" i="12"/>
  <c r="D39" i="12"/>
  <c r="D40" i="12"/>
  <c r="D41" i="12"/>
  <c r="D42" i="12"/>
  <c r="D43" i="12"/>
  <c r="D44" i="12"/>
  <c r="D45" i="12"/>
  <c r="D46" i="12"/>
  <c r="D47" i="12"/>
  <c r="D48" i="12"/>
  <c r="Y48" i="12" s="1"/>
  <c r="D49" i="12"/>
  <c r="Y49" i="12" s="1"/>
  <c r="D50" i="12"/>
  <c r="D51" i="12"/>
  <c r="D52" i="12"/>
  <c r="D53" i="12"/>
  <c r="O53" i="12" s="1"/>
  <c r="D54" i="12"/>
  <c r="D55" i="12"/>
  <c r="D56" i="12"/>
  <c r="O56" i="12" s="1"/>
  <c r="D57" i="12"/>
  <c r="D58" i="12"/>
  <c r="D59" i="12"/>
  <c r="D60" i="12"/>
  <c r="Y60" i="12" s="1"/>
  <c r="D61" i="12"/>
  <c r="D62" i="12"/>
  <c r="D63" i="12"/>
  <c r="D64" i="12"/>
  <c r="O64" i="12" s="1"/>
  <c r="D65" i="12"/>
  <c r="O65" i="12" s="1"/>
  <c r="D66" i="12"/>
  <c r="D67" i="12"/>
  <c r="D68" i="12"/>
  <c r="Y68" i="12" s="1"/>
  <c r="D69" i="12"/>
  <c r="O69" i="12" s="1"/>
  <c r="D70" i="12"/>
  <c r="D71" i="12"/>
  <c r="D72" i="12"/>
  <c r="Y72" i="12" s="1"/>
  <c r="D73" i="12"/>
  <c r="D74" i="12"/>
  <c r="D75" i="12"/>
  <c r="D76" i="12"/>
  <c r="Y76" i="12" s="1"/>
  <c r="D77" i="12"/>
  <c r="D78" i="12"/>
  <c r="D79" i="12"/>
  <c r="D80" i="12"/>
  <c r="D81" i="12"/>
  <c r="D82" i="12"/>
  <c r="D83" i="12"/>
  <c r="D84" i="12"/>
  <c r="Y84" i="12" s="1"/>
  <c r="D85" i="12"/>
  <c r="D86" i="12"/>
  <c r="D87" i="12"/>
  <c r="D88" i="12"/>
  <c r="Y88" i="12" s="1"/>
  <c r="D89" i="12"/>
  <c r="D90" i="12"/>
  <c r="D91" i="12"/>
  <c r="D92" i="12"/>
  <c r="D93" i="12"/>
  <c r="D94" i="12"/>
  <c r="D95" i="12"/>
  <c r="D96" i="12"/>
  <c r="Y96" i="12" s="1"/>
  <c r="D97" i="12"/>
  <c r="D98" i="12"/>
  <c r="D99" i="12"/>
  <c r="D100" i="12"/>
  <c r="Y100" i="12" s="1"/>
  <c r="D101" i="12"/>
  <c r="O101" i="12" s="1"/>
  <c r="D102" i="12"/>
  <c r="D103" i="12"/>
  <c r="D104" i="12"/>
  <c r="O104" i="12" s="1"/>
  <c r="D105" i="12"/>
  <c r="D106" i="12"/>
  <c r="D107" i="12"/>
  <c r="D108" i="12"/>
  <c r="O108" i="12" s="1"/>
  <c r="D109" i="12"/>
  <c r="O109" i="12" s="1"/>
  <c r="D110" i="12"/>
  <c r="D111" i="12"/>
  <c r="D112" i="12"/>
  <c r="D113" i="12"/>
  <c r="D114" i="12"/>
  <c r="D115" i="12"/>
  <c r="D116" i="12"/>
  <c r="Y116" i="12" s="1"/>
  <c r="D117" i="12"/>
  <c r="O117" i="12" s="1"/>
  <c r="D118" i="12"/>
  <c r="D119" i="12"/>
  <c r="D120" i="12"/>
  <c r="D121" i="12"/>
  <c r="D122" i="12"/>
  <c r="D123" i="12"/>
  <c r="D124" i="12"/>
  <c r="D125" i="12"/>
  <c r="O125" i="12" s="1"/>
  <c r="D126" i="12"/>
  <c r="D127" i="12"/>
  <c r="D128" i="12"/>
  <c r="O128" i="12" s="1"/>
  <c r="D129" i="12"/>
  <c r="D130" i="12"/>
  <c r="D131" i="12"/>
  <c r="D132" i="12"/>
  <c r="O132" i="12" s="1"/>
  <c r="D133" i="12"/>
  <c r="D134" i="12"/>
  <c r="D135" i="12"/>
  <c r="D136" i="12"/>
  <c r="O136" i="12" s="1"/>
  <c r="D137" i="12"/>
  <c r="D138" i="12"/>
  <c r="D139" i="12"/>
  <c r="D140" i="12"/>
  <c r="D141" i="12"/>
  <c r="D142" i="12"/>
  <c r="D143" i="12"/>
  <c r="D144" i="12"/>
  <c r="D145" i="12"/>
  <c r="D146" i="12"/>
  <c r="D147" i="12"/>
  <c r="D148" i="12"/>
  <c r="Y148" i="12" s="1"/>
  <c r="D149" i="12"/>
  <c r="O149" i="12" s="1"/>
  <c r="D150" i="12"/>
  <c r="D151" i="12"/>
  <c r="D152" i="12"/>
  <c r="D153" i="12"/>
  <c r="D154" i="12"/>
  <c r="D155" i="12"/>
  <c r="D156" i="12"/>
  <c r="O156" i="12" s="1"/>
  <c r="D157" i="12"/>
  <c r="Y157" i="12" s="1"/>
  <c r="D158" i="12"/>
  <c r="D159" i="12"/>
  <c r="D160" i="12"/>
  <c r="O160" i="12" s="1"/>
  <c r="D161" i="12"/>
  <c r="D162" i="12"/>
  <c r="D163" i="12"/>
  <c r="D164" i="12"/>
  <c r="O164" i="12" s="1"/>
  <c r="D165" i="12"/>
  <c r="D166" i="12"/>
  <c r="D167" i="12"/>
  <c r="D168" i="12"/>
  <c r="O168" i="12" s="1"/>
  <c r="D169" i="12"/>
  <c r="O169" i="12" s="1"/>
  <c r="D170" i="12"/>
  <c r="D171" i="12"/>
  <c r="D172" i="12"/>
  <c r="O172" i="12" s="1"/>
  <c r="D173" i="12"/>
  <c r="D174" i="12"/>
  <c r="D175" i="12"/>
  <c r="D176" i="12"/>
  <c r="O176" i="12" s="1"/>
  <c r="D177" i="12"/>
  <c r="D178" i="12"/>
  <c r="D179" i="12"/>
  <c r="D180" i="12"/>
  <c r="D181" i="12"/>
  <c r="Y181" i="12" s="1"/>
  <c r="D182" i="12"/>
  <c r="D183" i="12"/>
  <c r="D184" i="12"/>
  <c r="Y184" i="12" s="1"/>
  <c r="D185" i="12"/>
  <c r="D186" i="12"/>
  <c r="D187" i="12"/>
  <c r="D188" i="12"/>
  <c r="O188" i="12" s="1"/>
  <c r="D189" i="12"/>
  <c r="Y189" i="12" s="1"/>
  <c r="D190" i="12"/>
  <c r="D191" i="12"/>
  <c r="D192" i="12"/>
  <c r="Y192" i="12" s="1"/>
  <c r="D193" i="12"/>
  <c r="Y193" i="12" s="1"/>
  <c r="D194" i="12"/>
  <c r="D195" i="12"/>
  <c r="D196" i="12"/>
  <c r="O196" i="12" s="1"/>
  <c r="D197" i="12"/>
  <c r="D198" i="12"/>
  <c r="D199" i="12"/>
  <c r="D200" i="12"/>
  <c r="D201" i="12"/>
  <c r="D202" i="12"/>
  <c r="D203" i="12"/>
  <c r="D204" i="12"/>
  <c r="O204" i="12" s="1"/>
  <c r="D205" i="12"/>
  <c r="Y205" i="12" s="1"/>
  <c r="D206" i="12"/>
  <c r="D207" i="12"/>
  <c r="D208" i="12"/>
  <c r="Y208" i="12" s="1"/>
  <c r="D209" i="12"/>
  <c r="D210" i="12"/>
  <c r="D211" i="12"/>
  <c r="D212" i="12"/>
  <c r="O212" i="12" s="1"/>
  <c r="D213" i="12"/>
  <c r="Y213" i="12" s="1"/>
  <c r="D214" i="12"/>
  <c r="D215" i="12"/>
  <c r="D216" i="12"/>
  <c r="Y216" i="12" s="1"/>
  <c r="D217" i="12"/>
  <c r="Y217" i="12" s="1"/>
  <c r="D218" i="12"/>
  <c r="D219" i="12"/>
  <c r="D220" i="12"/>
  <c r="D221" i="12"/>
  <c r="D222" i="12"/>
  <c r="D223" i="12"/>
  <c r="D224" i="12"/>
  <c r="Y224" i="12" s="1"/>
  <c r="D225" i="12"/>
  <c r="Y225" i="12" s="1"/>
  <c r="D226" i="12"/>
  <c r="D227" i="12"/>
  <c r="D228" i="12"/>
  <c r="O228" i="12" s="1"/>
  <c r="D229" i="12"/>
  <c r="Y229" i="12" s="1"/>
  <c r="D230" i="12"/>
  <c r="D231" i="12"/>
  <c r="D232" i="12"/>
  <c r="Y232" i="12" s="1"/>
  <c r="D233" i="12"/>
  <c r="Y233" i="12" s="1"/>
  <c r="D234" i="12"/>
  <c r="D235" i="12"/>
  <c r="D236" i="12"/>
  <c r="O236" i="12" s="1"/>
  <c r="D237" i="12"/>
  <c r="D238" i="12"/>
  <c r="D239" i="12"/>
  <c r="D240" i="12"/>
  <c r="Y240" i="12" s="1"/>
  <c r="D241" i="12"/>
  <c r="Y241" i="12" s="1"/>
  <c r="D242" i="12"/>
  <c r="D243" i="12"/>
  <c r="D244" i="12"/>
  <c r="O244" i="12" s="1"/>
  <c r="D245" i="12"/>
  <c r="D246" i="12"/>
  <c r="D247" i="12"/>
  <c r="D248" i="12"/>
  <c r="Y248" i="12" s="1"/>
  <c r="D249" i="12"/>
  <c r="D250" i="12"/>
  <c r="D251" i="12"/>
  <c r="D252" i="12"/>
  <c r="O252" i="12" s="1"/>
  <c r="D253" i="12"/>
  <c r="O253" i="12" s="1"/>
  <c r="D254" i="12"/>
  <c r="D255" i="12"/>
  <c r="D256" i="12"/>
  <c r="O256" i="12" s="1"/>
  <c r="D257" i="12"/>
  <c r="O257" i="12" s="1"/>
  <c r="D258" i="12"/>
  <c r="D259" i="12"/>
  <c r="D260" i="12"/>
  <c r="O260" i="12" s="1"/>
  <c r="D261" i="12"/>
  <c r="D262" i="12"/>
  <c r="D263" i="12"/>
  <c r="D264" i="12"/>
  <c r="D265" i="12"/>
  <c r="D266" i="12"/>
  <c r="D267" i="12"/>
  <c r="D268" i="12"/>
  <c r="O268" i="12" s="1"/>
  <c r="D269" i="12"/>
  <c r="D270" i="12"/>
  <c r="D271" i="12"/>
  <c r="D272" i="12"/>
  <c r="O272" i="12" s="1"/>
  <c r="D273" i="12"/>
  <c r="D274" i="12"/>
  <c r="D275" i="12"/>
  <c r="D276" i="12"/>
  <c r="D277" i="12"/>
  <c r="O277" i="12" s="1"/>
  <c r="D278" i="12"/>
  <c r="D279" i="12"/>
  <c r="D280" i="12"/>
  <c r="O280" i="12" s="1"/>
  <c r="D281" i="12"/>
  <c r="O281" i="12" s="1"/>
  <c r="D282" i="12"/>
  <c r="D283" i="12"/>
  <c r="D284" i="12"/>
  <c r="O284" i="12" s="1"/>
  <c r="D285" i="12"/>
  <c r="D286" i="12"/>
  <c r="D287" i="12"/>
  <c r="D288" i="12"/>
  <c r="O288" i="12" s="1"/>
  <c r="D289" i="12"/>
  <c r="D290" i="12"/>
  <c r="D291" i="12"/>
  <c r="D292" i="12"/>
  <c r="Y292" i="12" s="1"/>
  <c r="D293" i="12"/>
  <c r="Y293" i="12" s="1"/>
  <c r="D294" i="12"/>
  <c r="D295" i="12"/>
  <c r="D296" i="12"/>
  <c r="O296" i="12" s="1"/>
  <c r="D297" i="12"/>
  <c r="O297" i="12" s="1"/>
  <c r="D298" i="12"/>
  <c r="D299" i="12"/>
  <c r="D300" i="12"/>
  <c r="D301" i="12"/>
  <c r="D302" i="12"/>
  <c r="D303" i="12"/>
  <c r="D304" i="12"/>
  <c r="O304" i="12" s="1"/>
  <c r="D305" i="12"/>
  <c r="O305" i="12" s="1"/>
  <c r="D306" i="12"/>
  <c r="D307" i="12"/>
  <c r="D308" i="12"/>
  <c r="D309" i="12"/>
  <c r="O309" i="12" s="1"/>
  <c r="D310" i="12"/>
  <c r="D311" i="12"/>
  <c r="D312" i="12"/>
  <c r="D313" i="12"/>
  <c r="D314" i="12"/>
  <c r="D315" i="12"/>
  <c r="D316" i="12"/>
  <c r="D317" i="12"/>
  <c r="O317" i="12" s="1"/>
  <c r="D318" i="12"/>
  <c r="D319" i="12"/>
  <c r="D320" i="12"/>
  <c r="Y320" i="12" s="1"/>
  <c r="D321" i="12"/>
  <c r="D322" i="12"/>
  <c r="D323" i="12"/>
  <c r="D324" i="12"/>
  <c r="D325" i="12"/>
  <c r="D326" i="12"/>
  <c r="D327" i="12"/>
  <c r="D328" i="12"/>
  <c r="O328" i="12" s="1"/>
  <c r="D329" i="12"/>
  <c r="D330" i="12"/>
  <c r="D331" i="12"/>
  <c r="D332" i="12"/>
  <c r="D333" i="12"/>
  <c r="D334" i="12"/>
  <c r="D335" i="12"/>
  <c r="D336" i="12"/>
  <c r="D337" i="12"/>
  <c r="D338" i="12"/>
  <c r="D339" i="12"/>
  <c r="D340" i="12"/>
  <c r="Y340" i="12" s="1"/>
  <c r="D341" i="12"/>
  <c r="D342" i="12"/>
  <c r="D343" i="12"/>
  <c r="D344" i="12"/>
  <c r="D345" i="12"/>
  <c r="D346" i="12"/>
  <c r="D347" i="12"/>
  <c r="D348" i="12"/>
  <c r="D349" i="12"/>
  <c r="D350" i="12"/>
  <c r="D351" i="12"/>
  <c r="D352" i="12"/>
  <c r="O352" i="12" s="1"/>
  <c r="D353" i="12"/>
  <c r="D354" i="12"/>
  <c r="D355" i="12"/>
  <c r="D356" i="12"/>
  <c r="D357" i="12"/>
  <c r="Y357" i="12" s="1"/>
  <c r="D358" i="12"/>
  <c r="D359" i="12"/>
  <c r="D360" i="12"/>
  <c r="Y360" i="12" s="1"/>
  <c r="D361" i="12"/>
  <c r="D362" i="12"/>
  <c r="D363" i="12"/>
  <c r="D364" i="12"/>
  <c r="Y364" i="12" s="1"/>
  <c r="D365" i="12"/>
  <c r="D366" i="12"/>
  <c r="D367" i="12"/>
  <c r="D368" i="12"/>
  <c r="D369" i="12"/>
  <c r="D370" i="12"/>
  <c r="D371" i="12"/>
  <c r="D372" i="12"/>
  <c r="Y372" i="12" s="1"/>
  <c r="D373" i="12"/>
  <c r="Y373" i="12" s="1"/>
  <c r="D374" i="12"/>
  <c r="D375" i="12"/>
  <c r="D376" i="12"/>
  <c r="D377" i="12"/>
  <c r="D378" i="12"/>
  <c r="D379" i="12"/>
  <c r="D380" i="12"/>
  <c r="Y380" i="12" s="1"/>
  <c r="D381" i="12"/>
  <c r="O381" i="12" s="1"/>
  <c r="D382" i="12"/>
  <c r="D383" i="12"/>
  <c r="D384" i="12"/>
  <c r="D385" i="12"/>
  <c r="O385" i="12" s="1"/>
  <c r="D386" i="12"/>
  <c r="D387" i="12"/>
  <c r="D388" i="12"/>
  <c r="D389" i="12"/>
  <c r="D390" i="12"/>
  <c r="D391" i="12"/>
  <c r="D392" i="12"/>
  <c r="D393" i="12"/>
  <c r="Y393" i="12" s="1"/>
  <c r="D394" i="12"/>
  <c r="D395" i="12"/>
  <c r="D396" i="12"/>
  <c r="D397" i="12"/>
  <c r="D398" i="12"/>
  <c r="D399" i="12"/>
  <c r="D400" i="12"/>
  <c r="D401" i="12"/>
  <c r="D402" i="12"/>
  <c r="D403" i="12"/>
  <c r="D404" i="12"/>
  <c r="D405" i="12"/>
  <c r="D406" i="12"/>
  <c r="D407" i="12"/>
  <c r="D408" i="12"/>
  <c r="D409" i="12"/>
  <c r="D410" i="12"/>
  <c r="D411" i="12"/>
  <c r="D412" i="12"/>
  <c r="Y412" i="12" s="1"/>
  <c r="D413" i="12"/>
  <c r="D414" i="12"/>
  <c r="D415" i="12"/>
  <c r="D416" i="12"/>
  <c r="D417" i="12"/>
  <c r="Y417" i="12" s="1"/>
  <c r="D418" i="12"/>
  <c r="D419" i="12"/>
  <c r="D420" i="12"/>
  <c r="D421" i="12"/>
  <c r="Y421" i="12" s="1"/>
  <c r="D422" i="12"/>
  <c r="D423" i="12"/>
  <c r="D424" i="12"/>
  <c r="D425" i="12"/>
  <c r="D426" i="12"/>
  <c r="D427" i="12"/>
  <c r="D428" i="12"/>
  <c r="D429" i="12"/>
  <c r="Y429" i="12" s="1"/>
  <c r="D430" i="12"/>
  <c r="D431" i="12"/>
  <c r="D432" i="12"/>
  <c r="D433" i="12"/>
  <c r="D434" i="12"/>
  <c r="D435" i="12"/>
  <c r="D436" i="12"/>
  <c r="D437" i="12"/>
  <c r="D438" i="12"/>
  <c r="D439" i="12"/>
  <c r="D440" i="12"/>
  <c r="D441" i="12"/>
  <c r="Y441" i="12" s="1"/>
  <c r="D442" i="12"/>
  <c r="D443" i="12"/>
  <c r="D444" i="12"/>
  <c r="O444" i="12" s="1"/>
  <c r="D445" i="12"/>
  <c r="Y445" i="12" s="1"/>
  <c r="D446" i="12"/>
  <c r="D447" i="12"/>
  <c r="D448" i="12"/>
  <c r="D449" i="12"/>
  <c r="D450" i="12"/>
  <c r="D451" i="12"/>
  <c r="D452" i="12"/>
  <c r="D453" i="12"/>
  <c r="Y453" i="12" s="1"/>
  <c r="D454" i="12"/>
  <c r="D455" i="12"/>
  <c r="D456" i="12"/>
  <c r="D457" i="12"/>
  <c r="Y457" i="12" s="1"/>
  <c r="D458" i="12"/>
  <c r="D459" i="12"/>
  <c r="D460" i="12"/>
  <c r="D461" i="12"/>
  <c r="O461" i="12" s="1"/>
  <c r="D462" i="12"/>
  <c r="D463" i="12"/>
  <c r="D464" i="12"/>
  <c r="D465" i="12"/>
  <c r="O465" i="12" s="1"/>
  <c r="D466" i="12"/>
  <c r="D467" i="12"/>
  <c r="D468" i="12"/>
  <c r="D469" i="12"/>
  <c r="Y469" i="12" s="1"/>
  <c r="D470" i="12"/>
  <c r="D471" i="12"/>
  <c r="D472" i="12"/>
  <c r="D473" i="12"/>
  <c r="O473" i="12" s="1"/>
  <c r="D474" i="12"/>
  <c r="D475" i="12"/>
  <c r="D476" i="12"/>
  <c r="Y476" i="12" s="1"/>
  <c r="D477" i="12"/>
  <c r="Y477" i="12" s="1"/>
  <c r="D478" i="12"/>
  <c r="D479" i="12"/>
  <c r="D480" i="12"/>
  <c r="Y480" i="12" s="1"/>
  <c r="D481" i="12"/>
  <c r="O481" i="12" s="1"/>
  <c r="D482" i="12"/>
  <c r="D483" i="12"/>
  <c r="D484" i="12"/>
  <c r="Y484" i="12" s="1"/>
  <c r="D485" i="12"/>
  <c r="D486" i="12"/>
  <c r="D487" i="12"/>
  <c r="D488" i="12"/>
  <c r="Y488" i="12" s="1"/>
  <c r="D489" i="12"/>
  <c r="O489" i="12" s="1"/>
  <c r="D490" i="12"/>
  <c r="D491" i="12"/>
  <c r="D492" i="12"/>
  <c r="Y492" i="12" s="1"/>
  <c r="D493" i="12"/>
  <c r="D494" i="12"/>
  <c r="D495" i="12"/>
  <c r="D496" i="12"/>
  <c r="Y496" i="12" s="1"/>
  <c r="D497" i="12"/>
  <c r="Y497" i="12" s="1"/>
  <c r="D498" i="12"/>
  <c r="D499" i="12"/>
  <c r="D500" i="12"/>
  <c r="Y500" i="12" s="1"/>
  <c r="C500" i="12"/>
  <c r="C499" i="12"/>
  <c r="C498" i="12"/>
  <c r="C497" i="12"/>
  <c r="C496" i="12"/>
  <c r="C495" i="12"/>
  <c r="C494" i="12"/>
  <c r="C493" i="12"/>
  <c r="C492" i="12"/>
  <c r="C491" i="12"/>
  <c r="C490" i="12"/>
  <c r="C489" i="12"/>
  <c r="C488" i="12"/>
  <c r="C487" i="12"/>
  <c r="C486" i="12"/>
  <c r="C485" i="12"/>
  <c r="C484" i="12"/>
  <c r="C483" i="12"/>
  <c r="C482" i="12"/>
  <c r="C481" i="12"/>
  <c r="C480" i="12"/>
  <c r="C479" i="12"/>
  <c r="C478" i="12"/>
  <c r="C477" i="12"/>
  <c r="C476" i="12"/>
  <c r="C475" i="12"/>
  <c r="C474" i="12"/>
  <c r="C473" i="12"/>
  <c r="C472" i="12"/>
  <c r="C471" i="12"/>
  <c r="C470" i="12"/>
  <c r="C469" i="12"/>
  <c r="C468" i="12"/>
  <c r="C467" i="12"/>
  <c r="C466" i="12"/>
  <c r="C465" i="12"/>
  <c r="C464" i="12"/>
  <c r="C463" i="12"/>
  <c r="C462" i="12"/>
  <c r="C461" i="12"/>
  <c r="C460" i="12"/>
  <c r="C459" i="12"/>
  <c r="C458" i="12"/>
  <c r="C457" i="12"/>
  <c r="C456" i="12"/>
  <c r="C455" i="12"/>
  <c r="C454" i="12"/>
  <c r="C453" i="12"/>
  <c r="C452" i="12"/>
  <c r="C451" i="12"/>
  <c r="C450" i="12"/>
  <c r="C449" i="12"/>
  <c r="C448" i="12"/>
  <c r="C447" i="12"/>
  <c r="C446" i="12"/>
  <c r="C445" i="12"/>
  <c r="C444" i="12"/>
  <c r="C443" i="12"/>
  <c r="C442" i="12"/>
  <c r="C441" i="12"/>
  <c r="C440" i="12"/>
  <c r="C439" i="12"/>
  <c r="C438" i="12"/>
  <c r="C437" i="12"/>
  <c r="C436" i="12"/>
  <c r="C435" i="12"/>
  <c r="C434" i="12"/>
  <c r="C433" i="12"/>
  <c r="C432" i="12"/>
  <c r="C431" i="12"/>
  <c r="C430" i="12"/>
  <c r="C429" i="12"/>
  <c r="C428" i="12"/>
  <c r="C427" i="12"/>
  <c r="C426" i="12"/>
  <c r="C425" i="12"/>
  <c r="C424" i="12"/>
  <c r="C423" i="12"/>
  <c r="C422" i="12"/>
  <c r="C421" i="12"/>
  <c r="C420" i="12"/>
  <c r="C419" i="12"/>
  <c r="C418" i="12"/>
  <c r="C417" i="12"/>
  <c r="C416" i="12"/>
  <c r="C415" i="12"/>
  <c r="C414" i="12"/>
  <c r="C413" i="12"/>
  <c r="C412" i="12"/>
  <c r="C411" i="12"/>
  <c r="C410" i="12"/>
  <c r="C409" i="12"/>
  <c r="C408" i="12"/>
  <c r="C407" i="12"/>
  <c r="C406" i="12"/>
  <c r="C405" i="12"/>
  <c r="C404" i="12"/>
  <c r="C403" i="12"/>
  <c r="C402" i="12"/>
  <c r="C401" i="12"/>
  <c r="C400" i="12"/>
  <c r="C399" i="12"/>
  <c r="C398" i="12"/>
  <c r="C397" i="12"/>
  <c r="C396" i="12"/>
  <c r="C395" i="12"/>
  <c r="C394" i="12"/>
  <c r="C393" i="12"/>
  <c r="C392" i="12"/>
  <c r="C391" i="12"/>
  <c r="C390" i="12"/>
  <c r="C389" i="12"/>
  <c r="C388" i="12"/>
  <c r="C387" i="12"/>
  <c r="C386" i="12"/>
  <c r="C385" i="12"/>
  <c r="C384" i="12"/>
  <c r="C383" i="12"/>
  <c r="C382" i="12"/>
  <c r="C381" i="12"/>
  <c r="C380" i="12"/>
  <c r="C379" i="12"/>
  <c r="C378" i="12"/>
  <c r="C377" i="12"/>
  <c r="C376" i="12"/>
  <c r="C375" i="12"/>
  <c r="C374" i="12"/>
  <c r="C373" i="12"/>
  <c r="C372" i="12"/>
  <c r="C371" i="12"/>
  <c r="C370" i="12"/>
  <c r="C369" i="12"/>
  <c r="C368" i="12"/>
  <c r="C367" i="12"/>
  <c r="C366" i="12"/>
  <c r="C365" i="12"/>
  <c r="C364" i="12"/>
  <c r="C363" i="12"/>
  <c r="C362" i="12"/>
  <c r="C361" i="12"/>
  <c r="C360" i="12"/>
  <c r="C359" i="12"/>
  <c r="C358" i="12"/>
  <c r="C357" i="12"/>
  <c r="C356" i="12"/>
  <c r="C355" i="12"/>
  <c r="C354" i="12"/>
  <c r="C353" i="12"/>
  <c r="C352" i="12"/>
  <c r="C351" i="12"/>
  <c r="C350" i="12"/>
  <c r="C349" i="12"/>
  <c r="C348" i="12"/>
  <c r="C347" i="12"/>
  <c r="C346" i="12"/>
  <c r="C345" i="12"/>
  <c r="C344" i="12"/>
  <c r="C343" i="12"/>
  <c r="C342" i="12"/>
  <c r="C341" i="12"/>
  <c r="C340" i="12"/>
  <c r="C339" i="12"/>
  <c r="C338" i="12"/>
  <c r="C337" i="12"/>
  <c r="C336" i="12"/>
  <c r="C335" i="12"/>
  <c r="C334" i="12"/>
  <c r="C333" i="12"/>
  <c r="C332" i="12"/>
  <c r="C331" i="12"/>
  <c r="C330" i="12"/>
  <c r="C329" i="12"/>
  <c r="C328" i="12"/>
  <c r="C327" i="12"/>
  <c r="C326" i="12"/>
  <c r="C325" i="12"/>
  <c r="C324" i="12"/>
  <c r="C323" i="12"/>
  <c r="C322" i="12"/>
  <c r="C321" i="12"/>
  <c r="C320" i="12"/>
  <c r="C319" i="12"/>
  <c r="C318" i="12"/>
  <c r="C317" i="12"/>
  <c r="C316" i="12"/>
  <c r="C315" i="12"/>
  <c r="C314" i="12"/>
  <c r="C313" i="12"/>
  <c r="C312" i="12"/>
  <c r="C311" i="12"/>
  <c r="C310" i="12"/>
  <c r="C309" i="12"/>
  <c r="C308" i="12"/>
  <c r="C307" i="12"/>
  <c r="C306" i="12"/>
  <c r="C305" i="12"/>
  <c r="C304" i="12"/>
  <c r="C303" i="12"/>
  <c r="C302" i="12"/>
  <c r="C301" i="12"/>
  <c r="C300" i="12"/>
  <c r="C299" i="12"/>
  <c r="C298" i="12"/>
  <c r="C297" i="12"/>
  <c r="C296" i="12"/>
  <c r="C295" i="12"/>
  <c r="C294" i="12"/>
  <c r="C293" i="12"/>
  <c r="C292" i="12"/>
  <c r="C291" i="12"/>
  <c r="C290" i="12"/>
  <c r="C289" i="12"/>
  <c r="C288" i="12"/>
  <c r="C287" i="12"/>
  <c r="C286" i="12"/>
  <c r="C285" i="12"/>
  <c r="C284" i="12"/>
  <c r="C283" i="12"/>
  <c r="C282" i="12"/>
  <c r="C281" i="12"/>
  <c r="C280" i="12"/>
  <c r="C279" i="12"/>
  <c r="C278" i="12"/>
  <c r="C277" i="12"/>
  <c r="C276" i="12"/>
  <c r="C275" i="12"/>
  <c r="C274" i="12"/>
  <c r="C273" i="12"/>
  <c r="C272" i="12"/>
  <c r="C271" i="12"/>
  <c r="C270" i="12"/>
  <c r="C269" i="12"/>
  <c r="C268" i="12"/>
  <c r="C267" i="12"/>
  <c r="C266" i="12"/>
  <c r="C265" i="12"/>
  <c r="C264" i="12"/>
  <c r="C263" i="12"/>
  <c r="C262" i="12"/>
  <c r="C261" i="12"/>
  <c r="C260" i="12"/>
  <c r="C259" i="12"/>
  <c r="C258" i="12"/>
  <c r="C257" i="12"/>
  <c r="C256" i="12"/>
  <c r="C255" i="12"/>
  <c r="C254" i="12"/>
  <c r="C253" i="12"/>
  <c r="C252" i="12"/>
  <c r="C251" i="12"/>
  <c r="C250" i="12"/>
  <c r="C249" i="12"/>
  <c r="C248" i="12"/>
  <c r="C247" i="12"/>
  <c r="C246" i="12"/>
  <c r="C245" i="12"/>
  <c r="C244" i="12"/>
  <c r="C243" i="12"/>
  <c r="C242" i="12"/>
  <c r="C241" i="12"/>
  <c r="C240" i="12"/>
  <c r="C239" i="12"/>
  <c r="C238" i="12"/>
  <c r="C237" i="12"/>
  <c r="C236" i="12"/>
  <c r="C235" i="12"/>
  <c r="C234" i="12"/>
  <c r="C233" i="12"/>
  <c r="C232" i="12"/>
  <c r="C231" i="12"/>
  <c r="C230" i="12"/>
  <c r="C229" i="12"/>
  <c r="C228" i="12"/>
  <c r="C227" i="12"/>
  <c r="C226" i="12"/>
  <c r="C225" i="12"/>
  <c r="C224" i="12"/>
  <c r="C223" i="12"/>
  <c r="C222" i="12"/>
  <c r="C221" i="12"/>
  <c r="C220" i="12"/>
  <c r="C219" i="12"/>
  <c r="C218" i="12"/>
  <c r="C217" i="12"/>
  <c r="C216" i="12"/>
  <c r="C215" i="12"/>
  <c r="C214" i="12"/>
  <c r="C213" i="12"/>
  <c r="C212" i="12"/>
  <c r="C211" i="12"/>
  <c r="C210" i="12"/>
  <c r="C209" i="12"/>
  <c r="C208" i="12"/>
  <c r="C207" i="12"/>
  <c r="C206" i="12"/>
  <c r="C205" i="12"/>
  <c r="C204" i="12"/>
  <c r="C203" i="12"/>
  <c r="C202" i="12"/>
  <c r="C201" i="12"/>
  <c r="C200" i="12"/>
  <c r="C199" i="12"/>
  <c r="C198" i="12"/>
  <c r="C197" i="12"/>
  <c r="C196" i="12"/>
  <c r="C195" i="12"/>
  <c r="C194" i="12"/>
  <c r="C193" i="12"/>
  <c r="C192" i="12"/>
  <c r="C191" i="12"/>
  <c r="C190" i="12"/>
  <c r="C189" i="12"/>
  <c r="C188" i="12"/>
  <c r="C187" i="12"/>
  <c r="C186" i="12"/>
  <c r="C185" i="12"/>
  <c r="C184" i="12"/>
  <c r="C183" i="12"/>
  <c r="C182" i="12"/>
  <c r="C181" i="12"/>
  <c r="C180" i="12"/>
  <c r="C179" i="12"/>
  <c r="C178" i="12"/>
  <c r="C177" i="12"/>
  <c r="C176" i="12"/>
  <c r="C175" i="12"/>
  <c r="C174" i="12"/>
  <c r="C173" i="12"/>
  <c r="C172" i="12"/>
  <c r="C171" i="12"/>
  <c r="C170" i="12"/>
  <c r="C169" i="12"/>
  <c r="C168" i="12"/>
  <c r="C167" i="12"/>
  <c r="C166" i="12"/>
  <c r="C165" i="12"/>
  <c r="C164" i="12"/>
  <c r="C163" i="12"/>
  <c r="C162" i="12"/>
  <c r="C161" i="12"/>
  <c r="C160" i="12"/>
  <c r="C159" i="12"/>
  <c r="C158" i="12"/>
  <c r="C157" i="12"/>
  <c r="C156" i="12"/>
  <c r="C155" i="12"/>
  <c r="C154" i="12"/>
  <c r="C153" i="12"/>
  <c r="C152" i="12"/>
  <c r="C151" i="12"/>
  <c r="C150" i="12"/>
  <c r="C149" i="12"/>
  <c r="C148" i="12"/>
  <c r="C147" i="12"/>
  <c r="C146" i="12"/>
  <c r="C145" i="12"/>
  <c r="C144" i="12"/>
  <c r="C143" i="12"/>
  <c r="C142" i="12"/>
  <c r="C141" i="12"/>
  <c r="C140" i="12"/>
  <c r="C139" i="12"/>
  <c r="C138" i="12"/>
  <c r="C137" i="12"/>
  <c r="C136" i="12"/>
  <c r="C135" i="12"/>
  <c r="C134" i="12"/>
  <c r="C133" i="12"/>
  <c r="C132" i="12"/>
  <c r="C131" i="12"/>
  <c r="C130" i="12"/>
  <c r="C129" i="12"/>
  <c r="C128" i="12"/>
  <c r="C127" i="12"/>
  <c r="C126" i="12"/>
  <c r="C125" i="12"/>
  <c r="C124" i="12"/>
  <c r="C123" i="12"/>
  <c r="C122" i="12"/>
  <c r="C121" i="12"/>
  <c r="C120" i="12"/>
  <c r="C119" i="12"/>
  <c r="C118" i="12"/>
  <c r="C117" i="12"/>
  <c r="C116" i="12"/>
  <c r="C115" i="12"/>
  <c r="C114" i="12"/>
  <c r="C113" i="12"/>
  <c r="C112" i="12"/>
  <c r="C111" i="12"/>
  <c r="C110" i="12"/>
  <c r="C109" i="12"/>
  <c r="C108" i="12"/>
  <c r="C107" i="12"/>
  <c r="C106" i="12"/>
  <c r="C105" i="12"/>
  <c r="C104" i="12"/>
  <c r="C103" i="12"/>
  <c r="C102" i="12"/>
  <c r="C101" i="12"/>
  <c r="C100" i="12"/>
  <c r="C99" i="12"/>
  <c r="C98" i="12"/>
  <c r="C97" i="12"/>
  <c r="C96" i="12"/>
  <c r="C95" i="12"/>
  <c r="C94" i="12"/>
  <c r="C93" i="12"/>
  <c r="C92" i="12"/>
  <c r="C91" i="12"/>
  <c r="C90" i="12"/>
  <c r="C89" i="12"/>
  <c r="C88" i="12"/>
  <c r="C87" i="12"/>
  <c r="C86" i="12"/>
  <c r="C85" i="12"/>
  <c r="C84" i="12"/>
  <c r="C83" i="12"/>
  <c r="C82" i="12"/>
  <c r="C81" i="12"/>
  <c r="C80" i="12"/>
  <c r="C79" i="12"/>
  <c r="C78" i="12"/>
  <c r="C77" i="12"/>
  <c r="C76" i="12"/>
  <c r="C75" i="12"/>
  <c r="C74" i="12"/>
  <c r="C73" i="12"/>
  <c r="C72" i="12"/>
  <c r="C71" i="12"/>
  <c r="C70" i="12"/>
  <c r="C69" i="12"/>
  <c r="C68" i="12"/>
  <c r="C67" i="12"/>
  <c r="C66" i="12"/>
  <c r="C65" i="12"/>
  <c r="C64" i="12"/>
  <c r="C63" i="12"/>
  <c r="C62" i="12"/>
  <c r="C61" i="12"/>
  <c r="C60" i="12"/>
  <c r="C59" i="12"/>
  <c r="C58" i="12"/>
  <c r="C57" i="12"/>
  <c r="C56" i="12"/>
  <c r="C55" i="12"/>
  <c r="C54" i="12"/>
  <c r="C53" i="12"/>
  <c r="C52" i="12"/>
  <c r="C51" i="12"/>
  <c r="C50" i="12"/>
  <c r="C49" i="12"/>
  <c r="C48" i="12"/>
  <c r="C47" i="12"/>
  <c r="C46" i="12"/>
  <c r="C45" i="12"/>
  <c r="C44" i="12"/>
  <c r="C43" i="12"/>
  <c r="C42" i="12"/>
  <c r="C41" i="12"/>
  <c r="C40" i="12"/>
  <c r="C39" i="12"/>
  <c r="C38" i="12"/>
  <c r="C37" i="12"/>
  <c r="C36" i="12"/>
  <c r="C35" i="12"/>
  <c r="C34" i="12"/>
  <c r="C33" i="12"/>
  <c r="C32" i="12"/>
  <c r="C31" i="12"/>
  <c r="C30" i="12"/>
  <c r="C29" i="12"/>
  <c r="C28" i="12"/>
  <c r="C27" i="12"/>
  <c r="C26" i="12"/>
  <c r="C25" i="12"/>
  <c r="C24" i="12"/>
  <c r="C23" i="12"/>
  <c r="C22" i="12"/>
  <c r="C21" i="12"/>
  <c r="C20" i="12"/>
  <c r="C19" i="12"/>
  <c r="C18" i="12"/>
  <c r="C17" i="12"/>
  <c r="C16" i="12"/>
  <c r="C15" i="12"/>
  <c r="C14" i="12"/>
  <c r="C13" i="12"/>
  <c r="C12" i="12"/>
  <c r="C11" i="12"/>
  <c r="C10" i="12"/>
  <c r="C9" i="12"/>
  <c r="C8" i="12"/>
  <c r="B21" i="16"/>
  <c r="B22" i="16"/>
  <c r="B23" i="16"/>
  <c r="BH19" i="14"/>
  <c r="BH18" i="14"/>
  <c r="BH17" i="14"/>
  <c r="B24" i="16"/>
  <c r="B25" i="16"/>
  <c r="B26" i="16"/>
  <c r="O499" i="12"/>
  <c r="U498" i="12"/>
  <c r="T498" i="12"/>
  <c r="O498" i="12"/>
  <c r="U496" i="12"/>
  <c r="T495" i="12"/>
  <c r="Y495" i="12"/>
  <c r="Y491" i="12"/>
  <c r="U490" i="12"/>
  <c r="O490" i="12"/>
  <c r="U488" i="12"/>
  <c r="T488" i="12"/>
  <c r="T487" i="12"/>
  <c r="Y483" i="12"/>
  <c r="U482" i="12"/>
  <c r="O482" i="12"/>
  <c r="T479" i="12"/>
  <c r="O479" i="12"/>
  <c r="T476" i="12"/>
  <c r="U474" i="12"/>
  <c r="O474" i="12"/>
  <c r="T471" i="12"/>
  <c r="O471" i="12"/>
  <c r="O467" i="12"/>
  <c r="U466" i="12"/>
  <c r="O466" i="12"/>
  <c r="Y463" i="12"/>
  <c r="Y461" i="12"/>
  <c r="Y459" i="12"/>
  <c r="U458" i="12"/>
  <c r="T458" i="12"/>
  <c r="O458" i="12"/>
  <c r="U457" i="12"/>
  <c r="U456" i="12"/>
  <c r="Y455" i="12"/>
  <c r="Y451" i="12"/>
  <c r="U450" i="12"/>
  <c r="U449" i="12"/>
  <c r="Y449" i="12"/>
  <c r="U448" i="12"/>
  <c r="T444" i="12"/>
  <c r="Y444" i="12"/>
  <c r="O443" i="12"/>
  <c r="Y442" i="12"/>
  <c r="U439" i="12"/>
  <c r="T436" i="12"/>
  <c r="O435" i="12"/>
  <c r="T430" i="12"/>
  <c r="T428" i="12"/>
  <c r="Y427" i="12"/>
  <c r="Y426" i="12"/>
  <c r="Y425" i="12"/>
  <c r="O423" i="12"/>
  <c r="T420" i="12"/>
  <c r="U419" i="12"/>
  <c r="Y419" i="12"/>
  <c r="O415" i="12"/>
  <c r="Y413" i="12"/>
  <c r="U411" i="12"/>
  <c r="O411" i="12"/>
  <c r="Y409" i="12"/>
  <c r="O407" i="12"/>
  <c r="T404" i="12"/>
  <c r="U403" i="12"/>
  <c r="O403" i="12"/>
  <c r="U402" i="12"/>
  <c r="Y402" i="12"/>
  <c r="U401" i="12"/>
  <c r="Y401" i="12"/>
  <c r="T398" i="12"/>
  <c r="T397" i="12"/>
  <c r="Y395" i="12"/>
  <c r="U394" i="12"/>
  <c r="Y394" i="12"/>
  <c r="T387" i="12"/>
  <c r="Y387" i="12"/>
  <c r="U384" i="12"/>
  <c r="T384" i="12"/>
  <c r="U383" i="12"/>
  <c r="Y379" i="12"/>
  <c r="O378" i="12"/>
  <c r="O375" i="12"/>
  <c r="Y371" i="12"/>
  <c r="U367" i="12"/>
  <c r="U364" i="12"/>
  <c r="U363" i="12"/>
  <c r="O363" i="12"/>
  <c r="O355" i="12"/>
  <c r="T353" i="12"/>
  <c r="T352" i="12"/>
  <c r="O351" i="12"/>
  <c r="O347" i="12"/>
  <c r="T346" i="12"/>
  <c r="T345" i="12"/>
  <c r="T343" i="12"/>
  <c r="Y342" i="12"/>
  <c r="O339" i="12"/>
  <c r="T338" i="12"/>
  <c r="O338" i="12"/>
  <c r="T336" i="12"/>
  <c r="T335" i="12"/>
  <c r="U334" i="12"/>
  <c r="O331" i="12"/>
  <c r="T330" i="12"/>
  <c r="O330" i="12"/>
  <c r="T329" i="12"/>
  <c r="T328" i="12"/>
  <c r="T327" i="12"/>
  <c r="Y327" i="12"/>
  <c r="O323" i="12"/>
  <c r="U322" i="12"/>
  <c r="T322" i="12"/>
  <c r="T321" i="12"/>
  <c r="T319" i="12"/>
  <c r="O319" i="12"/>
  <c r="O318" i="12"/>
  <c r="U316" i="12"/>
  <c r="O315" i="12"/>
  <c r="O314" i="12"/>
  <c r="U309" i="12"/>
  <c r="Y307" i="12"/>
  <c r="Y306" i="12"/>
  <c r="T304" i="12"/>
  <c r="T303" i="12"/>
  <c r="Y303" i="12"/>
  <c r="T301" i="12"/>
  <c r="T298" i="12"/>
  <c r="Y298" i="12"/>
  <c r="T295" i="12"/>
  <c r="Y295" i="12"/>
  <c r="Y294" i="12"/>
  <c r="T293" i="12"/>
  <c r="Y290" i="12"/>
  <c r="Y289" i="12"/>
  <c r="Y287" i="12"/>
  <c r="Y283" i="12"/>
  <c r="U282" i="12"/>
  <c r="Y282" i="12"/>
  <c r="T280" i="12"/>
  <c r="Y279" i="12"/>
  <c r="O278" i="12"/>
  <c r="O275" i="12"/>
  <c r="Y274" i="12"/>
  <c r="T272" i="12"/>
  <c r="Y271" i="12"/>
  <c r="U270" i="12"/>
  <c r="Y267" i="12"/>
  <c r="O266" i="12"/>
  <c r="Y265" i="12"/>
  <c r="O259" i="12"/>
  <c r="O258" i="12"/>
  <c r="Y256" i="12"/>
  <c r="O255" i="12"/>
  <c r="O251" i="12"/>
  <c r="O250" i="12"/>
  <c r="Y249" i="12"/>
  <c r="T248" i="12"/>
  <c r="O247" i="12"/>
  <c r="U246" i="12"/>
  <c r="T244" i="12"/>
  <c r="Y243" i="12"/>
  <c r="O242" i="12"/>
  <c r="T240" i="12"/>
  <c r="T239" i="12"/>
  <c r="O239" i="12"/>
  <c r="T236" i="12"/>
  <c r="O231" i="12"/>
  <c r="T228" i="12"/>
  <c r="O227" i="12"/>
  <c r="O223" i="12"/>
  <c r="T222" i="12"/>
  <c r="T214" i="12"/>
  <c r="Y211" i="12"/>
  <c r="O210" i="12"/>
  <c r="Y209" i="12"/>
  <c r="U207" i="12"/>
  <c r="O207" i="12"/>
  <c r="T204" i="12"/>
  <c r="T203" i="12"/>
  <c r="O202" i="12"/>
  <c r="O199" i="12"/>
  <c r="O197" i="12"/>
  <c r="U196" i="12"/>
  <c r="T196" i="12"/>
  <c r="U195" i="12"/>
  <c r="Y194" i="12"/>
  <c r="T193" i="12"/>
  <c r="O191" i="12"/>
  <c r="Y190" i="12"/>
  <c r="U188" i="12"/>
  <c r="U186" i="12"/>
  <c r="Y186" i="12"/>
  <c r="Y183" i="12"/>
  <c r="O180" i="12"/>
  <c r="U177" i="12"/>
  <c r="O177" i="12"/>
  <c r="Y175" i="12"/>
  <c r="Y174" i="12"/>
  <c r="Y173" i="12"/>
  <c r="U170" i="12"/>
  <c r="Y170" i="12"/>
  <c r="T168" i="12"/>
  <c r="O167" i="12"/>
  <c r="O166" i="12"/>
  <c r="Y165" i="12"/>
  <c r="U162" i="12"/>
  <c r="Y162" i="12"/>
  <c r="O161" i="12"/>
  <c r="T160" i="12"/>
  <c r="Y159" i="12"/>
  <c r="T158" i="12"/>
  <c r="Y158" i="12"/>
  <c r="Y155" i="12"/>
  <c r="U154" i="12"/>
  <c r="Y154" i="12"/>
  <c r="T151" i="12"/>
  <c r="Y151" i="12"/>
  <c r="Y150" i="12"/>
  <c r="T149" i="12"/>
  <c r="Y147" i="12"/>
  <c r="Y146" i="12"/>
  <c r="O143" i="12"/>
  <c r="Y142" i="12"/>
  <c r="T141" i="12"/>
  <c r="O141" i="12"/>
  <c r="Y139" i="12"/>
  <c r="Y138" i="12"/>
  <c r="O135" i="12"/>
  <c r="O134" i="12"/>
  <c r="T133" i="12"/>
  <c r="Y133" i="12"/>
  <c r="Y131" i="12"/>
  <c r="Y130" i="12"/>
  <c r="O127" i="12"/>
  <c r="Y126" i="12"/>
  <c r="T125" i="12"/>
  <c r="T123" i="12"/>
  <c r="Y123" i="12"/>
  <c r="Y122" i="12"/>
  <c r="O119" i="12"/>
  <c r="Y118" i="12"/>
  <c r="T117" i="12"/>
  <c r="T115" i="12"/>
  <c r="Y115" i="12"/>
  <c r="Y114" i="12"/>
  <c r="T111" i="12"/>
  <c r="O111" i="12"/>
  <c r="T110" i="12"/>
  <c r="O110" i="12"/>
  <c r="T107" i="12"/>
  <c r="Y107" i="12"/>
  <c r="T105" i="12"/>
  <c r="T103" i="12"/>
  <c r="O103" i="12"/>
  <c r="T102" i="12"/>
  <c r="Y102" i="12"/>
  <c r="Y99" i="12"/>
  <c r="T98" i="12"/>
  <c r="Y98" i="12"/>
  <c r="U95" i="12"/>
  <c r="O95" i="12"/>
  <c r="T94" i="12"/>
  <c r="Y94" i="12"/>
  <c r="Y93" i="12"/>
  <c r="Y91" i="12"/>
  <c r="T90" i="12"/>
  <c r="O90" i="12"/>
  <c r="T89" i="12"/>
  <c r="U87" i="12"/>
  <c r="O87" i="12"/>
  <c r="T86" i="12"/>
  <c r="Y86" i="12"/>
  <c r="U85" i="12"/>
  <c r="Y85" i="12"/>
  <c r="T84" i="12"/>
  <c r="Y83" i="12"/>
  <c r="O82" i="12"/>
  <c r="Y81" i="12"/>
  <c r="T79" i="12"/>
  <c r="Y79" i="12"/>
  <c r="T78" i="12"/>
  <c r="Y78" i="12"/>
  <c r="O77" i="12"/>
  <c r="Y75" i="12"/>
  <c r="O74" i="12"/>
  <c r="Y73" i="12"/>
  <c r="T71" i="12"/>
  <c r="Y71" i="12"/>
  <c r="T70" i="12"/>
  <c r="Y70" i="12"/>
  <c r="Y67" i="12"/>
  <c r="O66" i="12"/>
  <c r="T63" i="12"/>
  <c r="Y63" i="12"/>
  <c r="T62" i="12"/>
  <c r="Y62" i="12"/>
  <c r="U61" i="12"/>
  <c r="O61" i="12"/>
  <c r="Y59" i="12"/>
  <c r="O58" i="12"/>
  <c r="O57" i="12"/>
  <c r="T55" i="12"/>
  <c r="Y55" i="12"/>
  <c r="T54" i="12"/>
  <c r="Y54" i="12"/>
  <c r="U53" i="12"/>
  <c r="Y52" i="12"/>
  <c r="Y51" i="12"/>
  <c r="T50" i="12"/>
  <c r="T47" i="12"/>
  <c r="T46" i="12"/>
  <c r="O45" i="12"/>
  <c r="O42" i="12"/>
  <c r="O41" i="12"/>
  <c r="O40" i="12"/>
  <c r="O39" i="12"/>
  <c r="O38" i="12"/>
  <c r="O34" i="12"/>
  <c r="O33" i="12"/>
  <c r="O31" i="12"/>
  <c r="O30" i="12"/>
  <c r="O26" i="12"/>
  <c r="O25" i="12"/>
  <c r="O23" i="12"/>
  <c r="O22" i="12"/>
  <c r="O18" i="12"/>
  <c r="O15" i="12"/>
  <c r="O14" i="12"/>
  <c r="O10" i="12"/>
  <c r="O9" i="12"/>
  <c r="B27" i="16"/>
  <c r="B28" i="16"/>
  <c r="B29" i="16"/>
  <c r="W499" i="12"/>
  <c r="X499" i="12" s="1"/>
  <c r="W182" i="12"/>
  <c r="X182" i="12" s="1"/>
  <c r="W494" i="12"/>
  <c r="X494" i="12" s="1"/>
  <c r="O455" i="12"/>
  <c r="W23" i="12"/>
  <c r="X23" i="12"/>
  <c r="T432" i="12"/>
  <c r="O158" i="12"/>
  <c r="W125" i="12"/>
  <c r="X125" i="12"/>
  <c r="W473" i="12"/>
  <c r="X473" i="12" s="1"/>
  <c r="W22" i="12"/>
  <c r="X22" i="12"/>
  <c r="W134" i="12"/>
  <c r="X134" i="12" s="1"/>
  <c r="O190" i="12"/>
  <c r="W201" i="12"/>
  <c r="X201" i="12" s="1"/>
  <c r="W441" i="12"/>
  <c r="X441" i="12" s="1"/>
  <c r="W449" i="12"/>
  <c r="X449" i="12" s="1"/>
  <c r="W279" i="12"/>
  <c r="X279" i="12" s="1"/>
  <c r="W218" i="12"/>
  <c r="X218" i="12"/>
  <c r="W312" i="12"/>
  <c r="X312" i="12" s="1"/>
  <c r="W342" i="12"/>
  <c r="X342" i="12" s="1"/>
  <c r="W36" i="12"/>
  <c r="X36" i="12" s="1"/>
  <c r="W44" i="12"/>
  <c r="X44" i="12" s="1"/>
  <c r="W81" i="12"/>
  <c r="X81" i="12" s="1"/>
  <c r="W107" i="12"/>
  <c r="X107" i="12"/>
  <c r="W133" i="12"/>
  <c r="X133" i="12" s="1"/>
  <c r="W178" i="12"/>
  <c r="X178" i="12"/>
  <c r="T393" i="12"/>
  <c r="W118" i="12"/>
  <c r="X118" i="12"/>
  <c r="W181" i="12"/>
  <c r="X181" i="12"/>
  <c r="W40" i="12"/>
  <c r="X40" i="12"/>
  <c r="W197" i="12"/>
  <c r="X197" i="12"/>
  <c r="W271" i="12"/>
  <c r="X271" i="12"/>
  <c r="T305" i="12"/>
  <c r="W395" i="12"/>
  <c r="X395" i="12" s="1"/>
  <c r="W403" i="12"/>
  <c r="X403" i="12" s="1"/>
  <c r="W127" i="12"/>
  <c r="X127" i="12" s="1"/>
  <c r="Y363" i="12"/>
  <c r="W435" i="12"/>
  <c r="X435" i="12" s="1"/>
  <c r="W443" i="12"/>
  <c r="X443" i="12" s="1"/>
  <c r="W82" i="12"/>
  <c r="X82" i="12" s="1"/>
  <c r="W87" i="12"/>
  <c r="X87" i="12"/>
  <c r="T91" i="12"/>
  <c r="W272" i="12"/>
  <c r="X272" i="12"/>
  <c r="W420" i="12"/>
  <c r="X420" i="12" s="1"/>
  <c r="W460" i="12"/>
  <c r="X460" i="12"/>
  <c r="T480" i="12"/>
  <c r="W57" i="12"/>
  <c r="X57" i="12" s="1"/>
  <c r="W95" i="12"/>
  <c r="X95" i="12" s="1"/>
  <c r="W100" i="12"/>
  <c r="X100" i="12" s="1"/>
  <c r="T30" i="12"/>
  <c r="T35" i="12"/>
  <c r="W39" i="12"/>
  <c r="X39" i="12" s="1"/>
  <c r="O213" i="12"/>
  <c r="Y351" i="12"/>
  <c r="W37" i="12"/>
  <c r="X37" i="12" s="1"/>
  <c r="W88" i="12"/>
  <c r="X88" i="12"/>
  <c r="W258" i="12"/>
  <c r="X258" i="12" s="1"/>
  <c r="W299" i="12"/>
  <c r="X299" i="12" s="1"/>
  <c r="W352" i="12"/>
  <c r="X352" i="12" s="1"/>
  <c r="W362" i="12"/>
  <c r="X362" i="12" s="1"/>
  <c r="W411" i="12"/>
  <c r="X411" i="12" s="1"/>
  <c r="W436" i="12"/>
  <c r="X436" i="12"/>
  <c r="Y489" i="12"/>
  <c r="O491" i="12"/>
  <c r="T60" i="12"/>
  <c r="O62" i="12"/>
  <c r="W227" i="12"/>
  <c r="X227" i="12" s="1"/>
  <c r="U255" i="12"/>
  <c r="U311" i="12"/>
  <c r="O342" i="12"/>
  <c r="W414" i="12"/>
  <c r="X414" i="12"/>
  <c r="W492" i="12"/>
  <c r="X492" i="12" s="1"/>
  <c r="W71" i="12"/>
  <c r="X71" i="12"/>
  <c r="U273" i="12"/>
  <c r="O81" i="12"/>
  <c r="O131" i="12"/>
  <c r="O165" i="12"/>
  <c r="O170" i="12"/>
  <c r="U240" i="12"/>
  <c r="W310" i="12"/>
  <c r="X310" i="12" s="1"/>
  <c r="U392" i="12"/>
  <c r="W186" i="12"/>
  <c r="X186" i="12"/>
  <c r="W321" i="12"/>
  <c r="X321" i="12" s="1"/>
  <c r="W331" i="12"/>
  <c r="X331" i="12"/>
  <c r="O387" i="12"/>
  <c r="O459" i="12"/>
  <c r="W481" i="12"/>
  <c r="X481" i="12" s="1"/>
  <c r="W14" i="12"/>
  <c r="X14" i="12"/>
  <c r="W451" i="12"/>
  <c r="X451" i="12" s="1"/>
  <c r="W485" i="12"/>
  <c r="X485" i="12"/>
  <c r="W108" i="12"/>
  <c r="X108" i="12" s="1"/>
  <c r="W317" i="12"/>
  <c r="X317" i="12"/>
  <c r="W386" i="12"/>
  <c r="X386" i="12" s="1"/>
  <c r="T26" i="12"/>
  <c r="W35" i="12"/>
  <c r="X35" i="12" s="1"/>
  <c r="Y57" i="12"/>
  <c r="W62" i="12"/>
  <c r="X62" i="12"/>
  <c r="U122" i="12"/>
  <c r="W147" i="12"/>
  <c r="X147" i="12" s="1"/>
  <c r="Y149" i="12"/>
  <c r="U264" i="12"/>
  <c r="Y281" i="12"/>
  <c r="W343" i="12"/>
  <c r="X343" i="12"/>
  <c r="U349" i="12"/>
  <c r="W377" i="12"/>
  <c r="X377" i="12"/>
  <c r="Y467" i="12"/>
  <c r="Y481" i="12"/>
  <c r="W319" i="12"/>
  <c r="X319" i="12"/>
  <c r="T14" i="12"/>
  <c r="W38" i="12"/>
  <c r="X38" i="12" s="1"/>
  <c r="W101" i="12"/>
  <c r="X101" i="12"/>
  <c r="W109" i="12"/>
  <c r="X109" i="12" s="1"/>
  <c r="Y258" i="12"/>
  <c r="W261" i="12"/>
  <c r="X261" i="12" s="1"/>
  <c r="W277" i="12"/>
  <c r="X277" i="12" s="1"/>
  <c r="T286" i="12"/>
  <c r="W320" i="12"/>
  <c r="X320" i="12"/>
  <c r="O373" i="12"/>
  <c r="Y375" i="12"/>
  <c r="O379" i="12"/>
  <c r="W437" i="12"/>
  <c r="X437" i="12" s="1"/>
  <c r="O449" i="12"/>
  <c r="O483" i="12"/>
  <c r="W486" i="12"/>
  <c r="X486" i="12" s="1"/>
  <c r="W20" i="12"/>
  <c r="X20" i="12"/>
  <c r="W117" i="12"/>
  <c r="X117" i="12" s="1"/>
  <c r="O118" i="12"/>
  <c r="W135" i="12"/>
  <c r="X135" i="12" s="1"/>
  <c r="W140" i="12"/>
  <c r="X140" i="12" s="1"/>
  <c r="T246" i="12"/>
  <c r="O371" i="12"/>
  <c r="W396" i="12"/>
  <c r="X396" i="12" s="1"/>
  <c r="Y411" i="12"/>
  <c r="O413" i="12"/>
  <c r="W459" i="12"/>
  <c r="X459" i="12" s="1"/>
  <c r="O463" i="12"/>
  <c r="W489" i="12"/>
  <c r="X489" i="12" s="1"/>
  <c r="W491" i="12"/>
  <c r="X491" i="12"/>
  <c r="T15" i="12"/>
  <c r="W16" i="12"/>
  <c r="X16" i="12" s="1"/>
  <c r="W31" i="12"/>
  <c r="X31" i="12" s="1"/>
  <c r="W65" i="12"/>
  <c r="X65" i="12" s="1"/>
  <c r="W80" i="12"/>
  <c r="X80" i="12"/>
  <c r="Y109" i="12"/>
  <c r="W124" i="12"/>
  <c r="X124" i="12"/>
  <c r="Y202" i="12"/>
  <c r="U219" i="12"/>
  <c r="W257" i="12"/>
  <c r="X257" i="12"/>
  <c r="O265" i="12"/>
  <c r="W285" i="12"/>
  <c r="X285" i="12" s="1"/>
  <c r="U325" i="12"/>
  <c r="W12" i="12"/>
  <c r="X12" i="12" s="1"/>
  <c r="U13" i="12"/>
  <c r="W19" i="12"/>
  <c r="X19" i="12" s="1"/>
  <c r="T32" i="12"/>
  <c r="T44" i="12"/>
  <c r="W56" i="12"/>
  <c r="X56" i="12" s="1"/>
  <c r="U70" i="12"/>
  <c r="W75" i="12"/>
  <c r="X75" i="12"/>
  <c r="W79" i="12"/>
  <c r="X79" i="12" s="1"/>
  <c r="W91" i="12"/>
  <c r="X91" i="12"/>
  <c r="W99" i="12"/>
  <c r="X99" i="12" s="1"/>
  <c r="U108" i="12"/>
  <c r="T112" i="12"/>
  <c r="U114" i="12"/>
  <c r="U116" i="12"/>
  <c r="T121" i="12"/>
  <c r="U145" i="12"/>
  <c r="W166" i="12"/>
  <c r="X166" i="12" s="1"/>
  <c r="U171" i="12"/>
  <c r="W174" i="12"/>
  <c r="X174" i="12"/>
  <c r="T177" i="12"/>
  <c r="T179" i="12"/>
  <c r="O181" i="12"/>
  <c r="O183" i="12"/>
  <c r="W195" i="12"/>
  <c r="X195" i="12" s="1"/>
  <c r="Y247" i="12"/>
  <c r="O249" i="12"/>
  <c r="Y253" i="12"/>
  <c r="T278" i="12"/>
  <c r="O283" i="12"/>
  <c r="W286" i="12"/>
  <c r="X286" i="12" s="1"/>
  <c r="W292" i="12"/>
  <c r="X292" i="12"/>
  <c r="O298" i="12"/>
  <c r="O307" i="12"/>
  <c r="Y315" i="12"/>
  <c r="W384" i="12"/>
  <c r="X384" i="12" s="1"/>
  <c r="U408" i="12"/>
  <c r="U418" i="12"/>
  <c r="W429" i="12"/>
  <c r="X429" i="12" s="1"/>
  <c r="W442" i="12"/>
  <c r="X442" i="12"/>
  <c r="W453" i="12"/>
  <c r="X453" i="12" s="1"/>
  <c r="O469" i="12"/>
  <c r="W472" i="12"/>
  <c r="X472" i="12" s="1"/>
  <c r="W484" i="12"/>
  <c r="X484" i="12"/>
  <c r="T16" i="12"/>
  <c r="O49" i="12"/>
  <c r="U132" i="12"/>
  <c r="W256" i="12"/>
  <c r="X256" i="12"/>
  <c r="W275" i="12"/>
  <c r="X275" i="12" s="1"/>
  <c r="W282" i="12"/>
  <c r="X282" i="12" s="1"/>
  <c r="W324" i="12"/>
  <c r="X324" i="12"/>
  <c r="W445" i="12"/>
  <c r="X445" i="12" s="1"/>
  <c r="Y45" i="12"/>
  <c r="U62" i="12"/>
  <c r="T144" i="12"/>
  <c r="W151" i="12"/>
  <c r="X151" i="12" s="1"/>
  <c r="T155" i="12"/>
  <c r="W163" i="12"/>
  <c r="X163" i="12" s="1"/>
  <c r="O174" i="12"/>
  <c r="W189" i="12"/>
  <c r="X189" i="12"/>
  <c r="Y242" i="12"/>
  <c r="W260" i="12"/>
  <c r="X260" i="12"/>
  <c r="W333" i="12"/>
  <c r="X333" i="12" s="1"/>
  <c r="W335" i="12"/>
  <c r="X335" i="12"/>
  <c r="W350" i="12"/>
  <c r="X350" i="12" s="1"/>
  <c r="W368" i="12"/>
  <c r="X368" i="12"/>
  <c r="T407" i="12"/>
  <c r="W409" i="12"/>
  <c r="X409" i="12"/>
  <c r="O427" i="12"/>
  <c r="O451" i="12"/>
  <c r="W46" i="12"/>
  <c r="X46" i="12" s="1"/>
  <c r="W48" i="12"/>
  <c r="X48" i="12"/>
  <c r="O73" i="12"/>
  <c r="W76" i="12"/>
  <c r="X76" i="12" s="1"/>
  <c r="Y111" i="12"/>
  <c r="T153" i="12"/>
  <c r="W156" i="12"/>
  <c r="X156" i="12" s="1"/>
  <c r="Y166" i="12"/>
  <c r="W196" i="12"/>
  <c r="X196" i="12" s="1"/>
  <c r="W225" i="12"/>
  <c r="X225" i="12" s="1"/>
  <c r="Y231" i="12"/>
  <c r="T252" i="12"/>
  <c r="U254" i="12"/>
  <c r="W264" i="12"/>
  <c r="X264" i="12" s="1"/>
  <c r="W278" i="12"/>
  <c r="X278" i="12"/>
  <c r="T279" i="12"/>
  <c r="O282" i="12"/>
  <c r="W291" i="12"/>
  <c r="X291" i="12"/>
  <c r="U297" i="12"/>
  <c r="W302" i="12"/>
  <c r="X302" i="12"/>
  <c r="U346" i="12"/>
  <c r="W355" i="12"/>
  <c r="X355" i="12" s="1"/>
  <c r="W373" i="12"/>
  <c r="X373" i="12"/>
  <c r="W393" i="12"/>
  <c r="X393" i="12" s="1"/>
  <c r="W401" i="12"/>
  <c r="X401" i="12" s="1"/>
  <c r="W406" i="12"/>
  <c r="X406" i="12" s="1"/>
  <c r="W413" i="12"/>
  <c r="X413" i="12" s="1"/>
  <c r="O419" i="12"/>
  <c r="W422" i="12"/>
  <c r="X422" i="12"/>
  <c r="W434" i="12"/>
  <c r="X434" i="12" s="1"/>
  <c r="U455" i="12"/>
  <c r="W463" i="12"/>
  <c r="X463" i="12" s="1"/>
  <c r="W465" i="12"/>
  <c r="X465" i="12"/>
  <c r="W483" i="12"/>
  <c r="X483" i="12" s="1"/>
  <c r="Y499" i="12"/>
  <c r="T24" i="12"/>
  <c r="W90" i="12"/>
  <c r="X90" i="12" s="1"/>
  <c r="W136" i="12"/>
  <c r="X136" i="12"/>
  <c r="W145" i="12"/>
  <c r="X145" i="12" s="1"/>
  <c r="W167" i="12"/>
  <c r="X167" i="12"/>
  <c r="W194" i="12"/>
  <c r="X194" i="12" s="1"/>
  <c r="W210" i="12"/>
  <c r="X210" i="12"/>
  <c r="W241" i="12"/>
  <c r="X241" i="12" s="1"/>
  <c r="T258" i="12"/>
  <c r="T262" i="12"/>
  <c r="W283" i="12"/>
  <c r="X283" i="12" s="1"/>
  <c r="W296" i="12"/>
  <c r="X296" i="12"/>
  <c r="W307" i="12"/>
  <c r="X307" i="12" s="1"/>
  <c r="W347" i="12"/>
  <c r="X347" i="12" s="1"/>
  <c r="U357" i="12"/>
  <c r="W381" i="12"/>
  <c r="X381" i="12" s="1"/>
  <c r="O395" i="12"/>
  <c r="W404" i="12"/>
  <c r="X404" i="12"/>
  <c r="Y443" i="12"/>
  <c r="W467" i="12"/>
  <c r="X467" i="12" s="1"/>
  <c r="O477" i="12"/>
  <c r="O497" i="12"/>
  <c r="T52" i="12"/>
  <c r="U140" i="12"/>
  <c r="T270" i="12"/>
  <c r="U441" i="12"/>
  <c r="U479" i="12"/>
  <c r="W34" i="12"/>
  <c r="X34" i="12"/>
  <c r="W21" i="12"/>
  <c r="X21" i="12" s="1"/>
  <c r="W45" i="12"/>
  <c r="X45" i="12"/>
  <c r="W49" i="12"/>
  <c r="X49" i="12" s="1"/>
  <c r="W53" i="12"/>
  <c r="X53" i="12"/>
  <c r="O63" i="12"/>
  <c r="O98" i="12"/>
  <c r="O116" i="12"/>
  <c r="W132" i="12"/>
  <c r="X132" i="12" s="1"/>
  <c r="W141" i="12"/>
  <c r="X141" i="12"/>
  <c r="W150" i="12"/>
  <c r="X150" i="12" s="1"/>
  <c r="W159" i="12"/>
  <c r="X159" i="12"/>
  <c r="U165" i="12"/>
  <c r="O173" i="12"/>
  <c r="W188" i="12"/>
  <c r="X188" i="12"/>
  <c r="W208" i="12"/>
  <c r="X208" i="12" s="1"/>
  <c r="W213" i="12"/>
  <c r="X213" i="12"/>
  <c r="Y251" i="12"/>
  <c r="U257" i="12"/>
  <c r="W259" i="12"/>
  <c r="X259" i="12"/>
  <c r="W269" i="12"/>
  <c r="X269" i="12" s="1"/>
  <c r="T276" i="12"/>
  <c r="U281" i="12"/>
  <c r="O289" i="12"/>
  <c r="U340" i="12"/>
  <c r="W351" i="12"/>
  <c r="X351" i="12"/>
  <c r="W407" i="12"/>
  <c r="X407" i="12" s="1"/>
  <c r="U426" i="12"/>
  <c r="W51" i="12"/>
  <c r="X51" i="12"/>
  <c r="W54" i="12"/>
  <c r="X54" i="12" s="1"/>
  <c r="W64" i="12"/>
  <c r="X64" i="12"/>
  <c r="T68" i="12"/>
  <c r="O70" i="12"/>
  <c r="W78" i="12"/>
  <c r="X78" i="12"/>
  <c r="O79" i="12"/>
  <c r="U89" i="12"/>
  <c r="W93" i="12"/>
  <c r="X93" i="12"/>
  <c r="W96" i="12"/>
  <c r="X96" i="12" s="1"/>
  <c r="W103" i="12"/>
  <c r="X103" i="12" s="1"/>
  <c r="U106" i="12"/>
  <c r="W110" i="12"/>
  <c r="X110" i="12" s="1"/>
  <c r="Y125" i="12"/>
  <c r="T129" i="12"/>
  <c r="Y132" i="12"/>
  <c r="W148" i="12"/>
  <c r="X148" i="12" s="1"/>
  <c r="W206" i="12"/>
  <c r="X206" i="12"/>
  <c r="O211" i="12"/>
  <c r="T224" i="12"/>
  <c r="W232" i="12"/>
  <c r="X232" i="12"/>
  <c r="T253" i="12"/>
  <c r="W267" i="12"/>
  <c r="X267" i="12" s="1"/>
  <c r="O295" i="12"/>
  <c r="U308" i="12"/>
  <c r="T351" i="12"/>
  <c r="Y447" i="12"/>
  <c r="O447" i="12"/>
  <c r="O453" i="12"/>
  <c r="W33" i="12"/>
  <c r="X33" i="12" s="1"/>
  <c r="T36" i="12"/>
  <c r="U36" i="12"/>
  <c r="Y65" i="12"/>
  <c r="T76" i="12"/>
  <c r="W86" i="12"/>
  <c r="X86" i="12"/>
  <c r="T97" i="12"/>
  <c r="W126" i="12"/>
  <c r="X126" i="12" s="1"/>
  <c r="T128" i="12"/>
  <c r="Y169" i="12"/>
  <c r="O189" i="12"/>
  <c r="W193" i="12"/>
  <c r="X193" i="12"/>
  <c r="T198" i="12"/>
  <c r="T230" i="12"/>
  <c r="W243" i="12"/>
  <c r="X243" i="12"/>
  <c r="U279" i="12"/>
  <c r="Y309" i="12"/>
  <c r="T10" i="12"/>
  <c r="T19" i="12"/>
  <c r="U21" i="12"/>
  <c r="O54" i="12"/>
  <c r="O78" i="12"/>
  <c r="Y110" i="12"/>
  <c r="T127" i="12"/>
  <c r="U153" i="12"/>
  <c r="T176" i="12"/>
  <c r="Y223" i="12"/>
  <c r="O267" i="12"/>
  <c r="T287" i="12"/>
  <c r="T359" i="12"/>
  <c r="Y434" i="12"/>
  <c r="O434" i="12"/>
  <c r="Y475" i="12"/>
  <c r="O475" i="12"/>
  <c r="Y487" i="12"/>
  <c r="O487" i="12"/>
  <c r="T169" i="12"/>
  <c r="O357" i="12"/>
  <c r="W9" i="12"/>
  <c r="X9" i="12" s="1"/>
  <c r="W13" i="12"/>
  <c r="X13" i="12"/>
  <c r="T21" i="12"/>
  <c r="W24" i="12"/>
  <c r="X24" i="12" s="1"/>
  <c r="W26" i="12"/>
  <c r="X26" i="12"/>
  <c r="W28" i="12"/>
  <c r="X28" i="12" s="1"/>
  <c r="U29" i="12"/>
  <c r="W41" i="12"/>
  <c r="X41" i="12"/>
  <c r="U46" i="12"/>
  <c r="W50" i="12"/>
  <c r="X50" i="12" s="1"/>
  <c r="U54" i="12"/>
  <c r="T61" i="12"/>
  <c r="W63" i="12"/>
  <c r="X63" i="12" s="1"/>
  <c r="W68" i="12"/>
  <c r="X68" i="12"/>
  <c r="W73" i="12"/>
  <c r="X73" i="12"/>
  <c r="U78" i="12"/>
  <c r="W85" i="12"/>
  <c r="X85" i="12" s="1"/>
  <c r="O86" i="12"/>
  <c r="T93" i="12"/>
  <c r="O99" i="12"/>
  <c r="Y103" i="12"/>
  <c r="W106" i="12"/>
  <c r="X106" i="12" s="1"/>
  <c r="U107" i="12"/>
  <c r="W111" i="12"/>
  <c r="X111" i="12" s="1"/>
  <c r="T113" i="12"/>
  <c r="O126" i="12"/>
  <c r="O133" i="12"/>
  <c r="W139" i="12"/>
  <c r="X139" i="12" s="1"/>
  <c r="T143" i="12"/>
  <c r="U146" i="12"/>
  <c r="W152" i="12"/>
  <c r="X152" i="12" s="1"/>
  <c r="W154" i="12"/>
  <c r="X154" i="12"/>
  <c r="W158" i="12"/>
  <c r="X158" i="12" s="1"/>
  <c r="W165" i="12"/>
  <c r="X165" i="12" s="1"/>
  <c r="W175" i="12"/>
  <c r="X175" i="12"/>
  <c r="W180" i="12"/>
  <c r="X180" i="12"/>
  <c r="W183" i="12"/>
  <c r="X183" i="12"/>
  <c r="W190" i="12"/>
  <c r="X190" i="12"/>
  <c r="O193" i="12"/>
  <c r="U200" i="12"/>
  <c r="T206" i="12"/>
  <c r="T210" i="12"/>
  <c r="U223" i="12"/>
  <c r="Y227" i="12"/>
  <c r="U230" i="12"/>
  <c r="W242" i="12"/>
  <c r="X242" i="12" s="1"/>
  <c r="O243" i="12"/>
  <c r="O245" i="12"/>
  <c r="Y245" i="12"/>
  <c r="T254" i="12"/>
  <c r="U263" i="12"/>
  <c r="O271" i="12"/>
  <c r="U306" i="12"/>
  <c r="T344" i="12"/>
  <c r="T368" i="12"/>
  <c r="T438" i="12"/>
  <c r="U277" i="12"/>
  <c r="T297" i="12"/>
  <c r="Y397" i="12"/>
  <c r="O397" i="12"/>
  <c r="W18" i="12"/>
  <c r="X18" i="12" s="1"/>
  <c r="T31" i="12"/>
  <c r="W32" i="12"/>
  <c r="X32" i="12" s="1"/>
  <c r="T40" i="12"/>
  <c r="W52" i="12"/>
  <c r="X52" i="12"/>
  <c r="W55" i="12"/>
  <c r="X55" i="12" s="1"/>
  <c r="W70" i="12"/>
  <c r="X70" i="12"/>
  <c r="O71" i="12"/>
  <c r="Y90" i="12"/>
  <c r="U99" i="12"/>
  <c r="W102" i="12"/>
  <c r="X102" i="12" s="1"/>
  <c r="O115" i="12"/>
  <c r="U130" i="12"/>
  <c r="Y143" i="12"/>
  <c r="W149" i="12"/>
  <c r="X149" i="12"/>
  <c r="T161" i="12"/>
  <c r="T167" i="12"/>
  <c r="W187" i="12"/>
  <c r="X187" i="12"/>
  <c r="T194" i="12"/>
  <c r="T202" i="12"/>
  <c r="W205" i="12"/>
  <c r="X205" i="12" s="1"/>
  <c r="U206" i="12"/>
  <c r="T220" i="12"/>
  <c r="U265" i="12"/>
  <c r="Y301" i="12"/>
  <c r="O301" i="12"/>
  <c r="T309" i="12"/>
  <c r="U433" i="12"/>
  <c r="T464" i="12"/>
  <c r="U37" i="12"/>
  <c r="U137" i="12"/>
  <c r="T145" i="12"/>
  <c r="W207" i="12"/>
  <c r="X207" i="12" s="1"/>
  <c r="Y219" i="12"/>
  <c r="O219" i="12"/>
  <c r="U256" i="12"/>
  <c r="O343" i="12"/>
  <c r="Y343" i="12"/>
  <c r="Y377" i="12"/>
  <c r="O377" i="12"/>
  <c r="Y386" i="12"/>
  <c r="O386" i="12"/>
  <c r="W10" i="12"/>
  <c r="X10" i="12"/>
  <c r="Y285" i="12"/>
  <c r="O285" i="12"/>
  <c r="Y302" i="12"/>
  <c r="O302" i="12"/>
  <c r="W15" i="12"/>
  <c r="X15" i="12"/>
  <c r="W17" i="12"/>
  <c r="X17" i="12"/>
  <c r="T20" i="12"/>
  <c r="U20" i="12"/>
  <c r="W25" i="12"/>
  <c r="X25" i="12"/>
  <c r="W29" i="12"/>
  <c r="X29" i="12"/>
  <c r="W30" i="12"/>
  <c r="X30" i="12"/>
  <c r="T37" i="12"/>
  <c r="T58" i="12"/>
  <c r="T66" i="12"/>
  <c r="T95" i="12"/>
  <c r="W116" i="12"/>
  <c r="X116" i="12"/>
  <c r="T119" i="12"/>
  <c r="W131" i="12"/>
  <c r="X131" i="12"/>
  <c r="W142" i="12"/>
  <c r="X142" i="12" s="1"/>
  <c r="T156" i="12"/>
  <c r="W173" i="12"/>
  <c r="X173" i="12"/>
  <c r="U193" i="12"/>
  <c r="U214" i="12"/>
  <c r="U222" i="12"/>
  <c r="U225" i="12"/>
  <c r="U249" i="12"/>
  <c r="O263" i="12"/>
  <c r="Y263" i="12"/>
  <c r="T288" i="12"/>
  <c r="O412" i="12"/>
  <c r="T426" i="12"/>
  <c r="W212" i="12"/>
  <c r="X212" i="12" s="1"/>
  <c r="W245" i="12"/>
  <c r="X245" i="12"/>
  <c r="Y266" i="12"/>
  <c r="W270" i="12"/>
  <c r="X270" i="12"/>
  <c r="W273" i="12"/>
  <c r="X273" i="12" s="1"/>
  <c r="Y278" i="12"/>
  <c r="O290" i="12"/>
  <c r="W294" i="12"/>
  <c r="X294" i="12" s="1"/>
  <c r="Y305" i="12"/>
  <c r="T314" i="12"/>
  <c r="Y319" i="12"/>
  <c r="T324" i="12"/>
  <c r="W336" i="12"/>
  <c r="X336" i="12"/>
  <c r="T337" i="12"/>
  <c r="W357" i="12"/>
  <c r="X357" i="12" s="1"/>
  <c r="W365" i="12"/>
  <c r="X365" i="12"/>
  <c r="W382" i="12"/>
  <c r="X382" i="12" s="1"/>
  <c r="W397" i="12"/>
  <c r="X397" i="12" s="1"/>
  <c r="O402" i="12"/>
  <c r="W412" i="12"/>
  <c r="X412" i="12"/>
  <c r="W418" i="12"/>
  <c r="X418" i="12"/>
  <c r="W430" i="12"/>
  <c r="X430" i="12" s="1"/>
  <c r="W447" i="12"/>
  <c r="X447" i="12" s="1"/>
  <c r="W456" i="12"/>
  <c r="X456" i="12"/>
  <c r="W458" i="12"/>
  <c r="X458" i="12" s="1"/>
  <c r="W470" i="12"/>
  <c r="X470" i="12"/>
  <c r="U471" i="12"/>
  <c r="W475" i="12"/>
  <c r="X475" i="12"/>
  <c r="Y479" i="12"/>
  <c r="O495" i="12"/>
  <c r="U290" i="12"/>
  <c r="W315" i="12"/>
  <c r="X315" i="12"/>
  <c r="Y328" i="12"/>
  <c r="W341" i="12"/>
  <c r="X341" i="12"/>
  <c r="W369" i="12"/>
  <c r="X369" i="12"/>
  <c r="W379" i="12"/>
  <c r="X379" i="12"/>
  <c r="T380" i="12"/>
  <c r="U393" i="12"/>
  <c r="Y435" i="12"/>
  <c r="T440" i="12"/>
  <c r="U497" i="12"/>
  <c r="W211" i="12"/>
  <c r="X211" i="12" s="1"/>
  <c r="W216" i="12"/>
  <c r="X216" i="12" s="1"/>
  <c r="W229" i="12"/>
  <c r="X229" i="12" s="1"/>
  <c r="W251" i="12"/>
  <c r="X251" i="12" s="1"/>
  <c r="Y255" i="12"/>
  <c r="W287" i="12"/>
  <c r="X287" i="12"/>
  <c r="W298" i="12"/>
  <c r="X298" i="12" s="1"/>
  <c r="W308" i="12"/>
  <c r="X308" i="12"/>
  <c r="W327" i="12"/>
  <c r="X327" i="12" s="1"/>
  <c r="U332" i="12"/>
  <c r="W337" i="12"/>
  <c r="X337" i="12"/>
  <c r="T358" i="12"/>
  <c r="W364" i="12"/>
  <c r="X364" i="12" s="1"/>
  <c r="W376" i="12"/>
  <c r="X376" i="12" s="1"/>
  <c r="W394" i="12"/>
  <c r="X394" i="12" s="1"/>
  <c r="O401" i="12"/>
  <c r="W417" i="12"/>
  <c r="X417" i="12"/>
  <c r="O425" i="12"/>
  <c r="U440" i="12"/>
  <c r="T468" i="12"/>
  <c r="T478" i="12"/>
  <c r="W498" i="12"/>
  <c r="X498" i="12" s="1"/>
  <c r="U358" i="12"/>
  <c r="W219" i="12"/>
  <c r="X219" i="12" s="1"/>
  <c r="W226" i="12"/>
  <c r="X226" i="12" s="1"/>
  <c r="W233" i="12"/>
  <c r="X233" i="12"/>
  <c r="W253" i="12"/>
  <c r="X253" i="12" s="1"/>
  <c r="W293" i="12"/>
  <c r="X293" i="12"/>
  <c r="W295" i="12"/>
  <c r="X295" i="12" s="1"/>
  <c r="W303" i="12"/>
  <c r="X303" i="12" s="1"/>
  <c r="O306" i="12"/>
  <c r="W311" i="12"/>
  <c r="X311" i="12"/>
  <c r="W339" i="12"/>
  <c r="X339" i="12"/>
  <c r="U360" i="12"/>
  <c r="W363" i="12"/>
  <c r="X363" i="12" s="1"/>
  <c r="U369" i="12"/>
  <c r="W385" i="12"/>
  <c r="X385" i="12"/>
  <c r="U400" i="12"/>
  <c r="Y403" i="12"/>
  <c r="W405" i="12"/>
  <c r="X405" i="12"/>
  <c r="T406" i="12"/>
  <c r="O417" i="12"/>
  <c r="U424" i="12"/>
  <c r="W426" i="12"/>
  <c r="X426" i="12" s="1"/>
  <c r="U434" i="12"/>
  <c r="T439" i="12"/>
  <c r="W448" i="12"/>
  <c r="X448" i="12" s="1"/>
  <c r="W469" i="12"/>
  <c r="X469" i="12" s="1"/>
  <c r="T472" i="12"/>
  <c r="W479" i="12"/>
  <c r="X479" i="12" s="1"/>
  <c r="W265" i="12"/>
  <c r="X265" i="12"/>
  <c r="W274" i="12"/>
  <c r="X274" i="12" s="1"/>
  <c r="T283" i="12"/>
  <c r="Y317" i="12"/>
  <c r="W328" i="12"/>
  <c r="X328" i="12" s="1"/>
  <c r="W330" i="12"/>
  <c r="X330" i="12"/>
  <c r="W370" i="12"/>
  <c r="X370" i="12" s="1"/>
  <c r="W372" i="12"/>
  <c r="X372" i="12"/>
  <c r="W378" i="12"/>
  <c r="X378" i="12" s="1"/>
  <c r="W387" i="12"/>
  <c r="X387" i="12"/>
  <c r="O394" i="12"/>
  <c r="W410" i="12"/>
  <c r="X410" i="12" s="1"/>
  <c r="W419" i="12"/>
  <c r="X419" i="12"/>
  <c r="W428" i="12"/>
  <c r="X428" i="12" s="1"/>
  <c r="T462" i="12"/>
  <c r="T474" i="12"/>
  <c r="W476" i="12"/>
  <c r="X476" i="12"/>
  <c r="W497" i="12"/>
  <c r="X497" i="12"/>
  <c r="T356" i="12"/>
  <c r="T399" i="12"/>
  <c r="T423" i="12"/>
  <c r="T500" i="12"/>
  <c r="T11" i="12"/>
  <c r="T12" i="12"/>
  <c r="T13" i="12"/>
  <c r="U14" i="12"/>
  <c r="T27" i="12"/>
  <c r="T28" i="12"/>
  <c r="T29" i="12"/>
  <c r="U30" i="12"/>
  <c r="Y47" i="12"/>
  <c r="O47" i="12"/>
  <c r="W47" i="12"/>
  <c r="X47" i="12"/>
  <c r="U52" i="12"/>
  <c r="T74" i="12"/>
  <c r="U12" i="12"/>
  <c r="U28" i="12"/>
  <c r="W43" i="12"/>
  <c r="X43" i="12"/>
  <c r="T51" i="12"/>
  <c r="Y46" i="12"/>
  <c r="O46" i="12"/>
  <c r="T69" i="12"/>
  <c r="W11" i="12"/>
  <c r="X11" i="12"/>
  <c r="T18" i="12"/>
  <c r="T22" i="12"/>
  <c r="T23" i="12"/>
  <c r="W27" i="12"/>
  <c r="X27" i="12" s="1"/>
  <c r="T34" i="12"/>
  <c r="T38" i="12"/>
  <c r="T39" i="12"/>
  <c r="U22" i="12"/>
  <c r="U38" i="12"/>
  <c r="W42" i="12"/>
  <c r="X42" i="12"/>
  <c r="T43" i="12"/>
  <c r="T53" i="12"/>
  <c r="U60" i="12"/>
  <c r="O48" i="12"/>
  <c r="T59" i="12"/>
  <c r="T42" i="12"/>
  <c r="T45" i="12"/>
  <c r="O50" i="12"/>
  <c r="Y50" i="12"/>
  <c r="O55" i="12"/>
  <c r="U68" i="12"/>
  <c r="U45" i="12"/>
  <c r="T48" i="12"/>
  <c r="Y53" i="12"/>
  <c r="W58" i="12"/>
  <c r="X58" i="12" s="1"/>
  <c r="Y58" i="12"/>
  <c r="W66" i="12"/>
  <c r="X66" i="12"/>
  <c r="Y66" i="12"/>
  <c r="W69" i="12"/>
  <c r="X69" i="12" s="1"/>
  <c r="Y69" i="12"/>
  <c r="U79" i="12"/>
  <c r="T80" i="12"/>
  <c r="T82" i="12"/>
  <c r="U84" i="12"/>
  <c r="O88" i="12"/>
  <c r="W92" i="12"/>
  <c r="X92" i="12" s="1"/>
  <c r="O102" i="12"/>
  <c r="U105" i="12"/>
  <c r="W112" i="12"/>
  <c r="X112" i="12" s="1"/>
  <c r="W119" i="12"/>
  <c r="X119" i="12" s="1"/>
  <c r="Y119" i="12"/>
  <c r="Y127" i="12"/>
  <c r="W129" i="12"/>
  <c r="X129" i="12" s="1"/>
  <c r="Y134" i="12"/>
  <c r="T135" i="12"/>
  <c r="T136" i="12"/>
  <c r="T138" i="12"/>
  <c r="U139" i="12"/>
  <c r="O142" i="12"/>
  <c r="O147" i="12"/>
  <c r="U148" i="12"/>
  <c r="U160" i="12"/>
  <c r="U179" i="12"/>
  <c r="O185" i="12"/>
  <c r="Y185" i="12"/>
  <c r="T192" i="12"/>
  <c r="Y201" i="12"/>
  <c r="O201" i="12"/>
  <c r="U44" i="12"/>
  <c r="U47" i="12"/>
  <c r="W59" i="12"/>
  <c r="X59" i="12"/>
  <c r="W67" i="12"/>
  <c r="X67" i="12"/>
  <c r="W74" i="12"/>
  <c r="X74" i="12"/>
  <c r="Y74" i="12"/>
  <c r="W77" i="12"/>
  <c r="X77" i="12" s="1"/>
  <c r="Y77" i="12"/>
  <c r="W84" i="12"/>
  <c r="X84" i="12" s="1"/>
  <c r="T87" i="12"/>
  <c r="O94" i="12"/>
  <c r="W98" i="12"/>
  <c r="X98" i="12" s="1"/>
  <c r="W115" i="12"/>
  <c r="X115" i="12"/>
  <c r="W120" i="12"/>
  <c r="X120" i="12" s="1"/>
  <c r="W122" i="12"/>
  <c r="X122" i="12"/>
  <c r="W123" i="12"/>
  <c r="X123" i="12" s="1"/>
  <c r="W128" i="12"/>
  <c r="X128" i="12"/>
  <c r="Y135" i="12"/>
  <c r="T137" i="12"/>
  <c r="U138" i="12"/>
  <c r="T146" i="12"/>
  <c r="U147" i="12"/>
  <c r="O150" i="12"/>
  <c r="T154" i="12"/>
  <c r="W160" i="12"/>
  <c r="X160" i="12" s="1"/>
  <c r="W162" i="12"/>
  <c r="X162" i="12"/>
  <c r="T170" i="12"/>
  <c r="T199" i="12"/>
  <c r="T212" i="12"/>
  <c r="T215" i="12"/>
  <c r="Y82" i="12"/>
  <c r="U88" i="12"/>
  <c r="U169" i="12"/>
  <c r="O182" i="12"/>
  <c r="Y182" i="12"/>
  <c r="O203" i="12"/>
  <c r="Y203" i="12"/>
  <c r="O234" i="12"/>
  <c r="Y234" i="12"/>
  <c r="W72" i="12"/>
  <c r="X72" i="12"/>
  <c r="W83" i="12"/>
  <c r="X83" i="12" s="1"/>
  <c r="Y87" i="12"/>
  <c r="Y101" i="12"/>
  <c r="W104" i="12"/>
  <c r="X104" i="12" s="1"/>
  <c r="U124" i="12"/>
  <c r="Y141" i="12"/>
  <c r="T152" i="12"/>
  <c r="U155" i="12"/>
  <c r="W157" i="12"/>
  <c r="X157" i="12"/>
  <c r="T163" i="12"/>
  <c r="T164" i="12"/>
  <c r="U178" i="12"/>
  <c r="T185" i="12"/>
  <c r="T191" i="12"/>
  <c r="U90" i="12"/>
  <c r="U163" i="12"/>
  <c r="Y172" i="12"/>
  <c r="T187" i="12"/>
  <c r="U191" i="12"/>
  <c r="U198" i="12"/>
  <c r="T223" i="12"/>
  <c r="T238" i="12"/>
  <c r="T67" i="12"/>
  <c r="U91" i="12"/>
  <c r="U96" i="12"/>
  <c r="O107" i="12"/>
  <c r="T114" i="12"/>
  <c r="T120" i="12"/>
  <c r="T122" i="12"/>
  <c r="U123" i="12"/>
  <c r="T130" i="12"/>
  <c r="U131" i="12"/>
  <c r="W143" i="12"/>
  <c r="X143" i="12"/>
  <c r="W144" i="12"/>
  <c r="X144" i="12"/>
  <c r="W153" i="12"/>
  <c r="X153" i="12"/>
  <c r="W155" i="12"/>
  <c r="X155" i="12"/>
  <c r="O157" i="12"/>
  <c r="O159" i="12"/>
  <c r="W192" i="12"/>
  <c r="X192" i="12"/>
  <c r="U201" i="12"/>
  <c r="W235" i="12"/>
  <c r="X235" i="12"/>
  <c r="T56" i="12"/>
  <c r="U63" i="12"/>
  <c r="T64" i="12"/>
  <c r="U69" i="12"/>
  <c r="T75" i="12"/>
  <c r="T77" i="12"/>
  <c r="Y95" i="12"/>
  <c r="T106" i="12"/>
  <c r="U115" i="12"/>
  <c r="Y178" i="12"/>
  <c r="O178" i="12"/>
  <c r="U187" i="12"/>
  <c r="Y204" i="12"/>
  <c r="O215" i="12"/>
  <c r="Y215" i="12"/>
  <c r="Y235" i="12"/>
  <c r="O235" i="12"/>
  <c r="O237" i="12"/>
  <c r="Y237" i="12"/>
  <c r="U55" i="12"/>
  <c r="W60" i="12"/>
  <c r="X60" i="12" s="1"/>
  <c r="W61" i="12"/>
  <c r="X61" i="12"/>
  <c r="Y61" i="12"/>
  <c r="U71" i="12"/>
  <c r="T72" i="12"/>
  <c r="U76" i="12"/>
  <c r="U77" i="12"/>
  <c r="T83" i="12"/>
  <c r="T85" i="12"/>
  <c r="W94" i="12"/>
  <c r="X94" i="12" s="1"/>
  <c r="U97" i="12"/>
  <c r="T104" i="12"/>
  <c r="U113" i="12"/>
  <c r="U121" i="12"/>
  <c r="U129" i="12"/>
  <c r="O139" i="12"/>
  <c r="Y161" i="12"/>
  <c r="T172" i="12"/>
  <c r="T184" i="12"/>
  <c r="U190" i="12"/>
  <c r="Y221" i="12"/>
  <c r="O221" i="12"/>
  <c r="O241" i="12"/>
  <c r="T245" i="12"/>
  <c r="U247" i="12"/>
  <c r="U248" i="12"/>
  <c r="Y250" i="12"/>
  <c r="T260" i="12"/>
  <c r="U262" i="12"/>
  <c r="T266" i="12"/>
  <c r="U271" i="12"/>
  <c r="W284" i="12"/>
  <c r="X284" i="12"/>
  <c r="W288" i="12"/>
  <c r="X288" i="12" s="1"/>
  <c r="W289" i="12"/>
  <c r="X289" i="12"/>
  <c r="W290" i="12"/>
  <c r="X290" i="12" s="1"/>
  <c r="U292" i="12"/>
  <c r="T296" i="12"/>
  <c r="O322" i="12"/>
  <c r="Y322" i="12"/>
  <c r="W322" i="12"/>
  <c r="X322" i="12" s="1"/>
  <c r="W326" i="12"/>
  <c r="X326" i="12" s="1"/>
  <c r="W334" i="12"/>
  <c r="X334" i="12" s="1"/>
  <c r="W344" i="12"/>
  <c r="X344" i="12" s="1"/>
  <c r="O346" i="12"/>
  <c r="Y346" i="12"/>
  <c r="Y362" i="12"/>
  <c r="O362" i="12"/>
  <c r="O367" i="12"/>
  <c r="Y367" i="12"/>
  <c r="T376" i="12"/>
  <c r="U382" i="12"/>
  <c r="T188" i="12"/>
  <c r="U189" i="12"/>
  <c r="Y197" i="12"/>
  <c r="W204" i="12"/>
  <c r="X204" i="12"/>
  <c r="W209" i="12"/>
  <c r="X209" i="12" s="1"/>
  <c r="W217" i="12"/>
  <c r="X217" i="12"/>
  <c r="W224" i="12"/>
  <c r="X224" i="12" s="1"/>
  <c r="W228" i="12"/>
  <c r="X228" i="12"/>
  <c r="Y228" i="12"/>
  <c r="T237" i="12"/>
  <c r="T242" i="12"/>
  <c r="W250" i="12"/>
  <c r="X250" i="12"/>
  <c r="W252" i="12"/>
  <c r="X252" i="12" s="1"/>
  <c r="Y257" i="12"/>
  <c r="T269" i="12"/>
  <c r="Y277" i="12"/>
  <c r="T285" i="12"/>
  <c r="U287" i="12"/>
  <c r="U303" i="12"/>
  <c r="Y326" i="12"/>
  <c r="O326" i="12"/>
  <c r="Y334" i="12"/>
  <c r="O334" i="12"/>
  <c r="U341" i="12"/>
  <c r="Y369" i="12"/>
  <c r="O369" i="12"/>
  <c r="T372" i="12"/>
  <c r="U409" i="12"/>
  <c r="U239" i="12"/>
  <c r="U241" i="12"/>
  <c r="T268" i="12"/>
  <c r="U286" i="12"/>
  <c r="T290" i="12"/>
  <c r="O310" i="12"/>
  <c r="Y310" i="12"/>
  <c r="T354" i="12"/>
  <c r="T375" i="12"/>
  <c r="W164" i="12"/>
  <c r="X164" i="12"/>
  <c r="W169" i="12"/>
  <c r="X169" i="12" s="1"/>
  <c r="T171" i="12"/>
  <c r="U173" i="12"/>
  <c r="O175" i="12"/>
  <c r="U176" i="12"/>
  <c r="U181" i="12"/>
  <c r="W200" i="12"/>
  <c r="X200" i="12" s="1"/>
  <c r="W202" i="12"/>
  <c r="X202" i="12" s="1"/>
  <c r="W203" i="12"/>
  <c r="X203" i="12" s="1"/>
  <c r="O205" i="12"/>
  <c r="O208" i="12"/>
  <c r="O209" i="12"/>
  <c r="O217" i="12"/>
  <c r="U232" i="12"/>
  <c r="T234" i="12"/>
  <c r="U238" i="12"/>
  <c r="W249" i="12"/>
  <c r="X249" i="12"/>
  <c r="U284" i="12"/>
  <c r="T289" i="12"/>
  <c r="W338" i="12"/>
  <c r="X338" i="12"/>
  <c r="T364" i="12"/>
  <c r="T383" i="12"/>
  <c r="U390" i="12"/>
  <c r="T180" i="12"/>
  <c r="U184" i="12"/>
  <c r="T207" i="12"/>
  <c r="U215" i="12"/>
  <c r="T216" i="12"/>
  <c r="T218" i="12"/>
  <c r="O225" i="12"/>
  <c r="T231" i="12"/>
  <c r="U233" i="12"/>
  <c r="W238" i="12"/>
  <c r="X238" i="12" s="1"/>
  <c r="W239" i="12"/>
  <c r="X239" i="12"/>
  <c r="Y239" i="12"/>
  <c r="W244" i="12"/>
  <c r="X244" i="12"/>
  <c r="W248" i="12"/>
  <c r="X248" i="12" s="1"/>
  <c r="T255" i="12"/>
  <c r="W266" i="12"/>
  <c r="X266" i="12" s="1"/>
  <c r="W268" i="12"/>
  <c r="X268" i="12" s="1"/>
  <c r="O274" i="12"/>
  <c r="T275" i="12"/>
  <c r="O294" i="12"/>
  <c r="Y335" i="12"/>
  <c r="O335" i="12"/>
  <c r="W345" i="12"/>
  <c r="X345" i="12" s="1"/>
  <c r="Y361" i="12"/>
  <c r="O361" i="12"/>
  <c r="W361" i="12"/>
  <c r="X361" i="12" s="1"/>
  <c r="T389" i="12"/>
  <c r="Y191" i="12"/>
  <c r="U208" i="12"/>
  <c r="U209" i="12"/>
  <c r="U216" i="12"/>
  <c r="U217" i="12"/>
  <c r="U227" i="12"/>
  <c r="U298" i="12"/>
  <c r="U314" i="12"/>
  <c r="Y321" i="12"/>
  <c r="O321" i="12"/>
  <c r="U323" i="12"/>
  <c r="T366" i="12"/>
  <c r="Y405" i="12"/>
  <c r="O405" i="12"/>
  <c r="W170" i="12"/>
  <c r="X170" i="12"/>
  <c r="W172" i="12"/>
  <c r="X172" i="12"/>
  <c r="W177" i="12"/>
  <c r="X177" i="12"/>
  <c r="Y177" i="12"/>
  <c r="W184" i="12"/>
  <c r="X184" i="12" s="1"/>
  <c r="W185" i="12"/>
  <c r="X185" i="12" s="1"/>
  <c r="Y207" i="12"/>
  <c r="Y210" i="12"/>
  <c r="W215" i="12"/>
  <c r="X215" i="12" s="1"/>
  <c r="W220" i="12"/>
  <c r="X220" i="12" s="1"/>
  <c r="W221" i="12"/>
  <c r="X221" i="12" s="1"/>
  <c r="U224" i="12"/>
  <c r="T226" i="12"/>
  <c r="W234" i="12"/>
  <c r="X234" i="12" s="1"/>
  <c r="W236" i="12"/>
  <c r="X236" i="12" s="1"/>
  <c r="W237" i="12"/>
  <c r="X237" i="12"/>
  <c r="W240" i="12"/>
  <c r="X240" i="12" s="1"/>
  <c r="T250" i="12"/>
  <c r="T263" i="12"/>
  <c r="T273" i="12"/>
  <c r="U274" i="12"/>
  <c r="Y275" i="12"/>
  <c r="U276" i="12"/>
  <c r="T313" i="12"/>
  <c r="U320" i="12"/>
  <c r="Y350" i="12"/>
  <c r="O350" i="12"/>
  <c r="Y352" i="12"/>
  <c r="T388" i="12"/>
  <c r="T391" i="12"/>
  <c r="T247" i="12"/>
  <c r="T261" i="12"/>
  <c r="T281" i="12"/>
  <c r="T292" i="12"/>
  <c r="Y311" i="12"/>
  <c r="O311" i="12"/>
  <c r="T312" i="12"/>
  <c r="U374" i="12"/>
  <c r="U385" i="12"/>
  <c r="T408" i="12"/>
  <c r="T412" i="12"/>
  <c r="T431" i="12"/>
  <c r="U463" i="12"/>
  <c r="U473" i="12"/>
  <c r="U481" i="12"/>
  <c r="O485" i="12"/>
  <c r="Y485" i="12"/>
  <c r="U295" i="12"/>
  <c r="W300" i="12"/>
  <c r="X300" i="12" s="1"/>
  <c r="O303" i="12"/>
  <c r="W309" i="12"/>
  <c r="X309" i="12"/>
  <c r="U313" i="12"/>
  <c r="W318" i="12"/>
  <c r="X318" i="12" s="1"/>
  <c r="Y318" i="12"/>
  <c r="T323" i="12"/>
  <c r="W325" i="12"/>
  <c r="X325" i="12"/>
  <c r="O327" i="12"/>
  <c r="W329" i="12"/>
  <c r="X329" i="12" s="1"/>
  <c r="W332" i="12"/>
  <c r="X332" i="12"/>
  <c r="W340" i="12"/>
  <c r="X340" i="12" s="1"/>
  <c r="W348" i="12"/>
  <c r="X348" i="12"/>
  <c r="W349" i="12"/>
  <c r="X349" i="12" s="1"/>
  <c r="Y355" i="12"/>
  <c r="W358" i="12"/>
  <c r="X358" i="12"/>
  <c r="W360" i="12"/>
  <c r="X360" i="12"/>
  <c r="T367" i="12"/>
  <c r="T374" i="12"/>
  <c r="U377" i="12"/>
  <c r="T378" i="12"/>
  <c r="Y381" i="12"/>
  <c r="T382" i="12"/>
  <c r="T390" i="12"/>
  <c r="U391" i="12"/>
  <c r="T415" i="12"/>
  <c r="T418" i="12"/>
  <c r="T454" i="12"/>
  <c r="T490" i="12"/>
  <c r="W297" i="12"/>
  <c r="X297" i="12" s="1"/>
  <c r="W314" i="12"/>
  <c r="X314" i="12" s="1"/>
  <c r="W356" i="12"/>
  <c r="X356" i="12" s="1"/>
  <c r="U376" i="12"/>
  <c r="W380" i="12"/>
  <c r="X380" i="12" s="1"/>
  <c r="Y385" i="12"/>
  <c r="T400" i="12"/>
  <c r="W421" i="12"/>
  <c r="X421" i="12" s="1"/>
  <c r="U472" i="12"/>
  <c r="T326" i="12"/>
  <c r="U327" i="12"/>
  <c r="T333" i="12"/>
  <c r="T334" i="12"/>
  <c r="U343" i="12"/>
  <c r="T350" i="12"/>
  <c r="U351" i="12"/>
  <c r="T362" i="12"/>
  <c r="U368" i="12"/>
  <c r="Y378" i="12"/>
  <c r="T422" i="12"/>
  <c r="T450" i="12"/>
  <c r="T466" i="12"/>
  <c r="U480" i="12"/>
  <c r="T482" i="12"/>
  <c r="W281" i="12"/>
  <c r="X281" i="12"/>
  <c r="U300" i="12"/>
  <c r="W313" i="12"/>
  <c r="X313" i="12" s="1"/>
  <c r="W323" i="12"/>
  <c r="X323" i="12"/>
  <c r="Y323" i="12"/>
  <c r="T325" i="12"/>
  <c r="U333" i="12"/>
  <c r="U335" i="12"/>
  <c r="O340" i="12"/>
  <c r="T349" i="12"/>
  <c r="W354" i="12"/>
  <c r="X354" i="12"/>
  <c r="U361" i="12"/>
  <c r="U366" i="12"/>
  <c r="W375" i="12"/>
  <c r="X375" i="12"/>
  <c r="W383" i="12"/>
  <c r="X383" i="12"/>
  <c r="W389" i="12"/>
  <c r="X389" i="12"/>
  <c r="T395" i="12"/>
  <c r="Y437" i="12"/>
  <c r="O437" i="12"/>
  <c r="T446" i="12"/>
  <c r="Y473" i="12"/>
  <c r="T331" i="12"/>
  <c r="T339" i="12"/>
  <c r="T341" i="12"/>
  <c r="T347" i="12"/>
  <c r="W388" i="12"/>
  <c r="X388" i="12" s="1"/>
  <c r="W433" i="12"/>
  <c r="X433" i="12" s="1"/>
  <c r="U464" i="12"/>
  <c r="O493" i="12"/>
  <c r="Y493" i="12"/>
  <c r="W301" i="12"/>
  <c r="X301" i="12"/>
  <c r="W304" i="12"/>
  <c r="X304" i="12" s="1"/>
  <c r="W306" i="12"/>
  <c r="X306" i="12"/>
  <c r="U318" i="12"/>
  <c r="U324" i="12"/>
  <c r="U330" i="12"/>
  <c r="U331" i="12"/>
  <c r="U338" i="12"/>
  <c r="U339" i="12"/>
  <c r="W346" i="12"/>
  <c r="X346" i="12"/>
  <c r="U347" i="12"/>
  <c r="U348" i="12"/>
  <c r="W353" i="12"/>
  <c r="X353" i="12"/>
  <c r="W367" i="12"/>
  <c r="X367" i="12" s="1"/>
  <c r="W371" i="12"/>
  <c r="X371" i="12"/>
  <c r="W402" i="12"/>
  <c r="X402" i="12"/>
  <c r="U410" i="12"/>
  <c r="T424" i="12"/>
  <c r="U432" i="12"/>
  <c r="Y433" i="12"/>
  <c r="O433" i="12"/>
  <c r="T452" i="12"/>
  <c r="T460" i="12"/>
  <c r="U489" i="12"/>
  <c r="T416" i="12"/>
  <c r="W427" i="12"/>
  <c r="X427" i="12" s="1"/>
  <c r="O441" i="12"/>
  <c r="O442" i="12"/>
  <c r="T448" i="12"/>
  <c r="T456" i="12"/>
  <c r="W461" i="12"/>
  <c r="X461" i="12" s="1"/>
  <c r="T470" i="12"/>
  <c r="Y471" i="12"/>
  <c r="W477" i="12"/>
  <c r="X477" i="12" s="1"/>
  <c r="T484" i="12"/>
  <c r="W487" i="12"/>
  <c r="X487" i="12" s="1"/>
  <c r="T492" i="12"/>
  <c r="W495" i="12"/>
  <c r="X495" i="12"/>
  <c r="T414" i="12"/>
  <c r="U416" i="12"/>
  <c r="U417" i="12"/>
  <c r="O421" i="12"/>
  <c r="W425" i="12"/>
  <c r="X425" i="12" s="1"/>
  <c r="U442" i="12"/>
  <c r="W474" i="12"/>
  <c r="X474" i="12"/>
  <c r="W493" i="12"/>
  <c r="X493" i="12"/>
  <c r="T496" i="12"/>
  <c r="W500" i="12"/>
  <c r="X500" i="12" s="1"/>
  <c r="W457" i="12"/>
  <c r="X457" i="12" s="1"/>
  <c r="W471" i="12"/>
  <c r="X471" i="12"/>
  <c r="O393" i="12"/>
  <c r="W400" i="12"/>
  <c r="X400" i="12"/>
  <c r="O409" i="12"/>
  <c r="T410" i="12"/>
  <c r="U431" i="12"/>
  <c r="W446" i="12"/>
  <c r="X446" i="12"/>
  <c r="W450" i="12"/>
  <c r="X450" i="12" s="1"/>
  <c r="W452" i="12"/>
  <c r="X452" i="12"/>
  <c r="W454" i="12"/>
  <c r="X454" i="12" s="1"/>
  <c r="W455" i="12"/>
  <c r="X455" i="12"/>
  <c r="W466" i="12"/>
  <c r="X466" i="12" s="1"/>
  <c r="W482" i="12"/>
  <c r="X482" i="12" s="1"/>
  <c r="U487" i="12"/>
  <c r="W490" i="12"/>
  <c r="X490" i="12"/>
  <c r="U495" i="12"/>
  <c r="W398" i="12"/>
  <c r="X398" i="12" s="1"/>
  <c r="W399" i="12"/>
  <c r="X399" i="12"/>
  <c r="U425" i="12"/>
  <c r="W439" i="12"/>
  <c r="X439" i="12"/>
  <c r="W440" i="12"/>
  <c r="X440" i="12" s="1"/>
  <c r="W444" i="12"/>
  <c r="X444" i="12"/>
  <c r="O457" i="12"/>
  <c r="W462" i="12"/>
  <c r="X462" i="12" s="1"/>
  <c r="W464" i="12"/>
  <c r="X464" i="12" s="1"/>
  <c r="W468" i="12"/>
  <c r="X468" i="12" s="1"/>
  <c r="W480" i="12"/>
  <c r="X480" i="12" s="1"/>
  <c r="T486" i="12"/>
  <c r="W488" i="12"/>
  <c r="X488" i="12"/>
  <c r="T494" i="12"/>
  <c r="W496" i="12"/>
  <c r="X496" i="12" s="1"/>
  <c r="W431" i="12"/>
  <c r="X431" i="12"/>
  <c r="W432" i="12"/>
  <c r="X432" i="12" s="1"/>
  <c r="W438" i="12"/>
  <c r="X438" i="12" s="1"/>
  <c r="W478" i="12"/>
  <c r="X478" i="12" s="1"/>
  <c r="U101" i="12"/>
  <c r="U128" i="12"/>
  <c r="T139" i="12"/>
  <c r="T140" i="12"/>
  <c r="Y145" i="12"/>
  <c r="O145" i="12"/>
  <c r="U149" i="12"/>
  <c r="U499" i="12"/>
  <c r="U11" i="12"/>
  <c r="O13" i="12"/>
  <c r="U19" i="12"/>
  <c r="O21" i="12"/>
  <c r="U27" i="12"/>
  <c r="O29" i="12"/>
  <c r="U35" i="12"/>
  <c r="O37" i="12"/>
  <c r="U43" i="12"/>
  <c r="U51" i="12"/>
  <c r="U59" i="12"/>
  <c r="U67" i="12"/>
  <c r="U75" i="12"/>
  <c r="U83" i="12"/>
  <c r="O85" i="12"/>
  <c r="Y89" i="12"/>
  <c r="O89" i="12"/>
  <c r="W89" i="12"/>
  <c r="X89" i="12" s="1"/>
  <c r="U92" i="12"/>
  <c r="Y97" i="12"/>
  <c r="O97" i="12"/>
  <c r="W97" i="12"/>
  <c r="X97" i="12" s="1"/>
  <c r="U98" i="12"/>
  <c r="T108" i="12"/>
  <c r="Y113" i="12"/>
  <c r="O113" i="12"/>
  <c r="W113" i="12"/>
  <c r="X113" i="12"/>
  <c r="Y128" i="12"/>
  <c r="U136" i="12"/>
  <c r="W146" i="12"/>
  <c r="X146" i="12"/>
  <c r="U150" i="12"/>
  <c r="Y160" i="12"/>
  <c r="U167" i="12"/>
  <c r="U120" i="12"/>
  <c r="T131" i="12"/>
  <c r="U161" i="12"/>
  <c r="T9" i="12"/>
  <c r="U10" i="12"/>
  <c r="O12" i="12"/>
  <c r="T17" i="12"/>
  <c r="U18" i="12"/>
  <c r="O20" i="12"/>
  <c r="T25" i="12"/>
  <c r="U26" i="12"/>
  <c r="O28" i="12"/>
  <c r="T33" i="12"/>
  <c r="U34" i="12"/>
  <c r="O36" i="12"/>
  <c r="T41" i="12"/>
  <c r="U42" i="12"/>
  <c r="O44" i="12"/>
  <c r="T49" i="12"/>
  <c r="U50" i="12"/>
  <c r="O52" i="12"/>
  <c r="T57" i="12"/>
  <c r="U58" i="12"/>
  <c r="O60" i="12"/>
  <c r="T65" i="12"/>
  <c r="U66" i="12"/>
  <c r="O68" i="12"/>
  <c r="T73" i="12"/>
  <c r="U74" i="12"/>
  <c r="O76" i="12"/>
  <c r="T81" i="12"/>
  <c r="U82" i="12"/>
  <c r="O84" i="12"/>
  <c r="O91" i="12"/>
  <c r="O93" i="12"/>
  <c r="T99" i="12"/>
  <c r="U102" i="12"/>
  <c r="Y104" i="12"/>
  <c r="U111" i="12"/>
  <c r="W114" i="12"/>
  <c r="X114" i="12"/>
  <c r="U117" i="12"/>
  <c r="T118" i="12"/>
  <c r="Y121" i="12"/>
  <c r="O121" i="12"/>
  <c r="W121" i="12"/>
  <c r="X121" i="12" s="1"/>
  <c r="Y144" i="12"/>
  <c r="O144" i="12"/>
  <c r="Y163" i="12"/>
  <c r="O163" i="12"/>
  <c r="T175" i="12"/>
  <c r="T178" i="12"/>
  <c r="T124" i="12"/>
  <c r="O11" i="12"/>
  <c r="U17" i="12"/>
  <c r="O27" i="12"/>
  <c r="U33" i="12"/>
  <c r="O35" i="12"/>
  <c r="U41" i="12"/>
  <c r="O43" i="12"/>
  <c r="U49" i="12"/>
  <c r="O51" i="12"/>
  <c r="U57" i="12"/>
  <c r="O59" i="12"/>
  <c r="U65" i="12"/>
  <c r="O67" i="12"/>
  <c r="U73" i="12"/>
  <c r="O75" i="12"/>
  <c r="U81" i="12"/>
  <c r="O83" i="12"/>
  <c r="T100" i="12"/>
  <c r="T109" i="12"/>
  <c r="U125" i="12"/>
  <c r="T126" i="12"/>
  <c r="Y129" i="12"/>
  <c r="O129" i="12"/>
  <c r="Y153" i="12"/>
  <c r="O153" i="12"/>
  <c r="U204" i="12"/>
  <c r="T277" i="12"/>
  <c r="U104" i="12"/>
  <c r="T132" i="12"/>
  <c r="U9" i="12"/>
  <c r="O19" i="12"/>
  <c r="U25" i="12"/>
  <c r="U16" i="12"/>
  <c r="U24" i="12"/>
  <c r="U32" i="12"/>
  <c r="U40" i="12"/>
  <c r="U48" i="12"/>
  <c r="U56" i="12"/>
  <c r="U64" i="12"/>
  <c r="U72" i="12"/>
  <c r="U80" i="12"/>
  <c r="U86" i="12"/>
  <c r="T88" i="12"/>
  <c r="U93" i="12"/>
  <c r="U94" i="12"/>
  <c r="T96" i="12"/>
  <c r="Y105" i="12"/>
  <c r="O105" i="12"/>
  <c r="W105" i="12"/>
  <c r="X105" i="12"/>
  <c r="U118" i="12"/>
  <c r="W130" i="12"/>
  <c r="X130" i="12" s="1"/>
  <c r="U133" i="12"/>
  <c r="T134" i="12"/>
  <c r="Y137" i="12"/>
  <c r="O137" i="12"/>
  <c r="W137" i="12"/>
  <c r="X137" i="12"/>
  <c r="U141" i="12"/>
  <c r="T147" i="12"/>
  <c r="T148" i="12"/>
  <c r="T159" i="12"/>
  <c r="T165" i="12"/>
  <c r="Y180" i="12"/>
  <c r="T190" i="12"/>
  <c r="T249" i="12"/>
  <c r="U39" i="12"/>
  <c r="U100" i="12"/>
  <c r="U103" i="12"/>
  <c r="U109" i="12"/>
  <c r="U112" i="12"/>
  <c r="U126" i="12"/>
  <c r="W138" i="12"/>
  <c r="X138" i="12"/>
  <c r="U142" i="12"/>
  <c r="Y152" i="12"/>
  <c r="O152" i="12"/>
  <c r="U185" i="12"/>
  <c r="U110" i="12"/>
  <c r="U15" i="12"/>
  <c r="U23" i="12"/>
  <c r="U31" i="12"/>
  <c r="T92" i="12"/>
  <c r="T101" i="12"/>
  <c r="Y106" i="12"/>
  <c r="O106" i="12"/>
  <c r="T116" i="12"/>
  <c r="O123" i="12"/>
  <c r="U134" i="12"/>
  <c r="Y187" i="12"/>
  <c r="O187" i="12"/>
  <c r="O218" i="12"/>
  <c r="Y218" i="12"/>
  <c r="O114" i="12"/>
  <c r="O122" i="12"/>
  <c r="O130" i="12"/>
  <c r="O138" i="12"/>
  <c r="U144" i="12"/>
  <c r="O146" i="12"/>
  <c r="U152" i="12"/>
  <c r="O154" i="12"/>
  <c r="U156" i="12"/>
  <c r="T157" i="12"/>
  <c r="U159" i="12"/>
  <c r="O162" i="12"/>
  <c r="U164" i="12"/>
  <c r="U175" i="12"/>
  <c r="O186" i="12"/>
  <c r="U194" i="12"/>
  <c r="U197" i="12"/>
  <c r="Y199" i="12"/>
  <c r="U202" i="12"/>
  <c r="U211" i="12"/>
  <c r="T241" i="12"/>
  <c r="U304" i="12"/>
  <c r="U420" i="12"/>
  <c r="T435" i="12"/>
  <c r="U119" i="12"/>
  <c r="U127" i="12"/>
  <c r="U135" i="12"/>
  <c r="T142" i="12"/>
  <c r="U143" i="12"/>
  <c r="T150" i="12"/>
  <c r="U151" i="12"/>
  <c r="W161" i="12"/>
  <c r="X161" i="12"/>
  <c r="T166" i="12"/>
  <c r="Y167" i="12"/>
  <c r="T173" i="12"/>
  <c r="Y206" i="12"/>
  <c r="O206" i="12"/>
  <c r="T217" i="12"/>
  <c r="T221" i="12"/>
  <c r="U378" i="12"/>
  <c r="U168" i="12"/>
  <c r="U172" i="12"/>
  <c r="U183" i="12"/>
  <c r="T183" i="12"/>
  <c r="O226" i="12"/>
  <c r="Y226" i="12"/>
  <c r="T271" i="12"/>
  <c r="O151" i="12"/>
  <c r="O155" i="12"/>
  <c r="Y156" i="12"/>
  <c r="U157" i="12"/>
  <c r="T162" i="12"/>
  <c r="W168" i="12"/>
  <c r="X168" i="12" s="1"/>
  <c r="Y171" i="12"/>
  <c r="O171" i="12"/>
  <c r="W171" i="12"/>
  <c r="X171" i="12"/>
  <c r="T174" i="12"/>
  <c r="T181" i="12"/>
  <c r="T186" i="12"/>
  <c r="W191" i="12"/>
  <c r="X191" i="12"/>
  <c r="Y195" i="12"/>
  <c r="O195" i="12"/>
  <c r="Y214" i="12"/>
  <c r="O214" i="12"/>
  <c r="W214" i="12"/>
  <c r="X214" i="12" s="1"/>
  <c r="T225" i="12"/>
  <c r="U253" i="12"/>
  <c r="U180" i="12"/>
  <c r="U192" i="12"/>
  <c r="T205" i="12"/>
  <c r="U237" i="12"/>
  <c r="U245" i="12"/>
  <c r="U267" i="12"/>
  <c r="Y291" i="12"/>
  <c r="O291" i="12"/>
  <c r="U296" i="12"/>
  <c r="U315" i="12"/>
  <c r="W176" i="12"/>
  <c r="X176" i="12"/>
  <c r="Y179" i="12"/>
  <c r="O179" i="12"/>
  <c r="W179" i="12"/>
  <c r="X179" i="12"/>
  <c r="T182" i="12"/>
  <c r="T189" i="12"/>
  <c r="T208" i="12"/>
  <c r="W223" i="12"/>
  <c r="X223" i="12" s="1"/>
  <c r="T229" i="12"/>
  <c r="W263" i="12"/>
  <c r="X263" i="12"/>
  <c r="U266" i="12"/>
  <c r="U356" i="12"/>
  <c r="U158" i="12"/>
  <c r="U166" i="12"/>
  <c r="U174" i="12"/>
  <c r="U182" i="12"/>
  <c r="O192" i="12"/>
  <c r="T195" i="12"/>
  <c r="T197" i="12"/>
  <c r="U210" i="12"/>
  <c r="O216" i="12"/>
  <c r="Y222" i="12"/>
  <c r="O222" i="12"/>
  <c r="W222" i="12"/>
  <c r="X222" i="12"/>
  <c r="O229" i="12"/>
  <c r="W231" i="12"/>
  <c r="X231" i="12" s="1"/>
  <c r="T232" i="12"/>
  <c r="T233" i="12"/>
  <c r="O240" i="12"/>
  <c r="O248" i="12"/>
  <c r="T256" i="12"/>
  <c r="T257" i="12"/>
  <c r="Y262" i="12"/>
  <c r="O262" i="12"/>
  <c r="W262" i="12"/>
  <c r="X262" i="12"/>
  <c r="Y269" i="12"/>
  <c r="O269" i="12"/>
  <c r="U285" i="12"/>
  <c r="T317" i="12"/>
  <c r="U321" i="12"/>
  <c r="T209" i="12"/>
  <c r="U229" i="12"/>
  <c r="Y238" i="12"/>
  <c r="O238" i="12"/>
  <c r="Y261" i="12"/>
  <c r="O261" i="12"/>
  <c r="U272" i="12"/>
  <c r="U275" i="12"/>
  <c r="U293" i="12"/>
  <c r="Y300" i="12"/>
  <c r="O300" i="12"/>
  <c r="T342" i="12"/>
  <c r="U428" i="12"/>
  <c r="Y198" i="12"/>
  <c r="O198" i="12"/>
  <c r="W198" i="12"/>
  <c r="X198" i="12" s="1"/>
  <c r="U199" i="12"/>
  <c r="U205" i="12"/>
  <c r="U221" i="12"/>
  <c r="T235" i="12"/>
  <c r="Y246" i="12"/>
  <c r="O246" i="12"/>
  <c r="W246" i="12"/>
  <c r="X246" i="12" s="1"/>
  <c r="W247" i="12"/>
  <c r="X247" i="12"/>
  <c r="T251" i="12"/>
  <c r="Y254" i="12"/>
  <c r="O254" i="12"/>
  <c r="W254" i="12"/>
  <c r="X254" i="12" s="1"/>
  <c r="W255" i="12"/>
  <c r="X255" i="12"/>
  <c r="O286" i="12"/>
  <c r="Y286" i="12"/>
  <c r="U289" i="12"/>
  <c r="T348" i="12"/>
  <c r="O370" i="12"/>
  <c r="Y370" i="12"/>
  <c r="O398" i="12"/>
  <c r="Y398" i="12"/>
  <c r="W199" i="12"/>
  <c r="X199" i="12" s="1"/>
  <c r="T200" i="12"/>
  <c r="T201" i="12"/>
  <c r="U213" i="12"/>
  <c r="T213" i="12"/>
  <c r="T227" i="12"/>
  <c r="U234" i="12"/>
  <c r="T243" i="12"/>
  <c r="U250" i="12"/>
  <c r="U258" i="12"/>
  <c r="U259" i="12"/>
  <c r="T264" i="12"/>
  <c r="T265" i="12"/>
  <c r="Y270" i="12"/>
  <c r="O270" i="12"/>
  <c r="Y276" i="12"/>
  <c r="O276" i="12"/>
  <c r="W276" i="12"/>
  <c r="X276" i="12"/>
  <c r="U278" i="12"/>
  <c r="T282" i="12"/>
  <c r="Y288" i="12"/>
  <c r="T302" i="12"/>
  <c r="Y325" i="12"/>
  <c r="O325" i="12"/>
  <c r="Y338" i="12"/>
  <c r="U345" i="12"/>
  <c r="T365" i="12"/>
  <c r="T369" i="12"/>
  <c r="T394" i="12"/>
  <c r="T219" i="12"/>
  <c r="U226" i="12"/>
  <c r="U235" i="12"/>
  <c r="U242" i="12"/>
  <c r="U251" i="12"/>
  <c r="Y273" i="12"/>
  <c r="O273" i="12"/>
  <c r="T284" i="12"/>
  <c r="Y299" i="12"/>
  <c r="O299" i="12"/>
  <c r="T311" i="12"/>
  <c r="Y332" i="12"/>
  <c r="O332" i="12"/>
  <c r="U352" i="12"/>
  <c r="O194" i="12"/>
  <c r="U203" i="12"/>
  <c r="T211" i="12"/>
  <c r="U218" i="12"/>
  <c r="O224" i="12"/>
  <c r="Y230" i="12"/>
  <c r="O230" i="12"/>
  <c r="W230" i="12"/>
  <c r="X230" i="12" s="1"/>
  <c r="U231" i="12"/>
  <c r="U243" i="12"/>
  <c r="T274" i="12"/>
  <c r="U301" i="12"/>
  <c r="U310" i="12"/>
  <c r="T318" i="12"/>
  <c r="Y337" i="12"/>
  <c r="O337" i="12"/>
  <c r="U261" i="12"/>
  <c r="U269" i="12"/>
  <c r="T294" i="12"/>
  <c r="Y313" i="12"/>
  <c r="O313" i="12"/>
  <c r="Y314" i="12"/>
  <c r="U328" i="12"/>
  <c r="U362" i="12"/>
  <c r="U372" i="12"/>
  <c r="U387" i="12"/>
  <c r="Y418" i="12"/>
  <c r="O418" i="12"/>
  <c r="U212" i="12"/>
  <c r="U220" i="12"/>
  <c r="U228" i="12"/>
  <c r="U236" i="12"/>
  <c r="U244" i="12"/>
  <c r="U252" i="12"/>
  <c r="T259" i="12"/>
  <c r="U260" i="12"/>
  <c r="T267" i="12"/>
  <c r="U268" i="12"/>
  <c r="U302" i="12"/>
  <c r="Y304" i="12"/>
  <c r="U305" i="12"/>
  <c r="T307" i="12"/>
  <c r="T308" i="12"/>
  <c r="Y333" i="12"/>
  <c r="O333" i="12"/>
  <c r="U342" i="12"/>
  <c r="Y345" i="12"/>
  <c r="O345" i="12"/>
  <c r="U353" i="12"/>
  <c r="Y366" i="12"/>
  <c r="O366" i="12"/>
  <c r="W366" i="12"/>
  <c r="X366" i="12" s="1"/>
  <c r="T370" i="12"/>
  <c r="U388" i="12"/>
  <c r="U412" i="12"/>
  <c r="U427" i="12"/>
  <c r="U294" i="12"/>
  <c r="Y296" i="12"/>
  <c r="U329" i="12"/>
  <c r="T332" i="12"/>
  <c r="U336" i="12"/>
  <c r="O356" i="12"/>
  <c r="Y356" i="12"/>
  <c r="T401" i="12"/>
  <c r="T402" i="12"/>
  <c r="U423" i="12"/>
  <c r="O279" i="12"/>
  <c r="W280" i="12"/>
  <c r="X280" i="12"/>
  <c r="U280" i="12"/>
  <c r="U288" i="12"/>
  <c r="O292" i="12"/>
  <c r="Y297" i="12"/>
  <c r="T299" i="12"/>
  <c r="W305" i="12"/>
  <c r="X305" i="12" s="1"/>
  <c r="U312" i="12"/>
  <c r="Y316" i="12"/>
  <c r="O316" i="12"/>
  <c r="W316" i="12"/>
  <c r="X316" i="12"/>
  <c r="O320" i="12"/>
  <c r="Y341" i="12"/>
  <c r="O341" i="12"/>
  <c r="U350" i="12"/>
  <c r="O353" i="12"/>
  <c r="Y353" i="12"/>
  <c r="Y354" i="12"/>
  <c r="O354" i="12"/>
  <c r="Y365" i="12"/>
  <c r="O365" i="12"/>
  <c r="Y368" i="12"/>
  <c r="O368" i="12"/>
  <c r="U373" i="12"/>
  <c r="Y383" i="12"/>
  <c r="O383" i="12"/>
  <c r="Y410" i="12"/>
  <c r="O410" i="12"/>
  <c r="Y440" i="12"/>
  <c r="O440" i="12"/>
  <c r="U291" i="12"/>
  <c r="T291" i="12"/>
  <c r="T300" i="12"/>
  <c r="T310" i="12"/>
  <c r="Y330" i="12"/>
  <c r="U337" i="12"/>
  <c r="T340" i="12"/>
  <c r="U344" i="12"/>
  <c r="O359" i="12"/>
  <c r="Y359" i="12"/>
  <c r="T381" i="12"/>
  <c r="T385" i="12"/>
  <c r="W391" i="12"/>
  <c r="X391" i="12"/>
  <c r="O392" i="12"/>
  <c r="Y392" i="12"/>
  <c r="W392" i="12"/>
  <c r="X392" i="12"/>
  <c r="Y272" i="12"/>
  <c r="U283" i="12"/>
  <c r="O287" i="12"/>
  <c r="T315" i="12"/>
  <c r="U319" i="12"/>
  <c r="T320" i="12"/>
  <c r="U326" i="12"/>
  <c r="Y329" i="12"/>
  <c r="O329" i="12"/>
  <c r="Y349" i="12"/>
  <c r="O349" i="12"/>
  <c r="T357" i="12"/>
  <c r="T360" i="12"/>
  <c r="O360" i="12"/>
  <c r="T379" i="12"/>
  <c r="O389" i="12"/>
  <c r="Y389" i="12"/>
  <c r="Y391" i="12"/>
  <c r="O391" i="12"/>
  <c r="U399" i="12"/>
  <c r="U299" i="12"/>
  <c r="T306" i="12"/>
  <c r="U307" i="12"/>
  <c r="T316" i="12"/>
  <c r="T373" i="12"/>
  <c r="U381" i="12"/>
  <c r="U435" i="12"/>
  <c r="U465" i="12"/>
  <c r="U491" i="12"/>
  <c r="U354" i="12"/>
  <c r="T355" i="12"/>
  <c r="T371" i="12"/>
  <c r="U379" i="12"/>
  <c r="T396" i="12"/>
  <c r="U404" i="12"/>
  <c r="Y438" i="12"/>
  <c r="O438" i="12"/>
  <c r="Y439" i="12"/>
  <c r="O439" i="12"/>
  <c r="U459" i="12"/>
  <c r="Y331" i="12"/>
  <c r="Y339" i="12"/>
  <c r="Y347" i="12"/>
  <c r="U359" i="12"/>
  <c r="U370" i="12"/>
  <c r="Y382" i="12"/>
  <c r="O382" i="12"/>
  <c r="T386" i="12"/>
  <c r="O399" i="12"/>
  <c r="Y399" i="12"/>
  <c r="U317" i="12"/>
  <c r="U355" i="12"/>
  <c r="Y358" i="12"/>
  <c r="O358" i="12"/>
  <c r="T363" i="12"/>
  <c r="U371" i="12"/>
  <c r="Y374" i="12"/>
  <c r="O374" i="12"/>
  <c r="W374" i="12"/>
  <c r="X374" i="12"/>
  <c r="U375" i="12"/>
  <c r="T377" i="12"/>
  <c r="U380" i="12"/>
  <c r="Y390" i="12"/>
  <c r="O390" i="12"/>
  <c r="W390" i="12"/>
  <c r="X390" i="12"/>
  <c r="U395" i="12"/>
  <c r="T409" i="12"/>
  <c r="U461" i="12"/>
  <c r="T361" i="12"/>
  <c r="U365" i="12"/>
  <c r="U386" i="12"/>
  <c r="U389" i="12"/>
  <c r="U407" i="12"/>
  <c r="T417" i="12"/>
  <c r="O426" i="12"/>
  <c r="Y432" i="12"/>
  <c r="O432" i="12"/>
  <c r="U436" i="12"/>
  <c r="T451" i="12"/>
  <c r="W359" i="12"/>
  <c r="X359" i="12"/>
  <c r="T392" i="12"/>
  <c r="U397" i="12"/>
  <c r="U415" i="12"/>
  <c r="T425" i="12"/>
  <c r="Y430" i="12"/>
  <c r="O430" i="12"/>
  <c r="Y431" i="12"/>
  <c r="O431" i="12"/>
  <c r="U443" i="12"/>
  <c r="U444" i="12"/>
  <c r="Y406" i="12"/>
  <c r="O406" i="12"/>
  <c r="Y414" i="12"/>
  <c r="O414" i="12"/>
  <c r="W415" i="12"/>
  <c r="X415" i="12"/>
  <c r="Y422" i="12"/>
  <c r="O422" i="12"/>
  <c r="W423" i="12"/>
  <c r="X423" i="12"/>
  <c r="T429" i="12"/>
  <c r="T473" i="12"/>
  <c r="U396" i="12"/>
  <c r="U398" i="12"/>
  <c r="T405" i="12"/>
  <c r="Y407" i="12"/>
  <c r="T413" i="12"/>
  <c r="Y415" i="12"/>
  <c r="T421" i="12"/>
  <c r="Y423" i="12"/>
  <c r="Y446" i="12"/>
  <c r="O446" i="12"/>
  <c r="Y456" i="12"/>
  <c r="O456" i="12"/>
  <c r="U475" i="12"/>
  <c r="Y478" i="12"/>
  <c r="O478" i="12"/>
  <c r="Y400" i="12"/>
  <c r="O400" i="12"/>
  <c r="T427" i="12"/>
  <c r="U429" i="12"/>
  <c r="T433" i="12"/>
  <c r="T434" i="12"/>
  <c r="U437" i="12"/>
  <c r="T441" i="12"/>
  <c r="T442" i="12"/>
  <c r="Y454" i="12"/>
  <c r="O454" i="12"/>
  <c r="T465" i="12"/>
  <c r="T403" i="12"/>
  <c r="U405" i="12"/>
  <c r="Y408" i="12"/>
  <c r="O408" i="12"/>
  <c r="W408" i="12"/>
  <c r="X408" i="12" s="1"/>
  <c r="T411" i="12"/>
  <c r="U413" i="12"/>
  <c r="Y416" i="12"/>
  <c r="O416" i="12"/>
  <c r="W416" i="12"/>
  <c r="X416" i="12"/>
  <c r="T419" i="12"/>
  <c r="U421" i="12"/>
  <c r="Y424" i="12"/>
  <c r="O424" i="12"/>
  <c r="W424" i="12"/>
  <c r="X424" i="12" s="1"/>
  <c r="T443" i="12"/>
  <c r="T467" i="12"/>
  <c r="U406" i="12"/>
  <c r="U414" i="12"/>
  <c r="U422" i="12"/>
  <c r="U430" i="12"/>
  <c r="T437" i="12"/>
  <c r="U438" i="12"/>
  <c r="T445" i="12"/>
  <c r="Y448" i="12"/>
  <c r="O448" i="12"/>
  <c r="U451" i="12"/>
  <c r="T455" i="12"/>
  <c r="Y460" i="12"/>
  <c r="O460" i="12"/>
  <c r="U467" i="12"/>
  <c r="T457" i="12"/>
  <c r="Y462" i="12"/>
  <c r="O462" i="12"/>
  <c r="Y464" i="12"/>
  <c r="O464" i="12"/>
  <c r="U469" i="12"/>
  <c r="T481" i="12"/>
  <c r="U445" i="12"/>
  <c r="T447" i="12"/>
  <c r="O450" i="12"/>
  <c r="Y450" i="12"/>
  <c r="U453" i="12"/>
  <c r="Y472" i="12"/>
  <c r="O472" i="12"/>
  <c r="T459" i="12"/>
  <c r="Y468" i="12"/>
  <c r="O468" i="12"/>
  <c r="Y470" i="12"/>
  <c r="O470" i="12"/>
  <c r="Y486" i="12"/>
  <c r="O486" i="12"/>
  <c r="T489" i="12"/>
  <c r="T497" i="12"/>
  <c r="U447" i="12"/>
  <c r="T449" i="12"/>
  <c r="Y452" i="12"/>
  <c r="O452" i="12"/>
  <c r="T463" i="12"/>
  <c r="U483" i="12"/>
  <c r="Y494" i="12"/>
  <c r="O494" i="12"/>
  <c r="U446" i="12"/>
  <c r="T453" i="12"/>
  <c r="U454" i="12"/>
  <c r="Y458" i="12"/>
  <c r="T461" i="12"/>
  <c r="U462" i="12"/>
  <c r="Y466" i="12"/>
  <c r="T469" i="12"/>
  <c r="U470" i="12"/>
  <c r="Y474" i="12"/>
  <c r="T477" i="12"/>
  <c r="U478" i="12"/>
  <c r="O480" i="12"/>
  <c r="Y482" i="12"/>
  <c r="T485" i="12"/>
  <c r="U486" i="12"/>
  <c r="O488" i="12"/>
  <c r="Y490" i="12"/>
  <c r="T493" i="12"/>
  <c r="U494" i="12"/>
  <c r="O496" i="12"/>
  <c r="Y498" i="12"/>
  <c r="U477" i="12"/>
  <c r="U485" i="12"/>
  <c r="U493" i="12"/>
  <c r="U452" i="12"/>
  <c r="U460" i="12"/>
  <c r="U468" i="12"/>
  <c r="T475" i="12"/>
  <c r="U476" i="12"/>
  <c r="T483" i="12"/>
  <c r="U484" i="12"/>
  <c r="T491" i="12"/>
  <c r="U492" i="12"/>
  <c r="T499" i="12"/>
  <c r="U500" i="12"/>
  <c r="O476" i="12"/>
  <c r="O484" i="12"/>
  <c r="O492" i="12"/>
  <c r="O500" i="12"/>
  <c r="B30" i="16"/>
  <c r="B31" i="16"/>
  <c r="B32" i="16"/>
  <c r="S32" i="13"/>
  <c r="S31" i="13"/>
  <c r="S30" i="13"/>
  <c r="S29" i="13"/>
  <c r="S28" i="13"/>
  <c r="S27" i="13"/>
  <c r="S26" i="13"/>
  <c r="S25" i="13"/>
  <c r="S24" i="13"/>
  <c r="S23" i="13"/>
  <c r="S22" i="13"/>
  <c r="S21" i="13"/>
  <c r="S20" i="13"/>
  <c r="S19" i="13"/>
  <c r="S18" i="13"/>
  <c r="S17" i="13"/>
  <c r="S16" i="13"/>
  <c r="S15" i="13"/>
  <c r="S14" i="13"/>
  <c r="S13" i="13"/>
  <c r="S12" i="13"/>
  <c r="S11" i="13"/>
  <c r="S10" i="13"/>
  <c r="S9" i="13"/>
  <c r="B33" i="16"/>
  <c r="B34" i="16"/>
  <c r="B35" i="16"/>
  <c r="B36" i="16"/>
  <c r="B37" i="16"/>
  <c r="B38" i="16"/>
  <c r="AD6" i="12"/>
  <c r="B39" i="16"/>
  <c r="B40" i="16"/>
  <c r="B41" i="16"/>
  <c r="Y259" i="12"/>
  <c r="O8" i="12"/>
  <c r="B42" i="16"/>
  <c r="B43" i="16"/>
  <c r="B44" i="16"/>
  <c r="U8" i="12"/>
  <c r="B45" i="16"/>
  <c r="B46" i="16"/>
  <c r="B47" i="16"/>
  <c r="T8" i="12"/>
  <c r="B48" i="16"/>
  <c r="B49" i="16"/>
  <c r="B50" i="16"/>
  <c r="W8" i="12"/>
  <c r="X8" i="12" s="1"/>
  <c r="B51" i="16"/>
  <c r="B52" i="16"/>
  <c r="B53" i="16"/>
  <c r="B54" i="16"/>
  <c r="B55" i="16"/>
  <c r="B56" i="16"/>
  <c r="Y9" i="12"/>
  <c r="Y10" i="12"/>
  <c r="B57" i="16"/>
  <c r="B58" i="16"/>
  <c r="B59" i="16"/>
  <c r="Y11" i="12"/>
  <c r="Y12" i="12"/>
  <c r="B60" i="16"/>
  <c r="B61" i="16"/>
  <c r="B62" i="16"/>
  <c r="Y13" i="12"/>
  <c r="B63" i="16"/>
  <c r="B64" i="16"/>
  <c r="B65" i="16"/>
  <c r="Y14" i="12"/>
  <c r="B66" i="16"/>
  <c r="B67" i="16"/>
  <c r="B68" i="16"/>
  <c r="Y15" i="12"/>
  <c r="B69" i="16"/>
  <c r="B70" i="16"/>
  <c r="B71" i="16"/>
  <c r="Y16" i="12"/>
  <c r="B72" i="16"/>
  <c r="B73" i="16"/>
  <c r="B74" i="16"/>
  <c r="Y17" i="12"/>
  <c r="B75" i="16"/>
  <c r="B76" i="16"/>
  <c r="B77" i="16"/>
  <c r="Y18" i="12"/>
  <c r="Y19" i="12"/>
  <c r="B78" i="16"/>
  <c r="B79" i="16"/>
  <c r="B80" i="16"/>
  <c r="Y20" i="12"/>
  <c r="B81" i="16"/>
  <c r="B82" i="16"/>
  <c r="B83" i="16"/>
  <c r="Y21" i="12"/>
  <c r="B84" i="16"/>
  <c r="B85" i="16"/>
  <c r="B86" i="16"/>
  <c r="Y22" i="12"/>
  <c r="Y23" i="12"/>
  <c r="B87" i="16"/>
  <c r="B88" i="16"/>
  <c r="B89" i="16"/>
  <c r="Y26" i="12"/>
  <c r="Y27" i="12"/>
  <c r="Y24" i="12"/>
  <c r="B90" i="16"/>
  <c r="B91" i="16"/>
  <c r="B92" i="16"/>
  <c r="Y28" i="12"/>
  <c r="Y25" i="12"/>
  <c r="B93" i="16"/>
  <c r="B94" i="16"/>
  <c r="B95" i="16"/>
  <c r="Y29" i="12"/>
  <c r="B96" i="16"/>
  <c r="B97" i="16"/>
  <c r="B98" i="16"/>
  <c r="Y30" i="12"/>
  <c r="B99" i="16"/>
  <c r="B100" i="16"/>
  <c r="B101" i="16"/>
  <c r="Y31" i="12"/>
  <c r="Y32" i="12"/>
  <c r="B102" i="16"/>
  <c r="B103" i="16"/>
  <c r="B104" i="16"/>
  <c r="Y33" i="12"/>
  <c r="Y34" i="12"/>
  <c r="B105" i="16"/>
  <c r="B106" i="16"/>
  <c r="B107" i="16"/>
  <c r="Y35" i="12"/>
  <c r="B108" i="16"/>
  <c r="B109" i="16"/>
  <c r="B110" i="16"/>
  <c r="Y36" i="12"/>
  <c r="B111" i="16"/>
  <c r="B112" i="16"/>
  <c r="B113" i="16"/>
  <c r="Y37" i="12"/>
  <c r="B114" i="16"/>
  <c r="B115" i="16"/>
  <c r="B116" i="16"/>
  <c r="Y38" i="12"/>
  <c r="B117" i="16"/>
  <c r="B118" i="16"/>
  <c r="B119" i="16"/>
  <c r="Y39" i="12"/>
  <c r="B120" i="16"/>
  <c r="B121" i="16"/>
  <c r="B122" i="16"/>
  <c r="Y40" i="12"/>
  <c r="B123" i="16"/>
  <c r="B124" i="16"/>
  <c r="B125" i="16"/>
  <c r="Y41" i="12"/>
  <c r="Y42" i="12"/>
  <c r="Y43" i="12"/>
  <c r="Y44" i="12"/>
  <c r="B126" i="16"/>
  <c r="B127" i="16"/>
  <c r="B128" i="16"/>
  <c r="B129" i="16"/>
  <c r="B130" i="16"/>
  <c r="B131" i="16"/>
  <c r="B132" i="16"/>
  <c r="B133" i="16"/>
  <c r="B134" i="16"/>
  <c r="B135" i="16"/>
  <c r="B136" i="16"/>
  <c r="B137" i="16"/>
  <c r="B138" i="16"/>
  <c r="B139" i="16"/>
  <c r="B140" i="16"/>
  <c r="B141" i="16"/>
  <c r="B142" i="16"/>
  <c r="B143" i="16"/>
  <c r="B144" i="16"/>
  <c r="B145" i="16"/>
  <c r="B146" i="16"/>
  <c r="B147" i="16"/>
  <c r="B148" i="16"/>
  <c r="B149" i="16"/>
  <c r="B150" i="16"/>
  <c r="B151" i="16"/>
  <c r="B152" i="16"/>
  <c r="B153" i="16"/>
  <c r="B154" i="16"/>
  <c r="B155" i="16"/>
  <c r="B156" i="16"/>
  <c r="B157" i="16"/>
  <c r="B158" i="16"/>
  <c r="B159" i="16"/>
  <c r="B160" i="16"/>
  <c r="B161" i="16"/>
  <c r="B162" i="16"/>
  <c r="B163" i="16"/>
  <c r="B164" i="16"/>
  <c r="B165" i="16"/>
  <c r="B166" i="16"/>
  <c r="B167" i="16"/>
  <c r="B168" i="16"/>
  <c r="B169" i="16"/>
  <c r="B170" i="16"/>
  <c r="B171" i="16"/>
  <c r="B172" i="16"/>
  <c r="B173" i="16"/>
  <c r="B174" i="16"/>
  <c r="B175" i="16"/>
  <c r="B176" i="16"/>
  <c r="B177" i="16"/>
  <c r="B178" i="16"/>
  <c r="B179" i="16"/>
  <c r="B180" i="16"/>
  <c r="B181" i="16"/>
  <c r="B182" i="16"/>
  <c r="B183" i="16"/>
  <c r="B184" i="16"/>
  <c r="B185" i="16"/>
  <c r="B186" i="16"/>
  <c r="B187" i="16"/>
  <c r="B188" i="16"/>
  <c r="B189" i="16"/>
  <c r="B190" i="16"/>
  <c r="B191" i="16"/>
  <c r="B192" i="16"/>
  <c r="B193" i="16"/>
  <c r="B194" i="16"/>
  <c r="B195" i="16"/>
  <c r="B196" i="16"/>
  <c r="B197" i="16"/>
  <c r="B198" i="16"/>
  <c r="B199" i="16"/>
  <c r="B200" i="16"/>
  <c r="B201" i="16"/>
  <c r="B202" i="16"/>
  <c r="B203" i="16"/>
  <c r="B204" i="16"/>
  <c r="B205" i="16"/>
  <c r="B206" i="16"/>
  <c r="B207" i="16"/>
  <c r="B208" i="16"/>
  <c r="B209" i="16"/>
  <c r="B210" i="16"/>
  <c r="B211" i="16"/>
  <c r="B212" i="16"/>
  <c r="B213" i="16"/>
  <c r="B214" i="16"/>
  <c r="B215" i="16"/>
  <c r="B216" i="16"/>
  <c r="B217" i="16"/>
  <c r="B218" i="16"/>
  <c r="B219" i="16"/>
  <c r="B220" i="16"/>
  <c r="B221" i="16"/>
  <c r="B222" i="16"/>
  <c r="B223" i="16"/>
  <c r="B224" i="16"/>
  <c r="B225" i="16"/>
  <c r="B226" i="16"/>
  <c r="B227" i="16"/>
  <c r="B228" i="16"/>
  <c r="B229" i="16"/>
  <c r="B230" i="16"/>
  <c r="B231" i="16"/>
  <c r="B232" i="16"/>
  <c r="B233" i="16"/>
  <c r="B234" i="16"/>
  <c r="B235" i="16"/>
  <c r="B236" i="16"/>
  <c r="B237" i="16"/>
  <c r="B238" i="16"/>
  <c r="B239" i="16"/>
  <c r="B240" i="16"/>
  <c r="B241" i="16"/>
  <c r="B242" i="16"/>
  <c r="B243" i="16"/>
  <c r="B244" i="16"/>
  <c r="B245" i="16"/>
  <c r="B246" i="16"/>
  <c r="B247" i="16"/>
  <c r="B248" i="16"/>
  <c r="B249" i="16"/>
  <c r="B250" i="16"/>
  <c r="B251" i="16"/>
  <c r="B252" i="16"/>
  <c r="B253" i="16"/>
  <c r="B254" i="16"/>
  <c r="B255" i="16"/>
  <c r="B256" i="16"/>
  <c r="B257" i="16"/>
  <c r="B258" i="16"/>
  <c r="B259" i="16"/>
  <c r="B260" i="16"/>
  <c r="B261" i="16"/>
  <c r="B262" i="16"/>
  <c r="B263" i="16"/>
  <c r="B264" i="16"/>
  <c r="B265" i="16"/>
  <c r="B266" i="16"/>
  <c r="B267" i="16"/>
  <c r="B268" i="16"/>
  <c r="B269" i="16"/>
  <c r="B270" i="16"/>
  <c r="B271" i="16"/>
  <c r="B272" i="16"/>
  <c r="B273" i="16"/>
  <c r="B274" i="16"/>
  <c r="B275" i="16"/>
  <c r="B276" i="16"/>
  <c r="B277" i="16"/>
  <c r="B278" i="16"/>
  <c r="B279" i="16"/>
  <c r="B280" i="16"/>
  <c r="B281" i="16"/>
  <c r="B282" i="16"/>
  <c r="B283" i="16"/>
  <c r="B284" i="16"/>
  <c r="B285" i="16"/>
  <c r="B286" i="16"/>
  <c r="B287" i="16"/>
  <c r="B288" i="16"/>
  <c r="B289" i="16"/>
  <c r="B290" i="16"/>
  <c r="B291" i="16"/>
  <c r="B292" i="16"/>
  <c r="B293" i="16"/>
  <c r="B294" i="16"/>
  <c r="B295" i="16"/>
  <c r="B296" i="16"/>
  <c r="B297" i="16"/>
  <c r="B298" i="16"/>
  <c r="B299" i="16"/>
  <c r="B300" i="16"/>
  <c r="B301" i="16"/>
  <c r="B302" i="16"/>
  <c r="B303" i="16"/>
  <c r="B304" i="16"/>
  <c r="B305" i="16"/>
  <c r="B306" i="16"/>
  <c r="B307" i="16"/>
  <c r="B308" i="16"/>
  <c r="B309" i="16"/>
  <c r="B310" i="16"/>
  <c r="Y436" i="12" l="1"/>
  <c r="O436" i="12"/>
  <c r="Y428" i="12"/>
  <c r="O428" i="12"/>
  <c r="O420" i="12"/>
  <c r="Y420" i="12"/>
  <c r="Y404" i="12"/>
  <c r="O404" i="12"/>
  <c r="Y396" i="12"/>
  <c r="O396" i="12"/>
  <c r="Y388" i="12"/>
  <c r="O388" i="12"/>
  <c r="Y384" i="12"/>
  <c r="O384" i="12"/>
  <c r="Y376" i="12"/>
  <c r="O376" i="12"/>
  <c r="O348" i="12"/>
  <c r="Y348" i="12"/>
  <c r="Y344" i="12"/>
  <c r="O344" i="12"/>
  <c r="O336" i="12"/>
  <c r="Y336" i="12"/>
  <c r="Y324" i="12"/>
  <c r="O324" i="12"/>
  <c r="O312" i="12"/>
  <c r="Y312" i="12"/>
  <c r="Y308" i="12"/>
  <c r="O308" i="12"/>
  <c r="O364" i="12"/>
  <c r="O372" i="12"/>
  <c r="O380" i="12"/>
  <c r="Y264" i="12"/>
  <c r="O264" i="12"/>
  <c r="O220" i="12"/>
  <c r="Y220" i="12"/>
  <c r="Y200" i="12"/>
  <c r="O200" i="12"/>
  <c r="O140" i="12"/>
  <c r="Y140" i="12"/>
  <c r="O124" i="12"/>
  <c r="Y124" i="12"/>
  <c r="O120" i="12"/>
  <c r="Y120" i="12"/>
  <c r="O112" i="12"/>
  <c r="Y112" i="12"/>
  <c r="Y92" i="12"/>
  <c r="O92" i="12"/>
  <c r="O80" i="12"/>
  <c r="Y80" i="12"/>
  <c r="AD7" i="12" a="1"/>
  <c r="AD7" i="12" s="1"/>
  <c r="Y244" i="12"/>
  <c r="Y176" i="12"/>
  <c r="O232" i="12"/>
  <c r="O72" i="12"/>
  <c r="Y168" i="12"/>
  <c r="Y64" i="12"/>
  <c r="G286" i="16" s="1" a="1"/>
  <c r="G286" i="16" s="1"/>
  <c r="Y268" i="12"/>
  <c r="Y196" i="12"/>
  <c r="Y260" i="12"/>
  <c r="Y252" i="12"/>
  <c r="Y212" i="12"/>
  <c r="Y136" i="12"/>
  <c r="O100" i="12"/>
  <c r="Y188" i="12"/>
  <c r="Y56" i="12"/>
  <c r="O96" i="12"/>
  <c r="Y236" i="12"/>
  <c r="Y280" i="12"/>
  <c r="Y284" i="12"/>
  <c r="O184" i="12"/>
  <c r="O148" i="12"/>
  <c r="Y164" i="12"/>
  <c r="Y108" i="12"/>
  <c r="O445" i="12"/>
  <c r="O233" i="12"/>
  <c r="O429" i="12"/>
  <c r="Y465" i="12"/>
  <c r="O293" i="12"/>
  <c r="Y117" i="12"/>
  <c r="P497" i="12"/>
  <c r="R497" i="12"/>
  <c r="R493" i="12"/>
  <c r="V493" i="12"/>
  <c r="R489" i="12"/>
  <c r="P489" i="12"/>
  <c r="V489" i="12"/>
  <c r="P481" i="12"/>
  <c r="R481" i="12"/>
  <c r="R477" i="12"/>
  <c r="V477" i="12"/>
  <c r="R473" i="12"/>
  <c r="P473" i="12"/>
  <c r="V473" i="12"/>
  <c r="P465" i="12"/>
  <c r="R465" i="12"/>
  <c r="R461" i="12"/>
  <c r="V461" i="12"/>
  <c r="R457" i="12"/>
  <c r="V457" i="12"/>
  <c r="R449" i="12"/>
  <c r="P449" i="12"/>
  <c r="R445" i="12"/>
  <c r="V445" i="12"/>
  <c r="R441" i="12"/>
  <c r="V441" i="12"/>
  <c r="R429" i="12"/>
  <c r="V429" i="12"/>
  <c r="R425" i="12"/>
  <c r="V425" i="12"/>
  <c r="R413" i="12"/>
  <c r="V413" i="12"/>
  <c r="R409" i="12"/>
  <c r="V409" i="12"/>
  <c r="R397" i="12"/>
  <c r="V397" i="12"/>
  <c r="R393" i="12"/>
  <c r="P393" i="12"/>
  <c r="V393" i="12"/>
  <c r="R381" i="12"/>
  <c r="V381" i="12"/>
  <c r="R377" i="12"/>
  <c r="V377" i="12"/>
  <c r="P377" i="12"/>
  <c r="R369" i="12"/>
  <c r="P369" i="12"/>
  <c r="R365" i="12"/>
  <c r="V365" i="12"/>
  <c r="R361" i="12"/>
  <c r="V361" i="12"/>
  <c r="P361" i="12"/>
  <c r="R353" i="12"/>
  <c r="P353" i="12"/>
  <c r="R349" i="12"/>
  <c r="V349" i="12"/>
  <c r="R345" i="12"/>
  <c r="V345" i="12"/>
  <c r="P345" i="12"/>
  <c r="R337" i="12"/>
  <c r="P337" i="12"/>
  <c r="R333" i="12"/>
  <c r="V333" i="12"/>
  <c r="R329" i="12"/>
  <c r="V329" i="12"/>
  <c r="P321" i="12"/>
  <c r="R321" i="12"/>
  <c r="R317" i="12"/>
  <c r="V317" i="12"/>
  <c r="R313" i="12"/>
  <c r="V313" i="12"/>
  <c r="R301" i="12"/>
  <c r="V301" i="12"/>
  <c r="R297" i="12"/>
  <c r="V297" i="12"/>
  <c r="R285" i="12"/>
  <c r="V285" i="12"/>
  <c r="R281" i="12"/>
  <c r="V281" i="12"/>
  <c r="R269" i="12"/>
  <c r="V269" i="12"/>
  <c r="R265" i="12"/>
  <c r="V265" i="12"/>
  <c r="P265" i="12"/>
  <c r="R253" i="12"/>
  <c r="V253" i="12"/>
  <c r="R249" i="12"/>
  <c r="P249" i="12"/>
  <c r="V249" i="12"/>
  <c r="P241" i="12"/>
  <c r="R241" i="12"/>
  <c r="R237" i="12"/>
  <c r="V237" i="12"/>
  <c r="R233" i="12"/>
  <c r="P233" i="12"/>
  <c r="V233" i="12"/>
  <c r="P225" i="12"/>
  <c r="R225" i="12"/>
  <c r="R221" i="12"/>
  <c r="V221" i="12"/>
  <c r="R217" i="12"/>
  <c r="P217" i="12"/>
  <c r="V217" i="12"/>
  <c r="P209" i="12"/>
  <c r="R209" i="12"/>
  <c r="R205" i="12"/>
  <c r="V205" i="12"/>
  <c r="R201" i="12"/>
  <c r="V201" i="12"/>
  <c r="R193" i="12"/>
  <c r="P193" i="12"/>
  <c r="R185" i="12"/>
  <c r="V185" i="12"/>
  <c r="V136" i="12"/>
  <c r="R136" i="12"/>
  <c r="R121" i="12"/>
  <c r="V121" i="12"/>
  <c r="R57" i="12"/>
  <c r="V57" i="12"/>
  <c r="P237" i="12"/>
  <c r="P269" i="12"/>
  <c r="P301" i="12"/>
  <c r="P333" i="12"/>
  <c r="P365" i="12"/>
  <c r="P397" i="12"/>
  <c r="P429" i="12"/>
  <c r="P461" i="12"/>
  <c r="P493" i="12"/>
  <c r="P409" i="12"/>
  <c r="P289" i="12"/>
  <c r="P441" i="12"/>
  <c r="P385" i="12"/>
  <c r="P329" i="12"/>
  <c r="P273" i="12"/>
  <c r="V229" i="12"/>
  <c r="V293" i="12"/>
  <c r="V357" i="12"/>
  <c r="V421" i="12"/>
  <c r="V485" i="12"/>
  <c r="V209" i="12"/>
  <c r="V273" i="12"/>
  <c r="V337" i="12"/>
  <c r="V401" i="12"/>
  <c r="V465" i="12"/>
  <c r="V50" i="12"/>
  <c r="V178" i="12"/>
  <c r="P150" i="12"/>
  <c r="V150" i="12"/>
  <c r="P146" i="12"/>
  <c r="R146" i="12"/>
  <c r="P143" i="12"/>
  <c r="V143" i="12"/>
  <c r="P86" i="12"/>
  <c r="V86" i="12"/>
  <c r="R82" i="12"/>
  <c r="P82" i="12"/>
  <c r="P79" i="12"/>
  <c r="V79" i="12"/>
  <c r="P22" i="12"/>
  <c r="V22" i="12"/>
  <c r="P18" i="12"/>
  <c r="R18" i="12"/>
  <c r="P15" i="12"/>
  <c r="V15" i="12"/>
  <c r="P469" i="12"/>
  <c r="P417" i="12"/>
  <c r="P457" i="12"/>
  <c r="P401" i="12"/>
  <c r="V373" i="12"/>
  <c r="V437" i="12"/>
  <c r="V225" i="12"/>
  <c r="V289" i="12"/>
  <c r="V353" i="12"/>
  <c r="V417" i="12"/>
  <c r="V481" i="12"/>
  <c r="R153" i="12"/>
  <c r="P153" i="12"/>
  <c r="V153" i="12"/>
  <c r="R89" i="12"/>
  <c r="V89" i="12"/>
  <c r="P89" i="12"/>
  <c r="R25" i="12"/>
  <c r="P25" i="12"/>
  <c r="V25" i="12"/>
  <c r="V197" i="12"/>
  <c r="V261" i="12"/>
  <c r="V325" i="12"/>
  <c r="V389" i="12"/>
  <c r="V453" i="12"/>
  <c r="V241" i="12"/>
  <c r="V305" i="12"/>
  <c r="V369" i="12"/>
  <c r="V433" i="12"/>
  <c r="V497" i="12"/>
  <c r="P182" i="12"/>
  <c r="V182" i="12"/>
  <c r="R175" i="12"/>
  <c r="V175" i="12"/>
  <c r="P118" i="12"/>
  <c r="V118" i="12"/>
  <c r="P111" i="12"/>
  <c r="V111" i="12"/>
  <c r="P54" i="12"/>
  <c r="V54" i="12"/>
  <c r="P47" i="12"/>
  <c r="V47" i="12"/>
  <c r="G284" i="16" l="1"/>
  <c r="G285" i="16"/>
  <c r="E151" i="16" a="1"/>
  <c r="E151" i="16" s="1"/>
  <c r="G121" i="16" a="1"/>
  <c r="G121" i="16" s="1"/>
  <c r="J34" i="16" a="1"/>
  <c r="J34" i="16" s="1"/>
  <c r="H49" i="16" a="1"/>
  <c r="H49" i="16" s="1"/>
  <c r="E253" i="16" a="1"/>
  <c r="E253" i="16" s="1"/>
  <c r="E193" i="16" a="1"/>
  <c r="E193" i="16" s="1"/>
  <c r="F292" i="16" a="1"/>
  <c r="F292" i="16" s="1"/>
  <c r="E163" i="16" a="1"/>
  <c r="E163" i="16" s="1"/>
  <c r="I262" i="16" a="1"/>
  <c r="I262" i="16" s="1"/>
  <c r="H250" i="16" a="1"/>
  <c r="H250" i="16" s="1"/>
  <c r="I259" i="16" a="1"/>
  <c r="I259" i="16" s="1"/>
  <c r="F133" i="16" a="1"/>
  <c r="F133" i="16" s="1"/>
  <c r="J151" i="16" a="1"/>
  <c r="J151" i="16" s="1"/>
  <c r="I142" i="16" a="1"/>
  <c r="I142" i="16" s="1"/>
  <c r="F64" i="16" a="1"/>
  <c r="F64" i="16" s="1"/>
  <c r="F76" i="16" a="1"/>
  <c r="F76" i="16" s="1"/>
  <c r="F298" i="16" a="1"/>
  <c r="F298" i="16" s="1"/>
  <c r="H124" i="16" a="1"/>
  <c r="H124" i="16" s="1"/>
  <c r="H298" i="16" a="1"/>
  <c r="H298" i="16" s="1"/>
  <c r="F199" i="16" a="1"/>
  <c r="F199" i="16" s="1"/>
  <c r="F154" i="16" a="1"/>
  <c r="F154" i="16" s="1"/>
  <c r="E214" i="16" a="1"/>
  <c r="E214" i="16" s="1"/>
  <c r="G106" i="16" a="1"/>
  <c r="G106" i="16" s="1"/>
  <c r="H262" i="16" a="1"/>
  <c r="H262" i="16" s="1"/>
  <c r="J88" i="16" a="1"/>
  <c r="J88" i="16" s="1"/>
  <c r="J133" i="16" a="1"/>
  <c r="J133" i="16" s="1"/>
  <c r="E49" i="16" a="1"/>
  <c r="E49" i="16" s="1"/>
  <c r="I232" i="16" a="1"/>
  <c r="I232" i="16" s="1"/>
  <c r="F100" i="16" a="1"/>
  <c r="F100" i="16" s="1"/>
  <c r="I238" i="16" a="1"/>
  <c r="I238" i="16" s="1"/>
  <c r="J280" i="16" a="1"/>
  <c r="J280" i="16" s="1"/>
  <c r="E226" i="16" a="1"/>
  <c r="E226" i="16" s="1"/>
  <c r="G85" i="16" a="1"/>
  <c r="G85" i="16" s="1"/>
  <c r="F160" i="16" a="1"/>
  <c r="F160" i="16" s="1"/>
  <c r="H37" i="16" a="1"/>
  <c r="H37" i="16" s="1"/>
  <c r="H106" i="16" a="1"/>
  <c r="H106" i="16" s="1"/>
  <c r="G292" i="16" a="1"/>
  <c r="G292" i="16" s="1"/>
  <c r="H13" i="16" a="1"/>
  <c r="H13" i="16" s="1"/>
  <c r="G289" i="16" a="1"/>
  <c r="G289" i="16" s="1"/>
  <c r="E259" i="16" a="1"/>
  <c r="E259" i="16" s="1"/>
  <c r="G220" i="16" a="1"/>
  <c r="G220" i="16" s="1"/>
  <c r="E271" i="16" a="1"/>
  <c r="E271" i="16" s="1"/>
  <c r="J184" i="16" a="1"/>
  <c r="J184" i="16" s="1"/>
  <c r="G169" i="16" a="1"/>
  <c r="G169" i="16" s="1"/>
  <c r="G7" i="16" a="1"/>
  <c r="G7" i="16" s="1"/>
  <c r="G148" i="16" a="1"/>
  <c r="G148" i="16" s="1"/>
  <c r="J121" i="16" a="1"/>
  <c r="J121" i="16" s="1"/>
  <c r="I205" i="16" a="1"/>
  <c r="I205" i="16" s="1"/>
  <c r="F238" i="16" a="1"/>
  <c r="F238" i="16" s="1"/>
  <c r="H286" i="16" a="1"/>
  <c r="H286" i="16" s="1"/>
  <c r="E94" i="16" a="1"/>
  <c r="E94" i="16" s="1"/>
  <c r="E82" i="16" a="1"/>
  <c r="E82" i="16" s="1"/>
  <c r="H205" i="16" a="1"/>
  <c r="H205" i="16" s="1"/>
  <c r="G271" i="16" a="1"/>
  <c r="G271" i="16" s="1"/>
  <c r="E124" i="16" a="1"/>
  <c r="E124" i="16" s="1"/>
  <c r="J175" i="16" a="1"/>
  <c r="J175" i="16" s="1"/>
  <c r="F211" i="16" a="1"/>
  <c r="F211" i="16" s="1"/>
  <c r="G118" i="16" a="1"/>
  <c r="G118" i="16" s="1"/>
  <c r="H292" i="16" a="1"/>
  <c r="H292" i="16" s="1"/>
  <c r="H169" i="16" a="1"/>
  <c r="H169" i="16" s="1"/>
  <c r="J22" i="16" a="1"/>
  <c r="J22" i="16" s="1"/>
  <c r="E79" i="16" a="1"/>
  <c r="E79" i="16" s="1"/>
  <c r="E262" i="16" a="1"/>
  <c r="E262" i="16" s="1"/>
  <c r="I127" i="16" a="1"/>
  <c r="I127" i="16" s="1"/>
  <c r="I196" i="16" a="1"/>
  <c r="I196" i="16" s="1"/>
  <c r="E52" i="16" a="1"/>
  <c r="E52" i="16" s="1"/>
  <c r="F304" i="16" a="1"/>
  <c r="F304" i="16" s="1"/>
  <c r="I28" i="16" a="1"/>
  <c r="I28" i="16" s="1"/>
  <c r="H10" i="16" a="1"/>
  <c r="H10" i="16" s="1"/>
  <c r="F22" i="16" a="1"/>
  <c r="F22" i="16" s="1"/>
  <c r="F85" i="16" a="1"/>
  <c r="F85" i="16" s="1"/>
  <c r="F157" i="16" a="1"/>
  <c r="F157" i="16" s="1"/>
  <c r="I19" i="16" a="1"/>
  <c r="I19" i="16" s="1"/>
  <c r="E301" i="16" a="1"/>
  <c r="E301" i="16" s="1"/>
  <c r="G130" i="16" a="1"/>
  <c r="G130" i="16" s="1"/>
  <c r="E139" i="16" a="1"/>
  <c r="E139" i="16" s="1"/>
  <c r="I295" i="16" a="1"/>
  <c r="I295" i="16" s="1"/>
  <c r="E76" i="16" a="1"/>
  <c r="E76" i="16" s="1"/>
  <c r="J16" i="16" a="1"/>
  <c r="J16" i="16" s="1"/>
  <c r="I229" i="16" a="1"/>
  <c r="I229" i="16" s="1"/>
  <c r="F103" i="16" a="1"/>
  <c r="F103" i="16" s="1"/>
  <c r="G40" i="16" a="1"/>
  <c r="G40" i="16" s="1"/>
  <c r="C77" i="11" a="1"/>
  <c r="C77" i="11" s="1"/>
  <c r="D134" i="11" a="1"/>
  <c r="D134" i="11" s="1"/>
  <c r="E114" i="11" a="1"/>
  <c r="E114" i="11" s="1"/>
  <c r="G419" i="16" s="1"/>
  <c r="G13" i="11" a="1"/>
  <c r="G13" i="11" s="1"/>
  <c r="G116" i="11" a="1"/>
  <c r="G116" i="11" s="1"/>
  <c r="C103" i="11" a="1"/>
  <c r="C103" i="11" s="1"/>
  <c r="F68" i="11" a="1"/>
  <c r="F68" i="11" s="1"/>
  <c r="D125" i="11" a="1"/>
  <c r="D125" i="11" s="1"/>
  <c r="G21" i="11" a="1"/>
  <c r="G21" i="11" s="1"/>
  <c r="I326" i="16" s="1"/>
  <c r="F91" i="16" a="1"/>
  <c r="F91" i="16" s="1"/>
  <c r="G244" i="16" a="1"/>
  <c r="G244" i="16" s="1"/>
  <c r="E136" i="16" a="1"/>
  <c r="E136" i="16" s="1"/>
  <c r="G283" i="16" a="1"/>
  <c r="G283" i="16" s="1"/>
  <c r="E247" i="16" a="1"/>
  <c r="E247" i="16" s="1"/>
  <c r="E145" i="16" a="1"/>
  <c r="E145" i="16" s="1"/>
  <c r="I211" i="16" a="1"/>
  <c r="I211" i="16" s="1"/>
  <c r="J202" i="16" a="1"/>
  <c r="J202" i="16" s="1"/>
  <c r="F130" i="16" a="1"/>
  <c r="F130" i="16" s="1"/>
  <c r="I190" i="16" a="1"/>
  <c r="I190" i="16" s="1"/>
  <c r="I130" i="16" a="1"/>
  <c r="I130" i="16" s="1"/>
  <c r="F181" i="16" a="1"/>
  <c r="F181" i="16" s="1"/>
  <c r="F289" i="16" a="1"/>
  <c r="F289" i="16" s="1"/>
  <c r="H31" i="16" a="1"/>
  <c r="H31" i="16" s="1"/>
  <c r="J265" i="16" a="1"/>
  <c r="J265" i="16" s="1"/>
  <c r="E310" i="16" a="1"/>
  <c r="E310" i="16" s="1"/>
  <c r="I100" i="16" a="1"/>
  <c r="I100" i="16" s="1"/>
  <c r="C13" i="11" a="1"/>
  <c r="C13" i="11" s="1"/>
  <c r="J193" i="16" a="1"/>
  <c r="J193" i="16" s="1"/>
  <c r="F19" i="16" a="1"/>
  <c r="F19" i="16" s="1"/>
  <c r="J211" i="16" a="1"/>
  <c r="J211" i="16" s="1"/>
  <c r="J103" i="16" a="1"/>
  <c r="J103" i="16" s="1"/>
  <c r="J46" i="16" a="1"/>
  <c r="J46" i="16" s="1"/>
  <c r="E64" i="16" a="1"/>
  <c r="E64" i="16" s="1"/>
  <c r="I67" i="16" a="1"/>
  <c r="I67" i="16" s="1"/>
  <c r="E286" i="16" a="1"/>
  <c r="E286" i="16" s="1"/>
  <c r="J124" i="16" a="1"/>
  <c r="J124" i="16" s="1"/>
  <c r="G64" i="16" a="1"/>
  <c r="G64" i="16" s="1"/>
  <c r="I109" i="16" a="1"/>
  <c r="I109" i="16" s="1"/>
  <c r="G139" i="16" a="1"/>
  <c r="G139" i="16" s="1"/>
  <c r="E127" i="16" a="1"/>
  <c r="E127" i="16" s="1"/>
  <c r="J40" i="16" a="1"/>
  <c r="J40" i="16" s="1"/>
  <c r="H55" i="16" a="1"/>
  <c r="H55" i="16" s="1"/>
  <c r="E55" i="16" a="1"/>
  <c r="E55" i="16" s="1"/>
  <c r="G58" i="16" a="1"/>
  <c r="G58" i="16" s="1"/>
  <c r="J271" i="16" a="1"/>
  <c r="J271" i="16" s="1"/>
  <c r="F265" i="16" a="1"/>
  <c r="F265" i="16" s="1"/>
  <c r="E205" i="16" a="1"/>
  <c r="E205" i="16" s="1"/>
  <c r="J160" i="16" a="1"/>
  <c r="J160" i="16" s="1"/>
  <c r="I40" i="16" a="1"/>
  <c r="I40" i="16" s="1"/>
  <c r="H157" i="16" a="1"/>
  <c r="H157" i="16" s="1"/>
  <c r="I175" i="16" a="1"/>
  <c r="I175" i="16" s="1"/>
  <c r="I169" i="16" a="1"/>
  <c r="I169" i="16" s="1"/>
  <c r="I106" i="16" a="1"/>
  <c r="I106" i="16" s="1"/>
  <c r="H142" i="16" a="1"/>
  <c r="H142" i="16" s="1"/>
  <c r="I52" i="16" a="1"/>
  <c r="I52" i="16" s="1"/>
  <c r="G136" i="16" a="1"/>
  <c r="G136" i="16" s="1"/>
  <c r="H16" i="16" a="1"/>
  <c r="H16" i="16" s="1"/>
  <c r="H181" i="16" a="1"/>
  <c r="H181" i="16" s="1"/>
  <c r="I163" i="16" a="1"/>
  <c r="I163" i="16" s="1"/>
  <c r="E88" i="16" a="1"/>
  <c r="E88" i="16" s="1"/>
  <c r="G211" i="16" a="1"/>
  <c r="G211" i="16" s="1"/>
  <c r="J187" i="16" a="1"/>
  <c r="J187" i="16" s="1"/>
  <c r="G280" i="16" a="1"/>
  <c r="G280" i="16" s="1"/>
  <c r="I76" i="16" a="1"/>
  <c r="I76" i="16" s="1"/>
  <c r="I61" i="16" a="1"/>
  <c r="I61" i="16" s="1"/>
  <c r="H154" i="16" a="1"/>
  <c r="H154" i="16" s="1"/>
  <c r="J301" i="16" a="1"/>
  <c r="J301" i="16" s="1"/>
  <c r="F70" i="16" a="1"/>
  <c r="F70" i="16" s="1"/>
  <c r="J148" i="16" a="1"/>
  <c r="J148" i="16" s="1"/>
  <c r="I202" i="16" a="1"/>
  <c r="I202" i="16" s="1"/>
  <c r="F28" i="16" a="1"/>
  <c r="F28" i="16" s="1"/>
  <c r="F166" i="16" a="1"/>
  <c r="F166" i="16" s="1"/>
  <c r="F247" i="16" a="1"/>
  <c r="F247" i="16" s="1"/>
  <c r="E295" i="16" a="1"/>
  <c r="E295" i="16" s="1"/>
  <c r="H175" i="16" a="1"/>
  <c r="H175" i="16" s="1"/>
  <c r="F82" i="16" a="1"/>
  <c r="F82" i="16" s="1"/>
  <c r="F208" i="16" a="1"/>
  <c r="F208" i="16" s="1"/>
  <c r="H289" i="16" a="1"/>
  <c r="H289" i="16" s="1"/>
  <c r="E268" i="16" a="1"/>
  <c r="E268" i="16" s="1"/>
  <c r="J244" i="16" a="1"/>
  <c r="J244" i="16" s="1"/>
  <c r="J166" i="16" a="1"/>
  <c r="J166" i="16" s="1"/>
  <c r="E142" i="16" a="1"/>
  <c r="E142" i="16" s="1"/>
  <c r="F190" i="16" a="1"/>
  <c r="F190" i="16" s="1"/>
  <c r="J259" i="16" a="1"/>
  <c r="J259" i="16" s="1"/>
  <c r="H229" i="16" a="1"/>
  <c r="H229" i="16" s="1"/>
  <c r="G250" i="16" a="1"/>
  <c r="G250" i="16" s="1"/>
  <c r="G163" i="16" a="1"/>
  <c r="G163" i="16" s="1"/>
  <c r="G82" i="16" a="1"/>
  <c r="G82" i="16" s="1"/>
  <c r="E187" i="16" a="1"/>
  <c r="E187" i="16" s="1"/>
  <c r="I31" i="16" a="1"/>
  <c r="I31" i="16" s="1"/>
  <c r="F121" i="16" a="1"/>
  <c r="F121" i="16" s="1"/>
  <c r="I223" i="16" a="1"/>
  <c r="I223" i="16" s="1"/>
  <c r="I250" i="16" a="1"/>
  <c r="I250" i="16" s="1"/>
  <c r="G295" i="16" a="1"/>
  <c r="G295" i="16" s="1"/>
  <c r="F49" i="16" a="1"/>
  <c r="F49" i="16" s="1"/>
  <c r="H259" i="16" a="1"/>
  <c r="H259" i="16" s="1"/>
  <c r="G232" i="16" a="1"/>
  <c r="G232" i="16" s="1"/>
  <c r="I34" i="16" a="1"/>
  <c r="I34" i="16" s="1"/>
  <c r="F34" i="16" a="1"/>
  <c r="F34" i="16" s="1"/>
  <c r="J283" i="16" a="1"/>
  <c r="J283" i="16" s="1"/>
  <c r="G226" i="16" a="1"/>
  <c r="G226" i="16" s="1"/>
  <c r="H238" i="16" a="1"/>
  <c r="H238" i="16" s="1"/>
  <c r="E256" i="16" a="1"/>
  <c r="E256" i="16" s="1"/>
  <c r="J139" i="16" a="1"/>
  <c r="J139" i="16" s="1"/>
  <c r="E154" i="16" a="1"/>
  <c r="E154" i="16" s="1"/>
  <c r="F175" i="16" a="1"/>
  <c r="F175" i="16" s="1"/>
  <c r="I64" i="16" a="1"/>
  <c r="I64" i="16" s="1"/>
  <c r="F58" i="16" a="1"/>
  <c r="F58" i="16" s="1"/>
  <c r="G73" i="16" a="1"/>
  <c r="G73" i="16" s="1"/>
  <c r="F172" i="16" a="1"/>
  <c r="F172" i="16" s="1"/>
  <c r="H310" i="16" a="1"/>
  <c r="H310" i="16" s="1"/>
  <c r="H145" i="16" a="1"/>
  <c r="H145" i="16" s="1"/>
  <c r="H301" i="16" a="1"/>
  <c r="H301" i="16" s="1"/>
  <c r="F142" i="16" a="1"/>
  <c r="F142" i="16" s="1"/>
  <c r="G154" i="16" a="1"/>
  <c r="G154" i="16" s="1"/>
  <c r="E103" i="16" a="1"/>
  <c r="E103" i="16" s="1"/>
  <c r="F193" i="16" a="1"/>
  <c r="F193" i="16" s="1"/>
  <c r="F118" i="16" a="1"/>
  <c r="F118" i="16" s="1"/>
  <c r="H7" i="16" a="1"/>
  <c r="H7" i="16" s="1"/>
  <c r="F139" i="16" a="1"/>
  <c r="F139" i="16" s="1"/>
  <c r="J223" i="16" a="1"/>
  <c r="J223" i="16" s="1"/>
  <c r="I112" i="16" a="1"/>
  <c r="I112" i="16" s="1"/>
  <c r="H277" i="16" a="1"/>
  <c r="H277" i="16" s="1"/>
  <c r="J10" i="16" a="1"/>
  <c r="J10" i="16" s="1"/>
  <c r="I13" i="16" a="1"/>
  <c r="I13" i="16" s="1"/>
  <c r="G22" i="16" a="1"/>
  <c r="G22" i="16" s="1"/>
  <c r="F274" i="16" a="1"/>
  <c r="F274" i="16" s="1"/>
  <c r="J19" i="16" a="1"/>
  <c r="J19" i="16" s="1"/>
  <c r="H304" i="16" a="1"/>
  <c r="H304" i="16" s="1"/>
  <c r="G172" i="16" a="1"/>
  <c r="G172" i="16" s="1"/>
  <c r="F217" i="16" a="1"/>
  <c r="F217" i="16" s="1"/>
  <c r="F262" i="16" a="1"/>
  <c r="F262" i="16" s="1"/>
  <c r="I289" i="16" a="1"/>
  <c r="I289" i="16" s="1"/>
  <c r="J49" i="16" a="1"/>
  <c r="J49" i="16" s="1"/>
  <c r="E85" i="16" a="1"/>
  <c r="E85" i="16" s="1"/>
  <c r="J307" i="16" a="1"/>
  <c r="J307" i="16" s="1"/>
  <c r="G145" i="16" a="1"/>
  <c r="G145" i="16" s="1"/>
  <c r="J253" i="16" a="1"/>
  <c r="J253" i="16" s="1"/>
  <c r="J196" i="16" a="1"/>
  <c r="J196" i="16" s="1"/>
  <c r="F88" i="16" a="1"/>
  <c r="F88" i="16" s="1"/>
  <c r="F307" i="16" a="1"/>
  <c r="F307" i="16" s="1"/>
  <c r="F25" i="16" a="1"/>
  <c r="F25" i="16" s="1"/>
  <c r="G166" i="16" a="1"/>
  <c r="G166" i="16" s="1"/>
  <c r="E217" i="16" a="1"/>
  <c r="E217" i="16" s="1"/>
  <c r="E67" i="16" a="1"/>
  <c r="E67" i="16" s="1"/>
  <c r="I256" i="16" a="1"/>
  <c r="I256" i="16" s="1"/>
  <c r="G124" i="16" a="1"/>
  <c r="G124" i="16" s="1"/>
  <c r="H28" i="16" a="1"/>
  <c r="H28" i="16" s="1"/>
  <c r="G277" i="16" a="1"/>
  <c r="G277" i="16" s="1"/>
  <c r="E118" i="16" a="1"/>
  <c r="E118" i="16" s="1"/>
  <c r="J169" i="16" a="1"/>
  <c r="J169" i="16" s="1"/>
  <c r="G10" i="16" a="1"/>
  <c r="G10" i="16" s="1"/>
  <c r="E190" i="16" a="1"/>
  <c r="E190" i="16" s="1"/>
  <c r="H235" i="16" a="1"/>
  <c r="H235" i="16" s="1"/>
  <c r="E283" i="16" a="1"/>
  <c r="E283" i="16" s="1"/>
  <c r="F226" i="16" a="1"/>
  <c r="F226" i="16" s="1"/>
  <c r="I283" i="16" a="1"/>
  <c r="I283" i="16" s="1"/>
  <c r="G76" i="16" a="1"/>
  <c r="G76" i="16" s="1"/>
  <c r="H190" i="16" a="1"/>
  <c r="H190" i="16" s="1"/>
  <c r="I208" i="16" a="1"/>
  <c r="I208" i="16" s="1"/>
  <c r="I187" i="16" a="1"/>
  <c r="I187" i="16" s="1"/>
  <c r="J226" i="16" a="1"/>
  <c r="J226" i="16" s="1"/>
  <c r="E160" i="16" a="1"/>
  <c r="E160" i="16" s="1"/>
  <c r="E16" i="16" a="1"/>
  <c r="E16" i="16" s="1"/>
  <c r="F253" i="16" a="1"/>
  <c r="F253" i="16" s="1"/>
  <c r="J43" i="16" a="1"/>
  <c r="J43" i="16" s="1"/>
  <c r="G13" i="16" a="1"/>
  <c r="G13" i="16" s="1"/>
  <c r="F43" i="16" a="1"/>
  <c r="F43" i="16" s="1"/>
  <c r="I91" i="16" a="1"/>
  <c r="I91" i="16" s="1"/>
  <c r="H139" i="16" a="1"/>
  <c r="H139" i="16" s="1"/>
  <c r="I160" i="16" a="1"/>
  <c r="I160" i="16" s="1"/>
  <c r="E298" i="16" a="1"/>
  <c r="E298" i="16" s="1"/>
  <c r="G193" i="16" a="1"/>
  <c r="G193" i="16" s="1"/>
  <c r="J13" i="16" a="1"/>
  <c r="J13" i="16" s="1"/>
  <c r="I88" i="16" a="1"/>
  <c r="I88" i="16" s="1"/>
  <c r="J208" i="16" a="1"/>
  <c r="J208" i="16" s="1"/>
  <c r="H94" i="16" a="1"/>
  <c r="H94" i="16" s="1"/>
  <c r="G123" i="11" a="1"/>
  <c r="G123" i="11" s="1"/>
  <c r="I428" i="16" s="1"/>
  <c r="F21" i="11" a="1"/>
  <c r="F21" i="11" s="1"/>
  <c r="H326" i="16" s="1"/>
  <c r="G109" i="11" a="1"/>
  <c r="G109" i="11" s="1"/>
  <c r="F35" i="11" a="1"/>
  <c r="F35" i="11" s="1"/>
  <c r="F45" i="11" a="1"/>
  <c r="F45" i="11" s="1"/>
  <c r="H350" i="16" s="1"/>
  <c r="D75" i="11" a="1"/>
  <c r="D75" i="11" s="1"/>
  <c r="F380" i="16" s="1"/>
  <c r="E37" i="11" a="1"/>
  <c r="E37" i="11" s="1"/>
  <c r="G96" i="11" a="1"/>
  <c r="G96" i="11" s="1"/>
  <c r="I401" i="16" s="1"/>
  <c r="D127" i="11" a="1"/>
  <c r="D127" i="11" s="1"/>
  <c r="F17" i="11" a="1"/>
  <c r="F17" i="11" s="1"/>
  <c r="I244" i="16" a="1"/>
  <c r="I244" i="16" s="1"/>
  <c r="E250" i="16" a="1"/>
  <c r="E250" i="16" s="1"/>
  <c r="E37" i="16" a="1"/>
  <c r="E37" i="16" s="1"/>
  <c r="F148" i="16" a="1"/>
  <c r="F148" i="16" s="1"/>
  <c r="E148" i="16" a="1"/>
  <c r="E148" i="16" s="1"/>
  <c r="G235" i="16" a="1"/>
  <c r="G235" i="16" s="1"/>
  <c r="I235" i="16" a="1"/>
  <c r="I235" i="16" s="1"/>
  <c r="J73" i="16" a="1"/>
  <c r="J73" i="16" s="1"/>
  <c r="G91" i="16" a="1"/>
  <c r="G91" i="16" s="1"/>
  <c r="J28" i="16" a="1"/>
  <c r="J28" i="16" s="1"/>
  <c r="F223" i="16" a="1"/>
  <c r="F223" i="16" s="1"/>
  <c r="I217" i="16" a="1"/>
  <c r="I217" i="16" s="1"/>
  <c r="E208" i="16" a="1"/>
  <c r="E208" i="16" s="1"/>
  <c r="F229" i="16" a="1"/>
  <c r="F229" i="16" s="1"/>
  <c r="E235" i="16" a="1"/>
  <c r="E235" i="16" s="1"/>
  <c r="J304" i="16" a="1"/>
  <c r="J304" i="16" s="1"/>
  <c r="E199" i="16" a="1"/>
  <c r="E199" i="16" s="1"/>
  <c r="E220" i="16" a="1"/>
  <c r="E220" i="16" s="1"/>
  <c r="G238" i="16" a="1"/>
  <c r="G238" i="16" s="1"/>
  <c r="I214" i="16" a="1"/>
  <c r="I214" i="16" s="1"/>
  <c r="F127" i="16" a="1"/>
  <c r="F127" i="16" s="1"/>
  <c r="H22" i="16" a="1"/>
  <c r="H22" i="16" s="1"/>
  <c r="E157" i="16" a="1"/>
  <c r="E157" i="16" s="1"/>
  <c r="E19" i="16" a="1"/>
  <c r="E19" i="16" s="1"/>
  <c r="H217" i="16" a="1"/>
  <c r="H217" i="16" s="1"/>
  <c r="J154" i="16" a="1"/>
  <c r="J154" i="16" s="1"/>
  <c r="H52" i="16" a="1"/>
  <c r="H52" i="16" s="1"/>
  <c r="I265" i="16" a="1"/>
  <c r="I265" i="16" s="1"/>
  <c r="H271" i="16" a="1"/>
  <c r="H271" i="16" s="1"/>
  <c r="H184" i="16" a="1"/>
  <c r="H184" i="16" s="1"/>
  <c r="J142" i="16" a="1"/>
  <c r="J142" i="16" s="1"/>
  <c r="I181" i="16" a="1"/>
  <c r="I181" i="16" s="1"/>
  <c r="H214" i="16" a="1"/>
  <c r="H214" i="16" s="1"/>
  <c r="F250" i="16" a="1"/>
  <c r="F250" i="16" s="1"/>
  <c r="F301" i="16" a="1"/>
  <c r="F301" i="16" s="1"/>
  <c r="J229" i="16" a="1"/>
  <c r="J229" i="16" s="1"/>
  <c r="J118" i="16" a="1"/>
  <c r="J118" i="16" s="1"/>
  <c r="J181" i="16" a="1"/>
  <c r="J181" i="16" s="1"/>
  <c r="E169" i="16" a="1"/>
  <c r="E169" i="16" s="1"/>
  <c r="F259" i="16" a="1"/>
  <c r="F259" i="16" s="1"/>
  <c r="E196" i="16" a="1"/>
  <c r="E196" i="16" s="1"/>
  <c r="J61" i="16" a="1"/>
  <c r="J61" i="16" s="1"/>
  <c r="H220" i="16" a="1"/>
  <c r="H220" i="16" s="1"/>
  <c r="J247" i="16" a="1"/>
  <c r="J247" i="16" s="1"/>
  <c r="H193" i="16" a="1"/>
  <c r="H193" i="16" s="1"/>
  <c r="I118" i="16" a="1"/>
  <c r="I118" i="16" s="1"/>
  <c r="E229" i="16" a="1"/>
  <c r="E229" i="16" s="1"/>
  <c r="E181" i="16" a="1"/>
  <c r="E181" i="16" s="1"/>
  <c r="H79" i="16" a="1"/>
  <c r="H79" i="16" s="1"/>
  <c r="H88" i="16" a="1"/>
  <c r="H88" i="16" s="1"/>
  <c r="G178" i="16" a="1"/>
  <c r="G178" i="16" s="1"/>
  <c r="F244" i="16" a="1"/>
  <c r="F244" i="16" s="1"/>
  <c r="I154" i="16" a="1"/>
  <c r="I154" i="16" s="1"/>
  <c r="J157" i="16" a="1"/>
  <c r="J157" i="16" s="1"/>
  <c r="F10" i="16" a="1"/>
  <c r="F10" i="16" s="1"/>
  <c r="E265" i="16" a="1"/>
  <c r="E265" i="16" s="1"/>
  <c r="F97" i="16" a="1"/>
  <c r="F97" i="16" s="1"/>
  <c r="E133" i="16" a="1"/>
  <c r="E133" i="16" s="1"/>
  <c r="J115" i="16" a="1"/>
  <c r="J115" i="16" s="1"/>
  <c r="H43" i="16" a="1"/>
  <c r="H43" i="16" s="1"/>
  <c r="H187" i="16" a="1"/>
  <c r="H187" i="16" s="1"/>
  <c r="J163" i="16" a="1"/>
  <c r="J163" i="16" s="1"/>
  <c r="J67" i="16" a="1"/>
  <c r="J67" i="16" s="1"/>
  <c r="F220" i="16" a="1"/>
  <c r="F220" i="16" s="1"/>
  <c r="J190" i="16" a="1"/>
  <c r="J190" i="16" s="1"/>
  <c r="J79" i="16" a="1"/>
  <c r="J79" i="16" s="1"/>
  <c r="E31" i="16" a="1"/>
  <c r="E31" i="16" s="1"/>
  <c r="F124" i="16" a="1"/>
  <c r="F124" i="16" s="1"/>
  <c r="F106" i="16" a="1"/>
  <c r="F106" i="16" s="1"/>
  <c r="F169" i="16" a="1"/>
  <c r="F169" i="16" s="1"/>
  <c r="G208" i="16" a="1"/>
  <c r="G208" i="16" s="1"/>
  <c r="E172" i="16" a="1"/>
  <c r="E172" i="16" s="1"/>
  <c r="E25" i="16" a="1"/>
  <c r="E25" i="16" s="1"/>
  <c r="J97" i="16" a="1"/>
  <c r="J97" i="16" s="1"/>
  <c r="G262" i="16" a="1"/>
  <c r="G262" i="16" s="1"/>
  <c r="J292" i="16" a="1"/>
  <c r="J292" i="16" s="1"/>
  <c r="J250" i="16" a="1"/>
  <c r="J250" i="16" s="1"/>
  <c r="G256" i="16" a="1"/>
  <c r="G256" i="16" s="1"/>
  <c r="H307" i="16" a="1"/>
  <c r="H307" i="16" s="1"/>
  <c r="I70" i="16" a="1"/>
  <c r="I70" i="16" s="1"/>
  <c r="I103" i="16" a="1"/>
  <c r="I103" i="16" s="1"/>
  <c r="H163" i="16" a="1"/>
  <c r="H163" i="16" s="1"/>
  <c r="E244" i="16" a="1"/>
  <c r="E244" i="16" s="1"/>
  <c r="G67" i="16" a="1"/>
  <c r="G67" i="16" s="1"/>
  <c r="E22" i="16" a="1"/>
  <c r="E22" i="16" s="1"/>
  <c r="J235" i="16" a="1"/>
  <c r="J235" i="16" s="1"/>
  <c r="E34" i="16" a="1"/>
  <c r="E34" i="16" s="1"/>
  <c r="I241" i="16" a="1"/>
  <c r="I241" i="16" s="1"/>
  <c r="G109" i="16" a="1"/>
  <c r="G109" i="16" s="1"/>
  <c r="F94" i="16" a="1"/>
  <c r="F94" i="16" s="1"/>
  <c r="J85" i="16" a="1"/>
  <c r="J85" i="16" s="1"/>
  <c r="I193" i="16" a="1"/>
  <c r="I193" i="16" s="1"/>
  <c r="G37" i="16" a="1"/>
  <c r="G37" i="16" s="1"/>
  <c r="J145" i="16" a="1"/>
  <c r="J145" i="16" s="1"/>
  <c r="H121" i="16" a="1"/>
  <c r="H121" i="16" s="1"/>
  <c r="G142" i="16" a="1"/>
  <c r="G142" i="16" s="1"/>
  <c r="H61" i="16" a="1"/>
  <c r="H61" i="16" s="1"/>
  <c r="F277" i="16" a="1"/>
  <c r="F277" i="16" s="1"/>
  <c r="I151" i="16" a="1"/>
  <c r="I151" i="16" s="1"/>
  <c r="J199" i="16" a="1"/>
  <c r="J199" i="16" s="1"/>
  <c r="F241" i="16" a="1"/>
  <c r="F241" i="16" s="1"/>
  <c r="I136" i="16" a="1"/>
  <c r="I136" i="16" s="1"/>
  <c r="J64" i="16" a="1"/>
  <c r="J64" i="16" s="1"/>
  <c r="F73" i="16" a="1"/>
  <c r="F73" i="16" s="1"/>
  <c r="H19" i="16" a="1"/>
  <c r="H19" i="16" s="1"/>
  <c r="G25" i="16" a="1"/>
  <c r="G25" i="16" s="1"/>
  <c r="I25" i="16" a="1"/>
  <c r="I25" i="16" s="1"/>
  <c r="J31" i="16" a="1"/>
  <c r="J31" i="16" s="1"/>
  <c r="H223" i="16" a="1"/>
  <c r="H223" i="16" s="1"/>
  <c r="E232" i="16" a="1"/>
  <c r="E232" i="16" s="1"/>
  <c r="I58" i="16" a="1"/>
  <c r="I58" i="16" s="1"/>
  <c r="G151" i="16" a="1"/>
  <c r="G151" i="16" s="1"/>
  <c r="H265" i="16" a="1"/>
  <c r="H265" i="16" s="1"/>
  <c r="J100" i="16" a="1"/>
  <c r="J100" i="16" s="1"/>
  <c r="J238" i="16" a="1"/>
  <c r="J238" i="16" s="1"/>
  <c r="I37" i="16" a="1"/>
  <c r="I37" i="16" s="1"/>
  <c r="G298" i="16" a="1"/>
  <c r="G298" i="16" s="1"/>
  <c r="H295" i="16" a="1"/>
  <c r="H295" i="16" s="1"/>
  <c r="G103" i="16" a="1"/>
  <c r="G103" i="16" s="1"/>
  <c r="J172" i="16" a="1"/>
  <c r="J172" i="16" s="1"/>
  <c r="J106" i="16" a="1"/>
  <c r="J106" i="16" s="1"/>
  <c r="F46" i="16" a="1"/>
  <c r="F46" i="16" s="1"/>
  <c r="I286" i="16" a="1"/>
  <c r="I286" i="16" s="1"/>
  <c r="E109" i="16" a="1"/>
  <c r="E109" i="16" s="1"/>
  <c r="G184" i="16" a="1"/>
  <c r="G184" i="16" s="1"/>
  <c r="F235" i="16" a="1"/>
  <c r="F235" i="16" s="1"/>
  <c r="H58" i="16" a="1"/>
  <c r="H58" i="16" s="1"/>
  <c r="H25" i="16" a="1"/>
  <c r="H25" i="16" s="1"/>
  <c r="E289" i="16" a="1"/>
  <c r="E289" i="16" s="1"/>
  <c r="E274" i="16" a="1"/>
  <c r="E274" i="16" s="1"/>
  <c r="G196" i="16" a="1"/>
  <c r="G196" i="16" s="1"/>
  <c r="H196" i="16" a="1"/>
  <c r="H196" i="16" s="1"/>
  <c r="I16" i="16" a="1"/>
  <c r="I16" i="16" s="1"/>
  <c r="E73" i="16" a="1"/>
  <c r="E73" i="16" s="1"/>
  <c r="H256" i="16" a="1"/>
  <c r="H256" i="16" s="1"/>
  <c r="F187" i="16" a="1"/>
  <c r="F187" i="16" s="1"/>
  <c r="F178" i="16" a="1"/>
  <c r="F178" i="16" s="1"/>
  <c r="E280" i="16" a="1"/>
  <c r="E280" i="16" s="1"/>
  <c r="G112" i="16" a="1"/>
  <c r="G112" i="16" s="1"/>
  <c r="I79" i="16" a="1"/>
  <c r="I79" i="16" s="1"/>
  <c r="E238" i="16" a="1"/>
  <c r="E238" i="16" s="1"/>
  <c r="I220" i="16" a="1"/>
  <c r="I220" i="16" s="1"/>
  <c r="J55" i="16" a="1"/>
  <c r="J55" i="16" s="1"/>
  <c r="H136" i="16" a="1"/>
  <c r="H136" i="16" s="1"/>
  <c r="I298" i="16" a="1"/>
  <c r="I298" i="16" s="1"/>
  <c r="F232" i="16" a="1"/>
  <c r="F232" i="16" s="1"/>
  <c r="F67" i="16" a="1"/>
  <c r="F67" i="16" s="1"/>
  <c r="I301" i="16" a="1"/>
  <c r="I301" i="16" s="1"/>
  <c r="G241" i="16" a="1"/>
  <c r="G241" i="16" s="1"/>
  <c r="H40" i="16" a="1"/>
  <c r="H40" i="16" s="1"/>
  <c r="E97" i="16" a="1"/>
  <c r="E97" i="16" s="1"/>
  <c r="G19" i="16" a="1"/>
  <c r="G19" i="16" s="1"/>
  <c r="J58" i="16" a="1"/>
  <c r="J58" i="16" s="1"/>
  <c r="D84" i="11" a="1"/>
  <c r="D84" i="11" s="1"/>
  <c r="F389" i="16" s="1"/>
  <c r="G59" i="11" a="1"/>
  <c r="G59" i="11" s="1"/>
  <c r="E47" i="11" a="1"/>
  <c r="E47" i="11" s="1"/>
  <c r="D31" i="11" a="1"/>
  <c r="D31" i="11" s="1"/>
  <c r="C38" i="11" a="1"/>
  <c r="C38" i="11" s="1"/>
  <c r="D67" i="11" a="1"/>
  <c r="D67" i="11" s="1"/>
  <c r="G87" i="11" a="1"/>
  <c r="G87" i="11" s="1"/>
  <c r="I392" i="16" s="1"/>
  <c r="G94" i="11" a="1"/>
  <c r="G94" i="11" s="1"/>
  <c r="D44" i="11" a="1"/>
  <c r="D44" i="11" s="1"/>
  <c r="C21" i="11" a="1"/>
  <c r="C21" i="11" s="1"/>
  <c r="E326" i="16" s="1"/>
  <c r="F30" i="11" a="1"/>
  <c r="F30" i="11" s="1"/>
  <c r="H335" i="16" s="1"/>
  <c r="G41" i="11" a="1"/>
  <c r="G41" i="11" s="1"/>
  <c r="C96" i="11" a="1"/>
  <c r="C96" i="11" s="1"/>
  <c r="E401" i="16" s="1"/>
  <c r="C89" i="11" a="1"/>
  <c r="C89" i="11" s="1"/>
  <c r="F124" i="11" a="1"/>
  <c r="F124" i="11" s="1"/>
  <c r="D115" i="11" a="1"/>
  <c r="D115" i="11" s="1"/>
  <c r="G104" i="11" a="1"/>
  <c r="G104" i="11" s="1"/>
  <c r="D90" i="11" a="1"/>
  <c r="D90" i="11" s="1"/>
  <c r="F395" i="16" s="1"/>
  <c r="G81" i="11" a="1"/>
  <c r="G81" i="11" s="1"/>
  <c r="I386" i="16" s="1"/>
  <c r="D122" i="11" a="1"/>
  <c r="D122" i="11" s="1"/>
  <c r="C22" i="11" a="1"/>
  <c r="C22" i="11" s="1"/>
  <c r="H166" i="16" a="1"/>
  <c r="H166" i="16" s="1"/>
  <c r="G34" i="16" a="1"/>
  <c r="G34" i="16" s="1"/>
  <c r="G52" i="16" a="1"/>
  <c r="G52" i="16" s="1"/>
  <c r="E13" i="16" a="1"/>
  <c r="E13" i="16" s="1"/>
  <c r="G160" i="16" a="1"/>
  <c r="G160" i="16" s="1"/>
  <c r="F163" i="16" a="1"/>
  <c r="F163" i="16" s="1"/>
  <c r="E46" i="16" a="1"/>
  <c r="E46" i="16" s="1"/>
  <c r="I172" i="16" a="1"/>
  <c r="I172" i="16" s="1"/>
  <c r="J277" i="16" a="1"/>
  <c r="J277" i="16" s="1"/>
  <c r="E211" i="16" a="1"/>
  <c r="E211" i="16" s="1"/>
  <c r="H76" i="16" a="1"/>
  <c r="H76" i="16" s="1"/>
  <c r="I46" i="16" a="1"/>
  <c r="I46" i="16" s="1"/>
  <c r="J52" i="16" a="1"/>
  <c r="J52" i="16" s="1"/>
  <c r="E40" i="16" a="1"/>
  <c r="E40" i="16" s="1"/>
  <c r="G181" i="16" a="1"/>
  <c r="G181" i="16" s="1"/>
  <c r="I94" i="16" a="1"/>
  <c r="I94" i="16" s="1"/>
  <c r="G223" i="16" a="1"/>
  <c r="G223" i="16" s="1"/>
  <c r="I274" i="16" a="1"/>
  <c r="I274" i="16" s="1"/>
  <c r="I199" i="16" a="1"/>
  <c r="I199" i="16" s="1"/>
  <c r="F112" i="16" a="1"/>
  <c r="F112" i="16" s="1"/>
  <c r="F268" i="16" a="1"/>
  <c r="F268" i="16" s="1"/>
  <c r="I7" i="16" a="1"/>
  <c r="I7" i="16" s="1"/>
  <c r="I166" i="16" a="1"/>
  <c r="I166" i="16" s="1"/>
  <c r="I124" i="16" a="1"/>
  <c r="I124" i="16" s="1"/>
  <c r="F16" i="16" a="1"/>
  <c r="F16" i="16" s="1"/>
  <c r="E91" i="16" a="1"/>
  <c r="E91" i="16" s="1"/>
  <c r="F310" i="16" a="1"/>
  <c r="F310" i="16" s="1"/>
  <c r="I115" i="16" a="1"/>
  <c r="I115" i="16" s="1"/>
  <c r="J205" i="16" a="1"/>
  <c r="J205" i="16" s="1"/>
  <c r="F196" i="16" a="1"/>
  <c r="F196" i="16" s="1"/>
  <c r="H100" i="16" a="1"/>
  <c r="H100" i="16" s="1"/>
  <c r="I280" i="16" a="1"/>
  <c r="I280" i="16" s="1"/>
  <c r="G88" i="16" a="1"/>
  <c r="G88" i="16" s="1"/>
  <c r="H280" i="16" a="1"/>
  <c r="H280" i="16" s="1"/>
  <c r="J112" i="16" a="1"/>
  <c r="J112" i="16" s="1"/>
  <c r="H208" i="16" a="1"/>
  <c r="H208" i="16" s="1"/>
  <c r="G202" i="16" a="1"/>
  <c r="G202" i="16" s="1"/>
  <c r="J136" i="16" a="1"/>
  <c r="J136" i="16" s="1"/>
  <c r="H226" i="16" a="1"/>
  <c r="H226" i="16" s="1"/>
  <c r="J7" i="16" a="1"/>
  <c r="J7" i="16" s="1"/>
  <c r="I304" i="16" a="1"/>
  <c r="I304" i="16" s="1"/>
  <c r="G217" i="16" a="1"/>
  <c r="G217" i="16" s="1"/>
  <c r="I310" i="16" a="1"/>
  <c r="I310" i="16" s="1"/>
  <c r="E106" i="16" a="1"/>
  <c r="E106" i="16" s="1"/>
  <c r="J274" i="16" a="1"/>
  <c r="J274" i="16" s="1"/>
  <c r="I55" i="16" a="1"/>
  <c r="I55" i="16" s="1"/>
  <c r="H160" i="16" a="1"/>
  <c r="H160" i="16" s="1"/>
  <c r="J82" i="16" a="1"/>
  <c r="J82" i="16" s="1"/>
  <c r="F283" i="16" a="1"/>
  <c r="F283" i="16" s="1"/>
  <c r="J127" i="16" a="1"/>
  <c r="J127" i="16" s="1"/>
  <c r="E100" i="16" a="1"/>
  <c r="E100" i="16" s="1"/>
  <c r="J262" i="16" a="1"/>
  <c r="J262" i="16" s="1"/>
  <c r="H67" i="16" a="1"/>
  <c r="H67" i="16" s="1"/>
  <c r="G157" i="16" a="1"/>
  <c r="G157" i="16" s="1"/>
  <c r="G94" i="16" a="1"/>
  <c r="G94" i="16" s="1"/>
  <c r="E7" i="16" a="1"/>
  <c r="E7" i="16" s="1"/>
  <c r="H85" i="16" a="1"/>
  <c r="H85" i="16" s="1"/>
  <c r="J289" i="16" a="1"/>
  <c r="J289" i="16" s="1"/>
  <c r="I184" i="16" a="1"/>
  <c r="I184" i="16" s="1"/>
  <c r="I73" i="16" a="1"/>
  <c r="I73" i="16" s="1"/>
  <c r="J310" i="16" a="1"/>
  <c r="J310" i="16" s="1"/>
  <c r="E43" i="16" a="1"/>
  <c r="E43" i="16" s="1"/>
  <c r="J109" i="16" a="1"/>
  <c r="J109" i="16" s="1"/>
  <c r="G16" i="16" a="1"/>
  <c r="G16" i="16" s="1"/>
  <c r="G133" i="16" a="1"/>
  <c r="G133" i="16" s="1"/>
  <c r="F31" i="16" a="1"/>
  <c r="F31" i="16" s="1"/>
  <c r="F205" i="16" a="1"/>
  <c r="F205" i="16" s="1"/>
  <c r="E70" i="16" a="1"/>
  <c r="E70" i="16" s="1"/>
  <c r="H247" i="16" a="1"/>
  <c r="H247" i="16" s="1"/>
  <c r="C15" i="11" a="1"/>
  <c r="C15" i="11" s="1"/>
  <c r="E320" i="16" s="1"/>
  <c r="D87" i="11" a="1"/>
  <c r="D87" i="11" s="1"/>
  <c r="F392" i="16" s="1"/>
  <c r="E129" i="11" a="1"/>
  <c r="E129" i="11" s="1"/>
  <c r="G434" i="16" s="1"/>
  <c r="D110" i="11" a="1"/>
  <c r="D110" i="11" s="1"/>
  <c r="G93" i="11" a="1"/>
  <c r="G93" i="11" s="1"/>
  <c r="I398" i="16" s="1"/>
  <c r="D60" i="11" a="1"/>
  <c r="D60" i="11" s="1"/>
  <c r="F365" i="16" s="1"/>
  <c r="G114" i="11" a="1"/>
  <c r="G114" i="11" s="1"/>
  <c r="I419" i="16" s="1"/>
  <c r="G84" i="11" a="1"/>
  <c r="G84" i="11" s="1"/>
  <c r="I389" i="16" s="1"/>
  <c r="E13" i="11" a="1"/>
  <c r="E13" i="11" s="1"/>
  <c r="F107" i="11" a="1"/>
  <c r="F107" i="11" s="1"/>
  <c r="E16" i="11" a="1"/>
  <c r="E16" i="11" s="1"/>
  <c r="E24" i="11" a="1"/>
  <c r="E24" i="11" s="1"/>
  <c r="G329" i="16" s="1"/>
  <c r="G97" i="11" a="1"/>
  <c r="G97" i="11" s="1"/>
  <c r="C111" i="11" a="1"/>
  <c r="C111" i="11" s="1"/>
  <c r="E416" i="16" s="1"/>
  <c r="G18" i="11" a="1"/>
  <c r="G18" i="11" s="1"/>
  <c r="I323" i="16" s="1"/>
  <c r="D78" i="11" a="1"/>
  <c r="D78" i="11" s="1"/>
  <c r="F383" i="16" s="1"/>
  <c r="G40" i="11" a="1"/>
  <c r="G40" i="11" s="1"/>
  <c r="E45" i="11" a="1"/>
  <c r="E45" i="11" s="1"/>
  <c r="G350" i="16" s="1"/>
  <c r="F73" i="11" a="1"/>
  <c r="F73" i="11" s="1"/>
  <c r="E107" i="11" a="1"/>
  <c r="E107" i="11" s="1"/>
  <c r="E60" i="11" a="1"/>
  <c r="E60" i="11" s="1"/>
  <c r="G365" i="16" s="1"/>
  <c r="F77" i="11" a="1"/>
  <c r="F77" i="11" s="1"/>
  <c r="F84" i="11" a="1"/>
  <c r="F84" i="11" s="1"/>
  <c r="H389" i="16" s="1"/>
  <c r="F39" i="11" a="1"/>
  <c r="F39" i="11" s="1"/>
  <c r="H344" i="16" s="1"/>
  <c r="D21" i="11" a="1"/>
  <c r="D21" i="11" s="1"/>
  <c r="F326" i="16" s="1"/>
  <c r="E175" i="16" a="1"/>
  <c r="E175" i="16" s="1"/>
  <c r="F151" i="16" a="1"/>
  <c r="F151" i="16" s="1"/>
  <c r="H211" i="16" a="1"/>
  <c r="H211" i="16" s="1"/>
  <c r="G301" i="16" a="1"/>
  <c r="G301" i="16" s="1"/>
  <c r="J268" i="16" a="1"/>
  <c r="J268" i="16" s="1"/>
  <c r="G31" i="16" a="1"/>
  <c r="G31" i="16" s="1"/>
  <c r="H151" i="16" a="1"/>
  <c r="H151" i="16" s="1"/>
  <c r="G43" i="16" a="1"/>
  <c r="G43" i="16" s="1"/>
  <c r="E184" i="16" a="1"/>
  <c r="E184" i="16" s="1"/>
  <c r="E61" i="16" a="1"/>
  <c r="E61" i="16" s="1"/>
  <c r="I22" i="16" a="1"/>
  <c r="I22" i="16" s="1"/>
  <c r="I253" i="16" a="1"/>
  <c r="I253" i="16" s="1"/>
  <c r="J232" i="16" a="1"/>
  <c r="J232" i="16" s="1"/>
  <c r="G175" i="16" a="1"/>
  <c r="G175" i="16" s="1"/>
  <c r="E166" i="16" a="1"/>
  <c r="E166" i="16" s="1"/>
  <c r="J178" i="16" a="1"/>
  <c r="J178" i="16" s="1"/>
  <c r="I307" i="16" a="1"/>
  <c r="I307" i="16" s="1"/>
  <c r="E307" i="16" a="1"/>
  <c r="E307" i="16" s="1"/>
  <c r="H283" i="16" a="1"/>
  <c r="H283" i="16" s="1"/>
  <c r="E112" i="16" a="1"/>
  <c r="E112" i="16" s="1"/>
  <c r="J214" i="16" a="1"/>
  <c r="J214" i="16" s="1"/>
  <c r="H97" i="16" a="1"/>
  <c r="H97" i="16" s="1"/>
  <c r="H70" i="16" a="1"/>
  <c r="H70" i="16" s="1"/>
  <c r="F79" i="16" a="1"/>
  <c r="F79" i="16" s="1"/>
  <c r="F214" i="16" a="1"/>
  <c r="F214" i="16" s="1"/>
  <c r="H172" i="16" a="1"/>
  <c r="H172" i="16" s="1"/>
  <c r="G259" i="16" a="1"/>
  <c r="G259" i="16" s="1"/>
  <c r="I178" i="16" a="1"/>
  <c r="I178" i="16" s="1"/>
  <c r="F115" i="16" a="1"/>
  <c r="F115" i="16" s="1"/>
  <c r="G310" i="16" a="1"/>
  <c r="G310" i="16" s="1"/>
  <c r="F109" i="16" a="1"/>
  <c r="F109" i="16" s="1"/>
  <c r="I148" i="16" a="1"/>
  <c r="I148" i="16" s="1"/>
  <c r="H103" i="16" a="1"/>
  <c r="H103" i="16" s="1"/>
  <c r="J25" i="16" a="1"/>
  <c r="J25" i="16" s="1"/>
  <c r="J295" i="16" a="1"/>
  <c r="J295" i="16" s="1"/>
  <c r="F256" i="16" a="1"/>
  <c r="F256" i="16" s="1"/>
  <c r="H133" i="16" a="1"/>
  <c r="H133" i="16" s="1"/>
  <c r="J256" i="16" a="1"/>
  <c r="J256" i="16" s="1"/>
  <c r="H253" i="16" a="1"/>
  <c r="H253" i="16" s="1"/>
  <c r="J94" i="16" a="1"/>
  <c r="J94" i="16" s="1"/>
  <c r="F280" i="16" a="1"/>
  <c r="F280" i="16" s="1"/>
  <c r="G307" i="16" a="1"/>
  <c r="G307" i="16" s="1"/>
  <c r="J76" i="16" a="1"/>
  <c r="J76" i="16" s="1"/>
  <c r="I292" i="16" a="1"/>
  <c r="I292" i="16" s="1"/>
  <c r="G46" i="16" a="1"/>
  <c r="G46" i="16" s="1"/>
  <c r="H127" i="16" a="1"/>
  <c r="H127" i="16" s="1"/>
  <c r="I139" i="16" a="1"/>
  <c r="I139" i="16" s="1"/>
  <c r="H112" i="16" a="1"/>
  <c r="H112" i="16" s="1"/>
  <c r="F13" i="16" a="1"/>
  <c r="F13" i="16" s="1"/>
  <c r="F61" i="16" a="1"/>
  <c r="F61" i="16" s="1"/>
  <c r="I157" i="16" a="1"/>
  <c r="I157" i="16" s="1"/>
  <c r="I43" i="16" a="1"/>
  <c r="I43" i="16" s="1"/>
  <c r="H199" i="16" a="1"/>
  <c r="H199" i="16" s="1"/>
  <c r="H64" i="16" a="1"/>
  <c r="H64" i="16" s="1"/>
  <c r="G265" i="16" a="1"/>
  <c r="G265" i="16" s="1"/>
  <c r="E10" i="16" a="1"/>
  <c r="E10" i="16" s="1"/>
  <c r="G205" i="16" a="1"/>
  <c r="G205" i="16" s="1"/>
  <c r="H268" i="16" a="1"/>
  <c r="H268" i="16" s="1"/>
  <c r="G115" i="16" a="1"/>
  <c r="G115" i="16" s="1"/>
  <c r="G190" i="16" a="1"/>
  <c r="G190" i="16" s="1"/>
  <c r="J70" i="16" a="1"/>
  <c r="J70" i="16" s="1"/>
  <c r="I49" i="16" a="1"/>
  <c r="I49" i="16" s="1"/>
  <c r="E178" i="16" a="1"/>
  <c r="E178" i="16" s="1"/>
  <c r="I268" i="16" a="1"/>
  <c r="I268" i="16" s="1"/>
  <c r="F40" i="16" a="1"/>
  <c r="F40" i="16" s="1"/>
  <c r="I97" i="16" a="1"/>
  <c r="I97" i="16" s="1"/>
  <c r="I271" i="16" a="1"/>
  <c r="I271" i="16" s="1"/>
  <c r="G253" i="16" a="1"/>
  <c r="G253" i="16" s="1"/>
  <c r="J286" i="16" a="1"/>
  <c r="J286" i="16" s="1"/>
  <c r="E40" i="11" a="1"/>
  <c r="E40" i="11" s="1"/>
  <c r="F69" i="11" a="1"/>
  <c r="F69" i="11" s="1"/>
  <c r="H374" i="16" s="1"/>
  <c r="E111" i="11" a="1"/>
  <c r="E111" i="11" s="1"/>
  <c r="G416" i="16" s="1"/>
  <c r="D43" i="11" a="1"/>
  <c r="D43" i="11" s="1"/>
  <c r="E23" i="11" a="1"/>
  <c r="E23" i="11" s="1"/>
  <c r="G71" i="11" a="1"/>
  <c r="G71" i="11" s="1"/>
  <c r="G22" i="11" a="1"/>
  <c r="G22" i="11" s="1"/>
  <c r="C44" i="11" a="1"/>
  <c r="C44" i="11" s="1"/>
  <c r="E83" i="11" a="1"/>
  <c r="E83" i="11" s="1"/>
  <c r="G134" i="11" a="1"/>
  <c r="G134" i="11" s="1"/>
  <c r="F34" i="11" a="1"/>
  <c r="F34" i="11" s="1"/>
  <c r="D58" i="11" a="1"/>
  <c r="D58" i="11" s="1"/>
  <c r="F36" i="11" a="1"/>
  <c r="F36" i="11" s="1"/>
  <c r="H341" i="16" s="1"/>
  <c r="G37" i="11" a="1"/>
  <c r="G37" i="11" s="1"/>
  <c r="G131" i="11" a="1"/>
  <c r="G131" i="11" s="1"/>
  <c r="F105" i="11" a="1"/>
  <c r="F105" i="11" s="1"/>
  <c r="H410" i="16" s="1"/>
  <c r="F109" i="11" a="1"/>
  <c r="F109" i="11" s="1"/>
  <c r="E58" i="11" a="1"/>
  <c r="E58" i="11" s="1"/>
  <c r="G53" i="11" a="1"/>
  <c r="G53" i="11" s="1"/>
  <c r="F22" i="11" a="1"/>
  <c r="F22" i="11" s="1"/>
  <c r="C53" i="11" a="1"/>
  <c r="C53" i="11" s="1"/>
  <c r="G106" i="11" a="1"/>
  <c r="G106" i="11" s="1"/>
  <c r="D64" i="11" a="1"/>
  <c r="D64" i="11" s="1"/>
  <c r="G110" i="11" a="1"/>
  <c r="G110" i="11" s="1"/>
  <c r="D20" i="11" a="1"/>
  <c r="D20" i="11" s="1"/>
  <c r="C94" i="11" a="1"/>
  <c r="C94" i="11" s="1"/>
  <c r="H91" i="16" a="1"/>
  <c r="H91" i="16" s="1"/>
  <c r="H148" i="16" a="1"/>
  <c r="H148" i="16" s="1"/>
  <c r="J37" i="16" a="1"/>
  <c r="J37" i="16" s="1"/>
  <c r="E304" i="16" a="1"/>
  <c r="E304" i="16" s="1"/>
  <c r="E202" i="16" a="1"/>
  <c r="E202" i="16" s="1"/>
  <c r="E241" i="16" a="1"/>
  <c r="E241" i="16" s="1"/>
  <c r="H73" i="16" a="1"/>
  <c r="H73" i="16" s="1"/>
  <c r="G55" i="16" a="1"/>
  <c r="G55" i="16" s="1"/>
  <c r="F7" i="16" a="1"/>
  <c r="F7" i="16" s="1"/>
  <c r="F52" i="16" a="1"/>
  <c r="F52" i="16" s="1"/>
  <c r="J220" i="16" a="1"/>
  <c r="J220" i="16" s="1"/>
  <c r="H241" i="16" a="1"/>
  <c r="H241" i="16" s="1"/>
  <c r="G97" i="16" a="1"/>
  <c r="G97" i="16" s="1"/>
  <c r="H34" i="16" a="1"/>
  <c r="H34" i="16" s="1"/>
  <c r="H178" i="16" a="1"/>
  <c r="H178" i="16" s="1"/>
  <c r="E292" i="16" a="1"/>
  <c r="E292" i="16" s="1"/>
  <c r="H115" i="16" a="1"/>
  <c r="H115" i="16" s="1"/>
  <c r="E277" i="16" a="1"/>
  <c r="E277" i="16" s="1"/>
  <c r="H130" i="16" a="1"/>
  <c r="H130" i="16" s="1"/>
  <c r="F286" i="16" a="1"/>
  <c r="F286" i="16" s="1"/>
  <c r="H274" i="16" a="1"/>
  <c r="H274" i="16" s="1"/>
  <c r="J241" i="16" a="1"/>
  <c r="J241" i="16" s="1"/>
  <c r="H109" i="16" a="1"/>
  <c r="H109" i="16" s="1"/>
  <c r="H244" i="16" a="1"/>
  <c r="H244" i="16" s="1"/>
  <c r="F145" i="16" a="1"/>
  <c r="F145" i="16" s="1"/>
  <c r="E121" i="16" a="1"/>
  <c r="E121" i="16" s="1"/>
  <c r="G70" i="16" a="1"/>
  <c r="G70" i="16" s="1"/>
  <c r="F55" i="16" a="1"/>
  <c r="F55" i="16" s="1"/>
  <c r="F202" i="16" a="1"/>
  <c r="F202" i="16" s="1"/>
  <c r="I133" i="16" a="1"/>
  <c r="I133" i="16" s="1"/>
  <c r="I247" i="16" a="1"/>
  <c r="I247" i="16" s="1"/>
  <c r="H46" i="16" a="1"/>
  <c r="H46" i="16" s="1"/>
  <c r="G247" i="16" a="1"/>
  <c r="G247" i="16" s="1"/>
  <c r="F271" i="16" a="1"/>
  <c r="F271" i="16" s="1"/>
  <c r="J217" i="16" a="1"/>
  <c r="J217" i="16" s="1"/>
  <c r="H118" i="16" a="1"/>
  <c r="H118" i="16" s="1"/>
  <c r="I145" i="16" a="1"/>
  <c r="I145" i="16" s="1"/>
  <c r="E28" i="16" a="1"/>
  <c r="E28" i="16" s="1"/>
  <c r="F295" i="16" a="1"/>
  <c r="F295" i="16" s="1"/>
  <c r="H202" i="16" a="1"/>
  <c r="H202" i="16" s="1"/>
  <c r="E130" i="16" a="1"/>
  <c r="E130" i="16" s="1"/>
  <c r="F184" i="16" a="1"/>
  <c r="F184" i="16" s="1"/>
  <c r="G127" i="16" a="1"/>
  <c r="G127" i="16" s="1"/>
  <c r="I82" i="16" a="1"/>
  <c r="I82" i="16" s="1"/>
  <c r="E115" i="16" a="1"/>
  <c r="E115" i="16" s="1"/>
  <c r="J91" i="16" a="1"/>
  <c r="J91" i="16" s="1"/>
  <c r="G79" i="16" a="1"/>
  <c r="G79" i="16" s="1"/>
  <c r="G61" i="16" a="1"/>
  <c r="G61" i="16" s="1"/>
  <c r="J298" i="16" a="1"/>
  <c r="J298" i="16" s="1"/>
  <c r="I226" i="16" a="1"/>
  <c r="I226" i="16" s="1"/>
  <c r="G274" i="16" a="1"/>
  <c r="G274" i="16" s="1"/>
  <c r="J130" i="16" a="1"/>
  <c r="J130" i="16" s="1"/>
  <c r="G100" i="16" a="1"/>
  <c r="G100" i="16" s="1"/>
  <c r="I277" i="16" a="1"/>
  <c r="I277" i="16" s="1"/>
  <c r="G229" i="16" a="1"/>
  <c r="G229" i="16" s="1"/>
  <c r="E223" i="16" a="1"/>
  <c r="E223" i="16" s="1"/>
  <c r="G187" i="16" a="1"/>
  <c r="G187" i="16" s="1"/>
  <c r="F136" i="16" a="1"/>
  <c r="F136" i="16" s="1"/>
  <c r="G28" i="16" a="1"/>
  <c r="G28" i="16" s="1"/>
  <c r="F37" i="16" a="1"/>
  <c r="F37" i="16" s="1"/>
  <c r="G304" i="16" a="1"/>
  <c r="G304" i="16" s="1"/>
  <c r="I121" i="16" a="1"/>
  <c r="I121" i="16" s="1"/>
  <c r="I10" i="16" a="1"/>
  <c r="I10" i="16" s="1"/>
  <c r="H232" i="16" a="1"/>
  <c r="H232" i="16" s="1"/>
  <c r="G49" i="16" a="1"/>
  <c r="G49" i="16" s="1"/>
  <c r="G214" i="16" a="1"/>
  <c r="G214" i="16" s="1"/>
  <c r="G268" i="16" a="1"/>
  <c r="G268" i="16" s="1"/>
  <c r="G199" i="16" a="1"/>
  <c r="G199" i="16" s="1"/>
  <c r="H82" i="16" a="1"/>
  <c r="H82" i="16" s="1"/>
  <c r="I85" i="16" a="1"/>
  <c r="I85" i="16" s="1"/>
  <c r="D62" i="11" a="1"/>
  <c r="D62" i="11" s="1"/>
  <c r="G16" i="11" a="1"/>
  <c r="G16" i="11" s="1"/>
  <c r="F93" i="11" a="1"/>
  <c r="F93" i="11" s="1"/>
  <c r="H398" i="16" s="1"/>
  <c r="E120" i="11" a="1"/>
  <c r="E120" i="11" s="1"/>
  <c r="G425" i="16" s="1"/>
  <c r="G103" i="11" a="1"/>
  <c r="G103" i="11" s="1"/>
  <c r="E96" i="11" a="1"/>
  <c r="E96" i="11" s="1"/>
  <c r="G401" i="16" s="1"/>
  <c r="E119" i="11" a="1"/>
  <c r="E119" i="11" s="1"/>
  <c r="D57" i="11" a="1"/>
  <c r="D57" i="11" s="1"/>
  <c r="F362" i="16" s="1"/>
  <c r="E35" i="11" a="1"/>
  <c r="E35" i="11" s="1"/>
  <c r="E50" i="11" a="1"/>
  <c r="E50" i="11" s="1"/>
  <c r="D48" i="11" a="1"/>
  <c r="D48" i="11" s="1"/>
  <c r="F353" i="16" s="1"/>
  <c r="C97" i="11" a="1"/>
  <c r="C97" i="11" s="1"/>
  <c r="E90" i="11" a="1"/>
  <c r="E90" i="11" s="1"/>
  <c r="G395" i="16" s="1"/>
  <c r="C55" i="11" a="1"/>
  <c r="C55" i="11" s="1"/>
  <c r="E133" i="11" a="1"/>
  <c r="E133" i="11" s="1"/>
  <c r="E108" i="11" a="1"/>
  <c r="E108" i="11" s="1"/>
  <c r="G413" i="16" s="1"/>
  <c r="G102" i="11" a="1"/>
  <c r="G102" i="11" s="1"/>
  <c r="I407" i="16" s="1"/>
  <c r="F24" i="11" a="1"/>
  <c r="F24" i="11" s="1"/>
  <c r="H329" i="16" s="1"/>
  <c r="D41" i="11" a="1"/>
  <c r="D41" i="11" s="1"/>
  <c r="D36" i="11" a="1"/>
  <c r="D36" i="11" s="1"/>
  <c r="F341" i="16" s="1"/>
  <c r="G88" i="11" a="1"/>
  <c r="G88" i="11" s="1"/>
  <c r="D120" i="11" a="1"/>
  <c r="D120" i="11" s="1"/>
  <c r="F425" i="16" s="1"/>
  <c r="D30" i="11" a="1"/>
  <c r="D30" i="11" s="1"/>
  <c r="F335" i="16" s="1"/>
  <c r="D92" i="11" a="1"/>
  <c r="D92" i="11" s="1"/>
  <c r="F82" i="11" a="1"/>
  <c r="F82" i="11" s="1"/>
  <c r="E36" i="11" a="1"/>
  <c r="E36" i="11" s="1"/>
  <c r="G341" i="16" s="1"/>
  <c r="C118" i="11" a="1"/>
  <c r="C118" i="11" s="1"/>
  <c r="F111" i="11" a="1"/>
  <c r="F111" i="11" s="1"/>
  <c r="H416" i="16" s="1"/>
  <c r="D76" i="11" a="1"/>
  <c r="D76" i="11" s="1"/>
  <c r="C24" i="11" a="1"/>
  <c r="C24" i="11" s="1"/>
  <c r="E329" i="16" s="1"/>
  <c r="F57" i="11" a="1"/>
  <c r="F57" i="11" s="1"/>
  <c r="H362" i="16" s="1"/>
  <c r="F112" i="11" a="1"/>
  <c r="F112" i="11" s="1"/>
  <c r="F65" i="11" a="1"/>
  <c r="F65" i="11" s="1"/>
  <c r="D15" i="11" a="1"/>
  <c r="D15" i="11" s="1"/>
  <c r="F320" i="16" s="1"/>
  <c r="F120" i="11" a="1"/>
  <c r="F120" i="11" s="1"/>
  <c r="H425" i="16" s="1"/>
  <c r="G60" i="11" a="1"/>
  <c r="G60" i="11" s="1"/>
  <c r="I365" i="16" s="1"/>
  <c r="G15" i="11" a="1"/>
  <c r="G15" i="11" s="1"/>
  <c r="I320" i="16" s="1"/>
  <c r="E59" i="11" a="1"/>
  <c r="E59" i="11" s="1"/>
  <c r="G85" i="11" a="1"/>
  <c r="G85" i="11" s="1"/>
  <c r="G54" i="11" a="1"/>
  <c r="G54" i="11" s="1"/>
  <c r="I359" i="16" s="1"/>
  <c r="E17" i="11" a="1"/>
  <c r="E17" i="11" s="1"/>
  <c r="D29" i="11" a="1"/>
  <c r="D29" i="11" s="1"/>
  <c r="F131" i="11" a="1"/>
  <c r="F131" i="11" s="1"/>
  <c r="E18" i="11" a="1"/>
  <c r="E18" i="11" s="1"/>
  <c r="G323" i="16" s="1"/>
  <c r="E104" i="11" a="1"/>
  <c r="E104" i="11" s="1"/>
  <c r="E127" i="11" a="1"/>
  <c r="E127" i="11" s="1"/>
  <c r="E84" i="11" a="1"/>
  <c r="E84" i="11" s="1"/>
  <c r="G389" i="16" s="1"/>
  <c r="C67" i="11" a="1"/>
  <c r="C67" i="11" s="1"/>
  <c r="C88" i="11" a="1"/>
  <c r="C88" i="11" s="1"/>
  <c r="G130" i="11" a="1"/>
  <c r="G130" i="11" s="1"/>
  <c r="E98" i="11" a="1"/>
  <c r="E98" i="11" s="1"/>
  <c r="D63" i="11" a="1"/>
  <c r="D63" i="11" s="1"/>
  <c r="F368" i="16" s="1"/>
  <c r="F76" i="11" a="1"/>
  <c r="F76" i="11" s="1"/>
  <c r="E92" i="11" a="1"/>
  <c r="E92" i="11" s="1"/>
  <c r="D61" i="11" a="1"/>
  <c r="D61" i="11" s="1"/>
  <c r="G48" i="11" a="1"/>
  <c r="G48" i="11" s="1"/>
  <c r="I353" i="16" s="1"/>
  <c r="G26" i="11" a="1"/>
  <c r="G26" i="11" s="1"/>
  <c r="C12" i="11" a="1"/>
  <c r="C12" i="11" s="1"/>
  <c r="E317" i="16" s="1"/>
  <c r="F26" i="11" a="1"/>
  <c r="F26" i="11" s="1"/>
  <c r="E103" i="11" a="1"/>
  <c r="E103" i="11" s="1"/>
  <c r="C65" i="11" a="1"/>
  <c r="C65" i="11" s="1"/>
  <c r="D124" i="11" a="1"/>
  <c r="D124" i="11" s="1"/>
  <c r="G65" i="11" a="1"/>
  <c r="G65" i="11" s="1"/>
  <c r="C16" i="11" a="1"/>
  <c r="C16" i="11" s="1"/>
  <c r="D22" i="11" a="1"/>
  <c r="D22" i="11" s="1"/>
  <c r="G56" i="11" a="1"/>
  <c r="G56" i="11" s="1"/>
  <c r="E123" i="11" a="1"/>
  <c r="E123" i="11" s="1"/>
  <c r="G428" i="16" s="1"/>
  <c r="E41" i="11" a="1"/>
  <c r="E41" i="11" s="1"/>
  <c r="D34" i="11" a="1"/>
  <c r="D34" i="11" s="1"/>
  <c r="E54" i="11" a="1"/>
  <c r="E54" i="11" s="1"/>
  <c r="G359" i="16" s="1"/>
  <c r="E48" i="11" a="1"/>
  <c r="E48" i="11" s="1"/>
  <c r="G353" i="16" s="1"/>
  <c r="F63" i="11" a="1"/>
  <c r="F63" i="11" s="1"/>
  <c r="H368" i="16" s="1"/>
  <c r="G12" i="11" a="1"/>
  <c r="G12" i="11" s="1"/>
  <c r="I317" i="16" s="1"/>
  <c r="C133" i="11" a="1"/>
  <c r="C133" i="11" s="1"/>
  <c r="D101" i="11" a="1"/>
  <c r="D101" i="11" s="1"/>
  <c r="F14" i="11" a="1"/>
  <c r="F14" i="11" s="1"/>
  <c r="F40" i="11" a="1"/>
  <c r="F40" i="11" s="1"/>
  <c r="F129" i="11" a="1"/>
  <c r="F129" i="11" s="1"/>
  <c r="H434" i="16" s="1"/>
  <c r="F51" i="11" a="1"/>
  <c r="F51" i="11" s="1"/>
  <c r="H356" i="16" s="1"/>
  <c r="E101" i="11" a="1"/>
  <c r="E101" i="11" s="1"/>
  <c r="E52" i="11" a="1"/>
  <c r="E52" i="11" s="1"/>
  <c r="E99" i="11" a="1"/>
  <c r="E99" i="11" s="1"/>
  <c r="G404" i="16" s="1"/>
  <c r="F79" i="11" a="1"/>
  <c r="F79" i="11" s="1"/>
  <c r="G112" i="11" a="1"/>
  <c r="G112" i="11" s="1"/>
  <c r="D88" i="11" a="1"/>
  <c r="D88" i="11" s="1"/>
  <c r="D94" i="11" a="1"/>
  <c r="D94" i="11" s="1"/>
  <c r="D66" i="11" a="1"/>
  <c r="D66" i="11" s="1"/>
  <c r="F371" i="16" s="1"/>
  <c r="G23" i="11" a="1"/>
  <c r="G23" i="11" s="1"/>
  <c r="F96" i="11" a="1"/>
  <c r="F96" i="11" s="1"/>
  <c r="H401" i="16" s="1"/>
  <c r="G14" i="11" a="1"/>
  <c r="G14" i="11" s="1"/>
  <c r="F23" i="11" a="1"/>
  <c r="F23" i="11" s="1"/>
  <c r="E56" i="11" a="1"/>
  <c r="E56" i="11" s="1"/>
  <c r="E93" i="11" a="1"/>
  <c r="E93" i="11" s="1"/>
  <c r="G398" i="16" s="1"/>
  <c r="F119" i="11" a="1"/>
  <c r="F119" i="11" s="1"/>
  <c r="C64" i="11" a="1"/>
  <c r="C64" i="11" s="1"/>
  <c r="D86" i="11" a="1"/>
  <c r="D86" i="11" s="1"/>
  <c r="G77" i="11" a="1"/>
  <c r="G77" i="11" s="1"/>
  <c r="G99" i="11" a="1"/>
  <c r="G99" i="11" s="1"/>
  <c r="I404" i="16" s="1"/>
  <c r="G121" i="11" a="1"/>
  <c r="G121" i="11" s="1"/>
  <c r="E106" i="11" a="1"/>
  <c r="E106" i="11" s="1"/>
  <c r="G127" i="11" a="1"/>
  <c r="G127" i="11" s="1"/>
  <c r="D85" i="11" a="1"/>
  <c r="D85" i="11" s="1"/>
  <c r="G47" i="11" a="1"/>
  <c r="G47" i="11" s="1"/>
  <c r="D102" i="11" a="1"/>
  <c r="D102" i="11" s="1"/>
  <c r="F407" i="16" s="1"/>
  <c r="F19" i="11" a="1"/>
  <c r="F19" i="11" s="1"/>
  <c r="E20" i="11" a="1"/>
  <c r="E20" i="11" s="1"/>
  <c r="F92" i="11" a="1"/>
  <c r="F92" i="11" s="1"/>
  <c r="G33" i="11" a="1"/>
  <c r="G33" i="11" s="1"/>
  <c r="I338" i="16" s="1"/>
  <c r="F55" i="11" a="1"/>
  <c r="F55" i="11" s="1"/>
  <c r="E91" i="11" a="1"/>
  <c r="E91" i="11" s="1"/>
  <c r="E95" i="11" a="1"/>
  <c r="E95" i="11" s="1"/>
  <c r="C25" i="11" a="1"/>
  <c r="C25" i="11" s="1"/>
  <c r="D131" i="11" a="1"/>
  <c r="D131" i="11" s="1"/>
  <c r="F67" i="11" a="1"/>
  <c r="F67" i="11" s="1"/>
  <c r="G132" i="11" a="1"/>
  <c r="G132" i="11" s="1"/>
  <c r="I437" i="16" s="1"/>
  <c r="C134" i="11" a="1"/>
  <c r="C134" i="11" s="1"/>
  <c r="D105" i="11" a="1"/>
  <c r="D105" i="11" s="1"/>
  <c r="F410" i="16" s="1"/>
  <c r="F64" i="11" a="1"/>
  <c r="F64" i="11" s="1"/>
  <c r="E65" i="11" a="1"/>
  <c r="E65" i="11" s="1"/>
  <c r="C98" i="11" a="1"/>
  <c r="C98" i="11" s="1"/>
  <c r="C71" i="11" a="1"/>
  <c r="C71" i="11" s="1"/>
  <c r="G78" i="11" a="1"/>
  <c r="G78" i="11" s="1"/>
  <c r="I383" i="16" s="1"/>
  <c r="C57" i="11" a="1"/>
  <c r="C57" i="11" s="1"/>
  <c r="E362" i="16" s="1"/>
  <c r="D121" i="11" a="1"/>
  <c r="D121" i="11" s="1"/>
  <c r="G122" i="11" a="1"/>
  <c r="G122" i="11" s="1"/>
  <c r="F59" i="11" a="1"/>
  <c r="F59" i="11" s="1"/>
  <c r="C79" i="11" a="1"/>
  <c r="C79" i="11" s="1"/>
  <c r="C17" i="11" a="1"/>
  <c r="C17" i="11" s="1"/>
  <c r="C60" i="11" a="1"/>
  <c r="C60" i="11" s="1"/>
  <c r="E365" i="16" s="1"/>
  <c r="F134" i="11" a="1"/>
  <c r="F134" i="11" s="1"/>
  <c r="D50" i="11" a="1"/>
  <c r="D50" i="11" s="1"/>
  <c r="D42" i="11" a="1"/>
  <c r="D42" i="11" s="1"/>
  <c r="F347" i="16" s="1"/>
  <c r="E28" i="11" a="1"/>
  <c r="E28" i="11" s="1"/>
  <c r="E122" i="11" a="1"/>
  <c r="E122" i="11" s="1"/>
  <c r="G82" i="11" a="1"/>
  <c r="G82" i="11" s="1"/>
  <c r="G19" i="11" a="1"/>
  <c r="G19" i="11" s="1"/>
  <c r="E31" i="11" a="1"/>
  <c r="E31" i="11" s="1"/>
  <c r="F95" i="11" a="1"/>
  <c r="F95" i="11" s="1"/>
  <c r="F20" i="11" a="1"/>
  <c r="F20" i="11" s="1"/>
  <c r="C93" i="11" a="1"/>
  <c r="C93" i="11" s="1"/>
  <c r="E398" i="16" s="1"/>
  <c r="E118" i="11" a="1"/>
  <c r="E118" i="11" s="1"/>
  <c r="C39" i="11" a="1"/>
  <c r="C39" i="11" s="1"/>
  <c r="E344" i="16" s="1"/>
  <c r="D27" i="11" a="1"/>
  <c r="D27" i="11" s="1"/>
  <c r="F332" i="16" s="1"/>
  <c r="E64" i="11" a="1"/>
  <c r="E64" i="11" s="1"/>
  <c r="E82" i="11" a="1"/>
  <c r="E82" i="11" s="1"/>
  <c r="C119" i="11" a="1"/>
  <c r="C119" i="11" s="1"/>
  <c r="G119" i="11" a="1"/>
  <c r="G119" i="11" s="1"/>
  <c r="E112" i="11" a="1"/>
  <c r="E112" i="11" s="1"/>
  <c r="D98" i="11" a="1"/>
  <c r="D98" i="11" s="1"/>
  <c r="C40" i="11" a="1"/>
  <c r="C40" i="11" s="1"/>
  <c r="C58" i="11" a="1"/>
  <c r="C58" i="11" s="1"/>
  <c r="G120" i="11" a="1"/>
  <c r="G120" i="11" s="1"/>
  <c r="I425" i="16" s="1"/>
  <c r="C45" i="11" a="1"/>
  <c r="C45" i="11" s="1"/>
  <c r="E350" i="16" s="1"/>
  <c r="D72" i="11" a="1"/>
  <c r="D72" i="11" s="1"/>
  <c r="F377" i="16" s="1"/>
  <c r="F88" i="11" a="1"/>
  <c r="F88" i="11" s="1"/>
  <c r="E74" i="11" a="1"/>
  <c r="E74" i="11" s="1"/>
  <c r="C48" i="11" a="1"/>
  <c r="C48" i="11" s="1"/>
  <c r="E353" i="16" s="1"/>
  <c r="G46" i="11" a="1"/>
  <c r="G46" i="11" s="1"/>
  <c r="G66" i="11" a="1"/>
  <c r="G66" i="11" s="1"/>
  <c r="I371" i="16" s="1"/>
  <c r="C50" i="11" a="1"/>
  <c r="C50" i="11" s="1"/>
  <c r="F72" i="11" a="1"/>
  <c r="F72" i="11" s="1"/>
  <c r="H377" i="16" s="1"/>
  <c r="D119" i="11" a="1"/>
  <c r="D119" i="11" s="1"/>
  <c r="C14" i="11" a="1"/>
  <c r="C14" i="11" s="1"/>
  <c r="G69" i="11" a="1"/>
  <c r="G69" i="11" s="1"/>
  <c r="I374" i="16" s="1"/>
  <c r="C36" i="11" a="1"/>
  <c r="C36" i="11" s="1"/>
  <c r="E341" i="16" s="1"/>
  <c r="D26" i="11" a="1"/>
  <c r="D26" i="11" s="1"/>
  <c r="G57" i="11" a="1"/>
  <c r="G57" i="11" s="1"/>
  <c r="I362" i="16" s="1"/>
  <c r="G50" i="11" a="1"/>
  <c r="G50" i="11" s="1"/>
  <c r="C51" i="11" a="1"/>
  <c r="C51" i="11" s="1"/>
  <c r="E356" i="16" s="1"/>
  <c r="D65" i="11" a="1"/>
  <c r="D65" i="11" s="1"/>
  <c r="G133" i="11" a="1"/>
  <c r="G133" i="11" s="1"/>
  <c r="C43" i="11" a="1"/>
  <c r="C43" i="11" s="1"/>
  <c r="F16" i="11" a="1"/>
  <c r="F16" i="11" s="1"/>
  <c r="E42" i="11" a="1"/>
  <c r="E42" i="11" s="1"/>
  <c r="G347" i="16" s="1"/>
  <c r="C23" i="11" a="1"/>
  <c r="C23" i="11" s="1"/>
  <c r="G79" i="11" a="1"/>
  <c r="G79" i="11" s="1"/>
  <c r="C115" i="11" a="1"/>
  <c r="C115" i="11" s="1"/>
  <c r="F94" i="11" a="1"/>
  <c r="F94" i="11" s="1"/>
  <c r="C127" i="11" a="1"/>
  <c r="C127" i="11" s="1"/>
  <c r="G73" i="11" a="1"/>
  <c r="G73" i="11" s="1"/>
  <c r="E115" i="11" a="1"/>
  <c r="E115" i="11" s="1"/>
  <c r="E89" i="11" a="1"/>
  <c r="E89" i="11" s="1"/>
  <c r="D13" i="11" a="1"/>
  <c r="D13" i="11" s="1"/>
  <c r="F75" i="11" a="1"/>
  <c r="F75" i="11" s="1"/>
  <c r="H380" i="16" s="1"/>
  <c r="C76" i="11" a="1"/>
  <c r="C76" i="11" s="1"/>
  <c r="F15" i="11" a="1"/>
  <c r="F15" i="11" s="1"/>
  <c r="H320" i="16" s="1"/>
  <c r="D99" i="11" a="1"/>
  <c r="D99" i="11" s="1"/>
  <c r="F404" i="16" s="1"/>
  <c r="D37" i="11" a="1"/>
  <c r="D37" i="11" s="1"/>
  <c r="E130" i="11" a="1"/>
  <c r="E130" i="11" s="1"/>
  <c r="C92" i="11" a="1"/>
  <c r="C92" i="11" s="1"/>
  <c r="G125" i="11" a="1"/>
  <c r="G125" i="11" s="1"/>
  <c r="F121" i="11" a="1"/>
  <c r="F121" i="11" s="1"/>
  <c r="F49" i="11" a="1"/>
  <c r="F49" i="11" s="1"/>
  <c r="D83" i="11" a="1"/>
  <c r="D83" i="11" s="1"/>
  <c r="F117" i="11" a="1"/>
  <c r="F117" i="11" s="1"/>
  <c r="H422" i="16" s="1"/>
  <c r="C18" i="11" a="1"/>
  <c r="C18" i="11" s="1"/>
  <c r="E323" i="16" s="1"/>
  <c r="F54" i="11" a="1"/>
  <c r="F54" i="11" s="1"/>
  <c r="H359" i="16" s="1"/>
  <c r="F132" i="11" a="1"/>
  <c r="F132" i="11" s="1"/>
  <c r="H437" i="16" s="1"/>
  <c r="D81" i="11" a="1"/>
  <c r="D81" i="11" s="1"/>
  <c r="F386" i="16" s="1"/>
  <c r="C81" i="11" a="1"/>
  <c r="C81" i="11" s="1"/>
  <c r="E386" i="16" s="1"/>
  <c r="G52" i="11" a="1"/>
  <c r="G52" i="11" s="1"/>
  <c r="E34" i="11" a="1"/>
  <c r="E34" i="11" s="1"/>
  <c r="D49" i="11" a="1"/>
  <c r="D49" i="11" s="1"/>
  <c r="E78" i="11" a="1"/>
  <c r="E78" i="11" s="1"/>
  <c r="G383" i="16" s="1"/>
  <c r="F99" i="11" a="1"/>
  <c r="F99" i="11" s="1"/>
  <c r="H404" i="16" s="1"/>
  <c r="G28" i="11" a="1"/>
  <c r="G28" i="11" s="1"/>
  <c r="D95" i="11" a="1"/>
  <c r="D95" i="11" s="1"/>
  <c r="C130" i="11" a="1"/>
  <c r="C130" i="11" s="1"/>
  <c r="F61" i="11" a="1"/>
  <c r="F61" i="11" s="1"/>
  <c r="D69" i="11" a="1"/>
  <c r="D69" i="11" s="1"/>
  <c r="F374" i="16" s="1"/>
  <c r="F47" i="11" a="1"/>
  <c r="F47" i="11" s="1"/>
  <c r="G83" i="11" a="1"/>
  <c r="G83" i="11" s="1"/>
  <c r="G30" i="11" a="1"/>
  <c r="G30" i="11" s="1"/>
  <c r="I335" i="16" s="1"/>
  <c r="C84" i="11" a="1"/>
  <c r="C84" i="11" s="1"/>
  <c r="E389" i="16" s="1"/>
  <c r="G98" i="11" a="1"/>
  <c r="G98" i="11" s="1"/>
  <c r="F37" i="11" a="1"/>
  <c r="F37" i="11" s="1"/>
  <c r="F110" i="11" a="1"/>
  <c r="F110" i="11" s="1"/>
  <c r="E109" i="11" a="1"/>
  <c r="E109" i="11" s="1"/>
  <c r="G100" i="11" a="1"/>
  <c r="G100" i="11" s="1"/>
  <c r="D45" i="11" a="1"/>
  <c r="D45" i="11" s="1"/>
  <c r="F350" i="16" s="1"/>
  <c r="E126" i="11" a="1"/>
  <c r="E126" i="11" s="1"/>
  <c r="G431" i="16" s="1"/>
  <c r="E46" i="11" a="1"/>
  <c r="E46" i="11" s="1"/>
  <c r="E15" i="11" a="1"/>
  <c r="E15" i="11" s="1"/>
  <c r="G320" i="16" s="1"/>
  <c r="E87" i="11" a="1"/>
  <c r="E87" i="11" s="1"/>
  <c r="G392" i="16" s="1"/>
  <c r="C31" i="11" a="1"/>
  <c r="C31" i="11" s="1"/>
  <c r="C90" i="11" a="1"/>
  <c r="C90" i="11" s="1"/>
  <c r="E395" i="16" s="1"/>
  <c r="F25" i="11" a="1"/>
  <c r="F25" i="11" s="1"/>
  <c r="D59" i="11" a="1"/>
  <c r="D59" i="11" s="1"/>
  <c r="F104" i="11" a="1"/>
  <c r="F104" i="11" s="1"/>
  <c r="F42" i="11" a="1"/>
  <c r="F42" i="11" s="1"/>
  <c r="H347" i="16" s="1"/>
  <c r="G24" i="11" a="1"/>
  <c r="G24" i="11" s="1"/>
  <c r="I329" i="16" s="1"/>
  <c r="C116" i="11" a="1"/>
  <c r="C116" i="11" s="1"/>
  <c r="G76" i="11" a="1"/>
  <c r="G76" i="11" s="1"/>
  <c r="D47" i="11" a="1"/>
  <c r="D47" i="11" s="1"/>
  <c r="F81" i="11" a="1"/>
  <c r="F81" i="11" s="1"/>
  <c r="H386" i="16" s="1"/>
  <c r="C122" i="11" a="1"/>
  <c r="C122" i="11" s="1"/>
  <c r="G20" i="11" a="1"/>
  <c r="G20" i="11" s="1"/>
  <c r="F71" i="11" a="1"/>
  <c r="F71" i="11" s="1"/>
  <c r="F13" i="11" a="1"/>
  <c r="F13" i="11" s="1"/>
  <c r="G101" i="11" a="1"/>
  <c r="G101" i="11" s="1"/>
  <c r="D17" i="11" a="1"/>
  <c r="D17" i="11" s="1"/>
  <c r="E26" i="11" a="1"/>
  <c r="E26" i="11" s="1"/>
  <c r="F62" i="11" a="1"/>
  <c r="F62" i="11" s="1"/>
  <c r="C62" i="11" a="1"/>
  <c r="C62" i="11" s="1"/>
  <c r="D130" i="11" a="1"/>
  <c r="D130" i="11" s="1"/>
  <c r="D23" i="11" a="1"/>
  <c r="D23" i="11" s="1"/>
  <c r="C32" i="11" a="1"/>
  <c r="C32" i="11" s="1"/>
  <c r="C109" i="11" a="1"/>
  <c r="C109" i="11" s="1"/>
  <c r="F103" i="11" a="1"/>
  <c r="F103" i="11" s="1"/>
  <c r="E14" i="11" a="1"/>
  <c r="E14" i="11" s="1"/>
  <c r="E57" i="11" a="1"/>
  <c r="E57" i="11" s="1"/>
  <c r="G362" i="16" s="1"/>
  <c r="D25" i="11" a="1"/>
  <c r="D25" i="11" s="1"/>
  <c r="D100" i="11" a="1"/>
  <c r="D100" i="11" s="1"/>
  <c r="D116" i="11" a="1"/>
  <c r="D116" i="11" s="1"/>
  <c r="D93" i="11" a="1"/>
  <c r="D93" i="11" s="1"/>
  <c r="F398" i="16" s="1"/>
  <c r="D32" i="11" a="1"/>
  <c r="D32" i="11" s="1"/>
  <c r="F130" i="11" a="1"/>
  <c r="F130" i="11" s="1"/>
  <c r="C66" i="11" a="1"/>
  <c r="C66" i="11" s="1"/>
  <c r="E371" i="16" s="1"/>
  <c r="E25" i="11" a="1"/>
  <c r="E25" i="11" s="1"/>
  <c r="D135" i="11" a="1"/>
  <c r="D135" i="11" s="1"/>
  <c r="F440" i="16" s="1"/>
  <c r="D73" i="11" a="1"/>
  <c r="D73" i="11" s="1"/>
  <c r="C101" i="11" a="1"/>
  <c r="C101" i="11" s="1"/>
  <c r="D51" i="11" a="1"/>
  <c r="D51" i="11" s="1"/>
  <c r="F356" i="16" s="1"/>
  <c r="C30" i="11" a="1"/>
  <c r="C30" i="11" s="1"/>
  <c r="E335" i="16" s="1"/>
  <c r="C123" i="11" a="1"/>
  <c r="C123" i="11" s="1"/>
  <c r="E428" i="16" s="1"/>
  <c r="F48" i="11" a="1"/>
  <c r="F48" i="11" s="1"/>
  <c r="H353" i="16" s="1"/>
  <c r="G70" i="11" a="1"/>
  <c r="G70" i="11" s="1"/>
  <c r="G118" i="11" a="1"/>
  <c r="G118" i="11" s="1"/>
  <c r="C120" i="11" a="1"/>
  <c r="C120" i="11" s="1"/>
  <c r="E425" i="16" s="1"/>
  <c r="F32" i="11" a="1"/>
  <c r="F32" i="11" s="1"/>
  <c r="G31" i="11" a="1"/>
  <c r="G31" i="11" s="1"/>
  <c r="E39" i="11" a="1"/>
  <c r="E39" i="11" s="1"/>
  <c r="G344" i="16" s="1"/>
  <c r="F108" i="11" a="1"/>
  <c r="F108" i="11" s="1"/>
  <c r="H413" i="16" s="1"/>
  <c r="C135" i="11" a="1"/>
  <c r="C135" i="11" s="1"/>
  <c r="E440" i="16" s="1"/>
  <c r="D91" i="11" a="1"/>
  <c r="D91" i="11" s="1"/>
  <c r="G75" i="11" a="1"/>
  <c r="G75" i="11" s="1"/>
  <c r="I380" i="16" s="1"/>
  <c r="D126" i="11" a="1"/>
  <c r="D126" i="11" s="1"/>
  <c r="F431" i="16" s="1"/>
  <c r="G68" i="11" a="1"/>
  <c r="G68" i="11" s="1"/>
  <c r="C37" i="11" a="1"/>
  <c r="C37" i="11" s="1"/>
  <c r="F97" i="11" a="1"/>
  <c r="F97" i="11" s="1"/>
  <c r="F118" i="11" a="1"/>
  <c r="F118" i="11" s="1"/>
  <c r="C49" i="11" a="1"/>
  <c r="C49" i="11" s="1"/>
  <c r="C104" i="11" a="1"/>
  <c r="C104" i="11" s="1"/>
  <c r="G44" i="11" a="1"/>
  <c r="G44" i="11" s="1"/>
  <c r="F106" i="11" a="1"/>
  <c r="F106" i="11" s="1"/>
  <c r="E73" i="11" a="1"/>
  <c r="E73" i="11" s="1"/>
  <c r="C78" i="11" a="1"/>
  <c r="C78" i="11" s="1"/>
  <c r="E383" i="16" s="1"/>
  <c r="G32" i="11" a="1"/>
  <c r="G32" i="11" s="1"/>
  <c r="E94" i="11" a="1"/>
  <c r="E94" i="11" s="1"/>
  <c r="F28" i="11" a="1"/>
  <c r="F28" i="11" s="1"/>
  <c r="G95" i="11" a="1"/>
  <c r="G95" i="11" s="1"/>
  <c r="G105" i="11" a="1"/>
  <c r="G105" i="11" s="1"/>
  <c r="I410" i="16" s="1"/>
  <c r="F74" i="11" a="1"/>
  <c r="F74" i="11" s="1"/>
  <c r="D56" i="11" a="1"/>
  <c r="D56" i="11" s="1"/>
  <c r="F83" i="11" a="1"/>
  <c r="F83" i="11" s="1"/>
  <c r="D97" i="11" a="1"/>
  <c r="D97" i="11" s="1"/>
  <c r="C61" i="11" a="1"/>
  <c r="C61" i="11" s="1"/>
  <c r="D28" i="11" a="1"/>
  <c r="D28" i="11" s="1"/>
  <c r="F101" i="11" a="1"/>
  <c r="F101" i="11" s="1"/>
  <c r="G36" i="11" a="1"/>
  <c r="G36" i="11" s="1"/>
  <c r="I341" i="16" s="1"/>
  <c r="F52" i="11" a="1"/>
  <c r="F52" i="11" s="1"/>
  <c r="C108" i="11" a="1"/>
  <c r="C108" i="11" s="1"/>
  <c r="E413" i="16" s="1"/>
  <c r="F115" i="11" a="1"/>
  <c r="F115" i="11" s="1"/>
  <c r="G86" i="11" a="1"/>
  <c r="G86" i="11" s="1"/>
  <c r="C87" i="11" a="1"/>
  <c r="C87" i="11" s="1"/>
  <c r="E392" i="16" s="1"/>
  <c r="C63" i="11" a="1"/>
  <c r="C63" i="11" s="1"/>
  <c r="E368" i="16" s="1"/>
  <c r="F85" i="11" a="1"/>
  <c r="F85" i="11" s="1"/>
  <c r="G128" i="11" a="1"/>
  <c r="G128" i="11" s="1"/>
  <c r="C113" i="11" a="1"/>
  <c r="C113" i="11" s="1"/>
  <c r="C27" i="11" a="1"/>
  <c r="C27" i="11" s="1"/>
  <c r="E332" i="16" s="1"/>
  <c r="D107" i="11" a="1"/>
  <c r="D107" i="11" s="1"/>
  <c r="F29" i="11" a="1"/>
  <c r="F29" i="11" s="1"/>
  <c r="D82" i="11" a="1"/>
  <c r="D82" i="11" s="1"/>
  <c r="E43" i="11" a="1"/>
  <c r="E43" i="11" s="1"/>
  <c r="F31" i="11" a="1"/>
  <c r="F31" i="11" s="1"/>
  <c r="D96" i="11" a="1"/>
  <c r="D96" i="11" s="1"/>
  <c r="F401" i="16" s="1"/>
  <c r="F53" i="11" a="1"/>
  <c r="F53" i="11" s="1"/>
  <c r="E44" i="11" a="1"/>
  <c r="E44" i="11" s="1"/>
  <c r="F66" i="11" a="1"/>
  <c r="F66" i="11" s="1"/>
  <c r="H371" i="16" s="1"/>
  <c r="C52" i="11" a="1"/>
  <c r="C52" i="11" s="1"/>
  <c r="G113" i="11" a="1"/>
  <c r="G113" i="11" s="1"/>
  <c r="E121" i="11" a="1"/>
  <c r="E121" i="11" s="1"/>
  <c r="D79" i="11" a="1"/>
  <c r="D79" i="11" s="1"/>
  <c r="D133" i="11" a="1"/>
  <c r="D133" i="11" s="1"/>
  <c r="F86" i="11" a="1"/>
  <c r="F86" i="11" s="1"/>
  <c r="E88" i="11" a="1"/>
  <c r="E88" i="11" s="1"/>
  <c r="F100" i="11" a="1"/>
  <c r="F100" i="11" s="1"/>
  <c r="C29" i="11" a="1"/>
  <c r="C29" i="11" s="1"/>
  <c r="E131" i="11" a="1"/>
  <c r="E131" i="11" s="1"/>
  <c r="G17" i="11" a="1"/>
  <c r="G17" i="11" s="1"/>
  <c r="F60" i="11" a="1"/>
  <c r="F60" i="11" s="1"/>
  <c r="H365" i="16" s="1"/>
  <c r="E19" i="11" a="1"/>
  <c r="E19" i="11" s="1"/>
  <c r="F12" i="11" a="1"/>
  <c r="F12" i="11" s="1"/>
  <c r="H317" i="16" s="1"/>
  <c r="D46" i="11" a="1"/>
  <c r="D46" i="11" s="1"/>
  <c r="D38" i="11" a="1"/>
  <c r="D38" i="11" s="1"/>
  <c r="F44" i="11" a="1"/>
  <c r="F44" i="11" s="1"/>
  <c r="C41" i="11" a="1"/>
  <c r="C41" i="11" s="1"/>
  <c r="E124" i="11" a="1"/>
  <c r="E124" i="11" s="1"/>
  <c r="G126" i="11" a="1"/>
  <c r="G126" i="11" s="1"/>
  <c r="I431" i="16" s="1"/>
  <c r="C59" i="11" a="1"/>
  <c r="C59" i="11" s="1"/>
  <c r="C33" i="11" a="1"/>
  <c r="C33" i="11" s="1"/>
  <c r="E338" i="16" s="1"/>
  <c r="C54" i="11" a="1"/>
  <c r="C54" i="11" s="1"/>
  <c r="E359" i="16" s="1"/>
  <c r="G25" i="11" a="1"/>
  <c r="G25" i="11" s="1"/>
  <c r="D18" i="11" a="1"/>
  <c r="D18" i="11" s="1"/>
  <c r="F323" i="16" s="1"/>
  <c r="F70" i="11" a="1"/>
  <c r="F70" i="11" s="1"/>
  <c r="E61" i="11" a="1"/>
  <c r="E61" i="11" s="1"/>
  <c r="E102" i="11" a="1"/>
  <c r="E102" i="11" s="1"/>
  <c r="G407" i="16" s="1"/>
  <c r="D109" i="11" a="1"/>
  <c r="D109" i="11" s="1"/>
  <c r="G108" i="11" a="1"/>
  <c r="G108" i="11" s="1"/>
  <c r="I413" i="16" s="1"/>
  <c r="E113" i="11" a="1"/>
  <c r="E113" i="11" s="1"/>
  <c r="F102" i="11" a="1"/>
  <c r="F102" i="11" s="1"/>
  <c r="H407" i="16" s="1"/>
  <c r="F87" i="11" a="1"/>
  <c r="F87" i="11" s="1"/>
  <c r="H392" i="16" s="1"/>
  <c r="E12" i="11" a="1"/>
  <c r="E12" i="11" s="1"/>
  <c r="G317" i="16" s="1"/>
  <c r="F41" i="11" a="1"/>
  <c r="F41" i="11" s="1"/>
  <c r="F98" i="11" a="1"/>
  <c r="F98" i="11" s="1"/>
  <c r="E69" i="11" a="1"/>
  <c r="E69" i="11" s="1"/>
  <c r="G374" i="16" s="1"/>
  <c r="D24" i="11" a="1"/>
  <c r="D24" i="11" s="1"/>
  <c r="F329" i="16" s="1"/>
  <c r="D39" i="11" a="1"/>
  <c r="D39" i="11" s="1"/>
  <c r="F344" i="16" s="1"/>
  <c r="G38" i="11" a="1"/>
  <c r="G38" i="11" s="1"/>
  <c r="F128" i="11" a="1"/>
  <c r="F128" i="11" s="1"/>
  <c r="F46" i="11" a="1"/>
  <c r="F46" i="11" s="1"/>
  <c r="D55" i="11" a="1"/>
  <c r="D55" i="11" s="1"/>
  <c r="C70" i="11" a="1"/>
  <c r="C70" i="11" s="1"/>
  <c r="C28" i="11" a="1"/>
  <c r="C28" i="11" s="1"/>
  <c r="G72" i="11" a="1"/>
  <c r="G72" i="11" s="1"/>
  <c r="I377" i="16" s="1"/>
  <c r="F123" i="11" a="1"/>
  <c r="F123" i="11" s="1"/>
  <c r="H428" i="16" s="1"/>
  <c r="E105" i="11" a="1"/>
  <c r="E105" i="11" s="1"/>
  <c r="G410" i="16" s="1"/>
  <c r="C126" i="11" a="1"/>
  <c r="C126" i="11" s="1"/>
  <c r="E431" i="16" s="1"/>
  <c r="C56" i="11" a="1"/>
  <c r="C56" i="11" s="1"/>
  <c r="E75" i="11" a="1"/>
  <c r="E75" i="11" s="1"/>
  <c r="G380" i="16" s="1"/>
  <c r="C91" i="11" a="1"/>
  <c r="C91" i="11" s="1"/>
  <c r="D117" i="11" a="1"/>
  <c r="D117" i="11" s="1"/>
  <c r="F422" i="16" s="1"/>
  <c r="E49" i="11" a="1"/>
  <c r="E49" i="11" s="1"/>
  <c r="D53" i="11" a="1"/>
  <c r="D53" i="11" s="1"/>
  <c r="C75" i="11" a="1"/>
  <c r="C75" i="11" s="1"/>
  <c r="E380" i="16" s="1"/>
  <c r="G34" i="11" a="1"/>
  <c r="G34" i="11" s="1"/>
  <c r="D77" i="11" a="1"/>
  <c r="D77" i="11" s="1"/>
  <c r="F127" i="11" a="1"/>
  <c r="F127" i="11" s="1"/>
  <c r="F18" i="11" a="1"/>
  <c r="F18" i="11" s="1"/>
  <c r="H323" i="16" s="1"/>
  <c r="E30" i="11" a="1"/>
  <c r="E30" i="11" s="1"/>
  <c r="G335" i="16" s="1"/>
  <c r="C129" i="11" a="1"/>
  <c r="C129" i="11" s="1"/>
  <c r="E434" i="16" s="1"/>
  <c r="D19" i="11" a="1"/>
  <c r="D19" i="11" s="1"/>
  <c r="G55" i="11" a="1"/>
  <c r="G55" i="11" s="1"/>
  <c r="E134" i="11" a="1"/>
  <c r="E134" i="11" s="1"/>
  <c r="D114" i="11" a="1"/>
  <c r="D114" i="11" s="1"/>
  <c r="F419" i="16" s="1"/>
  <c r="G64" i="11" a="1"/>
  <c r="G64" i="11" s="1"/>
  <c r="C86" i="11" a="1"/>
  <c r="C86" i="11" s="1"/>
  <c r="E71" i="11" a="1"/>
  <c r="E71" i="11" s="1"/>
  <c r="E68" i="11" a="1"/>
  <c r="E68" i="11" s="1"/>
  <c r="F113" i="11" a="1"/>
  <c r="F113" i="11" s="1"/>
  <c r="F133" i="11" a="1"/>
  <c r="F133" i="11" s="1"/>
  <c r="C95" i="11" a="1"/>
  <c r="C95" i="11" s="1"/>
  <c r="C105" i="11" a="1"/>
  <c r="C105" i="11" s="1"/>
  <c r="E410" i="16" s="1"/>
  <c r="C117" i="11" a="1"/>
  <c r="C117" i="11" s="1"/>
  <c r="E422" i="16" s="1"/>
  <c r="C20" i="11" a="1"/>
  <c r="C20" i="11" s="1"/>
  <c r="E63" i="11" a="1"/>
  <c r="E63" i="11" s="1"/>
  <c r="G368" i="16" s="1"/>
  <c r="C19" i="11" a="1"/>
  <c r="C19" i="11" s="1"/>
  <c r="G35" i="11" a="1"/>
  <c r="G35" i="11" s="1"/>
  <c r="D68" i="11" a="1"/>
  <c r="D68" i="11" s="1"/>
  <c r="F27" i="11" a="1"/>
  <c r="F27" i="11" s="1"/>
  <c r="H332" i="16" s="1"/>
  <c r="C121" i="11" a="1"/>
  <c r="C121" i="11" s="1"/>
  <c r="E86" i="11" a="1"/>
  <c r="E86" i="11" s="1"/>
  <c r="D74" i="11" a="1"/>
  <c r="D74" i="11" s="1"/>
  <c r="C112" i="11" a="1"/>
  <c r="C112" i="11" s="1"/>
  <c r="E32" i="11" a="1"/>
  <c r="E32" i="11" s="1"/>
  <c r="C125" i="11" a="1"/>
  <c r="C125" i="11" s="1"/>
  <c r="C100" i="11" a="1"/>
  <c r="C100" i="11" s="1"/>
  <c r="C69" i="11" a="1"/>
  <c r="C69" i="11" s="1"/>
  <c r="E374" i="16" s="1"/>
  <c r="C68" i="11" a="1"/>
  <c r="C68" i="11" s="1"/>
  <c r="G29" i="11" a="1"/>
  <c r="G29" i="11" s="1"/>
  <c r="G39" i="11" a="1"/>
  <c r="G39" i="11" s="1"/>
  <c r="I344" i="16" s="1"/>
  <c r="E27" i="11" a="1"/>
  <c r="E27" i="11" s="1"/>
  <c r="G332" i="16" s="1"/>
  <c r="D111" i="11" a="1"/>
  <c r="D111" i="11" s="1"/>
  <c r="F416" i="16" s="1"/>
  <c r="F125" i="11" a="1"/>
  <c r="F125" i="11" s="1"/>
  <c r="D70" i="11" a="1"/>
  <c r="D70" i="11" s="1"/>
  <c r="C35" i="11" a="1"/>
  <c r="C35" i="11" s="1"/>
  <c r="F38" i="11" a="1"/>
  <c r="F38" i="11" s="1"/>
  <c r="E80" i="11" a="1"/>
  <c r="E80" i="11" s="1"/>
  <c r="D108" i="11" a="1"/>
  <c r="D108" i="11" s="1"/>
  <c r="F413" i="16" s="1"/>
  <c r="E70" i="11" a="1"/>
  <c r="E70" i="11" s="1"/>
  <c r="E85" i="11" a="1"/>
  <c r="E85" i="11" s="1"/>
  <c r="D106" i="11" a="1"/>
  <c r="D106" i="11" s="1"/>
  <c r="E76" i="11" a="1"/>
  <c r="E76" i="11" s="1"/>
  <c r="G91" i="11" a="1"/>
  <c r="G91" i="11" s="1"/>
  <c r="C124" i="11" a="1"/>
  <c r="C124" i="11" s="1"/>
  <c r="C46" i="11" a="1"/>
  <c r="C46" i="11" s="1"/>
  <c r="E51" i="11" a="1"/>
  <c r="E51" i="11" s="1"/>
  <c r="G356" i="16" s="1"/>
  <c r="F33" i="11" a="1"/>
  <c r="F33" i="11" s="1"/>
  <c r="H338" i="16" s="1"/>
  <c r="D132" i="11" a="1"/>
  <c r="D132" i="11" s="1"/>
  <c r="F437" i="16" s="1"/>
  <c r="G62" i="11" a="1"/>
  <c r="G62" i="11" s="1"/>
  <c r="C132" i="11" a="1"/>
  <c r="C132" i="11" s="1"/>
  <c r="E437" i="16" s="1"/>
  <c r="D14" i="11" a="1"/>
  <c r="D14" i="11" s="1"/>
  <c r="F89" i="11" a="1"/>
  <c r="F89" i="11" s="1"/>
  <c r="E33" i="11" a="1"/>
  <c r="E33" i="11" s="1"/>
  <c r="G338" i="16" s="1"/>
  <c r="E66" i="11" a="1"/>
  <c r="E66" i="11" s="1"/>
  <c r="G371" i="16" s="1"/>
  <c r="F135" i="11" a="1"/>
  <c r="F135" i="11" s="1"/>
  <c r="H440" i="16" s="1"/>
  <c r="G27" i="11" a="1"/>
  <c r="G27" i="11" s="1"/>
  <c r="I332" i="16" s="1"/>
  <c r="G51" i="11" a="1"/>
  <c r="G51" i="11" s="1"/>
  <c r="I356" i="16" s="1"/>
  <c r="C47" i="11" a="1"/>
  <c r="C47" i="11" s="1"/>
  <c r="E116" i="11" a="1"/>
  <c r="E116" i="11" s="1"/>
  <c r="D129" i="11" a="1"/>
  <c r="D129" i="11" s="1"/>
  <c r="F434" i="16" s="1"/>
  <c r="E38" i="11" a="1"/>
  <c r="E38" i="11" s="1"/>
  <c r="D112" i="11" a="1"/>
  <c r="D112" i="11" s="1"/>
  <c r="E100" i="11" a="1"/>
  <c r="E100" i="11" s="1"/>
  <c r="C34" i="11" a="1"/>
  <c r="C34" i="11" s="1"/>
  <c r="G67" i="11" a="1"/>
  <c r="G67" i="11" s="1"/>
  <c r="C107" i="11" a="1"/>
  <c r="C107" i="11" s="1"/>
  <c r="G49" i="11" a="1"/>
  <c r="G49" i="11" s="1"/>
  <c r="G74" i="11" a="1"/>
  <c r="G74" i="11" s="1"/>
  <c r="C99" i="11" a="1"/>
  <c r="C99" i="11" s="1"/>
  <c r="E404" i="16" s="1"/>
  <c r="G80" i="11" a="1"/>
  <c r="G80" i="11" s="1"/>
  <c r="C136" i="11" a="1"/>
  <c r="C136" i="11" s="1"/>
  <c r="F136" i="11" a="1"/>
  <c r="F136" i="11" s="1"/>
  <c r="D136" i="11" a="1"/>
  <c r="D136" i="11" s="1"/>
  <c r="G42" i="11" a="1"/>
  <c r="G42" i="11" s="1"/>
  <c r="I347" i="16" s="1"/>
  <c r="F43" i="11" a="1"/>
  <c r="F43" i="11" s="1"/>
  <c r="G61" i="11" a="1"/>
  <c r="G61" i="11" s="1"/>
  <c r="G135" i="11" a="1"/>
  <c r="G135" i="11" s="1"/>
  <c r="I440" i="16" s="1"/>
  <c r="E135" i="11" a="1"/>
  <c r="E135" i="11" s="1"/>
  <c r="G440" i="16" s="1"/>
  <c r="C85" i="11" a="1"/>
  <c r="C85" i="11" s="1"/>
  <c r="F91" i="11" a="1"/>
  <c r="F91" i="11" s="1"/>
  <c r="E79" i="11" a="1"/>
  <c r="E79" i="11" s="1"/>
  <c r="G43" i="11" a="1"/>
  <c r="G43" i="11" s="1"/>
  <c r="E62" i="11" a="1"/>
  <c r="E62" i="11" s="1"/>
  <c r="C74" i="11" a="1"/>
  <c r="C74" i="11" s="1"/>
  <c r="F126" i="11" a="1"/>
  <c r="F126" i="11" s="1"/>
  <c r="H431" i="16" s="1"/>
  <c r="D35" i="11" a="1"/>
  <c r="D35" i="11" s="1"/>
  <c r="F114" i="11" a="1"/>
  <c r="F114" i="11" s="1"/>
  <c r="H419" i="16" s="1"/>
  <c r="D54" i="11" a="1"/>
  <c r="D54" i="11" s="1"/>
  <c r="F359" i="16" s="1"/>
  <c r="D113" i="11" a="1"/>
  <c r="D113" i="11" s="1"/>
  <c r="D128" i="11" a="1"/>
  <c r="D128" i="11" s="1"/>
  <c r="D103" i="11" a="1"/>
  <c r="D103" i="11" s="1"/>
  <c r="F122" i="11" a="1"/>
  <c r="F122" i="11" s="1"/>
  <c r="E132" i="11" a="1"/>
  <c r="E132" i="11" s="1"/>
  <c r="G437" i="16" s="1"/>
  <c r="E21" i="11" a="1"/>
  <c r="E21" i="11" s="1"/>
  <c r="G326" i="16" s="1"/>
  <c r="C42" i="11" a="1"/>
  <c r="C42" i="11" s="1"/>
  <c r="E347" i="16" s="1"/>
  <c r="C110" i="11" a="1"/>
  <c r="C110" i="11" s="1"/>
  <c r="C82" i="11" a="1"/>
  <c r="C82" i="11" s="1"/>
  <c r="D80" i="11" a="1"/>
  <c r="D80" i="11" s="1"/>
  <c r="F58" i="11" a="1"/>
  <c r="F58" i="11" s="1"/>
  <c r="E72" i="11" a="1"/>
  <c r="E72" i="11" s="1"/>
  <c r="G377" i="16" s="1"/>
  <c r="G107" i="11" a="1"/>
  <c r="G107" i="11" s="1"/>
  <c r="G115" i="11" a="1"/>
  <c r="G115" i="11" s="1"/>
  <c r="C131" i="11" a="1"/>
  <c r="C131" i="11" s="1"/>
  <c r="F90" i="11" a="1"/>
  <c r="F90" i="11" s="1"/>
  <c r="H395" i="16" s="1"/>
  <c r="F80" i="11" a="1"/>
  <c r="F80" i="11" s="1"/>
  <c r="F56" i="11" a="1"/>
  <c r="F56" i="11" s="1"/>
  <c r="E97" i="11" a="1"/>
  <c r="E97" i="11" s="1"/>
  <c r="G63" i="11" a="1"/>
  <c r="G63" i="11" s="1"/>
  <c r="I368" i="16" s="1"/>
  <c r="C128" i="11" a="1"/>
  <c r="C128" i="11" s="1"/>
  <c r="E55" i="11" a="1"/>
  <c r="E55" i="11" s="1"/>
  <c r="D52" i="11" a="1"/>
  <c r="D52" i="11" s="1"/>
  <c r="C106" i="11" a="1"/>
  <c r="C106" i="11" s="1"/>
  <c r="E77" i="11" a="1"/>
  <c r="E77" i="11" s="1"/>
  <c r="E117" i="11" a="1"/>
  <c r="E117" i="11" s="1"/>
  <c r="G422" i="16" s="1"/>
  <c r="E81" i="11" a="1"/>
  <c r="E81" i="11" s="1"/>
  <c r="G386" i="16" s="1"/>
  <c r="D89" i="11" a="1"/>
  <c r="D89" i="11" s="1"/>
  <c r="E125" i="11" a="1"/>
  <c r="E125" i="11" s="1"/>
  <c r="G45" i="11" a="1"/>
  <c r="G45" i="11" s="1"/>
  <c r="I350" i="16" s="1"/>
  <c r="D33" i="11" a="1"/>
  <c r="D33" i="11" s="1"/>
  <c r="F338" i="16" s="1"/>
  <c r="C26" i="11" a="1"/>
  <c r="C26" i="11" s="1"/>
  <c r="F50" i="11" a="1"/>
  <c r="F50" i="11" s="1"/>
  <c r="E128" i="11" a="1"/>
  <c r="E128" i="11" s="1"/>
  <c r="G89" i="11" a="1"/>
  <c r="G89" i="11" s="1"/>
  <c r="E29" i="11" a="1"/>
  <c r="E29" i="11" s="1"/>
  <c r="C138" i="11" a="1"/>
  <c r="C138" i="11" s="1"/>
  <c r="E443" i="16" s="1"/>
  <c r="D138" i="11" a="1"/>
  <c r="D138" i="11" s="1"/>
  <c r="F443" i="16" s="1"/>
  <c r="G139" i="11" a="1"/>
  <c r="G139" i="11" s="1"/>
  <c r="E139" i="11" a="1"/>
  <c r="E139" i="11" s="1"/>
  <c r="E140" i="11" a="1"/>
  <c r="E140" i="11" s="1"/>
  <c r="F140" i="11" a="1"/>
  <c r="F140" i="11" s="1"/>
  <c r="G140" i="11" a="1"/>
  <c r="G140" i="11" s="1"/>
  <c r="D141" i="11" a="1"/>
  <c r="D141" i="11" s="1"/>
  <c r="F446" i="16" s="1"/>
  <c r="C143" i="11" a="1"/>
  <c r="C143" i="11" s="1"/>
  <c r="F143" i="11" a="1"/>
  <c r="F143" i="11" s="1"/>
  <c r="F144" i="11" a="1"/>
  <c r="F144" i="11" s="1"/>
  <c r="H449" i="16" s="1"/>
  <c r="C146" i="11" a="1"/>
  <c r="C146" i="11" s="1"/>
  <c r="D146" i="11" a="1"/>
  <c r="D146" i="11" s="1"/>
  <c r="G147" i="11" a="1"/>
  <c r="G147" i="11" s="1"/>
  <c r="I452" i="16" s="1"/>
  <c r="G149" i="11" a="1"/>
  <c r="G149" i="11" s="1"/>
  <c r="E149" i="11" a="1"/>
  <c r="E149" i="11" s="1"/>
  <c r="C150" i="11" a="1"/>
  <c r="C150" i="11" s="1"/>
  <c r="E455" i="16" s="1"/>
  <c r="C152" i="11" a="1"/>
  <c r="C152" i="11" s="1"/>
  <c r="E152" i="11" a="1"/>
  <c r="E152" i="11" s="1"/>
  <c r="E153" i="11" a="1"/>
  <c r="E153" i="11" s="1"/>
  <c r="G458" i="16" s="1"/>
  <c r="E155" i="11" a="1"/>
  <c r="E155" i="11" s="1"/>
  <c r="D155" i="11" a="1"/>
  <c r="D155" i="11" s="1"/>
  <c r="F156" i="11" a="1"/>
  <c r="F156" i="11" s="1"/>
  <c r="H461" i="16" s="1"/>
  <c r="G158" i="11" a="1"/>
  <c r="G158" i="11" s="1"/>
  <c r="D158" i="11" a="1"/>
  <c r="D158" i="11" s="1"/>
  <c r="E159" i="11" a="1"/>
  <c r="E159" i="11" s="1"/>
  <c r="G464" i="16" s="1"/>
  <c r="F161" i="11" a="1"/>
  <c r="F161" i="11" s="1"/>
  <c r="G161" i="11" a="1"/>
  <c r="G161" i="11" s="1"/>
  <c r="G111" i="11" a="1"/>
  <c r="G111" i="11" s="1"/>
  <c r="I416" i="16" s="1"/>
  <c r="G90" i="11" a="1"/>
  <c r="G90" i="11" s="1"/>
  <c r="I395" i="16" s="1"/>
  <c r="G58" i="11" a="1"/>
  <c r="G58" i="11" s="1"/>
  <c r="G124" i="11" a="1"/>
  <c r="G124" i="11" s="1"/>
  <c r="E53" i="11" a="1"/>
  <c r="E53" i="11" s="1"/>
  <c r="G129" i="11" a="1"/>
  <c r="G129" i="11" s="1"/>
  <c r="I434" i="16" s="1"/>
  <c r="C72" i="11" a="1"/>
  <c r="C72" i="11" s="1"/>
  <c r="E377" i="16" s="1"/>
  <c r="C83" i="11" a="1"/>
  <c r="C83" i="11" s="1"/>
  <c r="G136" i="11" a="1"/>
  <c r="G136" i="11" s="1"/>
  <c r="G138" i="11" a="1"/>
  <c r="G138" i="11" s="1"/>
  <c r="I443" i="16" s="1"/>
  <c r="E137" i="11" a="1"/>
  <c r="E137" i="11" s="1"/>
  <c r="C137" i="11" a="1"/>
  <c r="C137" i="11" s="1"/>
  <c r="E141" i="11" a="1"/>
  <c r="E141" i="11" s="1"/>
  <c r="G446" i="16" s="1"/>
  <c r="F141" i="11" a="1"/>
  <c r="F141" i="11" s="1"/>
  <c r="H446" i="16" s="1"/>
  <c r="E142" i="11" a="1"/>
  <c r="E142" i="11" s="1"/>
  <c r="C142" i="11" a="1"/>
  <c r="C142" i="11" s="1"/>
  <c r="D142" i="11" a="1"/>
  <c r="D142" i="11" s="1"/>
  <c r="G144" i="11" a="1"/>
  <c r="G144" i="11" s="1"/>
  <c r="I449" i="16" s="1"/>
  <c r="D144" i="11" a="1"/>
  <c r="D144" i="11" s="1"/>
  <c r="F449" i="16" s="1"/>
  <c r="E145" i="11" a="1"/>
  <c r="E145" i="11" s="1"/>
  <c r="F145" i="11" a="1"/>
  <c r="F145" i="11" s="1"/>
  <c r="G145" i="11" a="1"/>
  <c r="G145" i="11" s="1"/>
  <c r="D147" i="11" a="1"/>
  <c r="D147" i="11" s="1"/>
  <c r="F452" i="16" s="1"/>
  <c r="E147" i="11" a="1"/>
  <c r="E147" i="11" s="1"/>
  <c r="G452" i="16" s="1"/>
  <c r="G148" i="11" a="1"/>
  <c r="G148" i="11" s="1"/>
  <c r="D148" i="11" a="1"/>
  <c r="D148" i="11" s="1"/>
  <c r="C148" i="11" a="1"/>
  <c r="C148" i="11" s="1"/>
  <c r="G150" i="11" a="1"/>
  <c r="G150" i="11" s="1"/>
  <c r="I455" i="16" s="1"/>
  <c r="E150" i="11" a="1"/>
  <c r="E150" i="11" s="1"/>
  <c r="G455" i="16" s="1"/>
  <c r="G151" i="11" a="1"/>
  <c r="G151" i="11" s="1"/>
  <c r="F151" i="11" a="1"/>
  <c r="F151" i="11" s="1"/>
  <c r="E151" i="11" a="1"/>
  <c r="E151" i="11" s="1"/>
  <c r="G153" i="11" a="1"/>
  <c r="G153" i="11" s="1"/>
  <c r="I458" i="16" s="1"/>
  <c r="D153" i="11" a="1"/>
  <c r="D153" i="11" s="1"/>
  <c r="F458" i="16" s="1"/>
  <c r="D154" i="11" a="1"/>
  <c r="D154" i="11" s="1"/>
  <c r="C154" i="11" a="1"/>
  <c r="C154" i="11" s="1"/>
  <c r="G154" i="11" a="1"/>
  <c r="G154" i="11" s="1"/>
  <c r="E156" i="11" a="1"/>
  <c r="E156" i="11" s="1"/>
  <c r="G461" i="16" s="1"/>
  <c r="F116" i="11" a="1"/>
  <c r="F116" i="11" s="1"/>
  <c r="G117" i="11" a="1"/>
  <c r="G117" i="11" s="1"/>
  <c r="I422" i="16" s="1"/>
  <c r="C102" i="11" a="1"/>
  <c r="C102" i="11" s="1"/>
  <c r="E407" i="16" s="1"/>
  <c r="F78" i="11" a="1"/>
  <c r="F78" i="11" s="1"/>
  <c r="H383" i="16" s="1"/>
  <c r="C80" i="11" a="1"/>
  <c r="C80" i="11" s="1"/>
  <c r="D71" i="11" a="1"/>
  <c r="D71" i="11" s="1"/>
  <c r="E22" i="11" a="1"/>
  <c r="E22" i="11" s="1"/>
  <c r="E136" i="11" a="1"/>
  <c r="E136" i="11" s="1"/>
  <c r="E138" i="11" a="1"/>
  <c r="E138" i="11" s="1"/>
  <c r="G443" i="16" s="1"/>
  <c r="F139" i="11" a="1"/>
  <c r="F139" i="11" s="1"/>
  <c r="C139" i="11" a="1"/>
  <c r="C139" i="11" s="1"/>
  <c r="D139" i="11" a="1"/>
  <c r="D139" i="11" s="1"/>
  <c r="C140" i="11" a="1"/>
  <c r="C140" i="11" s="1"/>
  <c r="D140" i="11" a="1"/>
  <c r="D140" i="11" s="1"/>
  <c r="C141" i="11" a="1"/>
  <c r="C141" i="11" s="1"/>
  <c r="E446" i="16" s="1"/>
  <c r="G143" i="11" a="1"/>
  <c r="G143" i="11" s="1"/>
  <c r="D143" i="11" a="1"/>
  <c r="D143" i="11" s="1"/>
  <c r="E143" i="11" a="1"/>
  <c r="E143" i="11" s="1"/>
  <c r="C144" i="11" a="1"/>
  <c r="C144" i="11" s="1"/>
  <c r="E449" i="16" s="1"/>
  <c r="G146" i="11" a="1"/>
  <c r="G146" i="11" s="1"/>
  <c r="E146" i="11" a="1"/>
  <c r="E146" i="11" s="1"/>
  <c r="F146" i="11" a="1"/>
  <c r="F146" i="11" s="1"/>
  <c r="F147" i="11" a="1"/>
  <c r="F147" i="11" s="1"/>
  <c r="H452" i="16" s="1"/>
  <c r="D149" i="11" a="1"/>
  <c r="D149" i="11" s="1"/>
  <c r="F149" i="11" a="1"/>
  <c r="F149" i="11" s="1"/>
  <c r="C149" i="11" a="1"/>
  <c r="C149" i="11" s="1"/>
  <c r="F150" i="11" a="1"/>
  <c r="F150" i="11" s="1"/>
  <c r="H455" i="16" s="1"/>
  <c r="F152" i="11" a="1"/>
  <c r="F152" i="11" s="1"/>
  <c r="G152" i="11" a="1"/>
  <c r="G152" i="11" s="1"/>
  <c r="D152" i="11" a="1"/>
  <c r="D152" i="11" s="1"/>
  <c r="F153" i="11" a="1"/>
  <c r="F153" i="11" s="1"/>
  <c r="H458" i="16" s="1"/>
  <c r="G155" i="11" a="1"/>
  <c r="G155" i="11" s="1"/>
  <c r="F155" i="11" a="1"/>
  <c r="F155" i="11" s="1"/>
  <c r="C155" i="11" a="1"/>
  <c r="C155" i="11" s="1"/>
  <c r="C156" i="11" a="1"/>
  <c r="C156" i="11" s="1"/>
  <c r="E461" i="16" s="1"/>
  <c r="C158" i="11" a="1"/>
  <c r="C158" i="11" s="1"/>
  <c r="E158" i="11" a="1"/>
  <c r="E158" i="11" s="1"/>
  <c r="F158" i="11" a="1"/>
  <c r="F158" i="11" s="1"/>
  <c r="E110" i="11" a="1"/>
  <c r="E110" i="11" s="1"/>
  <c r="C114" i="11" a="1"/>
  <c r="C114" i="11" s="1"/>
  <c r="E419" i="16" s="1"/>
  <c r="E67" i="11" a="1"/>
  <c r="E67" i="11" s="1"/>
  <c r="D40" i="11" a="1"/>
  <c r="D40" i="11" s="1"/>
  <c r="D118" i="11" a="1"/>
  <c r="D118" i="11" s="1"/>
  <c r="D123" i="11" a="1"/>
  <c r="D123" i="11" s="1"/>
  <c r="F428" i="16" s="1"/>
  <c r="D104" i="11" a="1"/>
  <c r="D104" i="11" s="1"/>
  <c r="C73" i="11" a="1"/>
  <c r="C73" i="11" s="1"/>
  <c r="F138" i="11" a="1"/>
  <c r="F138" i="11" s="1"/>
  <c r="H443" i="16" s="1"/>
  <c r="G137" i="11" a="1"/>
  <c r="G137" i="11" s="1"/>
  <c r="F137" i="11" a="1"/>
  <c r="F137" i="11" s="1"/>
  <c r="D137" i="11" a="1"/>
  <c r="D137" i="11" s="1"/>
  <c r="G141" i="11" a="1"/>
  <c r="G141" i="11" s="1"/>
  <c r="I446" i="16" s="1"/>
  <c r="G142" i="11" a="1"/>
  <c r="G142" i="11" s="1"/>
  <c r="F142" i="11" a="1"/>
  <c r="F142" i="11" s="1"/>
  <c r="E144" i="11" a="1"/>
  <c r="E144" i="11" s="1"/>
  <c r="G449" i="16" s="1"/>
  <c r="D145" i="11" a="1"/>
  <c r="D145" i="11" s="1"/>
  <c r="C145" i="11" a="1"/>
  <c r="C145" i="11" s="1"/>
  <c r="C147" i="11" a="1"/>
  <c r="C147" i="11" s="1"/>
  <c r="E452" i="16" s="1"/>
  <c r="F148" i="11" a="1"/>
  <c r="F148" i="11" s="1"/>
  <c r="E148" i="11" a="1"/>
  <c r="E148" i="11" s="1"/>
  <c r="D150" i="11" a="1"/>
  <c r="D150" i="11" s="1"/>
  <c r="F455" i="16" s="1"/>
  <c r="D151" i="11" a="1"/>
  <c r="D151" i="11" s="1"/>
  <c r="C151" i="11" a="1"/>
  <c r="C151" i="11" s="1"/>
  <c r="C153" i="11" a="1"/>
  <c r="C153" i="11" s="1"/>
  <c r="E458" i="16" s="1"/>
  <c r="E154" i="11" a="1"/>
  <c r="E154" i="11" s="1"/>
  <c r="F154" i="11" a="1"/>
  <c r="F154" i="11" s="1"/>
  <c r="G156" i="11" a="1"/>
  <c r="G156" i="11" s="1"/>
  <c r="I461" i="16" s="1"/>
  <c r="G157" i="11" a="1"/>
  <c r="G157" i="11" s="1"/>
  <c r="C157" i="11" a="1"/>
  <c r="C157" i="11" s="1"/>
  <c r="C159" i="11" a="1"/>
  <c r="C159" i="11" s="1"/>
  <c r="E464" i="16" s="1"/>
  <c r="C160" i="11" a="1"/>
  <c r="C160" i="11" s="1"/>
  <c r="D160" i="11" a="1"/>
  <c r="D160" i="11" s="1"/>
  <c r="F162" i="11" a="1"/>
  <c r="F162" i="11" s="1"/>
  <c r="H467" i="16" s="1"/>
  <c r="C163" i="11" a="1"/>
  <c r="C163" i="11" s="1"/>
  <c r="G163" i="11" a="1"/>
  <c r="G163" i="11" s="1"/>
  <c r="E165" i="11" a="1"/>
  <c r="E165" i="11" s="1"/>
  <c r="G470" i="16" s="1"/>
  <c r="E157" i="11" a="1"/>
  <c r="E157" i="11" s="1"/>
  <c r="D159" i="11" a="1"/>
  <c r="D159" i="11" s="1"/>
  <c r="F464" i="16" s="1"/>
  <c r="D162" i="11" a="1"/>
  <c r="D162" i="11" s="1"/>
  <c r="F467" i="16" s="1"/>
  <c r="E163" i="11" a="1"/>
  <c r="E163" i="11" s="1"/>
  <c r="E164" i="11" a="1"/>
  <c r="E164" i="11" s="1"/>
  <c r="C165" i="11" a="1"/>
  <c r="C165" i="11" s="1"/>
  <c r="E470" i="16" s="1"/>
  <c r="G165" i="11" a="1"/>
  <c r="G165" i="11" s="1"/>
  <c r="I470" i="16" s="1"/>
  <c r="G166" i="11" a="1"/>
  <c r="G166" i="11" s="1"/>
  <c r="F166" i="11" a="1"/>
  <c r="F166" i="11" s="1"/>
  <c r="E166" i="11" a="1"/>
  <c r="E166" i="11" s="1"/>
  <c r="E168" i="11" a="1"/>
  <c r="E168" i="11" s="1"/>
  <c r="G473" i="16" s="1"/>
  <c r="C168" i="11" a="1"/>
  <c r="C168" i="11" s="1"/>
  <c r="E473" i="16" s="1"/>
  <c r="G169" i="11" a="1"/>
  <c r="G169" i="11" s="1"/>
  <c r="F169" i="11" a="1"/>
  <c r="F169" i="11" s="1"/>
  <c r="E169" i="11" a="1"/>
  <c r="E169" i="11" s="1"/>
  <c r="E171" i="11" a="1"/>
  <c r="E171" i="11" s="1"/>
  <c r="G476" i="16" s="1"/>
  <c r="F171" i="11" a="1"/>
  <c r="F171" i="11" s="1"/>
  <c r="H476" i="16" s="1"/>
  <c r="F172" i="11" a="1"/>
  <c r="F172" i="11" s="1"/>
  <c r="E172" i="11" a="1"/>
  <c r="E172" i="11" s="1"/>
  <c r="G172" i="11" a="1"/>
  <c r="G172" i="11" s="1"/>
  <c r="F174" i="11" a="1"/>
  <c r="F174" i="11" s="1"/>
  <c r="H479" i="16" s="1"/>
  <c r="D174" i="11" a="1"/>
  <c r="D174" i="11" s="1"/>
  <c r="F479" i="16" s="1"/>
  <c r="F175" i="11" a="1"/>
  <c r="F175" i="11" s="1"/>
  <c r="C175" i="11" a="1"/>
  <c r="C175" i="11" s="1"/>
  <c r="D175" i="11" a="1"/>
  <c r="D175" i="11" s="1"/>
  <c r="E177" i="11" a="1"/>
  <c r="E177" i="11" s="1"/>
  <c r="G482" i="16" s="1"/>
  <c r="D177" i="11" a="1"/>
  <c r="D177" i="11" s="1"/>
  <c r="F482" i="16" s="1"/>
  <c r="F178" i="11" a="1"/>
  <c r="F178" i="11" s="1"/>
  <c r="E178" i="11" a="1"/>
  <c r="E178" i="11" s="1"/>
  <c r="G178" i="11" a="1"/>
  <c r="G178" i="11" s="1"/>
  <c r="F180" i="11" a="1"/>
  <c r="F180" i="11" s="1"/>
  <c r="H485" i="16" s="1"/>
  <c r="E180" i="11" a="1"/>
  <c r="E180" i="11" s="1"/>
  <c r="G485" i="16" s="1"/>
  <c r="G181" i="11" a="1"/>
  <c r="G181" i="11" s="1"/>
  <c r="C181" i="11" a="1"/>
  <c r="C181" i="11" s="1"/>
  <c r="D181" i="11" a="1"/>
  <c r="D181" i="11" s="1"/>
  <c r="C183" i="11" a="1"/>
  <c r="C183" i="11" s="1"/>
  <c r="E488" i="16" s="1"/>
  <c r="D183" i="11" a="1"/>
  <c r="D183" i="11" s="1"/>
  <c r="F488" i="16" s="1"/>
  <c r="C184" i="11" a="1"/>
  <c r="C184" i="11" s="1"/>
  <c r="E184" i="11" a="1"/>
  <c r="E184" i="11" s="1"/>
  <c r="D184" i="11" a="1"/>
  <c r="D184" i="11" s="1"/>
  <c r="F186" i="11" a="1"/>
  <c r="F186" i="11" s="1"/>
  <c r="H491" i="16" s="1"/>
  <c r="C186" i="11" a="1"/>
  <c r="C186" i="11" s="1"/>
  <c r="E491" i="16" s="1"/>
  <c r="C187" i="11" a="1"/>
  <c r="C187" i="11" s="1"/>
  <c r="G187" i="11" a="1"/>
  <c r="G187" i="11" s="1"/>
  <c r="F187" i="11" a="1"/>
  <c r="F187" i="11" s="1"/>
  <c r="D189" i="11" a="1"/>
  <c r="D189" i="11" s="1"/>
  <c r="F494" i="16" s="1"/>
  <c r="E189" i="11" a="1"/>
  <c r="E189" i="11" s="1"/>
  <c r="G494" i="16" s="1"/>
  <c r="E190" i="11" a="1"/>
  <c r="E190" i="11" s="1"/>
  <c r="D190" i="11" a="1"/>
  <c r="D190" i="11" s="1"/>
  <c r="C190" i="11" a="1"/>
  <c r="C190" i="11" s="1"/>
  <c r="D192" i="11" a="1"/>
  <c r="D192" i="11" s="1"/>
  <c r="F497" i="16" s="1"/>
  <c r="E192" i="11" a="1"/>
  <c r="E192" i="11" s="1"/>
  <c r="G497" i="16" s="1"/>
  <c r="D193" i="11" a="1"/>
  <c r="D193" i="11" s="1"/>
  <c r="F193" i="11" a="1"/>
  <c r="F193" i="11" s="1"/>
  <c r="G193" i="11" a="1"/>
  <c r="G193" i="11" s="1"/>
  <c r="E195" i="11" a="1"/>
  <c r="E195" i="11" s="1"/>
  <c r="G500" i="16" s="1"/>
  <c r="D195" i="11" a="1"/>
  <c r="D195" i="11" s="1"/>
  <c r="F500" i="16" s="1"/>
  <c r="C196" i="11" a="1"/>
  <c r="C196" i="11" s="1"/>
  <c r="G196" i="11" a="1"/>
  <c r="G196" i="11" s="1"/>
  <c r="D196" i="11" a="1"/>
  <c r="D196" i="11" s="1"/>
  <c r="D198" i="11" a="1"/>
  <c r="D198" i="11" s="1"/>
  <c r="F503" i="16" s="1"/>
  <c r="C198" i="11" a="1"/>
  <c r="C198" i="11" s="1"/>
  <c r="E503" i="16" s="1"/>
  <c r="F199" i="11" a="1"/>
  <c r="F199" i="11" s="1"/>
  <c r="D199" i="11" a="1"/>
  <c r="D199" i="11" s="1"/>
  <c r="G199" i="11" a="1"/>
  <c r="G199" i="11" s="1"/>
  <c r="G201" i="11" a="1"/>
  <c r="G201" i="11" s="1"/>
  <c r="I506" i="16" s="1"/>
  <c r="D201" i="11" a="1"/>
  <c r="D201" i="11" s="1"/>
  <c r="F506" i="16" s="1"/>
  <c r="D202" i="11" a="1"/>
  <c r="D202" i="11" s="1"/>
  <c r="G202" i="11" a="1"/>
  <c r="G202" i="11" s="1"/>
  <c r="E202" i="11" a="1"/>
  <c r="E202" i="11" s="1"/>
  <c r="E204" i="11" a="1"/>
  <c r="E204" i="11" s="1"/>
  <c r="G509" i="16" s="1"/>
  <c r="F204" i="11" a="1"/>
  <c r="F204" i="11" s="1"/>
  <c r="H509" i="16" s="1"/>
  <c r="C205" i="11" a="1"/>
  <c r="C205" i="11" s="1"/>
  <c r="F205" i="11" a="1"/>
  <c r="F205" i="11" s="1"/>
  <c r="G205" i="11" a="1"/>
  <c r="G205" i="11" s="1"/>
  <c r="E207" i="11" a="1"/>
  <c r="E207" i="11" s="1"/>
  <c r="G512" i="16" s="1"/>
  <c r="D207" i="11" a="1"/>
  <c r="D207" i="11" s="1"/>
  <c r="F512" i="16" s="1"/>
  <c r="E208" i="11" a="1"/>
  <c r="E208" i="11" s="1"/>
  <c r="C208" i="11" a="1"/>
  <c r="C208" i="11" s="1"/>
  <c r="D208" i="11" a="1"/>
  <c r="D208" i="11" s="1"/>
  <c r="E210" i="11" a="1"/>
  <c r="E210" i="11" s="1"/>
  <c r="G515" i="16" s="1"/>
  <c r="D210" i="11" a="1"/>
  <c r="D210" i="11" s="1"/>
  <c r="F515" i="16" s="1"/>
  <c r="G211" i="11" a="1"/>
  <c r="G211" i="11" s="1"/>
  <c r="C211" i="11" a="1"/>
  <c r="C211" i="11" s="1"/>
  <c r="F211" i="11" a="1"/>
  <c r="F211" i="11" s="1"/>
  <c r="F213" i="11" a="1"/>
  <c r="F213" i="11" s="1"/>
  <c r="H518" i="16" s="1"/>
  <c r="G213" i="11" a="1"/>
  <c r="G213" i="11" s="1"/>
  <c r="I518" i="16" s="1"/>
  <c r="C214" i="11" a="1"/>
  <c r="C214" i="11" s="1"/>
  <c r="E214" i="11" a="1"/>
  <c r="E214" i="11" s="1"/>
  <c r="D214" i="11" a="1"/>
  <c r="D214" i="11" s="1"/>
  <c r="E216" i="11" a="1"/>
  <c r="E216" i="11" s="1"/>
  <c r="G521" i="16" s="1"/>
  <c r="D216" i="11" a="1"/>
  <c r="D216" i="11" s="1"/>
  <c r="F521" i="16" s="1"/>
  <c r="F217" i="11" a="1"/>
  <c r="F217" i="11" s="1"/>
  <c r="D217" i="11" a="1"/>
  <c r="D217" i="11" s="1"/>
  <c r="F157" i="11" a="1"/>
  <c r="F157" i="11" s="1"/>
  <c r="F159" i="11" a="1"/>
  <c r="F159" i="11" s="1"/>
  <c r="H464" i="16" s="1"/>
  <c r="F160" i="11" a="1"/>
  <c r="F160" i="11" s="1"/>
  <c r="E160" i="11" a="1"/>
  <c r="E160" i="11" s="1"/>
  <c r="E161" i="11" a="1"/>
  <c r="E161" i="11" s="1"/>
  <c r="E162" i="11" a="1"/>
  <c r="E162" i="11" s="1"/>
  <c r="G467" i="16" s="1"/>
  <c r="F163" i="11" a="1"/>
  <c r="F163" i="11" s="1"/>
  <c r="F164" i="11" a="1"/>
  <c r="F164" i="11" s="1"/>
  <c r="D165" i="11" a="1"/>
  <c r="D165" i="11" s="1"/>
  <c r="F470" i="16" s="1"/>
  <c r="F167" i="11" a="1"/>
  <c r="F167" i="11" s="1"/>
  <c r="D167" i="11" a="1"/>
  <c r="D167" i="11" s="1"/>
  <c r="C167" i="11" a="1"/>
  <c r="C167" i="11" s="1"/>
  <c r="G168" i="11" a="1"/>
  <c r="G168" i="11" s="1"/>
  <c r="I473" i="16" s="1"/>
  <c r="C170" i="11" a="1"/>
  <c r="C170" i="11" s="1"/>
  <c r="E170" i="11" a="1"/>
  <c r="E170" i="11" s="1"/>
  <c r="D170" i="11" a="1"/>
  <c r="D170" i="11" s="1"/>
  <c r="G171" i="11" a="1"/>
  <c r="G171" i="11" s="1"/>
  <c r="I476" i="16" s="1"/>
  <c r="G173" i="11" a="1"/>
  <c r="G173" i="11" s="1"/>
  <c r="D173" i="11" a="1"/>
  <c r="D173" i="11" s="1"/>
  <c r="E173" i="11" a="1"/>
  <c r="E173" i="11" s="1"/>
  <c r="G174" i="11" a="1"/>
  <c r="G174" i="11" s="1"/>
  <c r="I479" i="16" s="1"/>
  <c r="G176" i="11" a="1"/>
  <c r="G176" i="11" s="1"/>
  <c r="D176" i="11" a="1"/>
  <c r="D176" i="11" s="1"/>
  <c r="F176" i="11" a="1"/>
  <c r="F176" i="11" s="1"/>
  <c r="F177" i="11" a="1"/>
  <c r="F177" i="11" s="1"/>
  <c r="H482" i="16" s="1"/>
  <c r="E179" i="11" a="1"/>
  <c r="E179" i="11" s="1"/>
  <c r="D179" i="11" a="1"/>
  <c r="D179" i="11" s="1"/>
  <c r="G179" i="11" a="1"/>
  <c r="G179" i="11" s="1"/>
  <c r="D180" i="11" a="1"/>
  <c r="D180" i="11" s="1"/>
  <c r="F485" i="16" s="1"/>
  <c r="G182" i="11" a="1"/>
  <c r="G182" i="11" s="1"/>
  <c r="C182" i="11" a="1"/>
  <c r="C182" i="11" s="1"/>
  <c r="F182" i="11" a="1"/>
  <c r="F182" i="11" s="1"/>
  <c r="E183" i="11" a="1"/>
  <c r="E183" i="11" s="1"/>
  <c r="G488" i="16" s="1"/>
  <c r="F185" i="11" a="1"/>
  <c r="F185" i="11" s="1"/>
  <c r="G185" i="11" a="1"/>
  <c r="G185" i="11" s="1"/>
  <c r="C185" i="11" a="1"/>
  <c r="C185" i="11" s="1"/>
  <c r="D186" i="11" a="1"/>
  <c r="D186" i="11" s="1"/>
  <c r="F491" i="16" s="1"/>
  <c r="E188" i="11" a="1"/>
  <c r="E188" i="11" s="1"/>
  <c r="G188" i="11" a="1"/>
  <c r="G188" i="11" s="1"/>
  <c r="F188" i="11" a="1"/>
  <c r="F188" i="11" s="1"/>
  <c r="G189" i="11" a="1"/>
  <c r="G189" i="11" s="1"/>
  <c r="I494" i="16" s="1"/>
  <c r="E191" i="11" a="1"/>
  <c r="E191" i="11" s="1"/>
  <c r="C191" i="11" a="1"/>
  <c r="C191" i="11" s="1"/>
  <c r="G191" i="11" a="1"/>
  <c r="G191" i="11" s="1"/>
  <c r="C192" i="11" a="1"/>
  <c r="C192" i="11" s="1"/>
  <c r="E497" i="16" s="1"/>
  <c r="F194" i="11" a="1"/>
  <c r="F194" i="11" s="1"/>
  <c r="G194" i="11" a="1"/>
  <c r="G194" i="11" s="1"/>
  <c r="D194" i="11" a="1"/>
  <c r="D194" i="11" s="1"/>
  <c r="F195" i="11" a="1"/>
  <c r="F195" i="11" s="1"/>
  <c r="H500" i="16" s="1"/>
  <c r="F197" i="11" a="1"/>
  <c r="F197" i="11" s="1"/>
  <c r="D197" i="11" a="1"/>
  <c r="D197" i="11" s="1"/>
  <c r="G197" i="11" a="1"/>
  <c r="G197" i="11" s="1"/>
  <c r="F198" i="11" a="1"/>
  <c r="F198" i="11" s="1"/>
  <c r="H503" i="16" s="1"/>
  <c r="G200" i="11" a="1"/>
  <c r="G200" i="11" s="1"/>
  <c r="E200" i="11" a="1"/>
  <c r="E200" i="11" s="1"/>
  <c r="C200" i="11" a="1"/>
  <c r="C200" i="11" s="1"/>
  <c r="C201" i="11" a="1"/>
  <c r="C201" i="11" s="1"/>
  <c r="E506" i="16" s="1"/>
  <c r="D203" i="11" a="1"/>
  <c r="D203" i="11" s="1"/>
  <c r="F203" i="11" a="1"/>
  <c r="F203" i="11" s="1"/>
  <c r="E203" i="11" a="1"/>
  <c r="E203" i="11" s="1"/>
  <c r="G204" i="11" a="1"/>
  <c r="G204" i="11" s="1"/>
  <c r="I509" i="16" s="1"/>
  <c r="C206" i="11" a="1"/>
  <c r="C206" i="11" s="1"/>
  <c r="G206" i="11" a="1"/>
  <c r="G206" i="11" s="1"/>
  <c r="F206" i="11" a="1"/>
  <c r="F206" i="11" s="1"/>
  <c r="F207" i="11" a="1"/>
  <c r="F207" i="11" s="1"/>
  <c r="H512" i="16" s="1"/>
  <c r="G209" i="11" a="1"/>
  <c r="G209" i="11" s="1"/>
  <c r="D209" i="11" a="1"/>
  <c r="D209" i="11" s="1"/>
  <c r="C209" i="11" a="1"/>
  <c r="C209" i="11" s="1"/>
  <c r="G210" i="11" a="1"/>
  <c r="G210" i="11" s="1"/>
  <c r="I515" i="16" s="1"/>
  <c r="F212" i="11" a="1"/>
  <c r="F212" i="11" s="1"/>
  <c r="C212" i="11" a="1"/>
  <c r="C212" i="11" s="1"/>
  <c r="G212" i="11" a="1"/>
  <c r="G212" i="11" s="1"/>
  <c r="C213" i="11" a="1"/>
  <c r="C213" i="11" s="1"/>
  <c r="E518" i="16" s="1"/>
  <c r="D215" i="11" a="1"/>
  <c r="D215" i="11" s="1"/>
  <c r="C215" i="11" a="1"/>
  <c r="C215" i="11" s="1"/>
  <c r="G215" i="11" a="1"/>
  <c r="G215" i="11" s="1"/>
  <c r="C216" i="11" a="1"/>
  <c r="C216" i="11" s="1"/>
  <c r="E521" i="16" s="1"/>
  <c r="G218" i="11" a="1"/>
  <c r="G218" i="11" s="1"/>
  <c r="E218" i="11" a="1"/>
  <c r="E218" i="11" s="1"/>
  <c r="C218" i="11" a="1"/>
  <c r="C218" i="11" s="1"/>
  <c r="E219" i="11" a="1"/>
  <c r="E219" i="11" s="1"/>
  <c r="G524" i="16" s="1"/>
  <c r="C221" i="11" a="1"/>
  <c r="C221" i="11" s="1"/>
  <c r="F221" i="11" a="1"/>
  <c r="F221" i="11" s="1"/>
  <c r="G221" i="11" a="1"/>
  <c r="G221" i="11" s="1"/>
  <c r="G222" i="11" a="1"/>
  <c r="G222" i="11" s="1"/>
  <c r="I527" i="16" s="1"/>
  <c r="E224" i="11" a="1"/>
  <c r="E224" i="11" s="1"/>
  <c r="G224" i="11" a="1"/>
  <c r="G224" i="11" s="1"/>
  <c r="C224" i="11" a="1"/>
  <c r="C224" i="11" s="1"/>
  <c r="E225" i="11" a="1"/>
  <c r="E225" i="11" s="1"/>
  <c r="G530" i="16" s="1"/>
  <c r="D227" i="11" a="1"/>
  <c r="D227" i="11" s="1"/>
  <c r="F227" i="11" a="1"/>
  <c r="F227" i="11" s="1"/>
  <c r="G227" i="11" a="1"/>
  <c r="G227" i="11" s="1"/>
  <c r="G228" i="11" a="1"/>
  <c r="G228" i="11" s="1"/>
  <c r="I533" i="16" s="1"/>
  <c r="D156" i="11" a="1"/>
  <c r="D156" i="11" s="1"/>
  <c r="F461" i="16" s="1"/>
  <c r="D157" i="11" a="1"/>
  <c r="D157" i="11" s="1"/>
  <c r="G159" i="11" a="1"/>
  <c r="G159" i="11" s="1"/>
  <c r="I464" i="16" s="1"/>
  <c r="G162" i="11" a="1"/>
  <c r="G162" i="11" s="1"/>
  <c r="I467" i="16" s="1"/>
  <c r="C164" i="11" a="1"/>
  <c r="C164" i="11" s="1"/>
  <c r="G164" i="11" a="1"/>
  <c r="G164" i="11" s="1"/>
  <c r="F165" i="11" a="1"/>
  <c r="F165" i="11" s="1"/>
  <c r="H470" i="16" s="1"/>
  <c r="C166" i="11" a="1"/>
  <c r="C166" i="11" s="1"/>
  <c r="D166" i="11" a="1"/>
  <c r="D166" i="11" s="1"/>
  <c r="D168" i="11" a="1"/>
  <c r="D168" i="11" s="1"/>
  <c r="F473" i="16" s="1"/>
  <c r="D169" i="11" a="1"/>
  <c r="D169" i="11" s="1"/>
  <c r="C169" i="11" a="1"/>
  <c r="C169" i="11" s="1"/>
  <c r="D171" i="11" a="1"/>
  <c r="D171" i="11" s="1"/>
  <c r="F476" i="16" s="1"/>
  <c r="D172" i="11" a="1"/>
  <c r="D172" i="11" s="1"/>
  <c r="C172" i="11" a="1"/>
  <c r="C172" i="11" s="1"/>
  <c r="C174" i="11" a="1"/>
  <c r="C174" i="11" s="1"/>
  <c r="E479" i="16" s="1"/>
  <c r="G175" i="11" a="1"/>
  <c r="G175" i="11" s="1"/>
  <c r="E175" i="11" a="1"/>
  <c r="E175" i="11" s="1"/>
  <c r="G177" i="11" a="1"/>
  <c r="G177" i="11" s="1"/>
  <c r="I482" i="16" s="1"/>
  <c r="D178" i="11" a="1"/>
  <c r="D178" i="11" s="1"/>
  <c r="C178" i="11" a="1"/>
  <c r="C178" i="11" s="1"/>
  <c r="G180" i="11" a="1"/>
  <c r="G180" i="11" s="1"/>
  <c r="I485" i="16" s="1"/>
  <c r="E181" i="11" a="1"/>
  <c r="E181" i="11" s="1"/>
  <c r="F181" i="11" a="1"/>
  <c r="F181" i="11" s="1"/>
  <c r="F183" i="11" a="1"/>
  <c r="F183" i="11" s="1"/>
  <c r="H488" i="16" s="1"/>
  <c r="G184" i="11" a="1"/>
  <c r="G184" i="11" s="1"/>
  <c r="F184" i="11" a="1"/>
  <c r="F184" i="11" s="1"/>
  <c r="G186" i="11" a="1"/>
  <c r="G186" i="11" s="1"/>
  <c r="I491" i="16" s="1"/>
  <c r="D187" i="11" a="1"/>
  <c r="D187" i="11" s="1"/>
  <c r="E187" i="11" a="1"/>
  <c r="E187" i="11" s="1"/>
  <c r="C189" i="11" a="1"/>
  <c r="C189" i="11" s="1"/>
  <c r="E494" i="16" s="1"/>
  <c r="F190" i="11" a="1"/>
  <c r="F190" i="11" s="1"/>
  <c r="G190" i="11" a="1"/>
  <c r="G190" i="11" s="1"/>
  <c r="G192" i="11" a="1"/>
  <c r="G192" i="11" s="1"/>
  <c r="I497" i="16" s="1"/>
  <c r="E193" i="11" a="1"/>
  <c r="E193" i="11" s="1"/>
  <c r="C193" i="11" a="1"/>
  <c r="C193" i="11" s="1"/>
  <c r="G195" i="11" a="1"/>
  <c r="G195" i="11" s="1"/>
  <c r="I500" i="16" s="1"/>
  <c r="E196" i="11" a="1"/>
  <c r="E196" i="11" s="1"/>
  <c r="F196" i="11" a="1"/>
  <c r="F196" i="11" s="1"/>
  <c r="G198" i="11" a="1"/>
  <c r="G198" i="11" s="1"/>
  <c r="I503" i="16" s="1"/>
  <c r="C199" i="11" a="1"/>
  <c r="C199" i="11" s="1"/>
  <c r="E199" i="11" a="1"/>
  <c r="E199" i="11" s="1"/>
  <c r="E201" i="11" a="1"/>
  <c r="E201" i="11" s="1"/>
  <c r="G506" i="16" s="1"/>
  <c r="C202" i="11" a="1"/>
  <c r="C202" i="11" s="1"/>
  <c r="F202" i="11" a="1"/>
  <c r="F202" i="11" s="1"/>
  <c r="D204" i="11" a="1"/>
  <c r="D204" i="11" s="1"/>
  <c r="F509" i="16" s="1"/>
  <c r="D205" i="11" a="1"/>
  <c r="D205" i="11" s="1"/>
  <c r="E205" i="11" a="1"/>
  <c r="E205" i="11" s="1"/>
  <c r="G207" i="11" a="1"/>
  <c r="G207" i="11" s="1"/>
  <c r="I512" i="16" s="1"/>
  <c r="F208" i="11" a="1"/>
  <c r="F208" i="11" s="1"/>
  <c r="G208" i="11" a="1"/>
  <c r="G208" i="11" s="1"/>
  <c r="F210" i="11" a="1"/>
  <c r="F210" i="11" s="1"/>
  <c r="H515" i="16" s="1"/>
  <c r="D211" i="11" a="1"/>
  <c r="D211" i="11" s="1"/>
  <c r="E211" i="11" a="1"/>
  <c r="E211" i="11" s="1"/>
  <c r="E213" i="11" a="1"/>
  <c r="E213" i="11" s="1"/>
  <c r="G518" i="16" s="1"/>
  <c r="G214" i="11" a="1"/>
  <c r="G214" i="11" s="1"/>
  <c r="F214" i="11" a="1"/>
  <c r="F214" i="11" s="1"/>
  <c r="F216" i="11" a="1"/>
  <c r="F216" i="11" s="1"/>
  <c r="H521" i="16" s="1"/>
  <c r="G217" i="11" a="1"/>
  <c r="G217" i="11" s="1"/>
  <c r="C217" i="11" a="1"/>
  <c r="C217" i="11" s="1"/>
  <c r="D219" i="11" a="1"/>
  <c r="D219" i="11" s="1"/>
  <c r="F524" i="16" s="1"/>
  <c r="C220" i="11" a="1"/>
  <c r="C220" i="11" s="1"/>
  <c r="G220" i="11" a="1"/>
  <c r="G220" i="11" s="1"/>
  <c r="C222" i="11" a="1"/>
  <c r="C222" i="11" s="1"/>
  <c r="E527" i="16" s="1"/>
  <c r="G223" i="11" a="1"/>
  <c r="G223" i="11" s="1"/>
  <c r="C223" i="11" a="1"/>
  <c r="C223" i="11" s="1"/>
  <c r="C225" i="11" a="1"/>
  <c r="C225" i="11" s="1"/>
  <c r="E530" i="16" s="1"/>
  <c r="E226" i="11" a="1"/>
  <c r="E226" i="11" s="1"/>
  <c r="C226" i="11" a="1"/>
  <c r="C226" i="11" s="1"/>
  <c r="C228" i="11" a="1"/>
  <c r="C228" i="11" s="1"/>
  <c r="E533" i="16" s="1"/>
  <c r="G229" i="11" a="1"/>
  <c r="G229" i="11" s="1"/>
  <c r="E229" i="11" a="1"/>
  <c r="E229" i="11" s="1"/>
  <c r="C231" i="11" a="1"/>
  <c r="C231" i="11" s="1"/>
  <c r="E536" i="16" s="1"/>
  <c r="F232" i="11" a="1"/>
  <c r="F232" i="11" s="1"/>
  <c r="D232" i="11" a="1"/>
  <c r="D232" i="11" s="1"/>
  <c r="G234" i="11" a="1"/>
  <c r="G234" i="11" s="1"/>
  <c r="I539" i="16" s="1"/>
  <c r="E235" i="11" a="1"/>
  <c r="E235" i="11" s="1"/>
  <c r="D235" i="11" a="1"/>
  <c r="D235" i="11" s="1"/>
  <c r="F237" i="11" a="1"/>
  <c r="F237" i="11" s="1"/>
  <c r="H542" i="16" s="1"/>
  <c r="F238" i="11" a="1"/>
  <c r="F238" i="11" s="1"/>
  <c r="G238" i="11" a="1"/>
  <c r="G238" i="11" s="1"/>
  <c r="E240" i="11" a="1"/>
  <c r="E240" i="11" s="1"/>
  <c r="G545" i="16" s="1"/>
  <c r="G241" i="11" a="1"/>
  <c r="G241" i="11" s="1"/>
  <c r="E241" i="11" a="1"/>
  <c r="E241" i="11" s="1"/>
  <c r="C243" i="11" a="1"/>
  <c r="C243" i="11" s="1"/>
  <c r="E548" i="16" s="1"/>
  <c r="G244" i="11" a="1"/>
  <c r="G244" i="11" s="1"/>
  <c r="F244" i="11" a="1"/>
  <c r="F244" i="11" s="1"/>
  <c r="G246" i="11" a="1"/>
  <c r="G246" i="11" s="1"/>
  <c r="I551" i="16" s="1"/>
  <c r="E247" i="11" a="1"/>
  <c r="E247" i="11" s="1"/>
  <c r="D247" i="11" a="1"/>
  <c r="D247" i="11" s="1"/>
  <c r="F249" i="11" a="1"/>
  <c r="F249" i="11" s="1"/>
  <c r="H554" i="16" s="1"/>
  <c r="F250" i="11" a="1"/>
  <c r="F250" i="11" s="1"/>
  <c r="E250" i="11" a="1"/>
  <c r="E250" i="11" s="1"/>
  <c r="G160" i="11" a="1"/>
  <c r="G160" i="11" s="1"/>
  <c r="D161" i="11" a="1"/>
  <c r="D161" i="11" s="1"/>
  <c r="C161" i="11" a="1"/>
  <c r="C161" i="11" s="1"/>
  <c r="C162" i="11" a="1"/>
  <c r="C162" i="11" s="1"/>
  <c r="E467" i="16" s="1"/>
  <c r="D163" i="11" a="1"/>
  <c r="D163" i="11" s="1"/>
  <c r="D164" i="11" a="1"/>
  <c r="D164" i="11" s="1"/>
  <c r="G167" i="11" a="1"/>
  <c r="G167" i="11" s="1"/>
  <c r="E167" i="11" a="1"/>
  <c r="E167" i="11" s="1"/>
  <c r="F168" i="11" a="1"/>
  <c r="F168" i="11" s="1"/>
  <c r="H473" i="16" s="1"/>
  <c r="F170" i="11" a="1"/>
  <c r="F170" i="11" s="1"/>
  <c r="G170" i="11" a="1"/>
  <c r="G170" i="11" s="1"/>
  <c r="C171" i="11" a="1"/>
  <c r="C171" i="11" s="1"/>
  <c r="E476" i="16" s="1"/>
  <c r="F173" i="11" a="1"/>
  <c r="F173" i="11" s="1"/>
  <c r="C173" i="11" a="1"/>
  <c r="C173" i="11" s="1"/>
  <c r="E174" i="11" a="1"/>
  <c r="E174" i="11" s="1"/>
  <c r="G479" i="16" s="1"/>
  <c r="E176" i="11" a="1"/>
  <c r="E176" i="11" s="1"/>
  <c r="C176" i="11" a="1"/>
  <c r="C176" i="11" s="1"/>
  <c r="C177" i="11" a="1"/>
  <c r="C177" i="11" s="1"/>
  <c r="E482" i="16" s="1"/>
  <c r="F179" i="11" a="1"/>
  <c r="F179" i="11" s="1"/>
  <c r="C179" i="11" a="1"/>
  <c r="C179" i="11" s="1"/>
  <c r="C180" i="11" a="1"/>
  <c r="C180" i="11" s="1"/>
  <c r="E485" i="16" s="1"/>
  <c r="D182" i="11" a="1"/>
  <c r="D182" i="11" s="1"/>
  <c r="E182" i="11" a="1"/>
  <c r="E182" i="11" s="1"/>
  <c r="G183" i="11" a="1"/>
  <c r="G183" i="11" s="1"/>
  <c r="I488" i="16" s="1"/>
  <c r="E185" i="11" a="1"/>
  <c r="E185" i="11" s="1"/>
  <c r="D185" i="11" a="1"/>
  <c r="D185" i="11" s="1"/>
  <c r="E186" i="11" a="1"/>
  <c r="E186" i="11" s="1"/>
  <c r="G491" i="16" s="1"/>
  <c r="D188" i="11" a="1"/>
  <c r="D188" i="11" s="1"/>
  <c r="C188" i="11" a="1"/>
  <c r="C188" i="11" s="1"/>
  <c r="F189" i="11" a="1"/>
  <c r="F189" i="11" s="1"/>
  <c r="H494" i="16" s="1"/>
  <c r="F191" i="11" a="1"/>
  <c r="F191" i="11" s="1"/>
  <c r="D191" i="11" a="1"/>
  <c r="D191" i="11" s="1"/>
  <c r="F192" i="11" a="1"/>
  <c r="F192" i="11" s="1"/>
  <c r="H497" i="16" s="1"/>
  <c r="C194" i="11" a="1"/>
  <c r="C194" i="11" s="1"/>
  <c r="E194" i="11" a="1"/>
  <c r="E194" i="11" s="1"/>
  <c r="C195" i="11" a="1"/>
  <c r="C195" i="11" s="1"/>
  <c r="E500" i="16" s="1"/>
  <c r="C197" i="11" a="1"/>
  <c r="C197" i="11" s="1"/>
  <c r="E197" i="11" a="1"/>
  <c r="E197" i="11" s="1"/>
  <c r="E198" i="11" a="1"/>
  <c r="E198" i="11" s="1"/>
  <c r="G503" i="16" s="1"/>
  <c r="F200" i="11" a="1"/>
  <c r="F200" i="11" s="1"/>
  <c r="D200" i="11" a="1"/>
  <c r="D200" i="11" s="1"/>
  <c r="F201" i="11" a="1"/>
  <c r="F201" i="11" s="1"/>
  <c r="H506" i="16" s="1"/>
  <c r="C203" i="11" a="1"/>
  <c r="C203" i="11" s="1"/>
  <c r="G203" i="11" a="1"/>
  <c r="G203" i="11" s="1"/>
  <c r="C204" i="11" a="1"/>
  <c r="C204" i="11" s="1"/>
  <c r="E509" i="16" s="1"/>
  <c r="D206" i="11" a="1"/>
  <c r="D206" i="11" s="1"/>
  <c r="E206" i="11" a="1"/>
  <c r="E206" i="11" s="1"/>
  <c r="C207" i="11" a="1"/>
  <c r="C207" i="11" s="1"/>
  <c r="E512" i="16" s="1"/>
  <c r="F209" i="11" a="1"/>
  <c r="F209" i="11" s="1"/>
  <c r="E209" i="11" a="1"/>
  <c r="E209" i="11" s="1"/>
  <c r="C210" i="11" a="1"/>
  <c r="C210" i="11" s="1"/>
  <c r="E515" i="16" s="1"/>
  <c r="D212" i="11" a="1"/>
  <c r="D212" i="11" s="1"/>
  <c r="E212" i="11" a="1"/>
  <c r="E212" i="11" s="1"/>
  <c r="D213" i="11" a="1"/>
  <c r="D213" i="11" s="1"/>
  <c r="F518" i="16" s="1"/>
  <c r="E215" i="11" a="1"/>
  <c r="E215" i="11" s="1"/>
  <c r="F215" i="11" a="1"/>
  <c r="F215" i="11" s="1"/>
  <c r="G216" i="11" a="1"/>
  <c r="G216" i="11" s="1"/>
  <c r="I521" i="16" s="1"/>
  <c r="D218" i="11" a="1"/>
  <c r="D218" i="11" s="1"/>
  <c r="F218" i="11" a="1"/>
  <c r="F218" i="11" s="1"/>
  <c r="C219" i="11" a="1"/>
  <c r="C219" i="11" s="1"/>
  <c r="E524" i="16" s="1"/>
  <c r="E221" i="11" a="1"/>
  <c r="E221" i="11" s="1"/>
  <c r="D221" i="11" a="1"/>
  <c r="D221" i="11" s="1"/>
  <c r="D222" i="11" a="1"/>
  <c r="D222" i="11" s="1"/>
  <c r="F527" i="16" s="1"/>
  <c r="D224" i="11" a="1"/>
  <c r="D224" i="11" s="1"/>
  <c r="F224" i="11" a="1"/>
  <c r="F224" i="11" s="1"/>
  <c r="D225" i="11" a="1"/>
  <c r="D225" i="11" s="1"/>
  <c r="F530" i="16" s="1"/>
  <c r="E227" i="11" a="1"/>
  <c r="E227" i="11" s="1"/>
  <c r="C227" i="11" a="1"/>
  <c r="C227" i="11" s="1"/>
  <c r="E228" i="11" a="1"/>
  <c r="E228" i="11" s="1"/>
  <c r="G533" i="16" s="1"/>
  <c r="C230" i="11" a="1"/>
  <c r="C230" i="11" s="1"/>
  <c r="D230" i="11" a="1"/>
  <c r="D230" i="11" s="1"/>
  <c r="G231" i="11" a="1"/>
  <c r="G231" i="11" s="1"/>
  <c r="I536" i="16" s="1"/>
  <c r="C233" i="11" a="1"/>
  <c r="C233" i="11" s="1"/>
  <c r="G233" i="11" a="1"/>
  <c r="G233" i="11" s="1"/>
  <c r="E234" i="11" a="1"/>
  <c r="E234" i="11" s="1"/>
  <c r="G539" i="16" s="1"/>
  <c r="D236" i="11" a="1"/>
  <c r="D236" i="11" s="1"/>
  <c r="C236" i="11" a="1"/>
  <c r="C236" i="11" s="1"/>
  <c r="E237" i="11" a="1"/>
  <c r="E237" i="11" s="1"/>
  <c r="G542" i="16" s="1"/>
  <c r="D239" i="11" a="1"/>
  <c r="D239" i="11" s="1"/>
  <c r="C239" i="11" a="1"/>
  <c r="C239" i="11" s="1"/>
  <c r="G240" i="11" a="1"/>
  <c r="G240" i="11" s="1"/>
  <c r="I545" i="16" s="1"/>
  <c r="E242" i="11" a="1"/>
  <c r="E242" i="11" s="1"/>
  <c r="F242" i="11" a="1"/>
  <c r="F242" i="11" s="1"/>
  <c r="G243" i="11" a="1"/>
  <c r="G243" i="11" s="1"/>
  <c r="I548" i="16" s="1"/>
  <c r="E245" i="11" a="1"/>
  <c r="E245" i="11" s="1"/>
  <c r="F245" i="11" a="1"/>
  <c r="F245" i="11" s="1"/>
  <c r="F246" i="11" a="1"/>
  <c r="F246" i="11" s="1"/>
  <c r="H551" i="16" s="1"/>
  <c r="F248" i="11" a="1"/>
  <c r="F248" i="11" s="1"/>
  <c r="E248" i="11" a="1"/>
  <c r="E248" i="11" s="1"/>
  <c r="G249" i="11" a="1"/>
  <c r="G249" i="11" s="1"/>
  <c r="I554" i="16" s="1"/>
  <c r="F251" i="11" a="1"/>
  <c r="F251" i="11" s="1"/>
  <c r="E251" i="11" a="1"/>
  <c r="E251" i="11" s="1"/>
  <c r="D252" i="11" a="1"/>
  <c r="D252" i="11" s="1"/>
  <c r="F557" i="16" s="1"/>
  <c r="F219" i="11" a="1"/>
  <c r="F219" i="11" s="1"/>
  <c r="H524" i="16" s="1"/>
  <c r="F222" i="11" a="1"/>
  <c r="F222" i="11" s="1"/>
  <c r="H527" i="16" s="1"/>
  <c r="F223" i="11" a="1"/>
  <c r="F223" i="11" s="1"/>
  <c r="F226" i="11" a="1"/>
  <c r="F226" i="11" s="1"/>
  <c r="F228" i="11" a="1"/>
  <c r="F228" i="11" s="1"/>
  <c r="H533" i="16" s="1"/>
  <c r="F229" i="11" a="1"/>
  <c r="F229" i="11" s="1"/>
  <c r="E231" i="11" a="1"/>
  <c r="E231" i="11" s="1"/>
  <c r="G536" i="16" s="1"/>
  <c r="E232" i="11" a="1"/>
  <c r="E232" i="11" s="1"/>
  <c r="G232" i="11" a="1"/>
  <c r="G232" i="11" s="1"/>
  <c r="D233" i="11" a="1"/>
  <c r="D233" i="11" s="1"/>
  <c r="C234" i="11" a="1"/>
  <c r="C234" i="11" s="1"/>
  <c r="E539" i="16" s="1"/>
  <c r="C238" i="11" a="1"/>
  <c r="C238" i="11" s="1"/>
  <c r="C241" i="11" a="1"/>
  <c r="C241" i="11" s="1"/>
  <c r="C244" i="11" a="1"/>
  <c r="C244" i="11" s="1"/>
  <c r="D245" i="11" a="1"/>
  <c r="D245" i="11" s="1"/>
  <c r="G245" i="11" a="1"/>
  <c r="G245" i="11" s="1"/>
  <c r="C246" i="11" a="1"/>
  <c r="C246" i="11" s="1"/>
  <c r="E551" i="16" s="1"/>
  <c r="E249" i="11" a="1"/>
  <c r="E249" i="11" s="1"/>
  <c r="G554" i="16" s="1"/>
  <c r="C250" i="11" a="1"/>
  <c r="C250" i="11" s="1"/>
  <c r="D250" i="11" a="1"/>
  <c r="D250" i="11" s="1"/>
  <c r="C252" i="11" a="1"/>
  <c r="C252" i="11" s="1"/>
  <c r="E557" i="16" s="1"/>
  <c r="G252" i="11" a="1"/>
  <c r="G252" i="11" s="1"/>
  <c r="I557" i="16" s="1"/>
  <c r="D254" i="11" a="1"/>
  <c r="D254" i="11" s="1"/>
  <c r="F254" i="11" a="1"/>
  <c r="F254" i="11" s="1"/>
  <c r="G254" i="11" a="1"/>
  <c r="G254" i="11" s="1"/>
  <c r="C255" i="11" a="1"/>
  <c r="C255" i="11" s="1"/>
  <c r="E560" i="16" s="1"/>
  <c r="D257" i="11" a="1"/>
  <c r="D257" i="11" s="1"/>
  <c r="G257" i="11" a="1"/>
  <c r="G257" i="11" s="1"/>
  <c r="F257" i="11" a="1"/>
  <c r="F257" i="11" s="1"/>
  <c r="C258" i="11" a="1"/>
  <c r="C258" i="11" s="1"/>
  <c r="E563" i="16" s="1"/>
  <c r="F260" i="11" a="1"/>
  <c r="F260" i="11" s="1"/>
  <c r="D260" i="11" a="1"/>
  <c r="D260" i="11" s="1"/>
  <c r="E260" i="11" a="1"/>
  <c r="E260" i="11" s="1"/>
  <c r="E261" i="11" a="1"/>
  <c r="E261" i="11" s="1"/>
  <c r="G566" i="16" s="1"/>
  <c r="D263" i="11" a="1"/>
  <c r="D263" i="11" s="1"/>
  <c r="G263" i="11" a="1"/>
  <c r="G263" i="11" s="1"/>
  <c r="E263" i="11" a="1"/>
  <c r="E263" i="11" s="1"/>
  <c r="F264" i="11" a="1"/>
  <c r="F264" i="11" s="1"/>
  <c r="H569" i="16" s="1"/>
  <c r="F266" i="11" a="1"/>
  <c r="F266" i="11" s="1"/>
  <c r="D266" i="11" a="1"/>
  <c r="D266" i="11" s="1"/>
  <c r="C266" i="11" a="1"/>
  <c r="C266" i="11" s="1"/>
  <c r="G267" i="11" a="1"/>
  <c r="G267" i="11" s="1"/>
  <c r="I572" i="16" s="1"/>
  <c r="F269" i="11" a="1"/>
  <c r="F269" i="11" s="1"/>
  <c r="D269" i="11" a="1"/>
  <c r="D269" i="11" s="1"/>
  <c r="E269" i="11" a="1"/>
  <c r="E269" i="11" s="1"/>
  <c r="G270" i="11" a="1"/>
  <c r="G270" i="11" s="1"/>
  <c r="I575" i="16" s="1"/>
  <c r="E272" i="11" a="1"/>
  <c r="E272" i="11" s="1"/>
  <c r="D272" i="11" a="1"/>
  <c r="D272" i="11" s="1"/>
  <c r="C272" i="11" a="1"/>
  <c r="C272" i="11" s="1"/>
  <c r="F273" i="11" a="1"/>
  <c r="F273" i="11" s="1"/>
  <c r="H578" i="16" s="1"/>
  <c r="D275" i="11" a="1"/>
  <c r="D275" i="11" s="1"/>
  <c r="F275" i="11" a="1"/>
  <c r="F275" i="11" s="1"/>
  <c r="C275" i="11" a="1"/>
  <c r="C275" i="11" s="1"/>
  <c r="C276" i="11" a="1"/>
  <c r="C276" i="11" s="1"/>
  <c r="E581" i="16" s="1"/>
  <c r="G278" i="11" a="1"/>
  <c r="G278" i="11" s="1"/>
  <c r="D278" i="11" a="1"/>
  <c r="D278" i="11" s="1"/>
  <c r="E278" i="11" a="1"/>
  <c r="E278" i="11" s="1"/>
  <c r="E279" i="11" a="1"/>
  <c r="E279" i="11" s="1"/>
  <c r="G584" i="16" s="1"/>
  <c r="F281" i="11" a="1"/>
  <c r="F281" i="11" s="1"/>
  <c r="D281" i="11" a="1"/>
  <c r="D281" i="11" s="1"/>
  <c r="E281" i="11" a="1"/>
  <c r="E281" i="11" s="1"/>
  <c r="D282" i="11" a="1"/>
  <c r="D282" i="11" s="1"/>
  <c r="F587" i="16" s="1"/>
  <c r="G284" i="11" a="1"/>
  <c r="G284" i="11" s="1"/>
  <c r="D284" i="11" a="1"/>
  <c r="D284" i="11" s="1"/>
  <c r="E284" i="11" a="1"/>
  <c r="E284" i="11" s="1"/>
  <c r="G285" i="11" a="1"/>
  <c r="G285" i="11" s="1"/>
  <c r="I590" i="16" s="1"/>
  <c r="D287" i="11" a="1"/>
  <c r="D287" i="11" s="1"/>
  <c r="E287" i="11" a="1"/>
  <c r="E287" i="11" s="1"/>
  <c r="F287" i="11" a="1"/>
  <c r="F287" i="11" s="1"/>
  <c r="D288" i="11" a="1"/>
  <c r="D288" i="11" s="1"/>
  <c r="F593" i="16" s="1"/>
  <c r="C290" i="11" a="1"/>
  <c r="C290" i="11" s="1"/>
  <c r="E290" i="11" a="1"/>
  <c r="E290" i="11" s="1"/>
  <c r="D290" i="11" a="1"/>
  <c r="D290" i="11" s="1"/>
  <c r="E291" i="11" a="1"/>
  <c r="E291" i="11" s="1"/>
  <c r="G596" i="16" s="1"/>
  <c r="F293" i="11" a="1"/>
  <c r="F293" i="11" s="1"/>
  <c r="G293" i="11" a="1"/>
  <c r="G293" i="11" s="1"/>
  <c r="E293" i="11" a="1"/>
  <c r="E293" i="11" s="1"/>
  <c r="E294" i="11" a="1"/>
  <c r="E294" i="11" s="1"/>
  <c r="G599" i="16" s="1"/>
  <c r="G296" i="11" a="1"/>
  <c r="G296" i="11" s="1"/>
  <c r="C296" i="11" a="1"/>
  <c r="C296" i="11" s="1"/>
  <c r="D296" i="11" a="1"/>
  <c r="D296" i="11" s="1"/>
  <c r="H291" i="11" a="1"/>
  <c r="H291" i="11" s="1"/>
  <c r="J596" i="16" s="1"/>
  <c r="H279" i="11" a="1"/>
  <c r="H279" i="11" s="1"/>
  <c r="J584" i="16" s="1"/>
  <c r="H267" i="11" a="1"/>
  <c r="H267" i="11" s="1"/>
  <c r="J572" i="16" s="1"/>
  <c r="H255" i="11" a="1"/>
  <c r="H255" i="11" s="1"/>
  <c r="J560" i="16" s="1"/>
  <c r="H243" i="11" a="1"/>
  <c r="H243" i="11" s="1"/>
  <c r="J548" i="16" s="1"/>
  <c r="E217" i="11" a="1"/>
  <c r="E217" i="11" s="1"/>
  <c r="F220" i="11" a="1"/>
  <c r="F220" i="11" s="1"/>
  <c r="E222" i="11" a="1"/>
  <c r="E222" i="11" s="1"/>
  <c r="G527" i="16" s="1"/>
  <c r="D226" i="11" a="1"/>
  <c r="D226" i="11" s="1"/>
  <c r="D229" i="11" a="1"/>
  <c r="D229" i="11" s="1"/>
  <c r="G230" i="11" a="1"/>
  <c r="G230" i="11" s="1"/>
  <c r="E230" i="11" a="1"/>
  <c r="E230" i="11" s="1"/>
  <c r="D231" i="11" a="1"/>
  <c r="D231" i="11" s="1"/>
  <c r="F536" i="16" s="1"/>
  <c r="D234" i="11" a="1"/>
  <c r="D234" i="11" s="1"/>
  <c r="F539" i="16" s="1"/>
  <c r="F235" i="11" a="1"/>
  <c r="F235" i="11" s="1"/>
  <c r="G235" i="11" a="1"/>
  <c r="G235" i="11" s="1"/>
  <c r="E236" i="11" a="1"/>
  <c r="E236" i="11" s="1"/>
  <c r="C237" i="11" a="1"/>
  <c r="C237" i="11" s="1"/>
  <c r="E542" i="16" s="1"/>
  <c r="F239" i="11" a="1"/>
  <c r="F239" i="11" s="1"/>
  <c r="F240" i="11" a="1"/>
  <c r="F240" i="11" s="1"/>
  <c r="H545" i="16" s="1"/>
  <c r="G242" i="11" a="1"/>
  <c r="G242" i="11" s="1"/>
  <c r="F243" i="11" a="1"/>
  <c r="F243" i="11" s="1"/>
  <c r="H548" i="16" s="1"/>
  <c r="C247" i="11" a="1"/>
  <c r="C247" i="11" s="1"/>
  <c r="G248" i="11" a="1"/>
  <c r="G248" i="11" s="1"/>
  <c r="D248" i="11" a="1"/>
  <c r="D248" i="11" s="1"/>
  <c r="C249" i="11" a="1"/>
  <c r="C249" i="11" s="1"/>
  <c r="E554" i="16" s="1"/>
  <c r="C251" i="11" a="1"/>
  <c r="C251" i="11" s="1"/>
  <c r="E252" i="11" a="1"/>
  <c r="E252" i="11" s="1"/>
  <c r="G557" i="16" s="1"/>
  <c r="E253" i="11" a="1"/>
  <c r="E253" i="11" s="1"/>
  <c r="D253" i="11" a="1"/>
  <c r="D253" i="11" s="1"/>
  <c r="E255" i="11" a="1"/>
  <c r="E255" i="11" s="1"/>
  <c r="G560" i="16" s="1"/>
  <c r="G256" i="11" a="1"/>
  <c r="G256" i="11" s="1"/>
  <c r="D256" i="11" a="1"/>
  <c r="D256" i="11" s="1"/>
  <c r="D258" i="11" a="1"/>
  <c r="D258" i="11" s="1"/>
  <c r="F563" i="16" s="1"/>
  <c r="D259" i="11" a="1"/>
  <c r="D259" i="11" s="1"/>
  <c r="C259" i="11" a="1"/>
  <c r="C259" i="11" s="1"/>
  <c r="F261" i="11" a="1"/>
  <c r="F261" i="11" s="1"/>
  <c r="H566" i="16" s="1"/>
  <c r="F262" i="11" a="1"/>
  <c r="F262" i="11" s="1"/>
  <c r="D262" i="11" a="1"/>
  <c r="D262" i="11" s="1"/>
  <c r="C264" i="11" a="1"/>
  <c r="C264" i="11" s="1"/>
  <c r="E569" i="16" s="1"/>
  <c r="D265" i="11" a="1"/>
  <c r="D265" i="11" s="1"/>
  <c r="G265" i="11" a="1"/>
  <c r="G265" i="11" s="1"/>
  <c r="E267" i="11" a="1"/>
  <c r="E267" i="11" s="1"/>
  <c r="G572" i="16" s="1"/>
  <c r="C268" i="11" a="1"/>
  <c r="C268" i="11" s="1"/>
  <c r="D268" i="11" a="1"/>
  <c r="D268" i="11" s="1"/>
  <c r="F270" i="11" a="1"/>
  <c r="F270" i="11" s="1"/>
  <c r="H575" i="16" s="1"/>
  <c r="C271" i="11" a="1"/>
  <c r="C271" i="11" s="1"/>
  <c r="G271" i="11" a="1"/>
  <c r="G271" i="11" s="1"/>
  <c r="E273" i="11" a="1"/>
  <c r="E273" i="11" s="1"/>
  <c r="G578" i="16" s="1"/>
  <c r="G274" i="11" a="1"/>
  <c r="G274" i="11" s="1"/>
  <c r="C274" i="11" a="1"/>
  <c r="C274" i="11" s="1"/>
  <c r="F276" i="11" a="1"/>
  <c r="F276" i="11" s="1"/>
  <c r="H581" i="16" s="1"/>
  <c r="F277" i="11" a="1"/>
  <c r="F277" i="11" s="1"/>
  <c r="C277" i="11" a="1"/>
  <c r="C277" i="11" s="1"/>
  <c r="D279" i="11" a="1"/>
  <c r="D279" i="11" s="1"/>
  <c r="F584" i="16" s="1"/>
  <c r="D280" i="11" a="1"/>
  <c r="D280" i="11" s="1"/>
  <c r="E280" i="11" a="1"/>
  <c r="E280" i="11" s="1"/>
  <c r="F282" i="11" a="1"/>
  <c r="F282" i="11" s="1"/>
  <c r="H587" i="16" s="1"/>
  <c r="D283" i="11" a="1"/>
  <c r="D283" i="11" s="1"/>
  <c r="E283" i="11" a="1"/>
  <c r="E283" i="11" s="1"/>
  <c r="C285" i="11" a="1"/>
  <c r="C285" i="11" s="1"/>
  <c r="E590" i="16" s="1"/>
  <c r="E286" i="11" a="1"/>
  <c r="E286" i="11" s="1"/>
  <c r="G286" i="11" a="1"/>
  <c r="G286" i="11" s="1"/>
  <c r="F288" i="11" a="1"/>
  <c r="F288" i="11" s="1"/>
  <c r="H593" i="16" s="1"/>
  <c r="E289" i="11" a="1"/>
  <c r="E289" i="11" s="1"/>
  <c r="D289" i="11" a="1"/>
  <c r="D289" i="11" s="1"/>
  <c r="D291" i="11" a="1"/>
  <c r="D291" i="11" s="1"/>
  <c r="F596" i="16" s="1"/>
  <c r="D292" i="11" a="1"/>
  <c r="D292" i="11" s="1"/>
  <c r="G292" i="11" a="1"/>
  <c r="G292" i="11" s="1"/>
  <c r="F294" i="11" a="1"/>
  <c r="F294" i="11" s="1"/>
  <c r="H599" i="16" s="1"/>
  <c r="D295" i="11" a="1"/>
  <c r="D295" i="11" s="1"/>
  <c r="C295" i="11" a="1"/>
  <c r="C295" i="11" s="1"/>
  <c r="H288" i="11" a="1"/>
  <c r="H288" i="11" s="1"/>
  <c r="J593" i="16" s="1"/>
  <c r="H276" i="11" a="1"/>
  <c r="H276" i="11" s="1"/>
  <c r="J581" i="16" s="1"/>
  <c r="H264" i="11" a="1"/>
  <c r="H264" i="11" s="1"/>
  <c r="J569" i="16" s="1"/>
  <c r="H252" i="11" a="1"/>
  <c r="H252" i="11" s="1"/>
  <c r="J557" i="16" s="1"/>
  <c r="H240" i="11" a="1"/>
  <c r="H240" i="11" s="1"/>
  <c r="J545" i="16" s="1"/>
  <c r="H228" i="11" a="1"/>
  <c r="H228" i="11" s="1"/>
  <c r="J533" i="16" s="1"/>
  <c r="H216" i="11" a="1"/>
  <c r="H216" i="11" s="1"/>
  <c r="J521" i="16" s="1"/>
  <c r="H204" i="11" a="1"/>
  <c r="H204" i="11" s="1"/>
  <c r="J509" i="16" s="1"/>
  <c r="H192" i="11" a="1"/>
  <c r="H192" i="11" s="1"/>
  <c r="J497" i="16" s="1"/>
  <c r="H180" i="11" a="1"/>
  <c r="H180" i="11" s="1"/>
  <c r="J485" i="16" s="1"/>
  <c r="H168" i="11" a="1"/>
  <c r="H168" i="11" s="1"/>
  <c r="J473" i="16" s="1"/>
  <c r="H156" i="11" a="1"/>
  <c r="H156" i="11" s="1"/>
  <c r="J461" i="16" s="1"/>
  <c r="H144" i="11" a="1"/>
  <c r="H144" i="11" s="1"/>
  <c r="J449" i="16" s="1"/>
  <c r="H99" i="11" a="1"/>
  <c r="H99" i="11" s="1"/>
  <c r="J404" i="16" s="1"/>
  <c r="H57" i="11" a="1"/>
  <c r="H57" i="11" s="1"/>
  <c r="J362" i="16" s="1"/>
  <c r="H45" i="11" a="1"/>
  <c r="H45" i="11" s="1"/>
  <c r="J350" i="16" s="1"/>
  <c r="H39" i="11" a="1"/>
  <c r="H39" i="11" s="1"/>
  <c r="J344" i="16" s="1"/>
  <c r="H81" i="11" a="1"/>
  <c r="H81" i="11" s="1"/>
  <c r="J386" i="16" s="1"/>
  <c r="H87" i="11" a="1"/>
  <c r="H87" i="11" s="1"/>
  <c r="J392" i="16" s="1"/>
  <c r="H48" i="11" a="1"/>
  <c r="H48" i="11" s="1"/>
  <c r="J353" i="16" s="1"/>
  <c r="H96" i="11" a="1"/>
  <c r="H96" i="11" s="1"/>
  <c r="J401" i="16" s="1"/>
  <c r="H54" i="11" a="1"/>
  <c r="H54" i="11" s="1"/>
  <c r="J359" i="16" s="1"/>
  <c r="H93" i="11" a="1"/>
  <c r="H93" i="11" s="1"/>
  <c r="J398" i="16" s="1"/>
  <c r="D220" i="11" a="1"/>
  <c r="D220" i="11" s="1"/>
  <c r="E223" i="11" a="1"/>
  <c r="E223" i="11" s="1"/>
  <c r="F225" i="11" a="1"/>
  <c r="F225" i="11" s="1"/>
  <c r="H530" i="16" s="1"/>
  <c r="G226" i="11" a="1"/>
  <c r="G226" i="11" s="1"/>
  <c r="C229" i="11" a="1"/>
  <c r="C229" i="11" s="1"/>
  <c r="C232" i="11" a="1"/>
  <c r="C232" i="11" s="1"/>
  <c r="E233" i="11" a="1"/>
  <c r="E233" i="11" s="1"/>
  <c r="F233" i="11" a="1"/>
  <c r="F233" i="11" s="1"/>
  <c r="F234" i="11" a="1"/>
  <c r="F234" i="11" s="1"/>
  <c r="H539" i="16" s="1"/>
  <c r="D237" i="11" a="1"/>
  <c r="D237" i="11" s="1"/>
  <c r="F542" i="16" s="1"/>
  <c r="E238" i="11" a="1"/>
  <c r="E238" i="11" s="1"/>
  <c r="D238" i="11" a="1"/>
  <c r="D238" i="11" s="1"/>
  <c r="C240" i="11" a="1"/>
  <c r="C240" i="11" s="1"/>
  <c r="E545" i="16" s="1"/>
  <c r="D241" i="11" a="1"/>
  <c r="D241" i="11" s="1"/>
  <c r="F241" i="11" a="1"/>
  <c r="F241" i="11" s="1"/>
  <c r="D243" i="11" a="1"/>
  <c r="D243" i="11" s="1"/>
  <c r="F548" i="16" s="1"/>
  <c r="D244" i="11" a="1"/>
  <c r="D244" i="11" s="1"/>
  <c r="E244" i="11" a="1"/>
  <c r="E244" i="11" s="1"/>
  <c r="C245" i="11" a="1"/>
  <c r="C245" i="11" s="1"/>
  <c r="D246" i="11" a="1"/>
  <c r="D246" i="11" s="1"/>
  <c r="F551" i="16" s="1"/>
  <c r="G250" i="11" a="1"/>
  <c r="G250" i="11" s="1"/>
  <c r="G251" i="11" a="1"/>
  <c r="G251" i="11" s="1"/>
  <c r="E254" i="11" a="1"/>
  <c r="E254" i="11" s="1"/>
  <c r="C254" i="11" a="1"/>
  <c r="C254" i="11" s="1"/>
  <c r="F255" i="11" a="1"/>
  <c r="F255" i="11" s="1"/>
  <c r="H560" i="16" s="1"/>
  <c r="E257" i="11" a="1"/>
  <c r="E257" i="11" s="1"/>
  <c r="C257" i="11" a="1"/>
  <c r="C257" i="11" s="1"/>
  <c r="E258" i="11" a="1"/>
  <c r="E258" i="11" s="1"/>
  <c r="G563" i="16" s="1"/>
  <c r="G260" i="11" a="1"/>
  <c r="G260" i="11" s="1"/>
  <c r="C260" i="11" a="1"/>
  <c r="C260" i="11" s="1"/>
  <c r="G261" i="11" a="1"/>
  <c r="G261" i="11" s="1"/>
  <c r="I566" i="16" s="1"/>
  <c r="F263" i="11" a="1"/>
  <c r="F263" i="11" s="1"/>
  <c r="C263" i="11" a="1"/>
  <c r="C263" i="11" s="1"/>
  <c r="D264" i="11" a="1"/>
  <c r="D264" i="11" s="1"/>
  <c r="F569" i="16" s="1"/>
  <c r="E266" i="11" a="1"/>
  <c r="E266" i="11" s="1"/>
  <c r="G266" i="11" a="1"/>
  <c r="G266" i="11" s="1"/>
  <c r="F267" i="11" a="1"/>
  <c r="F267" i="11" s="1"/>
  <c r="H572" i="16" s="1"/>
  <c r="C269" i="11" a="1"/>
  <c r="C269" i="11" s="1"/>
  <c r="G269" i="11" a="1"/>
  <c r="G269" i="11" s="1"/>
  <c r="E270" i="11" a="1"/>
  <c r="E270" i="11" s="1"/>
  <c r="G575" i="16" s="1"/>
  <c r="G272" i="11" a="1"/>
  <c r="G272" i="11" s="1"/>
  <c r="F272" i="11" a="1"/>
  <c r="F272" i="11" s="1"/>
  <c r="D273" i="11" a="1"/>
  <c r="D273" i="11" s="1"/>
  <c r="F578" i="16" s="1"/>
  <c r="E275" i="11" a="1"/>
  <c r="E275" i="11" s="1"/>
  <c r="G275" i="11" a="1"/>
  <c r="G275" i="11" s="1"/>
  <c r="G276" i="11" a="1"/>
  <c r="G276" i="11" s="1"/>
  <c r="I581" i="16" s="1"/>
  <c r="F278" i="11" a="1"/>
  <c r="F278" i="11" s="1"/>
  <c r="C278" i="11" a="1"/>
  <c r="C278" i="11" s="1"/>
  <c r="G279" i="11" a="1"/>
  <c r="G279" i="11" s="1"/>
  <c r="I584" i="16" s="1"/>
  <c r="C281" i="11" a="1"/>
  <c r="C281" i="11" s="1"/>
  <c r="G281" i="11" a="1"/>
  <c r="G281" i="11" s="1"/>
  <c r="C282" i="11" a="1"/>
  <c r="C282" i="11" s="1"/>
  <c r="E587" i="16" s="1"/>
  <c r="C284" i="11" a="1"/>
  <c r="C284" i="11" s="1"/>
  <c r="F284" i="11" a="1"/>
  <c r="F284" i="11" s="1"/>
  <c r="E285" i="11" a="1"/>
  <c r="E285" i="11" s="1"/>
  <c r="G590" i="16" s="1"/>
  <c r="G287" i="11" a="1"/>
  <c r="G287" i="11" s="1"/>
  <c r="C287" i="11" a="1"/>
  <c r="C287" i="11" s="1"/>
  <c r="C288" i="11" a="1"/>
  <c r="C288" i="11" s="1"/>
  <c r="E593" i="16" s="1"/>
  <c r="F290" i="11" a="1"/>
  <c r="F290" i="11" s="1"/>
  <c r="G290" i="11" a="1"/>
  <c r="G290" i="11" s="1"/>
  <c r="G291" i="11" a="1"/>
  <c r="G291" i="11" s="1"/>
  <c r="I596" i="16" s="1"/>
  <c r="D293" i="11" a="1"/>
  <c r="D293" i="11" s="1"/>
  <c r="C293" i="11" a="1"/>
  <c r="C293" i="11" s="1"/>
  <c r="C294" i="11" a="1"/>
  <c r="C294" i="11" s="1"/>
  <c r="E599" i="16" s="1"/>
  <c r="E296" i="11" a="1"/>
  <c r="E296" i="11" s="1"/>
  <c r="F296" i="11" a="1"/>
  <c r="F296" i="11" s="1"/>
  <c r="H285" i="11" a="1"/>
  <c r="H285" i="11" s="1"/>
  <c r="J590" i="16" s="1"/>
  <c r="H273" i="11" a="1"/>
  <c r="H273" i="11" s="1"/>
  <c r="J578" i="16" s="1"/>
  <c r="H261" i="11" a="1"/>
  <c r="H261" i="11" s="1"/>
  <c r="J566" i="16" s="1"/>
  <c r="H249" i="11" a="1"/>
  <c r="H249" i="11" s="1"/>
  <c r="J554" i="16" s="1"/>
  <c r="H237" i="11" a="1"/>
  <c r="H237" i="11" s="1"/>
  <c r="J542" i="16" s="1"/>
  <c r="H225" i="11" a="1"/>
  <c r="H225" i="11" s="1"/>
  <c r="J530" i="16" s="1"/>
  <c r="H213" i="11" a="1"/>
  <c r="H213" i="11" s="1"/>
  <c r="J518" i="16" s="1"/>
  <c r="H201" i="11" a="1"/>
  <c r="H201" i="11" s="1"/>
  <c r="J506" i="16" s="1"/>
  <c r="H189" i="11" a="1"/>
  <c r="H189" i="11" s="1"/>
  <c r="J494" i="16" s="1"/>
  <c r="H177" i="11" a="1"/>
  <c r="H177" i="11" s="1"/>
  <c r="J482" i="16" s="1"/>
  <c r="H165" i="11" a="1"/>
  <c r="H165" i="11" s="1"/>
  <c r="J470" i="16" s="1"/>
  <c r="H153" i="11" a="1"/>
  <c r="H153" i="11" s="1"/>
  <c r="J458" i="16" s="1"/>
  <c r="H141" i="11" a="1"/>
  <c r="H141" i="11" s="1"/>
  <c r="J446" i="16" s="1"/>
  <c r="H24" i="11" a="1"/>
  <c r="H24" i="11" s="1"/>
  <c r="J329" i="16" s="1"/>
  <c r="H102" i="11" a="1"/>
  <c r="H102" i="11" s="1"/>
  <c r="J407" i="16" s="1"/>
  <c r="H15" i="11" a="1"/>
  <c r="H15" i="11" s="1"/>
  <c r="J320" i="16" s="1"/>
  <c r="H129" i="11" a="1"/>
  <c r="H129" i="11" s="1"/>
  <c r="J434" i="16" s="1"/>
  <c r="H117" i="11" a="1"/>
  <c r="H117" i="11" s="1"/>
  <c r="J422" i="16" s="1"/>
  <c r="G219" i="11" a="1"/>
  <c r="G219" i="11" s="1"/>
  <c r="I524" i="16" s="1"/>
  <c r="E220" i="11" a="1"/>
  <c r="E220" i="11" s="1"/>
  <c r="D223" i="11" a="1"/>
  <c r="D223" i="11" s="1"/>
  <c r="G225" i="11" a="1"/>
  <c r="G225" i="11" s="1"/>
  <c r="I530" i="16" s="1"/>
  <c r="D228" i="11" a="1"/>
  <c r="D228" i="11" s="1"/>
  <c r="F533" i="16" s="1"/>
  <c r="F230" i="11" a="1"/>
  <c r="F230" i="11" s="1"/>
  <c r="F231" i="11" a="1"/>
  <c r="F231" i="11" s="1"/>
  <c r="H536" i="16" s="1"/>
  <c r="C235" i="11" a="1"/>
  <c r="C235" i="11" s="1"/>
  <c r="F236" i="11" a="1"/>
  <c r="F236" i="11" s="1"/>
  <c r="G236" i="11" a="1"/>
  <c r="G236" i="11" s="1"/>
  <c r="G237" i="11" a="1"/>
  <c r="G237" i="11" s="1"/>
  <c r="I542" i="16" s="1"/>
  <c r="E239" i="11" a="1"/>
  <c r="E239" i="11" s="1"/>
  <c r="G239" i="11" a="1"/>
  <c r="G239" i="11" s="1"/>
  <c r="D240" i="11" a="1"/>
  <c r="D240" i="11" s="1"/>
  <c r="F545" i="16" s="1"/>
  <c r="C242" i="11" a="1"/>
  <c r="C242" i="11" s="1"/>
  <c r="D242" i="11" a="1"/>
  <c r="D242" i="11" s="1"/>
  <c r="E243" i="11" a="1"/>
  <c r="E243" i="11" s="1"/>
  <c r="G548" i="16" s="1"/>
  <c r="E246" i="11" a="1"/>
  <c r="E246" i="11" s="1"/>
  <c r="G551" i="16" s="1"/>
  <c r="F247" i="11" a="1"/>
  <c r="F247" i="11" s="1"/>
  <c r="G247" i="11" a="1"/>
  <c r="G247" i="11" s="1"/>
  <c r="C248" i="11" a="1"/>
  <c r="C248" i="11" s="1"/>
  <c r="D249" i="11" a="1"/>
  <c r="D249" i="11" s="1"/>
  <c r="F554" i="16" s="1"/>
  <c r="D251" i="11" a="1"/>
  <c r="D251" i="11" s="1"/>
  <c r="F252" i="11" a="1"/>
  <c r="F252" i="11" s="1"/>
  <c r="H557" i="16" s="1"/>
  <c r="G253" i="11" a="1"/>
  <c r="G253" i="11" s="1"/>
  <c r="C253" i="11" a="1"/>
  <c r="C253" i="11" s="1"/>
  <c r="F253" i="11" a="1"/>
  <c r="F253" i="11" s="1"/>
  <c r="G255" i="11" a="1"/>
  <c r="G255" i="11" s="1"/>
  <c r="I560" i="16" s="1"/>
  <c r="D255" i="11" a="1"/>
  <c r="D255" i="11" s="1"/>
  <c r="F560" i="16" s="1"/>
  <c r="F256" i="11" a="1"/>
  <c r="F256" i="11" s="1"/>
  <c r="C256" i="11" a="1"/>
  <c r="C256" i="11" s="1"/>
  <c r="E256" i="11" a="1"/>
  <c r="E256" i="11" s="1"/>
  <c r="F258" i="11" a="1"/>
  <c r="F258" i="11" s="1"/>
  <c r="H563" i="16" s="1"/>
  <c r="G258" i="11" a="1"/>
  <c r="G258" i="11" s="1"/>
  <c r="I563" i="16" s="1"/>
  <c r="F259" i="11" a="1"/>
  <c r="F259" i="11" s="1"/>
  <c r="E259" i="11" a="1"/>
  <c r="E259" i="11" s="1"/>
  <c r="G259" i="11" a="1"/>
  <c r="G259" i="11" s="1"/>
  <c r="D261" i="11" a="1"/>
  <c r="D261" i="11" s="1"/>
  <c r="F566" i="16" s="1"/>
  <c r="C261" i="11" a="1"/>
  <c r="C261" i="11" s="1"/>
  <c r="E566" i="16" s="1"/>
  <c r="E262" i="11" a="1"/>
  <c r="E262" i="11" s="1"/>
  <c r="G262" i="11" a="1"/>
  <c r="G262" i="11" s="1"/>
  <c r="C262" i="11" a="1"/>
  <c r="C262" i="11" s="1"/>
  <c r="G264" i="11" a="1"/>
  <c r="G264" i="11" s="1"/>
  <c r="I569" i="16" s="1"/>
  <c r="E264" i="11" a="1"/>
  <c r="E264" i="11" s="1"/>
  <c r="G569" i="16" s="1"/>
  <c r="E265" i="11" a="1"/>
  <c r="E265" i="11" s="1"/>
  <c r="F265" i="11" a="1"/>
  <c r="F265" i="11" s="1"/>
  <c r="C265" i="11" a="1"/>
  <c r="C265" i="11" s="1"/>
  <c r="D267" i="11" a="1"/>
  <c r="D267" i="11" s="1"/>
  <c r="F572" i="16" s="1"/>
  <c r="C267" i="11" a="1"/>
  <c r="C267" i="11" s="1"/>
  <c r="E572" i="16" s="1"/>
  <c r="E268" i="11" a="1"/>
  <c r="E268" i="11" s="1"/>
  <c r="G268" i="11" a="1"/>
  <c r="G268" i="11" s="1"/>
  <c r="F268" i="11" a="1"/>
  <c r="F268" i="11" s="1"/>
  <c r="D270" i="11" a="1"/>
  <c r="D270" i="11" s="1"/>
  <c r="F575" i="16" s="1"/>
  <c r="C270" i="11" a="1"/>
  <c r="C270" i="11" s="1"/>
  <c r="E575" i="16" s="1"/>
  <c r="F271" i="11" a="1"/>
  <c r="F271" i="11" s="1"/>
  <c r="D271" i="11" a="1"/>
  <c r="D271" i="11" s="1"/>
  <c r="E271" i="11" a="1"/>
  <c r="E271" i="11" s="1"/>
  <c r="G273" i="11" a="1"/>
  <c r="G273" i="11" s="1"/>
  <c r="I578" i="16" s="1"/>
  <c r="C273" i="11" a="1"/>
  <c r="C273" i="11" s="1"/>
  <c r="E578" i="16" s="1"/>
  <c r="D274" i="11" a="1"/>
  <c r="D274" i="11" s="1"/>
  <c r="E274" i="11" a="1"/>
  <c r="E274" i="11" s="1"/>
  <c r="F274" i="11" a="1"/>
  <c r="F274" i="11" s="1"/>
  <c r="D276" i="11" a="1"/>
  <c r="D276" i="11" s="1"/>
  <c r="F581" i="16" s="1"/>
  <c r="E276" i="11" a="1"/>
  <c r="E276" i="11" s="1"/>
  <c r="G581" i="16" s="1"/>
  <c r="G277" i="11" a="1"/>
  <c r="G277" i="11" s="1"/>
  <c r="D277" i="11" a="1"/>
  <c r="D277" i="11" s="1"/>
  <c r="E277" i="11" a="1"/>
  <c r="E277" i="11" s="1"/>
  <c r="F279" i="11" a="1"/>
  <c r="F279" i="11" s="1"/>
  <c r="H584" i="16" s="1"/>
  <c r="C279" i="11" a="1"/>
  <c r="C279" i="11" s="1"/>
  <c r="E584" i="16" s="1"/>
  <c r="F280" i="11" a="1"/>
  <c r="F280" i="11" s="1"/>
  <c r="C280" i="11" a="1"/>
  <c r="C280" i="11" s="1"/>
  <c r="G280" i="11" a="1"/>
  <c r="G280" i="11" s="1"/>
  <c r="E282" i="11" a="1"/>
  <c r="E282" i="11" s="1"/>
  <c r="G587" i="16" s="1"/>
  <c r="G282" i="11" a="1"/>
  <c r="G282" i="11" s="1"/>
  <c r="I587" i="16" s="1"/>
  <c r="F283" i="11" a="1"/>
  <c r="F283" i="11" s="1"/>
  <c r="C283" i="11" a="1"/>
  <c r="C283" i="11" s="1"/>
  <c r="G283" i="11" a="1"/>
  <c r="G283" i="11" s="1"/>
  <c r="F285" i="11" a="1"/>
  <c r="F285" i="11" s="1"/>
  <c r="H590" i="16" s="1"/>
  <c r="D285" i="11" a="1"/>
  <c r="D285" i="11" s="1"/>
  <c r="F590" i="16" s="1"/>
  <c r="D286" i="11" a="1"/>
  <c r="D286" i="11" s="1"/>
  <c r="C286" i="11" a="1"/>
  <c r="C286" i="11" s="1"/>
  <c r="F286" i="11" a="1"/>
  <c r="F286" i="11" s="1"/>
  <c r="G288" i="11" a="1"/>
  <c r="G288" i="11" s="1"/>
  <c r="I593" i="16" s="1"/>
  <c r="E288" i="11" a="1"/>
  <c r="E288" i="11" s="1"/>
  <c r="G593" i="16" s="1"/>
  <c r="F289" i="11" a="1"/>
  <c r="F289" i="11" s="1"/>
  <c r="G289" i="11" a="1"/>
  <c r="G289" i="11" s="1"/>
  <c r="C289" i="11" a="1"/>
  <c r="C289" i="11" s="1"/>
  <c r="C291" i="11" a="1"/>
  <c r="C291" i="11" s="1"/>
  <c r="E596" i="16" s="1"/>
  <c r="F291" i="11" a="1"/>
  <c r="F291" i="11" s="1"/>
  <c r="H596" i="16" s="1"/>
  <c r="E292" i="11" a="1"/>
  <c r="E292" i="11" s="1"/>
  <c r="F292" i="11" a="1"/>
  <c r="F292" i="11" s="1"/>
  <c r="C292" i="11" a="1"/>
  <c r="C292" i="11" s="1"/>
  <c r="D294" i="11" a="1"/>
  <c r="D294" i="11" s="1"/>
  <c r="F599" i="16" s="1"/>
  <c r="G294" i="11" a="1"/>
  <c r="G294" i="11" s="1"/>
  <c r="I599" i="16" s="1"/>
  <c r="E295" i="11" a="1"/>
  <c r="E295" i="11" s="1"/>
  <c r="F295" i="11" a="1"/>
  <c r="F295" i="11" s="1"/>
  <c r="H258" i="11" a="1"/>
  <c r="H258" i="11" s="1"/>
  <c r="J563" i="16" s="1"/>
  <c r="H231" i="11" a="1"/>
  <c r="H231" i="11" s="1"/>
  <c r="J536" i="16" s="1"/>
  <c r="H207" i="11" a="1"/>
  <c r="H207" i="11" s="1"/>
  <c r="J512" i="16" s="1"/>
  <c r="H183" i="11" a="1"/>
  <c r="H183" i="11" s="1"/>
  <c r="J488" i="16" s="1"/>
  <c r="H159" i="11" a="1"/>
  <c r="H159" i="11" s="1"/>
  <c r="J464" i="16" s="1"/>
  <c r="H12" i="11" a="1"/>
  <c r="H12" i="11" s="1"/>
  <c r="J317" i="16" s="1"/>
  <c r="H66" i="11" a="1"/>
  <c r="H66" i="11" s="1"/>
  <c r="J371" i="16" s="1"/>
  <c r="H123" i="11" a="1"/>
  <c r="H123" i="11" s="1"/>
  <c r="J428" i="16" s="1"/>
  <c r="H78" i="11" a="1"/>
  <c r="H78" i="11" s="1"/>
  <c r="J383" i="16" s="1"/>
  <c r="H126" i="11" a="1"/>
  <c r="H126" i="11" s="1"/>
  <c r="J431" i="16" s="1"/>
  <c r="H108" i="11" a="1"/>
  <c r="H108" i="11" s="1"/>
  <c r="J413" i="16" s="1"/>
  <c r="H51" i="11" a="1"/>
  <c r="H51" i="11" s="1"/>
  <c r="J356" i="16" s="1"/>
  <c r="H132" i="11" a="1"/>
  <c r="H132" i="11" s="1"/>
  <c r="J437" i="16" s="1"/>
  <c r="H13" i="11" a="1"/>
  <c r="H13" i="11" s="1"/>
  <c r="H19" i="11" a="1"/>
  <c r="H19" i="11" s="1"/>
  <c r="H25" i="11" a="1"/>
  <c r="H25" i="11" s="1"/>
  <c r="H34" i="11" a="1"/>
  <c r="H34" i="11" s="1"/>
  <c r="H40" i="11" a="1"/>
  <c r="H40" i="11" s="1"/>
  <c r="H43" i="11" a="1"/>
  <c r="H43" i="11" s="1"/>
  <c r="H49" i="11" a="1"/>
  <c r="H49" i="11" s="1"/>
  <c r="H55" i="11" a="1"/>
  <c r="H55" i="11" s="1"/>
  <c r="H64" i="11" a="1"/>
  <c r="H64" i="11" s="1"/>
  <c r="H70" i="11" a="1"/>
  <c r="H70" i="11" s="1"/>
  <c r="H76" i="11" a="1"/>
  <c r="H76" i="11" s="1"/>
  <c r="H79" i="11" a="1"/>
  <c r="H79" i="11" s="1"/>
  <c r="H88" i="11" a="1"/>
  <c r="H88" i="11" s="1"/>
  <c r="H94" i="11" a="1"/>
  <c r="H94" i="11" s="1"/>
  <c r="H100" i="11" a="1"/>
  <c r="H100" i="11" s="1"/>
  <c r="H103" i="11" a="1"/>
  <c r="H103" i="11" s="1"/>
  <c r="H112" i="11" a="1"/>
  <c r="H112" i="11" s="1"/>
  <c r="H115" i="11" a="1"/>
  <c r="H115" i="11" s="1"/>
  <c r="H124" i="11" a="1"/>
  <c r="H124" i="11" s="1"/>
  <c r="H130" i="11" a="1"/>
  <c r="H130" i="11" s="1"/>
  <c r="H136" i="11" a="1"/>
  <c r="H136" i="11" s="1"/>
  <c r="H139" i="11" a="1"/>
  <c r="H139" i="11" s="1"/>
  <c r="H148" i="11" a="1"/>
  <c r="H148" i="11" s="1"/>
  <c r="H154" i="11" a="1"/>
  <c r="H154" i="11" s="1"/>
  <c r="H160" i="11" a="1"/>
  <c r="H160" i="11" s="1"/>
  <c r="H166" i="11" a="1"/>
  <c r="H166" i="11" s="1"/>
  <c r="H172" i="11" a="1"/>
  <c r="H172" i="11" s="1"/>
  <c r="H178" i="11" a="1"/>
  <c r="H178" i="11" s="1"/>
  <c r="H184" i="11" a="1"/>
  <c r="H184" i="11" s="1"/>
  <c r="H190" i="11" a="1"/>
  <c r="H190" i="11" s="1"/>
  <c r="H193" i="11" a="1"/>
  <c r="H193" i="11" s="1"/>
  <c r="H202" i="11" a="1"/>
  <c r="H202" i="11" s="1"/>
  <c r="H208" i="11" a="1"/>
  <c r="H208" i="11" s="1"/>
  <c r="H211" i="11" a="1"/>
  <c r="H211" i="11" s="1"/>
  <c r="H220" i="11" a="1"/>
  <c r="H220" i="11" s="1"/>
  <c r="H223" i="11" a="1"/>
  <c r="H223" i="11" s="1"/>
  <c r="H232" i="11" a="1"/>
  <c r="H232" i="11" s="1"/>
  <c r="H238" i="11" a="1"/>
  <c r="H238" i="11" s="1"/>
  <c r="H241" i="11" a="1"/>
  <c r="H241" i="11" s="1"/>
  <c r="H250" i="11" a="1"/>
  <c r="H250" i="11" s="1"/>
  <c r="H256" i="11" a="1"/>
  <c r="H256" i="11" s="1"/>
  <c r="H262" i="11" a="1"/>
  <c r="H262" i="11" s="1"/>
  <c r="H265" i="11" a="1"/>
  <c r="H265" i="11" s="1"/>
  <c r="H274" i="11" a="1"/>
  <c r="H274" i="11" s="1"/>
  <c r="H277" i="11" a="1"/>
  <c r="H277" i="11" s="1"/>
  <c r="H286" i="11" a="1"/>
  <c r="H286" i="11" s="1"/>
  <c r="H292" i="11" a="1"/>
  <c r="H292" i="11" s="1"/>
  <c r="D12" i="11" a="1"/>
  <c r="D12" i="11" s="1"/>
  <c r="F317" i="16" s="1"/>
  <c r="H294" i="11" a="1"/>
  <c r="H294" i="11" s="1"/>
  <c r="J599" i="16" s="1"/>
  <c r="H246" i="11" a="1"/>
  <c r="H246" i="11" s="1"/>
  <c r="J551" i="16" s="1"/>
  <c r="H210" i="11" a="1"/>
  <c r="H210" i="11" s="1"/>
  <c r="J515" i="16" s="1"/>
  <c r="H186" i="11" a="1"/>
  <c r="H186" i="11" s="1"/>
  <c r="J491" i="16" s="1"/>
  <c r="H162" i="11" a="1"/>
  <c r="H162" i="11" s="1"/>
  <c r="J467" i="16" s="1"/>
  <c r="H138" i="11" a="1"/>
  <c r="H138" i="11" s="1"/>
  <c r="J443" i="16" s="1"/>
  <c r="H27" i="11" a="1"/>
  <c r="H27" i="11" s="1"/>
  <c r="J332" i="16" s="1"/>
  <c r="H21" i="11" a="1"/>
  <c r="H21" i="11" s="1"/>
  <c r="J326" i="16" s="1"/>
  <c r="H135" i="11" a="1"/>
  <c r="H135" i="11" s="1"/>
  <c r="J440" i="16" s="1"/>
  <c r="H114" i="11" a="1"/>
  <c r="H114" i="11" s="1"/>
  <c r="J419" i="16" s="1"/>
  <c r="H72" i="11" a="1"/>
  <c r="H72" i="11" s="1"/>
  <c r="J377" i="16" s="1"/>
  <c r="H111" i="11" a="1"/>
  <c r="H111" i="11" s="1"/>
  <c r="J416" i="16" s="1"/>
  <c r="D16" i="11" a="1"/>
  <c r="D16" i="11" s="1"/>
  <c r="H20" i="11" a="1"/>
  <c r="H20" i="11" s="1"/>
  <c r="H23" i="11" a="1"/>
  <c r="H23" i="11" s="1"/>
  <c r="H29" i="11" a="1"/>
  <c r="H29" i="11" s="1"/>
  <c r="H35" i="11" a="1"/>
  <c r="H35" i="11" s="1"/>
  <c r="H44" i="11" a="1"/>
  <c r="H44" i="11" s="1"/>
  <c r="H47" i="11" a="1"/>
  <c r="H47" i="11" s="1"/>
  <c r="H53" i="11" a="1"/>
  <c r="H53" i="11" s="1"/>
  <c r="H59" i="11" a="1"/>
  <c r="H59" i="11" s="1"/>
  <c r="H68" i="11" a="1"/>
  <c r="H68" i="11" s="1"/>
  <c r="H71" i="11" a="1"/>
  <c r="H71" i="11" s="1"/>
  <c r="H77" i="11" a="1"/>
  <c r="H77" i="11" s="1"/>
  <c r="H86" i="11" a="1"/>
  <c r="H86" i="11" s="1"/>
  <c r="H92" i="11" a="1"/>
  <c r="H92" i="11" s="1"/>
  <c r="H98" i="11" a="1"/>
  <c r="H98" i="11" s="1"/>
  <c r="H101" i="11" a="1"/>
  <c r="H101" i="11" s="1"/>
  <c r="H110" i="11" a="1"/>
  <c r="H110" i="11" s="1"/>
  <c r="H116" i="11" a="1"/>
  <c r="H116" i="11" s="1"/>
  <c r="H119" i="11" a="1"/>
  <c r="H119" i="11" s="1"/>
  <c r="H128" i="11" a="1"/>
  <c r="H128" i="11" s="1"/>
  <c r="H134" i="11" a="1"/>
  <c r="H134" i="11" s="1"/>
  <c r="H137" i="11" a="1"/>
  <c r="H137" i="11" s="1"/>
  <c r="H146" i="11" a="1"/>
  <c r="H146" i="11" s="1"/>
  <c r="H149" i="11" a="1"/>
  <c r="H149" i="11" s="1"/>
  <c r="H158" i="11" a="1"/>
  <c r="H158" i="11" s="1"/>
  <c r="H161" i="11" a="1"/>
  <c r="H161" i="11" s="1"/>
  <c r="H167" i="11" a="1"/>
  <c r="H167" i="11" s="1"/>
  <c r="H173" i="11" a="1"/>
  <c r="H173" i="11" s="1"/>
  <c r="H179" i="11" a="1"/>
  <c r="H179" i="11" s="1"/>
  <c r="H188" i="11" a="1"/>
  <c r="H188" i="11" s="1"/>
  <c r="H191" i="11" a="1"/>
  <c r="H191" i="11" s="1"/>
  <c r="H197" i="11" a="1"/>
  <c r="H197" i="11" s="1"/>
  <c r="H206" i="11" a="1"/>
  <c r="H206" i="11" s="1"/>
  <c r="H209" i="11" a="1"/>
  <c r="H209" i="11" s="1"/>
  <c r="H215" i="11" a="1"/>
  <c r="H215" i="11" s="1"/>
  <c r="H224" i="11" a="1"/>
  <c r="H224" i="11" s="1"/>
  <c r="H227" i="11" a="1"/>
  <c r="H227" i="11" s="1"/>
  <c r="H236" i="11" a="1"/>
  <c r="H236" i="11" s="1"/>
  <c r="H239" i="11" a="1"/>
  <c r="H239" i="11" s="1"/>
  <c r="H245" i="11" a="1"/>
  <c r="H245" i="11" s="1"/>
  <c r="H251" i="11" a="1"/>
  <c r="H251" i="11" s="1"/>
  <c r="H260" i="11" a="1"/>
  <c r="H260" i="11" s="1"/>
  <c r="H263" i="11" a="1"/>
  <c r="H263" i="11" s="1"/>
  <c r="H272" i="11" a="1"/>
  <c r="H272" i="11" s="1"/>
  <c r="H278" i="11" a="1"/>
  <c r="H278" i="11" s="1"/>
  <c r="H284" i="11" a="1"/>
  <c r="H284" i="11" s="1"/>
  <c r="H290" i="11" a="1"/>
  <c r="H290" i="11" s="1"/>
  <c r="H296" i="11" a="1"/>
  <c r="H296" i="11" s="1"/>
  <c r="H282" i="11" a="1"/>
  <c r="H282" i="11" s="1"/>
  <c r="J587" i="16" s="1"/>
  <c r="H234" i="11" a="1"/>
  <c r="H234" i="11" s="1"/>
  <c r="J539" i="16" s="1"/>
  <c r="H219" i="11" a="1"/>
  <c r="H219" i="11" s="1"/>
  <c r="J524" i="16" s="1"/>
  <c r="H195" i="11" a="1"/>
  <c r="H195" i="11" s="1"/>
  <c r="J500" i="16" s="1"/>
  <c r="H171" i="11" a="1"/>
  <c r="H171" i="11" s="1"/>
  <c r="J476" i="16" s="1"/>
  <c r="H147" i="11" a="1"/>
  <c r="H147" i="11" s="1"/>
  <c r="J452" i="16" s="1"/>
  <c r="H33" i="11" a="1"/>
  <c r="H33" i="11" s="1"/>
  <c r="J338" i="16" s="1"/>
  <c r="H84" i="11" a="1"/>
  <c r="H84" i="11" s="1"/>
  <c r="J389" i="16" s="1"/>
  <c r="H18" i="11" a="1"/>
  <c r="H18" i="11" s="1"/>
  <c r="J323" i="16" s="1"/>
  <c r="H120" i="11" a="1"/>
  <c r="H120" i="11" s="1"/>
  <c r="J425" i="16" s="1"/>
  <c r="H60" i="11" a="1"/>
  <c r="H60" i="11" s="1"/>
  <c r="J365" i="16" s="1"/>
  <c r="H105" i="11" a="1"/>
  <c r="H105" i="11" s="1"/>
  <c r="J410" i="16" s="1"/>
  <c r="H14" i="11" a="1"/>
  <c r="H14" i="11" s="1"/>
  <c r="H17" i="11" a="1"/>
  <c r="H17" i="11" s="1"/>
  <c r="H26" i="11" a="1"/>
  <c r="H26" i="11" s="1"/>
  <c r="H32" i="11" a="1"/>
  <c r="H32" i="11" s="1"/>
  <c r="H38" i="11" a="1"/>
  <c r="H38" i="11" s="1"/>
  <c r="H41" i="11" a="1"/>
  <c r="H41" i="11" s="1"/>
  <c r="H50" i="11" a="1"/>
  <c r="H50" i="11" s="1"/>
  <c r="H56" i="11" a="1"/>
  <c r="H56" i="11" s="1"/>
  <c r="H62" i="11" a="1"/>
  <c r="H62" i="11" s="1"/>
  <c r="H65" i="11" a="1"/>
  <c r="H65" i="11" s="1"/>
  <c r="H74" i="11" a="1"/>
  <c r="H74" i="11" s="1"/>
  <c r="H80" i="11" a="1"/>
  <c r="H80" i="11" s="1"/>
  <c r="H83" i="11" a="1"/>
  <c r="H83" i="11" s="1"/>
  <c r="H89" i="11" a="1"/>
  <c r="H89" i="11" s="1"/>
  <c r="H95" i="11" a="1"/>
  <c r="H95" i="11" s="1"/>
  <c r="H104" i="11" a="1"/>
  <c r="H104" i="11" s="1"/>
  <c r="H107" i="11" a="1"/>
  <c r="H107" i="11" s="1"/>
  <c r="H113" i="11" a="1"/>
  <c r="H113" i="11" s="1"/>
  <c r="H122" i="11" a="1"/>
  <c r="H122" i="11" s="1"/>
  <c r="H125" i="11" a="1"/>
  <c r="H125" i="11" s="1"/>
  <c r="H131" i="11" a="1"/>
  <c r="H131" i="11" s="1"/>
  <c r="H140" i="11" a="1"/>
  <c r="H140" i="11" s="1"/>
  <c r="H143" i="11" a="1"/>
  <c r="H143" i="11" s="1"/>
  <c r="H152" i="11" a="1"/>
  <c r="H152" i="11" s="1"/>
  <c r="H155" i="11" a="1"/>
  <c r="H155" i="11" s="1"/>
  <c r="H164" i="11" a="1"/>
  <c r="H164" i="11" s="1"/>
  <c r="H170" i="11" a="1"/>
  <c r="H170" i="11" s="1"/>
  <c r="H176" i="11" a="1"/>
  <c r="H176" i="11" s="1"/>
  <c r="H182" i="11" a="1"/>
  <c r="H182" i="11" s="1"/>
  <c r="H185" i="11" a="1"/>
  <c r="H185" i="11" s="1"/>
  <c r="H194" i="11" a="1"/>
  <c r="H194" i="11" s="1"/>
  <c r="H200" i="11" a="1"/>
  <c r="H200" i="11" s="1"/>
  <c r="H203" i="11" a="1"/>
  <c r="H203" i="11" s="1"/>
  <c r="H212" i="11" a="1"/>
  <c r="H212" i="11" s="1"/>
  <c r="H218" i="11" a="1"/>
  <c r="H218" i="11" s="1"/>
  <c r="H221" i="11" a="1"/>
  <c r="H221" i="11" s="1"/>
  <c r="H230" i="11" a="1"/>
  <c r="H230" i="11" s="1"/>
  <c r="H233" i="11" a="1"/>
  <c r="H233" i="11" s="1"/>
  <c r="H242" i="11" a="1"/>
  <c r="H242" i="11" s="1"/>
  <c r="H248" i="11" a="1"/>
  <c r="H248" i="11" s="1"/>
  <c r="H254" i="11" a="1"/>
  <c r="H254" i="11" s="1"/>
  <c r="H257" i="11" a="1"/>
  <c r="H257" i="11" s="1"/>
  <c r="H266" i="11" a="1"/>
  <c r="H266" i="11" s="1"/>
  <c r="H269" i="11" a="1"/>
  <c r="H269" i="11" s="1"/>
  <c r="H275" i="11" a="1"/>
  <c r="H275" i="11" s="1"/>
  <c r="H281" i="11" a="1"/>
  <c r="H281" i="11" s="1"/>
  <c r="H287" i="11" a="1"/>
  <c r="H287" i="11" s="1"/>
  <c r="H293" i="11" a="1"/>
  <c r="H293" i="11" s="1"/>
  <c r="G295" i="11" a="1"/>
  <c r="G295" i="11" s="1"/>
  <c r="H270" i="11" a="1"/>
  <c r="H270" i="11" s="1"/>
  <c r="J575" i="16" s="1"/>
  <c r="H222" i="11" a="1"/>
  <c r="H222" i="11" s="1"/>
  <c r="J527" i="16" s="1"/>
  <c r="H198" i="11" a="1"/>
  <c r="H198" i="11" s="1"/>
  <c r="J503" i="16" s="1"/>
  <c r="H174" i="11" a="1"/>
  <c r="H174" i="11" s="1"/>
  <c r="J479" i="16" s="1"/>
  <c r="H150" i="11" a="1"/>
  <c r="H150" i="11" s="1"/>
  <c r="J455" i="16" s="1"/>
  <c r="H69" i="11" a="1"/>
  <c r="H69" i="11" s="1"/>
  <c r="J374" i="16" s="1"/>
  <c r="H30" i="11" a="1"/>
  <c r="H30" i="11" s="1"/>
  <c r="J335" i="16" s="1"/>
  <c r="H42" i="11" a="1"/>
  <c r="H42" i="11" s="1"/>
  <c r="J347" i="16" s="1"/>
  <c r="H36" i="11" a="1"/>
  <c r="H36" i="11" s="1"/>
  <c r="J341" i="16" s="1"/>
  <c r="H90" i="11" a="1"/>
  <c r="H90" i="11" s="1"/>
  <c r="J395" i="16" s="1"/>
  <c r="H63" i="11" a="1"/>
  <c r="H63" i="11" s="1"/>
  <c r="J368" i="16" s="1"/>
  <c r="H75" i="11" a="1"/>
  <c r="H75" i="11" s="1"/>
  <c r="J380" i="16" s="1"/>
  <c r="H16" i="11" a="1"/>
  <c r="H16" i="11" s="1"/>
  <c r="H22" i="11" a="1"/>
  <c r="H22" i="11" s="1"/>
  <c r="H28" i="11" a="1"/>
  <c r="H28" i="11" s="1"/>
  <c r="H31" i="11" a="1"/>
  <c r="H31" i="11" s="1"/>
  <c r="H37" i="11" a="1"/>
  <c r="H37" i="11" s="1"/>
  <c r="H46" i="11" a="1"/>
  <c r="H46" i="11" s="1"/>
  <c r="H52" i="11" a="1"/>
  <c r="H52" i="11" s="1"/>
  <c r="H58" i="11" a="1"/>
  <c r="H58" i="11" s="1"/>
  <c r="H61" i="11" a="1"/>
  <c r="H61" i="11" s="1"/>
  <c r="H67" i="11" a="1"/>
  <c r="H67" i="11" s="1"/>
  <c r="H73" i="11" a="1"/>
  <c r="H73" i="11" s="1"/>
  <c r="H82" i="11" a="1"/>
  <c r="H82" i="11" s="1"/>
  <c r="H85" i="11" a="1"/>
  <c r="H85" i="11" s="1"/>
  <c r="H91" i="11" a="1"/>
  <c r="H91" i="11" s="1"/>
  <c r="H97" i="11" a="1"/>
  <c r="H97" i="11" s="1"/>
  <c r="H106" i="11" a="1"/>
  <c r="H106" i="11" s="1"/>
  <c r="H109" i="11" a="1"/>
  <c r="H109" i="11" s="1"/>
  <c r="H118" i="11" a="1"/>
  <c r="H118" i="11" s="1"/>
  <c r="H121" i="11" a="1"/>
  <c r="H121" i="11" s="1"/>
  <c r="H127" i="11" a="1"/>
  <c r="H127" i="11" s="1"/>
  <c r="H133" i="11" a="1"/>
  <c r="H133" i="11" s="1"/>
  <c r="H142" i="11" a="1"/>
  <c r="H142" i="11" s="1"/>
  <c r="H145" i="11" a="1"/>
  <c r="H145" i="11" s="1"/>
  <c r="H151" i="11" a="1"/>
  <c r="H151" i="11" s="1"/>
  <c r="H157" i="11" a="1"/>
  <c r="H157" i="11" s="1"/>
  <c r="H163" i="11" a="1"/>
  <c r="H163" i="11" s="1"/>
  <c r="H169" i="11" a="1"/>
  <c r="H169" i="11" s="1"/>
  <c r="H175" i="11" a="1"/>
  <c r="H175" i="11" s="1"/>
  <c r="H181" i="11" a="1"/>
  <c r="H181" i="11" s="1"/>
  <c r="H187" i="11" a="1"/>
  <c r="H187" i="11" s="1"/>
  <c r="H196" i="11" a="1"/>
  <c r="H196" i="11" s="1"/>
  <c r="H199" i="11" a="1"/>
  <c r="H199" i="11" s="1"/>
  <c r="H205" i="11" a="1"/>
  <c r="H205" i="11" s="1"/>
  <c r="H214" i="11" a="1"/>
  <c r="H214" i="11" s="1"/>
  <c r="H217" i="11" a="1"/>
  <c r="H217" i="11" s="1"/>
  <c r="H226" i="11" a="1"/>
  <c r="H226" i="11" s="1"/>
  <c r="H229" i="11" a="1"/>
  <c r="H229" i="11" s="1"/>
  <c r="H235" i="11" a="1"/>
  <c r="H235" i="11" s="1"/>
  <c r="H244" i="11" a="1"/>
  <c r="H244" i="11" s="1"/>
  <c r="H247" i="11" a="1"/>
  <c r="H247" i="11" s="1"/>
  <c r="H253" i="11" a="1"/>
  <c r="H253" i="11" s="1"/>
  <c r="H259" i="11" a="1"/>
  <c r="H259" i="11" s="1"/>
  <c r="H268" i="11" a="1"/>
  <c r="H268" i="11" s="1"/>
  <c r="H271" i="11" a="1"/>
  <c r="H271" i="11" s="1"/>
  <c r="H280" i="11" a="1"/>
  <c r="H280" i="11" s="1"/>
  <c r="H283" i="11" a="1"/>
  <c r="H283" i="11" s="1"/>
  <c r="H289" i="11" a="1"/>
  <c r="H289" i="11" s="1"/>
  <c r="H295" i="11" a="1"/>
  <c r="H295" i="11" s="1"/>
  <c r="E58" i="16" a="1"/>
  <c r="E58" i="16" s="1"/>
  <c r="G92" i="11" a="1"/>
  <c r="G92" i="11" s="1"/>
  <c r="J369" i="16" l="1"/>
  <c r="J370" i="16"/>
  <c r="J411" i="16"/>
  <c r="J412" i="16"/>
  <c r="J417" i="16"/>
  <c r="J418" i="16"/>
  <c r="F319" i="16"/>
  <c r="F318" i="16"/>
  <c r="J439" i="16"/>
  <c r="J438" i="16"/>
  <c r="J385" i="16"/>
  <c r="J384" i="16"/>
  <c r="J465" i="16"/>
  <c r="J466" i="16"/>
  <c r="J565" i="16"/>
  <c r="J564" i="16"/>
  <c r="F601" i="16"/>
  <c r="F600" i="16"/>
  <c r="H597" i="16"/>
  <c r="H598" i="16"/>
  <c r="G589" i="16"/>
  <c r="G588" i="16"/>
  <c r="E586" i="16"/>
  <c r="E585" i="16"/>
  <c r="F577" i="16"/>
  <c r="F576" i="16"/>
  <c r="E573" i="16"/>
  <c r="E574" i="16"/>
  <c r="H564" i="16"/>
  <c r="H565" i="16"/>
  <c r="F562" i="16"/>
  <c r="F561" i="16"/>
  <c r="G549" i="16"/>
  <c r="G550" i="16"/>
  <c r="F534" i="16"/>
  <c r="F535" i="16"/>
  <c r="I526" i="16"/>
  <c r="I525" i="16"/>
  <c r="J409" i="16"/>
  <c r="J408" i="16"/>
  <c r="J471" i="16"/>
  <c r="J472" i="16"/>
  <c r="J519" i="16"/>
  <c r="J520" i="16"/>
  <c r="J567" i="16"/>
  <c r="J568" i="16"/>
  <c r="I598" i="16"/>
  <c r="I597" i="16"/>
  <c r="I585" i="16"/>
  <c r="I586" i="16"/>
  <c r="H573" i="16"/>
  <c r="H574" i="16"/>
  <c r="H562" i="16"/>
  <c r="H561" i="16"/>
  <c r="E546" i="16"/>
  <c r="E547" i="16"/>
  <c r="H541" i="16"/>
  <c r="H540" i="16"/>
  <c r="J354" i="16"/>
  <c r="J355" i="16"/>
  <c r="J351" i="16"/>
  <c r="J352" i="16"/>
  <c r="J462" i="16"/>
  <c r="J463" i="16"/>
  <c r="J511" i="16"/>
  <c r="J510" i="16"/>
  <c r="J558" i="16"/>
  <c r="J559" i="16"/>
  <c r="H594" i="16"/>
  <c r="H595" i="16"/>
  <c r="H583" i="16"/>
  <c r="H582" i="16"/>
  <c r="E570" i="16"/>
  <c r="E571" i="16"/>
  <c r="G559" i="16"/>
  <c r="G558" i="16"/>
  <c r="H547" i="16"/>
  <c r="H546" i="16"/>
  <c r="G529" i="16"/>
  <c r="G528" i="16"/>
  <c r="J561" i="16"/>
  <c r="J562" i="16"/>
  <c r="E559" i="16"/>
  <c r="E558" i="16"/>
  <c r="E552" i="16"/>
  <c r="E553" i="16"/>
  <c r="H535" i="16"/>
  <c r="H534" i="16"/>
  <c r="H525" i="16"/>
  <c r="H526" i="16"/>
  <c r="I556" i="16"/>
  <c r="I555" i="16"/>
  <c r="G543" i="16"/>
  <c r="G544" i="16"/>
  <c r="F531" i="16"/>
  <c r="F532" i="16"/>
  <c r="F519" i="16"/>
  <c r="F520" i="16"/>
  <c r="H507" i="16"/>
  <c r="H508" i="16"/>
  <c r="H495" i="16"/>
  <c r="H496" i="16"/>
  <c r="E484" i="16"/>
  <c r="E483" i="16"/>
  <c r="H555" i="16"/>
  <c r="H556" i="16"/>
  <c r="H544" i="16"/>
  <c r="H543" i="16"/>
  <c r="E532" i="16"/>
  <c r="E531" i="16"/>
  <c r="G519" i="16"/>
  <c r="G520" i="16"/>
  <c r="G507" i="16"/>
  <c r="G508" i="16"/>
  <c r="E495" i="16"/>
  <c r="E496" i="16"/>
  <c r="I484" i="16"/>
  <c r="I483" i="16"/>
  <c r="H471" i="16"/>
  <c r="H472" i="16"/>
  <c r="I466" i="16"/>
  <c r="I465" i="16"/>
  <c r="H519" i="16"/>
  <c r="H520" i="16"/>
  <c r="F517" i="16"/>
  <c r="F516" i="16"/>
  <c r="I508" i="16"/>
  <c r="I507" i="16"/>
  <c r="E504" i="16"/>
  <c r="E505" i="16"/>
  <c r="F496" i="16"/>
  <c r="F495" i="16"/>
  <c r="E492" i="16"/>
  <c r="E493" i="16"/>
  <c r="G483" i="16"/>
  <c r="G484" i="16"/>
  <c r="F480" i="16"/>
  <c r="F481" i="16"/>
  <c r="E472" i="16"/>
  <c r="E471" i="16"/>
  <c r="F465" i="16"/>
  <c r="F466" i="16"/>
  <c r="E466" i="16"/>
  <c r="E465" i="16"/>
  <c r="E453" i="16"/>
  <c r="E454" i="16"/>
  <c r="G445" i="16"/>
  <c r="G444" i="16"/>
  <c r="F454" i="16"/>
  <c r="F453" i="16"/>
  <c r="F451" i="16"/>
  <c r="F450" i="16"/>
  <c r="E378" i="16"/>
  <c r="E379" i="16"/>
  <c r="H463" i="16"/>
  <c r="H462" i="16"/>
  <c r="H450" i="16"/>
  <c r="H451" i="16"/>
  <c r="F340" i="16"/>
  <c r="F339" i="16"/>
  <c r="G388" i="16"/>
  <c r="G387" i="16"/>
  <c r="E349" i="16"/>
  <c r="E348" i="16"/>
  <c r="H420" i="16"/>
  <c r="H421" i="16"/>
  <c r="H442" i="16"/>
  <c r="H441" i="16"/>
  <c r="H340" i="16"/>
  <c r="H339" i="16"/>
  <c r="G333" i="16"/>
  <c r="G334" i="16"/>
  <c r="E375" i="16"/>
  <c r="E376" i="16"/>
  <c r="H334" i="16"/>
  <c r="H333" i="16"/>
  <c r="G370" i="16"/>
  <c r="G369" i="16"/>
  <c r="G337" i="16"/>
  <c r="G336" i="16"/>
  <c r="F423" i="16"/>
  <c r="F424" i="16"/>
  <c r="E432" i="16"/>
  <c r="E433" i="16"/>
  <c r="G375" i="16"/>
  <c r="G376" i="16"/>
  <c r="H394" i="16"/>
  <c r="H393" i="16"/>
  <c r="F324" i="16"/>
  <c r="F325" i="16"/>
  <c r="F402" i="16"/>
  <c r="F403" i="16"/>
  <c r="I343" i="16"/>
  <c r="I342" i="16"/>
  <c r="I411" i="16"/>
  <c r="I412" i="16"/>
  <c r="I382" i="16"/>
  <c r="I381" i="16"/>
  <c r="G345" i="16"/>
  <c r="G346" i="16"/>
  <c r="E336" i="16"/>
  <c r="E337" i="16"/>
  <c r="F442" i="16"/>
  <c r="F441" i="16"/>
  <c r="G394" i="16"/>
  <c r="G393" i="16"/>
  <c r="F351" i="16"/>
  <c r="F352" i="16"/>
  <c r="G385" i="16"/>
  <c r="G384" i="16"/>
  <c r="E387" i="16"/>
  <c r="E388" i="16"/>
  <c r="E325" i="16"/>
  <c r="E324" i="16"/>
  <c r="H381" i="16"/>
  <c r="H382" i="16"/>
  <c r="I375" i="16"/>
  <c r="I376" i="16"/>
  <c r="I426" i="16"/>
  <c r="I427" i="16"/>
  <c r="E399" i="16"/>
  <c r="E400" i="16"/>
  <c r="F349" i="16"/>
  <c r="F348" i="16"/>
  <c r="I340" i="16"/>
  <c r="I339" i="16"/>
  <c r="F409" i="16"/>
  <c r="F408" i="16"/>
  <c r="H369" i="16"/>
  <c r="H370" i="16"/>
  <c r="I355" i="16"/>
  <c r="I354" i="16"/>
  <c r="F370" i="16"/>
  <c r="F369" i="16"/>
  <c r="G325" i="16"/>
  <c r="G324" i="16"/>
  <c r="I361" i="16"/>
  <c r="I360" i="16"/>
  <c r="I367" i="16"/>
  <c r="I366" i="16"/>
  <c r="H418" i="16"/>
  <c r="H417" i="16"/>
  <c r="F342" i="16"/>
  <c r="F343" i="16"/>
  <c r="G414" i="16"/>
  <c r="G415" i="16"/>
  <c r="F364" i="16"/>
  <c r="F363" i="16"/>
  <c r="G426" i="16"/>
  <c r="G427" i="16"/>
  <c r="I84" i="16"/>
  <c r="I83" i="16"/>
  <c r="G213" i="16"/>
  <c r="G212" i="16"/>
  <c r="I120" i="16"/>
  <c r="I119" i="16"/>
  <c r="F134" i="16"/>
  <c r="F135" i="16"/>
  <c r="I275" i="16"/>
  <c r="I276" i="16"/>
  <c r="I225" i="16"/>
  <c r="I224" i="16"/>
  <c r="J89" i="16"/>
  <c r="J90" i="16"/>
  <c r="F182" i="16"/>
  <c r="F183" i="16"/>
  <c r="E26" i="16"/>
  <c r="E27" i="16"/>
  <c r="F269" i="16"/>
  <c r="F270" i="16"/>
  <c r="I131" i="16"/>
  <c r="I132" i="16"/>
  <c r="E119" i="16"/>
  <c r="E120" i="16"/>
  <c r="J239" i="16"/>
  <c r="J240" i="16"/>
  <c r="E275" i="16"/>
  <c r="E276" i="16"/>
  <c r="H33" i="16"/>
  <c r="H32" i="16"/>
  <c r="F50" i="16"/>
  <c r="F51" i="16"/>
  <c r="E239" i="16"/>
  <c r="E240" i="16"/>
  <c r="H146" i="16"/>
  <c r="H147" i="16"/>
  <c r="H412" i="16"/>
  <c r="H411" i="16"/>
  <c r="J285" i="16"/>
  <c r="J284" i="16"/>
  <c r="F39" i="16"/>
  <c r="F38" i="16"/>
  <c r="J68" i="16"/>
  <c r="J69" i="16"/>
  <c r="G203" i="16"/>
  <c r="G204" i="16"/>
  <c r="H198" i="16"/>
  <c r="H197" i="16"/>
  <c r="F12" i="16"/>
  <c r="F11" i="16"/>
  <c r="G44" i="16"/>
  <c r="G45" i="16"/>
  <c r="F278" i="16"/>
  <c r="F279" i="16"/>
  <c r="H131" i="16"/>
  <c r="H132" i="16"/>
  <c r="H102" i="16"/>
  <c r="H101" i="16"/>
  <c r="F114" i="16"/>
  <c r="F113" i="16"/>
  <c r="F212" i="16"/>
  <c r="F213" i="16"/>
  <c r="J212" i="16"/>
  <c r="J213" i="16"/>
  <c r="I305" i="16"/>
  <c r="I306" i="16"/>
  <c r="J230" i="16"/>
  <c r="J231" i="16"/>
  <c r="E182" i="16"/>
  <c r="E183" i="16"/>
  <c r="J266" i="16"/>
  <c r="J267" i="16"/>
  <c r="E173" i="16"/>
  <c r="E174" i="16"/>
  <c r="G351" i="16"/>
  <c r="G352" i="16"/>
  <c r="E417" i="16"/>
  <c r="E418" i="16"/>
  <c r="F366" i="16"/>
  <c r="F367" i="16"/>
  <c r="F394" i="16"/>
  <c r="F393" i="16"/>
  <c r="F204" i="16"/>
  <c r="F203" i="16"/>
  <c r="J108" i="16"/>
  <c r="J107" i="16"/>
  <c r="I183" i="16"/>
  <c r="I182" i="16"/>
  <c r="G93" i="16"/>
  <c r="G92" i="16"/>
  <c r="E99" i="16"/>
  <c r="E98" i="16"/>
  <c r="H158" i="16"/>
  <c r="H159" i="16"/>
  <c r="I308" i="16"/>
  <c r="I309" i="16"/>
  <c r="H224" i="16"/>
  <c r="H225" i="16"/>
  <c r="J110" i="16"/>
  <c r="J111" i="16"/>
  <c r="H99" i="16"/>
  <c r="H98" i="16"/>
  <c r="F309" i="16"/>
  <c r="F308" i="16"/>
  <c r="I165" i="16"/>
  <c r="I164" i="16"/>
  <c r="I197" i="16"/>
  <c r="I198" i="16"/>
  <c r="G180" i="16"/>
  <c r="G179" i="16"/>
  <c r="H75" i="16"/>
  <c r="H74" i="16"/>
  <c r="E45" i="16"/>
  <c r="E44" i="16"/>
  <c r="G50" i="16"/>
  <c r="G51" i="16"/>
  <c r="J56" i="16"/>
  <c r="J57" i="16"/>
  <c r="G239" i="16"/>
  <c r="G240" i="16"/>
  <c r="I297" i="16"/>
  <c r="I296" i="16"/>
  <c r="E236" i="16"/>
  <c r="E237" i="16"/>
  <c r="F176" i="16"/>
  <c r="F177" i="16"/>
  <c r="I15" i="16"/>
  <c r="I14" i="16"/>
  <c r="E287" i="16"/>
  <c r="E288" i="16"/>
  <c r="G183" i="16"/>
  <c r="G182" i="16"/>
  <c r="J104" i="16"/>
  <c r="J105" i="16"/>
  <c r="G296" i="16"/>
  <c r="G297" i="16"/>
  <c r="H264" i="16"/>
  <c r="H263" i="16"/>
  <c r="H221" i="16"/>
  <c r="H222" i="16"/>
  <c r="H17" i="16"/>
  <c r="H18" i="16"/>
  <c r="F240" i="16"/>
  <c r="F239" i="16"/>
  <c r="H60" i="16"/>
  <c r="H59" i="16"/>
  <c r="G35" i="16"/>
  <c r="G36" i="16"/>
  <c r="G107" i="16"/>
  <c r="G108" i="16"/>
  <c r="E21" i="16"/>
  <c r="E20" i="16"/>
  <c r="I101" i="16"/>
  <c r="I102" i="16"/>
  <c r="J248" i="16"/>
  <c r="J249" i="16"/>
  <c r="E24" i="16"/>
  <c r="E23" i="16"/>
  <c r="F104" i="16"/>
  <c r="F105" i="16"/>
  <c r="J188" i="16"/>
  <c r="J189" i="16"/>
  <c r="H185" i="16"/>
  <c r="H186" i="16"/>
  <c r="F96" i="16"/>
  <c r="F95" i="16"/>
  <c r="I152" i="16"/>
  <c r="I153" i="16"/>
  <c r="H78" i="16"/>
  <c r="H77" i="16"/>
  <c r="H191" i="16"/>
  <c r="H192" i="16"/>
  <c r="E194" i="16"/>
  <c r="E195" i="16"/>
  <c r="J116" i="16"/>
  <c r="J117" i="16"/>
  <c r="H213" i="16"/>
  <c r="H212" i="16"/>
  <c r="H269" i="16"/>
  <c r="H270" i="16"/>
  <c r="H215" i="16"/>
  <c r="H216" i="16"/>
  <c r="F125" i="16"/>
  <c r="F126" i="16"/>
  <c r="E197" i="16"/>
  <c r="E198" i="16"/>
  <c r="E206" i="16"/>
  <c r="E207" i="16"/>
  <c r="G90" i="16"/>
  <c r="G89" i="16"/>
  <c r="E146" i="16"/>
  <c r="E147" i="16"/>
  <c r="I242" i="16"/>
  <c r="I243" i="16"/>
  <c r="J207" i="16"/>
  <c r="J206" i="16"/>
  <c r="E296" i="16"/>
  <c r="E297" i="16"/>
  <c r="F42" i="16"/>
  <c r="F41" i="16"/>
  <c r="E15" i="16"/>
  <c r="E14" i="16"/>
  <c r="I207" i="16"/>
  <c r="I206" i="16"/>
  <c r="F225" i="16"/>
  <c r="F224" i="16"/>
  <c r="G9" i="16"/>
  <c r="G8" i="16"/>
  <c r="H26" i="16"/>
  <c r="H27" i="16"/>
  <c r="E215" i="16"/>
  <c r="E216" i="16"/>
  <c r="F87" i="16"/>
  <c r="F86" i="16"/>
  <c r="J305" i="16"/>
  <c r="J306" i="16"/>
  <c r="F260" i="16"/>
  <c r="F261" i="16"/>
  <c r="J17" i="16"/>
  <c r="J18" i="16"/>
  <c r="J9" i="16"/>
  <c r="J8" i="16"/>
  <c r="F137" i="16"/>
  <c r="F138" i="16"/>
  <c r="E102" i="16"/>
  <c r="E101" i="16"/>
  <c r="H143" i="16"/>
  <c r="H144" i="16"/>
  <c r="F57" i="16"/>
  <c r="F56" i="16"/>
  <c r="J137" i="16"/>
  <c r="J138" i="16"/>
  <c r="J282" i="16"/>
  <c r="J281" i="16"/>
  <c r="H257" i="16"/>
  <c r="H258" i="16"/>
  <c r="I221" i="16"/>
  <c r="I222" i="16"/>
  <c r="G81" i="16"/>
  <c r="G80" i="16"/>
  <c r="J257" i="16"/>
  <c r="J258" i="16"/>
  <c r="J242" i="16"/>
  <c r="J243" i="16"/>
  <c r="F81" i="16"/>
  <c r="F80" i="16"/>
  <c r="F165" i="16"/>
  <c r="F164" i="16"/>
  <c r="F69" i="16"/>
  <c r="F68" i="16"/>
  <c r="I74" i="16"/>
  <c r="I75" i="16"/>
  <c r="E86" i="16"/>
  <c r="E87" i="16"/>
  <c r="G134" i="16"/>
  <c r="G135" i="16"/>
  <c r="I168" i="16"/>
  <c r="I167" i="16"/>
  <c r="J159" i="16"/>
  <c r="J158" i="16"/>
  <c r="G56" i="16"/>
  <c r="G57" i="16"/>
  <c r="E125" i="16"/>
  <c r="E126" i="16"/>
  <c r="J123" i="16"/>
  <c r="J122" i="16"/>
  <c r="J45" i="16"/>
  <c r="J44" i="16"/>
  <c r="J192" i="16"/>
  <c r="J191" i="16"/>
  <c r="J263" i="16"/>
  <c r="J264" i="16"/>
  <c r="I128" i="16"/>
  <c r="I129" i="16"/>
  <c r="I209" i="16"/>
  <c r="I210" i="16"/>
  <c r="E134" i="16"/>
  <c r="E135" i="16"/>
  <c r="G38" i="16"/>
  <c r="G39" i="16"/>
  <c r="E75" i="16"/>
  <c r="E74" i="16"/>
  <c r="E299" i="16"/>
  <c r="E300" i="16"/>
  <c r="F20" i="16"/>
  <c r="F21" i="16"/>
  <c r="E50" i="16"/>
  <c r="E51" i="16"/>
  <c r="E78" i="16"/>
  <c r="E77" i="16"/>
  <c r="G116" i="16"/>
  <c r="G117" i="16"/>
  <c r="G269" i="16"/>
  <c r="G270" i="16"/>
  <c r="H285" i="16"/>
  <c r="H284" i="16"/>
  <c r="G146" i="16"/>
  <c r="G147" i="16"/>
  <c r="E269" i="16"/>
  <c r="E270" i="16"/>
  <c r="H11" i="16"/>
  <c r="H12" i="16"/>
  <c r="F159" i="16"/>
  <c r="F158" i="16"/>
  <c r="I236" i="16"/>
  <c r="I237" i="16"/>
  <c r="J131" i="16"/>
  <c r="J132" i="16"/>
  <c r="E213" i="16"/>
  <c r="E212" i="16"/>
  <c r="H123" i="16"/>
  <c r="H122" i="16"/>
  <c r="I141" i="16"/>
  <c r="I140" i="16"/>
  <c r="H248" i="16"/>
  <c r="H249" i="16"/>
  <c r="E191" i="16"/>
  <c r="E192" i="16"/>
  <c r="G120" i="16"/>
  <c r="G119" i="16"/>
  <c r="J381" i="16"/>
  <c r="J382" i="16"/>
  <c r="J505" i="16"/>
  <c r="J504" i="16"/>
  <c r="J390" i="16"/>
  <c r="J391" i="16"/>
  <c r="J328" i="16"/>
  <c r="J327" i="16"/>
  <c r="J397" i="16"/>
  <c r="J396" i="16"/>
  <c r="J375" i="16"/>
  <c r="J376" i="16"/>
  <c r="J529" i="16"/>
  <c r="J528" i="16"/>
  <c r="J366" i="16"/>
  <c r="J367" i="16"/>
  <c r="J339" i="16"/>
  <c r="J340" i="16"/>
  <c r="J525" i="16"/>
  <c r="J526" i="16"/>
  <c r="J379" i="16"/>
  <c r="J378" i="16"/>
  <c r="J333" i="16"/>
  <c r="J334" i="16"/>
  <c r="J517" i="16"/>
  <c r="J516" i="16"/>
  <c r="J358" i="16"/>
  <c r="J357" i="16"/>
  <c r="J430" i="16"/>
  <c r="J429" i="16"/>
  <c r="J489" i="16"/>
  <c r="J490" i="16"/>
  <c r="E597" i="16"/>
  <c r="E598" i="16"/>
  <c r="G594" i="16"/>
  <c r="G595" i="16"/>
  <c r="H585" i="16"/>
  <c r="H586" i="16"/>
  <c r="G582" i="16"/>
  <c r="G583" i="16"/>
  <c r="F573" i="16"/>
  <c r="F574" i="16"/>
  <c r="G570" i="16"/>
  <c r="G571" i="16"/>
  <c r="I562" i="16"/>
  <c r="I561" i="16"/>
  <c r="H559" i="16"/>
  <c r="H558" i="16"/>
  <c r="I531" i="16"/>
  <c r="I532" i="16"/>
  <c r="J423" i="16"/>
  <c r="J424" i="16"/>
  <c r="J331" i="16"/>
  <c r="J330" i="16"/>
  <c r="J483" i="16"/>
  <c r="J484" i="16"/>
  <c r="J531" i="16"/>
  <c r="J532" i="16"/>
  <c r="J580" i="16"/>
  <c r="J579" i="16"/>
  <c r="E600" i="16"/>
  <c r="E601" i="16"/>
  <c r="E588" i="16"/>
  <c r="E589" i="16"/>
  <c r="G576" i="16"/>
  <c r="G577" i="16"/>
  <c r="G565" i="16"/>
  <c r="G564" i="16"/>
  <c r="F553" i="16"/>
  <c r="F552" i="16"/>
  <c r="F550" i="16"/>
  <c r="F549" i="16"/>
  <c r="J399" i="16"/>
  <c r="J400" i="16"/>
  <c r="J394" i="16"/>
  <c r="J393" i="16"/>
  <c r="J364" i="16"/>
  <c r="J363" i="16"/>
  <c r="J475" i="16"/>
  <c r="J474" i="16"/>
  <c r="J522" i="16"/>
  <c r="J523" i="16"/>
  <c r="J570" i="16"/>
  <c r="J571" i="16"/>
  <c r="F598" i="16"/>
  <c r="F597" i="16"/>
  <c r="F586" i="16"/>
  <c r="F585" i="16"/>
  <c r="G573" i="16"/>
  <c r="G574" i="16"/>
  <c r="G562" i="16"/>
  <c r="G561" i="16"/>
  <c r="J573" i="16"/>
  <c r="J574" i="16"/>
  <c r="F559" i="16"/>
  <c r="F558" i="16"/>
  <c r="I547" i="16"/>
  <c r="I546" i="16"/>
  <c r="G534" i="16"/>
  <c r="G535" i="16"/>
  <c r="I522" i="16"/>
  <c r="I523" i="16"/>
  <c r="E510" i="16"/>
  <c r="E511" i="16"/>
  <c r="H499" i="16"/>
  <c r="H498" i="16"/>
  <c r="E486" i="16"/>
  <c r="E487" i="16"/>
  <c r="H475" i="16"/>
  <c r="H474" i="16"/>
  <c r="G546" i="16"/>
  <c r="G547" i="16"/>
  <c r="E534" i="16"/>
  <c r="E535" i="16"/>
  <c r="H523" i="16"/>
  <c r="H522" i="16"/>
  <c r="F511" i="16"/>
  <c r="F510" i="16"/>
  <c r="I498" i="16"/>
  <c r="I499" i="16"/>
  <c r="I486" i="16"/>
  <c r="I487" i="16"/>
  <c r="F474" i="16"/>
  <c r="F475" i="16"/>
  <c r="G517" i="16"/>
  <c r="G516" i="16"/>
  <c r="F514" i="16"/>
  <c r="F513" i="16"/>
  <c r="F505" i="16"/>
  <c r="F504" i="16"/>
  <c r="F502" i="16"/>
  <c r="F501" i="16"/>
  <c r="H492" i="16"/>
  <c r="H493" i="16"/>
  <c r="F490" i="16"/>
  <c r="F489" i="16"/>
  <c r="H481" i="16"/>
  <c r="H480" i="16"/>
  <c r="H477" i="16"/>
  <c r="H478" i="16"/>
  <c r="H469" i="16"/>
  <c r="H468" i="16"/>
  <c r="F456" i="16"/>
  <c r="F457" i="16"/>
  <c r="F429" i="16"/>
  <c r="F430" i="16"/>
  <c r="E420" i="16"/>
  <c r="E421" i="16"/>
  <c r="H384" i="16"/>
  <c r="H385" i="16"/>
  <c r="G463" i="16"/>
  <c r="G462" i="16"/>
  <c r="F460" i="16"/>
  <c r="F459" i="16"/>
  <c r="I451" i="16"/>
  <c r="I450" i="16"/>
  <c r="H447" i="16"/>
  <c r="H448" i="16"/>
  <c r="I445" i="16"/>
  <c r="I444" i="16"/>
  <c r="I435" i="16"/>
  <c r="I436" i="16"/>
  <c r="I397" i="16"/>
  <c r="I396" i="16"/>
  <c r="G466" i="16"/>
  <c r="G465" i="16"/>
  <c r="I453" i="16"/>
  <c r="I454" i="16"/>
  <c r="F444" i="16"/>
  <c r="F445" i="16"/>
  <c r="I352" i="16"/>
  <c r="I351" i="16"/>
  <c r="G424" i="16"/>
  <c r="G423" i="16"/>
  <c r="G327" i="16"/>
  <c r="G328" i="16"/>
  <c r="G441" i="16"/>
  <c r="G442" i="16"/>
  <c r="I349" i="16"/>
  <c r="I348" i="16"/>
  <c r="G372" i="16"/>
  <c r="G373" i="16"/>
  <c r="E438" i="16"/>
  <c r="E439" i="16"/>
  <c r="G357" i="16"/>
  <c r="G358" i="16"/>
  <c r="F414" i="16"/>
  <c r="F415" i="16"/>
  <c r="I345" i="16"/>
  <c r="I346" i="16"/>
  <c r="H325" i="16"/>
  <c r="H324" i="16"/>
  <c r="E382" i="16"/>
  <c r="E381" i="16"/>
  <c r="G411" i="16"/>
  <c r="G412" i="16"/>
  <c r="H408" i="16"/>
  <c r="H409" i="16"/>
  <c r="G409" i="16"/>
  <c r="G408" i="16"/>
  <c r="I432" i="16"/>
  <c r="I433" i="16"/>
  <c r="H367" i="16"/>
  <c r="H366" i="16"/>
  <c r="H373" i="16"/>
  <c r="H372" i="16"/>
  <c r="E384" i="16"/>
  <c r="E385" i="16"/>
  <c r="F358" i="16"/>
  <c r="F357" i="16"/>
  <c r="F399" i="16"/>
  <c r="F400" i="16"/>
  <c r="G363" i="16"/>
  <c r="G364" i="16"/>
  <c r="H387" i="16"/>
  <c r="H388" i="16"/>
  <c r="I331" i="16"/>
  <c r="I330" i="16"/>
  <c r="G321" i="16"/>
  <c r="G322" i="16"/>
  <c r="F388" i="16"/>
  <c r="F387" i="16"/>
  <c r="H423" i="16"/>
  <c r="H424" i="16"/>
  <c r="F406" i="16"/>
  <c r="F405" i="16"/>
  <c r="I364" i="16"/>
  <c r="I363" i="16"/>
  <c r="I373" i="16"/>
  <c r="I372" i="16"/>
  <c r="F334" i="16"/>
  <c r="F333" i="16"/>
  <c r="E364" i="16"/>
  <c r="E363" i="16"/>
  <c r="I438" i="16"/>
  <c r="I439" i="16"/>
  <c r="F373" i="16"/>
  <c r="F372" i="16"/>
  <c r="H357" i="16"/>
  <c r="H358" i="16"/>
  <c r="G354" i="16"/>
  <c r="G355" i="16"/>
  <c r="G430" i="16"/>
  <c r="G429" i="16"/>
  <c r="G391" i="16"/>
  <c r="G390" i="16"/>
  <c r="H426" i="16"/>
  <c r="H427" i="16"/>
  <c r="H364" i="16"/>
  <c r="H363" i="16"/>
  <c r="F337" i="16"/>
  <c r="F336" i="16"/>
  <c r="F355" i="16"/>
  <c r="F354" i="16"/>
  <c r="H400" i="16"/>
  <c r="H399" i="16"/>
  <c r="H80" i="16"/>
  <c r="H81" i="16"/>
  <c r="G48" i="16"/>
  <c r="G47" i="16"/>
  <c r="G302" i="16"/>
  <c r="G303" i="16"/>
  <c r="G185" i="16"/>
  <c r="G186" i="16"/>
  <c r="G98" i="16"/>
  <c r="G99" i="16"/>
  <c r="J296" i="16"/>
  <c r="J297" i="16"/>
  <c r="E114" i="16"/>
  <c r="E113" i="16"/>
  <c r="E129" i="16"/>
  <c r="E128" i="16"/>
  <c r="I143" i="16"/>
  <c r="I144" i="16"/>
  <c r="G246" i="16"/>
  <c r="G245" i="16"/>
  <c r="F201" i="16"/>
  <c r="F200" i="16"/>
  <c r="F144" i="16"/>
  <c r="F143" i="16"/>
  <c r="H272" i="16"/>
  <c r="H273" i="16"/>
  <c r="H114" i="16"/>
  <c r="H113" i="16"/>
  <c r="G95" i="16"/>
  <c r="G96" i="16"/>
  <c r="F6" i="16"/>
  <c r="F5" i="16"/>
  <c r="E200" i="16"/>
  <c r="E201" i="16"/>
  <c r="H89" i="16"/>
  <c r="H90" i="16"/>
  <c r="G418" i="16"/>
  <c r="G417" i="16"/>
  <c r="G251" i="16"/>
  <c r="G252" i="16"/>
  <c r="I267" i="16"/>
  <c r="I266" i="16"/>
  <c r="G189" i="16"/>
  <c r="G188" i="16"/>
  <c r="E8" i="16"/>
  <c r="E9" i="16"/>
  <c r="I41" i="16"/>
  <c r="I42" i="16"/>
  <c r="H111" i="16"/>
  <c r="H110" i="16"/>
  <c r="I290" i="16"/>
  <c r="I291" i="16"/>
  <c r="J92" i="16"/>
  <c r="J93" i="16"/>
  <c r="F254" i="16"/>
  <c r="F255" i="16"/>
  <c r="I146" i="16"/>
  <c r="I147" i="16"/>
  <c r="I177" i="16"/>
  <c r="I176" i="16"/>
  <c r="F78" i="16"/>
  <c r="F77" i="16"/>
  <c r="E110" i="16"/>
  <c r="E111" i="16"/>
  <c r="J176" i="16"/>
  <c r="J177" i="16"/>
  <c r="I251" i="16"/>
  <c r="I252" i="16"/>
  <c r="G42" i="16"/>
  <c r="G41" i="16"/>
  <c r="G300" i="16"/>
  <c r="G299" i="16"/>
  <c r="F328" i="16"/>
  <c r="F327" i="16"/>
  <c r="G367" i="16"/>
  <c r="G366" i="16"/>
  <c r="I400" i="16"/>
  <c r="I399" i="16"/>
  <c r="E321" i="16"/>
  <c r="E322" i="16"/>
  <c r="F29" i="16"/>
  <c r="F30" i="16"/>
  <c r="E42" i="16"/>
  <c r="E41" i="16"/>
  <c r="J287" i="16"/>
  <c r="J288" i="16"/>
  <c r="G155" i="16"/>
  <c r="G156" i="16"/>
  <c r="J126" i="16"/>
  <c r="J125" i="16"/>
  <c r="I54" i="16"/>
  <c r="I53" i="16"/>
  <c r="G215" i="16"/>
  <c r="G216" i="16"/>
  <c r="J134" i="16"/>
  <c r="J135" i="16"/>
  <c r="H278" i="16"/>
  <c r="H279" i="16"/>
  <c r="F195" i="16"/>
  <c r="F194" i="16"/>
  <c r="E89" i="16"/>
  <c r="E90" i="16"/>
  <c r="I6" i="16"/>
  <c r="I5" i="16"/>
  <c r="I272" i="16"/>
  <c r="I273" i="16"/>
  <c r="E39" i="16"/>
  <c r="E38" i="16"/>
  <c r="E209" i="16"/>
  <c r="E210" i="16"/>
  <c r="F161" i="16"/>
  <c r="F162" i="16"/>
  <c r="G33" i="16"/>
  <c r="G32" i="16"/>
  <c r="I387" i="16"/>
  <c r="I388" i="16"/>
  <c r="H337" i="16"/>
  <c r="H336" i="16"/>
  <c r="I393" i="16"/>
  <c r="I394" i="16"/>
  <c r="G18" i="16"/>
  <c r="G17" i="16"/>
  <c r="I299" i="16"/>
  <c r="I300" i="16"/>
  <c r="H134" i="16"/>
  <c r="H135" i="16"/>
  <c r="I78" i="16"/>
  <c r="I77" i="16"/>
  <c r="F186" i="16"/>
  <c r="F185" i="16"/>
  <c r="H194" i="16"/>
  <c r="H195" i="16"/>
  <c r="H24" i="16"/>
  <c r="H23" i="16"/>
  <c r="E107" i="16"/>
  <c r="E108" i="16"/>
  <c r="J170" i="16"/>
  <c r="J171" i="16"/>
  <c r="I35" i="16"/>
  <c r="I36" i="16"/>
  <c r="G150" i="16"/>
  <c r="G149" i="16"/>
  <c r="J30" i="16"/>
  <c r="J29" i="16"/>
  <c r="F72" i="16"/>
  <c r="F71" i="16"/>
  <c r="J197" i="16"/>
  <c r="J198" i="16"/>
  <c r="G140" i="16"/>
  <c r="G141" i="16"/>
  <c r="I191" i="16"/>
  <c r="I192" i="16"/>
  <c r="I239" i="16"/>
  <c r="I240" i="16"/>
  <c r="G66" i="16"/>
  <c r="G65" i="16"/>
  <c r="I69" i="16"/>
  <c r="I68" i="16"/>
  <c r="J290" i="16"/>
  <c r="J291" i="16"/>
  <c r="E171" i="16"/>
  <c r="E170" i="16"/>
  <c r="F122" i="16"/>
  <c r="F123" i="16"/>
  <c r="F218" i="16"/>
  <c r="F219" i="16"/>
  <c r="H42" i="16"/>
  <c r="H41" i="16"/>
  <c r="E264" i="16"/>
  <c r="E263" i="16"/>
  <c r="F242" i="16"/>
  <c r="F243" i="16"/>
  <c r="E180" i="16"/>
  <c r="E179" i="16"/>
  <c r="J245" i="16"/>
  <c r="J246" i="16"/>
  <c r="F257" i="16"/>
  <c r="F258" i="16"/>
  <c r="J227" i="16"/>
  <c r="J228" i="16"/>
  <c r="I179" i="16"/>
  <c r="I180" i="16"/>
  <c r="I263" i="16"/>
  <c r="I264" i="16"/>
  <c r="E18" i="16"/>
  <c r="E17" i="16"/>
  <c r="I212" i="16"/>
  <c r="I213" i="16"/>
  <c r="J302" i="16"/>
  <c r="J303" i="16"/>
  <c r="I215" i="16"/>
  <c r="I216" i="16"/>
  <c r="J71" i="16"/>
  <c r="J72" i="16"/>
  <c r="F146" i="16"/>
  <c r="F147" i="16"/>
  <c r="F381" i="16"/>
  <c r="F382" i="16"/>
  <c r="H327" i="16"/>
  <c r="H328" i="16"/>
  <c r="I87" i="16"/>
  <c r="I86" i="16"/>
  <c r="I158" i="16"/>
  <c r="I159" i="16"/>
  <c r="G11" i="16"/>
  <c r="G12" i="16"/>
  <c r="E159" i="16"/>
  <c r="E158" i="16"/>
  <c r="H188" i="16"/>
  <c r="H189" i="16"/>
  <c r="E282" i="16"/>
  <c r="E281" i="16"/>
  <c r="J167" i="16"/>
  <c r="J168" i="16"/>
  <c r="G123" i="16"/>
  <c r="G122" i="16"/>
  <c r="G165" i="16"/>
  <c r="G164" i="16"/>
  <c r="J194" i="16"/>
  <c r="J195" i="16"/>
  <c r="E84" i="16"/>
  <c r="E83" i="16"/>
  <c r="F215" i="16"/>
  <c r="F216" i="16"/>
  <c r="F273" i="16"/>
  <c r="F272" i="16"/>
  <c r="H275" i="16"/>
  <c r="H276" i="16"/>
  <c r="H6" i="16"/>
  <c r="H5" i="16"/>
  <c r="G153" i="16"/>
  <c r="G152" i="16"/>
  <c r="H309" i="16"/>
  <c r="H308" i="16"/>
  <c r="I62" i="16"/>
  <c r="I63" i="16"/>
  <c r="E255" i="16"/>
  <c r="E254" i="16"/>
  <c r="F33" i="16"/>
  <c r="F32" i="16"/>
  <c r="F47" i="16"/>
  <c r="F48" i="16"/>
  <c r="F119" i="16"/>
  <c r="F120" i="16"/>
  <c r="G161" i="16"/>
  <c r="G162" i="16"/>
  <c r="F188" i="16"/>
  <c r="F189" i="16"/>
  <c r="E266" i="16"/>
  <c r="E267" i="16"/>
  <c r="H174" i="16"/>
  <c r="H173" i="16"/>
  <c r="F27" i="16"/>
  <c r="F26" i="16"/>
  <c r="J299" i="16"/>
  <c r="J300" i="16"/>
  <c r="G279" i="16"/>
  <c r="G278" i="16"/>
  <c r="I161" i="16"/>
  <c r="I162" i="16"/>
  <c r="I51" i="16"/>
  <c r="I50" i="16"/>
  <c r="I174" i="16"/>
  <c r="I173" i="16"/>
  <c r="E204" i="16"/>
  <c r="E203" i="16"/>
  <c r="E53" i="16"/>
  <c r="E54" i="16"/>
  <c r="G137" i="16"/>
  <c r="G138" i="16"/>
  <c r="E284" i="16"/>
  <c r="E285" i="16"/>
  <c r="J101" i="16"/>
  <c r="J102" i="16"/>
  <c r="H29" i="16"/>
  <c r="H30" i="16"/>
  <c r="I189" i="16"/>
  <c r="I188" i="16"/>
  <c r="E143" i="16"/>
  <c r="E144" i="16"/>
  <c r="G242" i="16"/>
  <c r="G243" i="16"/>
  <c r="G421" i="16"/>
  <c r="G420" i="16"/>
  <c r="F102" i="16"/>
  <c r="F101" i="16"/>
  <c r="I294" i="16"/>
  <c r="I293" i="16"/>
  <c r="I18" i="16"/>
  <c r="I17" i="16"/>
  <c r="H8" i="16"/>
  <c r="H9" i="16"/>
  <c r="I195" i="16"/>
  <c r="I194" i="16"/>
  <c r="J20" i="16"/>
  <c r="J21" i="16"/>
  <c r="F209" i="16"/>
  <c r="F210" i="16"/>
  <c r="H203" i="16"/>
  <c r="H204" i="16"/>
  <c r="F236" i="16"/>
  <c r="F237" i="16"/>
  <c r="G6" i="16"/>
  <c r="G5" i="16"/>
  <c r="G218" i="16"/>
  <c r="G219" i="16"/>
  <c r="G290" i="16"/>
  <c r="G291" i="16"/>
  <c r="G84" i="16"/>
  <c r="G83" i="16"/>
  <c r="F99" i="16"/>
  <c r="F98" i="16"/>
  <c r="J87" i="16"/>
  <c r="J86" i="16"/>
  <c r="F153" i="16"/>
  <c r="F152" i="16"/>
  <c r="F297" i="16"/>
  <c r="F296" i="16"/>
  <c r="J149" i="16"/>
  <c r="J150" i="16"/>
  <c r="I260" i="16"/>
  <c r="I261" i="16"/>
  <c r="E251" i="16"/>
  <c r="E252" i="16"/>
  <c r="E149" i="16"/>
  <c r="E150" i="16"/>
  <c r="J481" i="16"/>
  <c r="J480" i="16"/>
  <c r="J337" i="16"/>
  <c r="J336" i="16"/>
  <c r="J502" i="16"/>
  <c r="J501" i="16"/>
  <c r="J493" i="16"/>
  <c r="J492" i="16"/>
  <c r="E56" i="16"/>
  <c r="E57" i="16"/>
  <c r="J343" i="16"/>
  <c r="J342" i="16"/>
  <c r="J457" i="16"/>
  <c r="J456" i="16"/>
  <c r="J577" i="16"/>
  <c r="J576" i="16"/>
  <c r="J427" i="16"/>
  <c r="J426" i="16"/>
  <c r="J454" i="16"/>
  <c r="J453" i="16"/>
  <c r="J541" i="16"/>
  <c r="J540" i="16"/>
  <c r="J420" i="16"/>
  <c r="J421" i="16"/>
  <c r="J445" i="16"/>
  <c r="J444" i="16"/>
  <c r="J553" i="16"/>
  <c r="J552" i="16"/>
  <c r="J414" i="16"/>
  <c r="J415" i="16"/>
  <c r="J373" i="16"/>
  <c r="J372" i="16"/>
  <c r="J514" i="16"/>
  <c r="J513" i="16"/>
  <c r="I594" i="16"/>
  <c r="I595" i="16"/>
  <c r="F591" i="16"/>
  <c r="F592" i="16"/>
  <c r="F583" i="16"/>
  <c r="F582" i="16"/>
  <c r="E580" i="16"/>
  <c r="E579" i="16"/>
  <c r="I570" i="16"/>
  <c r="I571" i="16"/>
  <c r="E567" i="16"/>
  <c r="E568" i="16"/>
  <c r="I543" i="16"/>
  <c r="I544" i="16"/>
  <c r="H538" i="16"/>
  <c r="H537" i="16"/>
  <c r="J435" i="16"/>
  <c r="J436" i="16"/>
  <c r="J447" i="16"/>
  <c r="J448" i="16"/>
  <c r="J495" i="16"/>
  <c r="J496" i="16"/>
  <c r="J543" i="16"/>
  <c r="J544" i="16"/>
  <c r="J592" i="16"/>
  <c r="J591" i="16"/>
  <c r="G591" i="16"/>
  <c r="G592" i="16"/>
  <c r="F579" i="16"/>
  <c r="F580" i="16"/>
  <c r="I567" i="16"/>
  <c r="I568" i="16"/>
  <c r="H532" i="16"/>
  <c r="H531" i="16"/>
  <c r="J360" i="16"/>
  <c r="J361" i="16"/>
  <c r="J388" i="16"/>
  <c r="J387" i="16"/>
  <c r="J405" i="16"/>
  <c r="J406" i="16"/>
  <c r="J486" i="16"/>
  <c r="J487" i="16"/>
  <c r="J534" i="16"/>
  <c r="J535" i="16"/>
  <c r="J583" i="16"/>
  <c r="J582" i="16"/>
  <c r="H600" i="16"/>
  <c r="H601" i="16"/>
  <c r="H588" i="16"/>
  <c r="H589" i="16"/>
  <c r="H576" i="16"/>
  <c r="H577" i="16"/>
  <c r="F565" i="16"/>
  <c r="F564" i="16"/>
  <c r="E555" i="16"/>
  <c r="E556" i="16"/>
  <c r="H549" i="16"/>
  <c r="H550" i="16"/>
  <c r="E543" i="16"/>
  <c r="E544" i="16"/>
  <c r="F541" i="16"/>
  <c r="F540" i="16"/>
  <c r="J586" i="16"/>
  <c r="J585" i="16"/>
  <c r="E540" i="16"/>
  <c r="E541" i="16"/>
  <c r="G538" i="16"/>
  <c r="G537" i="16"/>
  <c r="I550" i="16"/>
  <c r="I549" i="16"/>
  <c r="I538" i="16"/>
  <c r="I537" i="16"/>
  <c r="E526" i="16"/>
  <c r="E525" i="16"/>
  <c r="E513" i="16"/>
  <c r="E514" i="16"/>
  <c r="E501" i="16"/>
  <c r="E502" i="16"/>
  <c r="I490" i="16"/>
  <c r="I489" i="16"/>
  <c r="E478" i="16"/>
  <c r="E477" i="16"/>
  <c r="E468" i="16"/>
  <c r="E469" i="16"/>
  <c r="E549" i="16"/>
  <c r="E550" i="16"/>
  <c r="E537" i="16"/>
  <c r="E538" i="16"/>
  <c r="F526" i="16"/>
  <c r="F525" i="16"/>
  <c r="I514" i="16"/>
  <c r="I513" i="16"/>
  <c r="I502" i="16"/>
  <c r="I501" i="16"/>
  <c r="H490" i="16"/>
  <c r="H489" i="16"/>
  <c r="F478" i="16"/>
  <c r="F477" i="16"/>
  <c r="F463" i="16"/>
  <c r="F462" i="16"/>
  <c r="G469" i="16"/>
  <c r="G468" i="16"/>
  <c r="H465" i="16"/>
  <c r="H466" i="16"/>
  <c r="F523" i="16"/>
  <c r="F522" i="16"/>
  <c r="G513" i="16"/>
  <c r="G514" i="16"/>
  <c r="H510" i="16"/>
  <c r="H511" i="16"/>
  <c r="G501" i="16"/>
  <c r="G502" i="16"/>
  <c r="G498" i="16"/>
  <c r="G499" i="16"/>
  <c r="E489" i="16"/>
  <c r="E490" i="16"/>
  <c r="G486" i="16"/>
  <c r="G487" i="16"/>
  <c r="G478" i="16"/>
  <c r="G477" i="16"/>
  <c r="E475" i="16"/>
  <c r="E474" i="16"/>
  <c r="G472" i="16"/>
  <c r="G471" i="16"/>
  <c r="E460" i="16"/>
  <c r="E459" i="16"/>
  <c r="I447" i="16"/>
  <c r="I448" i="16"/>
  <c r="H445" i="16"/>
  <c r="H444" i="16"/>
  <c r="E462" i="16"/>
  <c r="E463" i="16"/>
  <c r="H459" i="16"/>
  <c r="H460" i="16"/>
  <c r="H456" i="16"/>
  <c r="H457" i="16"/>
  <c r="H453" i="16"/>
  <c r="H454" i="16"/>
  <c r="E450" i="16"/>
  <c r="E451" i="16"/>
  <c r="E447" i="16"/>
  <c r="E448" i="16"/>
  <c r="E409" i="16"/>
  <c r="E408" i="16"/>
  <c r="I459" i="16"/>
  <c r="I460" i="16"/>
  <c r="G456" i="16"/>
  <c r="G457" i="16"/>
  <c r="G448" i="16"/>
  <c r="G447" i="16"/>
  <c r="I418" i="16"/>
  <c r="I417" i="16"/>
  <c r="E457" i="16"/>
  <c r="E456" i="16"/>
  <c r="E445" i="16"/>
  <c r="E444" i="16"/>
  <c r="G439" i="16"/>
  <c r="G438" i="16"/>
  <c r="H432" i="16"/>
  <c r="H433" i="16"/>
  <c r="I441" i="16"/>
  <c r="I442" i="16"/>
  <c r="E406" i="16"/>
  <c r="E405" i="16"/>
  <c r="I357" i="16"/>
  <c r="I358" i="16"/>
  <c r="G339" i="16"/>
  <c r="G340" i="16"/>
  <c r="E423" i="16"/>
  <c r="E424" i="16"/>
  <c r="G381" i="16"/>
  <c r="G382" i="16"/>
  <c r="H430" i="16"/>
  <c r="H429" i="16"/>
  <c r="F345" i="16"/>
  <c r="F346" i="16"/>
  <c r="E361" i="16"/>
  <c r="E360" i="16"/>
  <c r="E333" i="16"/>
  <c r="E334" i="16"/>
  <c r="E369" i="16"/>
  <c r="E370" i="16"/>
  <c r="E414" i="16"/>
  <c r="E415" i="16"/>
  <c r="E441" i="16"/>
  <c r="E442" i="16"/>
  <c r="H355" i="16"/>
  <c r="H354" i="16"/>
  <c r="E372" i="16"/>
  <c r="E373" i="16"/>
  <c r="H348" i="16"/>
  <c r="H349" i="16"/>
  <c r="E397" i="16"/>
  <c r="E396" i="16"/>
  <c r="E391" i="16"/>
  <c r="E390" i="16"/>
  <c r="F376" i="16"/>
  <c r="F375" i="16"/>
  <c r="H439" i="16"/>
  <c r="H438" i="16"/>
  <c r="H321" i="16"/>
  <c r="H322" i="16"/>
  <c r="G349" i="16"/>
  <c r="G348" i="16"/>
  <c r="F378" i="16"/>
  <c r="F379" i="16"/>
  <c r="E345" i="16"/>
  <c r="E346" i="16"/>
  <c r="I385" i="16"/>
  <c r="I384" i="16"/>
  <c r="I406" i="16"/>
  <c r="I405" i="16"/>
  <c r="G406" i="16"/>
  <c r="G405" i="16"/>
  <c r="H436" i="16"/>
  <c r="H435" i="16"/>
  <c r="G360" i="16"/>
  <c r="G361" i="16"/>
  <c r="E318" i="16"/>
  <c r="E319" i="16"/>
  <c r="F321" i="16"/>
  <c r="F322" i="16"/>
  <c r="E331" i="16"/>
  <c r="E330" i="16"/>
  <c r="G343" i="16"/>
  <c r="G342" i="16"/>
  <c r="F426" i="16"/>
  <c r="F427" i="16"/>
  <c r="H331" i="16"/>
  <c r="H330" i="16"/>
  <c r="G402" i="16"/>
  <c r="G403" i="16"/>
  <c r="G198" i="16"/>
  <c r="G197" i="16"/>
  <c r="H230" i="16"/>
  <c r="H231" i="16"/>
  <c r="F36" i="16"/>
  <c r="F35" i="16"/>
  <c r="E221" i="16"/>
  <c r="E222" i="16"/>
  <c r="J129" i="16"/>
  <c r="J128" i="16"/>
  <c r="G60" i="16"/>
  <c r="G59" i="16"/>
  <c r="I81" i="16"/>
  <c r="I80" i="16"/>
  <c r="H201" i="16"/>
  <c r="H200" i="16"/>
  <c r="H116" i="16"/>
  <c r="H117" i="16"/>
  <c r="H45" i="16"/>
  <c r="H44" i="16"/>
  <c r="F53" i="16"/>
  <c r="F54" i="16"/>
  <c r="H243" i="16"/>
  <c r="H242" i="16"/>
  <c r="F284" i="16"/>
  <c r="F285" i="16"/>
  <c r="E290" i="16"/>
  <c r="E291" i="16"/>
  <c r="H240" i="16"/>
  <c r="H239" i="16"/>
  <c r="G54" i="16"/>
  <c r="G53" i="16"/>
  <c r="E302" i="16"/>
  <c r="E303" i="16"/>
  <c r="H376" i="16"/>
  <c r="H375" i="16"/>
  <c r="I270" i="16"/>
  <c r="I269" i="16"/>
  <c r="E176" i="16"/>
  <c r="E177" i="16"/>
  <c r="G114" i="16"/>
  <c r="G113" i="16"/>
  <c r="G264" i="16"/>
  <c r="G263" i="16"/>
  <c r="I155" i="16"/>
  <c r="I156" i="16"/>
  <c r="I138" i="16"/>
  <c r="I137" i="16"/>
  <c r="J75" i="16"/>
  <c r="J74" i="16"/>
  <c r="H252" i="16"/>
  <c r="H251" i="16"/>
  <c r="J293" i="16"/>
  <c r="J294" i="16"/>
  <c r="F107" i="16"/>
  <c r="F108" i="16"/>
  <c r="G257" i="16"/>
  <c r="G258" i="16"/>
  <c r="H69" i="16"/>
  <c r="H68" i="16"/>
  <c r="H281" i="16"/>
  <c r="H282" i="16"/>
  <c r="E164" i="16"/>
  <c r="E165" i="16"/>
  <c r="I20" i="16"/>
  <c r="I21" i="16"/>
  <c r="H149" i="16"/>
  <c r="H150" i="16"/>
  <c r="H210" i="16"/>
  <c r="H209" i="16"/>
  <c r="H346" i="16"/>
  <c r="H345" i="16"/>
  <c r="F384" i="16"/>
  <c r="F385" i="16"/>
  <c r="G331" i="16"/>
  <c r="G330" i="16"/>
  <c r="I391" i="16"/>
  <c r="I390" i="16"/>
  <c r="H245" i="16"/>
  <c r="H246" i="16"/>
  <c r="G131" i="16"/>
  <c r="G132" i="16"/>
  <c r="J309" i="16"/>
  <c r="J308" i="16"/>
  <c r="H84" i="16"/>
  <c r="H83" i="16"/>
  <c r="H65" i="16"/>
  <c r="H66" i="16"/>
  <c r="F282" i="16"/>
  <c r="F281" i="16"/>
  <c r="J272" i="16"/>
  <c r="J273" i="16"/>
  <c r="I303" i="16"/>
  <c r="I302" i="16"/>
  <c r="G201" i="16"/>
  <c r="G200" i="16"/>
  <c r="G87" i="16"/>
  <c r="G86" i="16"/>
  <c r="J203" i="16"/>
  <c r="J204" i="16"/>
  <c r="F15" i="16"/>
  <c r="F14" i="16"/>
  <c r="F266" i="16"/>
  <c r="F267" i="16"/>
  <c r="G221" i="16"/>
  <c r="G222" i="16"/>
  <c r="J51" i="16"/>
  <c r="J50" i="16"/>
  <c r="J275" i="16"/>
  <c r="J276" i="16"/>
  <c r="G159" i="16"/>
  <c r="G158" i="16"/>
  <c r="H164" i="16"/>
  <c r="H165" i="16"/>
  <c r="F396" i="16"/>
  <c r="F397" i="16"/>
  <c r="E328" i="16"/>
  <c r="E327" i="16"/>
  <c r="E96" i="16"/>
  <c r="E95" i="16"/>
  <c r="F65" i="16"/>
  <c r="F66" i="16"/>
  <c r="J53" i="16"/>
  <c r="J54" i="16"/>
  <c r="G110" i="16"/>
  <c r="G111" i="16"/>
  <c r="H254" i="16"/>
  <c r="H255" i="16"/>
  <c r="G195" i="16"/>
  <c r="G194" i="16"/>
  <c r="H56" i="16"/>
  <c r="H57" i="16"/>
  <c r="I284" i="16"/>
  <c r="I285" i="16"/>
  <c r="G101" i="16"/>
  <c r="G102" i="16"/>
  <c r="J236" i="16"/>
  <c r="J237" i="16"/>
  <c r="I56" i="16"/>
  <c r="I57" i="16"/>
  <c r="I24" i="16"/>
  <c r="I23" i="16"/>
  <c r="J62" i="16"/>
  <c r="J63" i="16"/>
  <c r="I149" i="16"/>
  <c r="I150" i="16"/>
  <c r="H120" i="16"/>
  <c r="H119" i="16"/>
  <c r="J84" i="16"/>
  <c r="J83" i="16"/>
  <c r="E33" i="16"/>
  <c r="E32" i="16"/>
  <c r="E242" i="16"/>
  <c r="E243" i="16"/>
  <c r="H305" i="16"/>
  <c r="H306" i="16"/>
  <c r="G260" i="16"/>
  <c r="G261" i="16"/>
  <c r="G206" i="16"/>
  <c r="G207" i="16"/>
  <c r="E30" i="16"/>
  <c r="E29" i="16"/>
  <c r="J66" i="16"/>
  <c r="J65" i="16"/>
  <c r="J114" i="16"/>
  <c r="J113" i="16"/>
  <c r="F9" i="16"/>
  <c r="F8" i="16"/>
  <c r="G176" i="16"/>
  <c r="G177" i="16"/>
  <c r="E228" i="16"/>
  <c r="E227" i="16"/>
  <c r="H218" i="16"/>
  <c r="H219" i="16"/>
  <c r="E167" i="16"/>
  <c r="E168" i="16"/>
  <c r="F300" i="16"/>
  <c r="F299" i="16"/>
  <c r="J140" i="16"/>
  <c r="J141" i="16"/>
  <c r="H50" i="16"/>
  <c r="H51" i="16"/>
  <c r="E156" i="16"/>
  <c r="E155" i="16"/>
  <c r="G236" i="16"/>
  <c r="G237" i="16"/>
  <c r="E234" i="16"/>
  <c r="E233" i="16"/>
  <c r="F221" i="16"/>
  <c r="F222" i="16"/>
  <c r="I234" i="16"/>
  <c r="I233" i="16"/>
  <c r="E36" i="16"/>
  <c r="E35" i="16"/>
  <c r="H351" i="16"/>
  <c r="H352" i="16"/>
  <c r="I430" i="16"/>
  <c r="I429" i="16"/>
  <c r="J12" i="16"/>
  <c r="J11" i="16"/>
  <c r="H138" i="16"/>
  <c r="H137" i="16"/>
  <c r="J41" i="16"/>
  <c r="J42" i="16"/>
  <c r="J225" i="16"/>
  <c r="J224" i="16"/>
  <c r="G75" i="16"/>
  <c r="G74" i="16"/>
  <c r="H234" i="16"/>
  <c r="H233" i="16"/>
  <c r="E117" i="16"/>
  <c r="E116" i="16"/>
  <c r="I254" i="16"/>
  <c r="I255" i="16"/>
  <c r="F23" i="16"/>
  <c r="F24" i="16"/>
  <c r="J251" i="16"/>
  <c r="J252" i="16"/>
  <c r="J47" i="16"/>
  <c r="J48" i="16"/>
  <c r="G171" i="16"/>
  <c r="G170" i="16"/>
  <c r="G21" i="16"/>
  <c r="G20" i="16"/>
  <c r="I111" i="16"/>
  <c r="I110" i="16"/>
  <c r="F116" i="16"/>
  <c r="F117" i="16"/>
  <c r="F140" i="16"/>
  <c r="F141" i="16"/>
  <c r="F170" i="16"/>
  <c r="F171" i="16"/>
  <c r="F173" i="16"/>
  <c r="F174" i="16"/>
  <c r="H236" i="16"/>
  <c r="H237" i="16"/>
  <c r="I32" i="16"/>
  <c r="I33" i="16"/>
  <c r="G293" i="16"/>
  <c r="G294" i="16"/>
  <c r="I30" i="16"/>
  <c r="I29" i="16"/>
  <c r="G248" i="16"/>
  <c r="G249" i="16"/>
  <c r="E140" i="16"/>
  <c r="E141" i="16"/>
  <c r="H287" i="16"/>
  <c r="H288" i="16"/>
  <c r="E293" i="16"/>
  <c r="E294" i="16"/>
  <c r="I200" i="16"/>
  <c r="I201" i="16"/>
  <c r="H153" i="16"/>
  <c r="H152" i="16"/>
  <c r="J186" i="16"/>
  <c r="J185" i="16"/>
  <c r="H180" i="16"/>
  <c r="H179" i="16"/>
  <c r="H140" i="16"/>
  <c r="H141" i="16"/>
  <c r="H155" i="16"/>
  <c r="H156" i="16"/>
  <c r="F263" i="16"/>
  <c r="F264" i="16"/>
  <c r="H54" i="16"/>
  <c r="H53" i="16"/>
  <c r="I107" i="16"/>
  <c r="I108" i="16"/>
  <c r="I66" i="16"/>
  <c r="I65" i="16"/>
  <c r="J209" i="16"/>
  <c r="J210" i="16"/>
  <c r="I98" i="16"/>
  <c r="I99" i="16"/>
  <c r="F287" i="16"/>
  <c r="F288" i="16"/>
  <c r="F129" i="16"/>
  <c r="F128" i="16"/>
  <c r="E246" i="16"/>
  <c r="E245" i="16"/>
  <c r="F90" i="16"/>
  <c r="F89" i="16"/>
  <c r="I227" i="16"/>
  <c r="I228" i="16"/>
  <c r="E137" i="16"/>
  <c r="E138" i="16"/>
  <c r="F156" i="16"/>
  <c r="F155" i="16"/>
  <c r="I26" i="16"/>
  <c r="I27" i="16"/>
  <c r="I126" i="16"/>
  <c r="I125" i="16"/>
  <c r="H167" i="16"/>
  <c r="H168" i="16"/>
  <c r="J174" i="16"/>
  <c r="J173" i="16"/>
  <c r="E81" i="16"/>
  <c r="E80" i="16"/>
  <c r="I204" i="16"/>
  <c r="I203" i="16"/>
  <c r="G167" i="16"/>
  <c r="G168" i="16"/>
  <c r="E258" i="16"/>
  <c r="E257" i="16"/>
  <c r="H104" i="16"/>
  <c r="H105" i="16"/>
  <c r="E224" i="16"/>
  <c r="E225" i="16"/>
  <c r="I231" i="16"/>
  <c r="I230" i="16"/>
  <c r="H261" i="16"/>
  <c r="H260" i="16"/>
  <c r="F197" i="16"/>
  <c r="F198" i="16"/>
  <c r="F75" i="16"/>
  <c r="F74" i="16"/>
  <c r="F132" i="16"/>
  <c r="F131" i="16"/>
  <c r="E161" i="16"/>
  <c r="E162" i="16"/>
  <c r="H48" i="16"/>
  <c r="H47" i="16"/>
  <c r="J348" i="16"/>
  <c r="J349" i="16"/>
  <c r="J324" i="16"/>
  <c r="J325" i="16"/>
  <c r="J478" i="16"/>
  <c r="J477" i="16"/>
  <c r="J589" i="16"/>
  <c r="J588" i="16"/>
  <c r="J441" i="16"/>
  <c r="J442" i="16"/>
  <c r="J469" i="16"/>
  <c r="J468" i="16"/>
  <c r="J601" i="16"/>
  <c r="J600" i="16"/>
  <c r="J433" i="16"/>
  <c r="J432" i="16"/>
  <c r="J319" i="16"/>
  <c r="J318" i="16"/>
  <c r="J538" i="16"/>
  <c r="J537" i="16"/>
  <c r="I601" i="16"/>
  <c r="I600" i="16"/>
  <c r="H591" i="16"/>
  <c r="H592" i="16"/>
  <c r="I588" i="16"/>
  <c r="I589" i="16"/>
  <c r="I579" i="16"/>
  <c r="I580" i="16"/>
  <c r="E576" i="16"/>
  <c r="E577" i="16"/>
  <c r="F567" i="16"/>
  <c r="F568" i="16"/>
  <c r="I565" i="16"/>
  <c r="I564" i="16"/>
  <c r="F555" i="16"/>
  <c r="F556" i="16"/>
  <c r="G553" i="16"/>
  <c r="G552" i="16"/>
  <c r="F546" i="16"/>
  <c r="F547" i="16"/>
  <c r="J321" i="16"/>
  <c r="J322" i="16"/>
  <c r="J459" i="16"/>
  <c r="J460" i="16"/>
  <c r="J507" i="16"/>
  <c r="J508" i="16"/>
  <c r="J555" i="16"/>
  <c r="J556" i="16"/>
  <c r="E595" i="16"/>
  <c r="E594" i="16"/>
  <c r="I582" i="16"/>
  <c r="I583" i="16"/>
  <c r="F571" i="16"/>
  <c r="F570" i="16"/>
  <c r="F543" i="16"/>
  <c r="F544" i="16"/>
  <c r="J403" i="16"/>
  <c r="J402" i="16"/>
  <c r="J346" i="16"/>
  <c r="J345" i="16"/>
  <c r="J451" i="16"/>
  <c r="J450" i="16"/>
  <c r="J498" i="16"/>
  <c r="J499" i="16"/>
  <c r="J546" i="16"/>
  <c r="J547" i="16"/>
  <c r="J595" i="16"/>
  <c r="J594" i="16"/>
  <c r="E592" i="16"/>
  <c r="E591" i="16"/>
  <c r="G579" i="16"/>
  <c r="G580" i="16"/>
  <c r="H567" i="16"/>
  <c r="H568" i="16"/>
  <c r="F538" i="16"/>
  <c r="F537" i="16"/>
  <c r="J549" i="16"/>
  <c r="J550" i="16"/>
  <c r="J598" i="16"/>
  <c r="J597" i="16"/>
  <c r="G601" i="16"/>
  <c r="G600" i="16"/>
  <c r="G597" i="16"/>
  <c r="G598" i="16"/>
  <c r="F594" i="16"/>
  <c r="F595" i="16"/>
  <c r="I591" i="16"/>
  <c r="I592" i="16"/>
  <c r="F588" i="16"/>
  <c r="F589" i="16"/>
  <c r="G585" i="16"/>
  <c r="G586" i="16"/>
  <c r="E582" i="16"/>
  <c r="E583" i="16"/>
  <c r="H580" i="16"/>
  <c r="H579" i="16"/>
  <c r="I576" i="16"/>
  <c r="I577" i="16"/>
  <c r="I573" i="16"/>
  <c r="I574" i="16"/>
  <c r="H570" i="16"/>
  <c r="H571" i="16"/>
  <c r="G567" i="16"/>
  <c r="G568" i="16"/>
  <c r="E564" i="16"/>
  <c r="E565" i="16"/>
  <c r="E562" i="16"/>
  <c r="E561" i="16"/>
  <c r="I558" i="16"/>
  <c r="I559" i="16"/>
  <c r="G555" i="16"/>
  <c r="G556" i="16"/>
  <c r="H528" i="16"/>
  <c r="H529" i="16"/>
  <c r="H552" i="16"/>
  <c r="H553" i="16"/>
  <c r="G540" i="16"/>
  <c r="G541" i="16"/>
  <c r="F528" i="16"/>
  <c r="F529" i="16"/>
  <c r="E516" i="16"/>
  <c r="E517" i="16"/>
  <c r="G504" i="16"/>
  <c r="G505" i="16"/>
  <c r="G493" i="16"/>
  <c r="G492" i="16"/>
  <c r="G481" i="16"/>
  <c r="G480" i="16"/>
  <c r="I553" i="16"/>
  <c r="I552" i="16"/>
  <c r="I540" i="16"/>
  <c r="I541" i="16"/>
  <c r="E528" i="16"/>
  <c r="E529" i="16"/>
  <c r="H516" i="16"/>
  <c r="H517" i="16"/>
  <c r="I504" i="16"/>
  <c r="I505" i="16"/>
  <c r="I493" i="16"/>
  <c r="I492" i="16"/>
  <c r="E480" i="16"/>
  <c r="E481" i="16"/>
  <c r="I469" i="16"/>
  <c r="I468" i="16"/>
  <c r="I534" i="16"/>
  <c r="I535" i="16"/>
  <c r="G531" i="16"/>
  <c r="G532" i="16"/>
  <c r="I529" i="16"/>
  <c r="I528" i="16"/>
  <c r="G525" i="16"/>
  <c r="G526" i="16"/>
  <c r="E523" i="16"/>
  <c r="E522" i="16"/>
  <c r="E520" i="16"/>
  <c r="E519" i="16"/>
  <c r="I516" i="16"/>
  <c r="I517" i="16"/>
  <c r="H513" i="16"/>
  <c r="H514" i="16"/>
  <c r="I511" i="16"/>
  <c r="I510" i="16"/>
  <c r="E508" i="16"/>
  <c r="E507" i="16"/>
  <c r="H504" i="16"/>
  <c r="H505" i="16"/>
  <c r="H502" i="16"/>
  <c r="H501" i="16"/>
  <c r="E499" i="16"/>
  <c r="E498" i="16"/>
  <c r="I495" i="16"/>
  <c r="I496" i="16"/>
  <c r="F493" i="16"/>
  <c r="F492" i="16"/>
  <c r="G489" i="16"/>
  <c r="G490" i="16"/>
  <c r="F487" i="16"/>
  <c r="F486" i="16"/>
  <c r="H483" i="16"/>
  <c r="H484" i="16"/>
  <c r="I481" i="16"/>
  <c r="I480" i="16"/>
  <c r="I478" i="16"/>
  <c r="I477" i="16"/>
  <c r="I474" i="16"/>
  <c r="I475" i="16"/>
  <c r="F471" i="16"/>
  <c r="F472" i="16"/>
  <c r="G523" i="16"/>
  <c r="G522" i="16"/>
  <c r="I520" i="16"/>
  <c r="I519" i="16"/>
  <c r="G510" i="16"/>
  <c r="G511" i="16"/>
  <c r="F507" i="16"/>
  <c r="F508" i="16"/>
  <c r="F498" i="16"/>
  <c r="F499" i="16"/>
  <c r="G496" i="16"/>
  <c r="G495" i="16"/>
  <c r="H487" i="16"/>
  <c r="H486" i="16"/>
  <c r="F483" i="16"/>
  <c r="F484" i="16"/>
  <c r="G474" i="16"/>
  <c r="G475" i="16"/>
  <c r="I471" i="16"/>
  <c r="I472" i="16"/>
  <c r="F469" i="16"/>
  <c r="F468" i="16"/>
  <c r="I462" i="16"/>
  <c r="I463" i="16"/>
  <c r="G450" i="16"/>
  <c r="G451" i="16"/>
  <c r="I423" i="16"/>
  <c r="I424" i="16"/>
  <c r="I457" i="16"/>
  <c r="I456" i="16"/>
  <c r="G453" i="16"/>
  <c r="G454" i="16"/>
  <c r="G460" i="16"/>
  <c r="G459" i="16"/>
  <c r="F447" i="16"/>
  <c r="F448" i="16"/>
  <c r="I369" i="16"/>
  <c r="I370" i="16"/>
  <c r="H396" i="16"/>
  <c r="H397" i="16"/>
  <c r="G378" i="16"/>
  <c r="G379" i="16"/>
  <c r="F361" i="16"/>
  <c r="F360" i="16"/>
  <c r="F435" i="16"/>
  <c r="F436" i="16"/>
  <c r="I333" i="16"/>
  <c r="I334" i="16"/>
  <c r="F439" i="16"/>
  <c r="F438" i="16"/>
  <c r="F417" i="16"/>
  <c r="F418" i="16"/>
  <c r="E412" i="16"/>
  <c r="E411" i="16"/>
  <c r="F420" i="16"/>
  <c r="F421" i="16"/>
  <c r="E435" i="16"/>
  <c r="E436" i="16"/>
  <c r="I379" i="16"/>
  <c r="I378" i="16"/>
  <c r="F330" i="16"/>
  <c r="F331" i="16"/>
  <c r="G319" i="16"/>
  <c r="G318" i="16"/>
  <c r="I415" i="16"/>
  <c r="I414" i="16"/>
  <c r="E340" i="16"/>
  <c r="E339" i="16"/>
  <c r="H318" i="16"/>
  <c r="H319" i="16"/>
  <c r="E394" i="16"/>
  <c r="E393" i="16"/>
  <c r="F432" i="16"/>
  <c r="F433" i="16"/>
  <c r="H414" i="16"/>
  <c r="H415" i="16"/>
  <c r="E427" i="16"/>
  <c r="E426" i="16"/>
  <c r="E430" i="16"/>
  <c r="E429" i="16"/>
  <c r="G432" i="16"/>
  <c r="G433" i="16"/>
  <c r="I336" i="16"/>
  <c r="I337" i="16"/>
  <c r="H406" i="16"/>
  <c r="H405" i="16"/>
  <c r="H361" i="16"/>
  <c r="H360" i="16"/>
  <c r="E358" i="16"/>
  <c r="E357" i="16"/>
  <c r="E342" i="16"/>
  <c r="E343" i="16"/>
  <c r="H378" i="16"/>
  <c r="H379" i="16"/>
  <c r="E354" i="16"/>
  <c r="E355" i="16"/>
  <c r="E352" i="16"/>
  <c r="E351" i="16"/>
  <c r="E366" i="16"/>
  <c r="E367" i="16"/>
  <c r="F412" i="16"/>
  <c r="F411" i="16"/>
  <c r="G399" i="16"/>
  <c r="G400" i="16"/>
  <c r="H403" i="16"/>
  <c r="H402" i="16"/>
  <c r="I319" i="16"/>
  <c r="I318" i="16"/>
  <c r="I321" i="16"/>
  <c r="I322" i="16"/>
  <c r="I408" i="16"/>
  <c r="I409" i="16"/>
  <c r="G397" i="16"/>
  <c r="G396" i="16"/>
  <c r="G267" i="16"/>
  <c r="G266" i="16"/>
  <c r="I9" i="16"/>
  <c r="I8" i="16"/>
  <c r="G27" i="16"/>
  <c r="G26" i="16"/>
  <c r="G227" i="16"/>
  <c r="G228" i="16"/>
  <c r="G273" i="16"/>
  <c r="G272" i="16"/>
  <c r="G78" i="16"/>
  <c r="G77" i="16"/>
  <c r="G125" i="16"/>
  <c r="G126" i="16"/>
  <c r="F293" i="16"/>
  <c r="F294" i="16"/>
  <c r="J216" i="16"/>
  <c r="J215" i="16"/>
  <c r="I245" i="16"/>
  <c r="I246" i="16"/>
  <c r="G68" i="16"/>
  <c r="G69" i="16"/>
  <c r="H107" i="16"/>
  <c r="H108" i="16"/>
  <c r="H129" i="16"/>
  <c r="H128" i="16"/>
  <c r="H177" i="16"/>
  <c r="H176" i="16"/>
  <c r="J218" i="16"/>
  <c r="J219" i="16"/>
  <c r="H72" i="16"/>
  <c r="H71" i="16"/>
  <c r="J35" i="16"/>
  <c r="J36" i="16"/>
  <c r="H342" i="16"/>
  <c r="H343" i="16"/>
  <c r="I96" i="16"/>
  <c r="I95" i="16"/>
  <c r="I47" i="16"/>
  <c r="I48" i="16"/>
  <c r="H267" i="16"/>
  <c r="H266" i="16"/>
  <c r="H62" i="16"/>
  <c r="H63" i="16"/>
  <c r="F60" i="16"/>
  <c r="F59" i="16"/>
  <c r="H125" i="16"/>
  <c r="H126" i="16"/>
  <c r="G305" i="16"/>
  <c r="G306" i="16"/>
  <c r="J254" i="16"/>
  <c r="J255" i="16"/>
  <c r="J24" i="16"/>
  <c r="J23" i="16"/>
  <c r="G309" i="16"/>
  <c r="G308" i="16"/>
  <c r="H170" i="16"/>
  <c r="H171" i="16"/>
  <c r="H96" i="16"/>
  <c r="H95" i="16"/>
  <c r="E305" i="16"/>
  <c r="E306" i="16"/>
  <c r="G173" i="16"/>
  <c r="G174" i="16"/>
  <c r="E59" i="16"/>
  <c r="E60" i="16"/>
  <c r="G29" i="16"/>
  <c r="G30" i="16"/>
  <c r="F149" i="16"/>
  <c r="F150" i="16"/>
  <c r="H391" i="16"/>
  <c r="H390" i="16"/>
  <c r="I325" i="16"/>
  <c r="I324" i="16"/>
  <c r="I421" i="16"/>
  <c r="I420" i="16"/>
  <c r="G435" i="16"/>
  <c r="G436" i="16"/>
  <c r="E68" i="16"/>
  <c r="E69" i="16"/>
  <c r="G15" i="16"/>
  <c r="G14" i="16"/>
  <c r="I71" i="16"/>
  <c r="I72" i="16"/>
  <c r="E6" i="16"/>
  <c r="E5" i="16"/>
  <c r="J261" i="16"/>
  <c r="J260" i="16"/>
  <c r="J80" i="16"/>
  <c r="J81" i="16"/>
  <c r="E105" i="16"/>
  <c r="E104" i="16"/>
  <c r="J6" i="16"/>
  <c r="J5" i="16"/>
  <c r="H206" i="16"/>
  <c r="H207" i="16"/>
  <c r="I278" i="16"/>
  <c r="I279" i="16"/>
  <c r="I114" i="16"/>
  <c r="I113" i="16"/>
  <c r="I123" i="16"/>
  <c r="I122" i="16"/>
  <c r="F110" i="16"/>
  <c r="F111" i="16"/>
  <c r="I93" i="16"/>
  <c r="I92" i="16"/>
  <c r="I44" i="16"/>
  <c r="I45" i="16"/>
  <c r="I170" i="16"/>
  <c r="I171" i="16"/>
  <c r="E12" i="16"/>
  <c r="E11" i="16"/>
  <c r="E403" i="16"/>
  <c r="E402" i="16"/>
  <c r="F391" i="16"/>
  <c r="F390" i="16"/>
  <c r="H38" i="16"/>
  <c r="H39" i="16"/>
  <c r="F231" i="16"/>
  <c r="F230" i="16"/>
  <c r="I218" i="16"/>
  <c r="I219" i="16"/>
  <c r="E278" i="16"/>
  <c r="E279" i="16"/>
  <c r="E71" i="16"/>
  <c r="E72" i="16"/>
  <c r="E272" i="16"/>
  <c r="E273" i="16"/>
  <c r="F233" i="16"/>
  <c r="F234" i="16"/>
  <c r="F45" i="16"/>
  <c r="F44" i="16"/>
  <c r="H293" i="16"/>
  <c r="H294" i="16"/>
  <c r="J99" i="16"/>
  <c r="J98" i="16"/>
  <c r="E230" i="16"/>
  <c r="E231" i="16"/>
  <c r="G24" i="16"/>
  <c r="G23" i="16"/>
  <c r="I134" i="16"/>
  <c r="I135" i="16"/>
  <c r="F275" i="16"/>
  <c r="F276" i="16"/>
  <c r="J143" i="16"/>
  <c r="J144" i="16"/>
  <c r="F92" i="16"/>
  <c r="F93" i="16"/>
  <c r="J233" i="16"/>
  <c r="J234" i="16"/>
  <c r="H161" i="16"/>
  <c r="H162" i="16"/>
  <c r="G254" i="16"/>
  <c r="G255" i="16"/>
  <c r="J95" i="16"/>
  <c r="J96" i="16"/>
  <c r="F168" i="16"/>
  <c r="F167" i="16"/>
  <c r="J77" i="16"/>
  <c r="J78" i="16"/>
  <c r="J161" i="16"/>
  <c r="J162" i="16"/>
  <c r="E131" i="16"/>
  <c r="E132" i="16"/>
  <c r="J155" i="16"/>
  <c r="J156" i="16"/>
  <c r="H86" i="16"/>
  <c r="H87" i="16"/>
  <c r="I116" i="16"/>
  <c r="I117" i="16"/>
  <c r="J60" i="16"/>
  <c r="J59" i="16"/>
  <c r="J180" i="16"/>
  <c r="J179" i="16"/>
  <c r="F248" i="16"/>
  <c r="F249" i="16"/>
  <c r="H183" i="16"/>
  <c r="H182" i="16"/>
  <c r="J152" i="16"/>
  <c r="J153" i="16"/>
  <c r="H21" i="16"/>
  <c r="H20" i="16"/>
  <c r="E218" i="16"/>
  <c r="E219" i="16"/>
  <c r="F228" i="16"/>
  <c r="F227" i="16"/>
  <c r="J27" i="16"/>
  <c r="J26" i="16"/>
  <c r="G233" i="16"/>
  <c r="G234" i="16"/>
  <c r="E248" i="16"/>
  <c r="E249" i="16"/>
  <c r="I402" i="16"/>
  <c r="I403" i="16"/>
  <c r="H92" i="16"/>
  <c r="H93" i="16"/>
  <c r="G191" i="16"/>
  <c r="G192" i="16"/>
  <c r="I90" i="16"/>
  <c r="I89" i="16"/>
  <c r="F251" i="16"/>
  <c r="F252" i="16"/>
  <c r="I186" i="16"/>
  <c r="I185" i="16"/>
  <c r="I281" i="16"/>
  <c r="I282" i="16"/>
  <c r="E189" i="16"/>
  <c r="E188" i="16"/>
  <c r="G275" i="16"/>
  <c r="G276" i="16"/>
  <c r="E66" i="16"/>
  <c r="E65" i="16"/>
  <c r="F306" i="16"/>
  <c r="F305" i="16"/>
  <c r="G144" i="16"/>
  <c r="G143" i="16"/>
  <c r="I287" i="16"/>
  <c r="I288" i="16"/>
  <c r="H303" i="16"/>
  <c r="H302" i="16"/>
  <c r="I11" i="16"/>
  <c r="I12" i="16"/>
  <c r="J221" i="16"/>
  <c r="J222" i="16"/>
  <c r="F191" i="16"/>
  <c r="F192" i="16"/>
  <c r="H299" i="16"/>
  <c r="H300" i="16"/>
  <c r="G71" i="16"/>
  <c r="G72" i="16"/>
  <c r="E152" i="16"/>
  <c r="E153" i="16"/>
  <c r="G224" i="16"/>
  <c r="G225" i="16"/>
  <c r="G230" i="16"/>
  <c r="G231" i="16"/>
  <c r="I249" i="16"/>
  <c r="I248" i="16"/>
  <c r="E185" i="16"/>
  <c r="E186" i="16"/>
  <c r="H227" i="16"/>
  <c r="H228" i="16"/>
  <c r="J164" i="16"/>
  <c r="J165" i="16"/>
  <c r="F207" i="16"/>
  <c r="F206" i="16"/>
  <c r="F245" i="16"/>
  <c r="F246" i="16"/>
  <c r="J146" i="16"/>
  <c r="J147" i="16"/>
  <c r="I60" i="16"/>
  <c r="I59" i="16"/>
  <c r="G209" i="16"/>
  <c r="G210" i="16"/>
  <c r="H15" i="16"/>
  <c r="H14" i="16"/>
  <c r="I105" i="16"/>
  <c r="I104" i="16"/>
  <c r="I38" i="16"/>
  <c r="I39" i="16"/>
  <c r="J269" i="16"/>
  <c r="J270" i="16"/>
  <c r="J39" i="16"/>
  <c r="J38" i="16"/>
  <c r="G62" i="16"/>
  <c r="G63" i="16"/>
  <c r="E63" i="16"/>
  <c r="E62" i="16"/>
  <c r="F18" i="16"/>
  <c r="F17" i="16"/>
  <c r="E308" i="16"/>
  <c r="E309" i="16"/>
  <c r="F179" i="16"/>
  <c r="F180" i="16"/>
  <c r="J200" i="16"/>
  <c r="J201" i="16"/>
  <c r="G282" i="16"/>
  <c r="G281" i="16"/>
  <c r="I328" i="16"/>
  <c r="I327" i="16"/>
  <c r="J14" i="16"/>
  <c r="J15" i="16"/>
  <c r="G129" i="16"/>
  <c r="G128" i="16"/>
  <c r="F84" i="16"/>
  <c r="F83" i="16"/>
  <c r="F302" i="16"/>
  <c r="F303" i="16"/>
  <c r="E260" i="16"/>
  <c r="E261" i="16"/>
  <c r="H290" i="16"/>
  <c r="H291" i="16"/>
  <c r="E122" i="16"/>
  <c r="E123" i="16"/>
  <c r="E93" i="16"/>
  <c r="E92" i="16"/>
  <c r="J120" i="16"/>
  <c r="J119" i="16"/>
  <c r="J182" i="16"/>
  <c r="J183" i="16"/>
  <c r="G288" i="16"/>
  <c r="G287" i="16"/>
  <c r="H35" i="16"/>
  <c r="H36" i="16"/>
  <c r="J278" i="16"/>
  <c r="J279" i="16"/>
  <c r="E48" i="16"/>
  <c r="E47" i="16"/>
  <c r="G104" i="16"/>
  <c r="G105" i="16"/>
  <c r="H296" i="16"/>
  <c r="H297" i="16"/>
  <c r="F63" i="16"/>
  <c r="F62" i="16"/>
  <c r="I257" i="16"/>
  <c r="I258" i="16"/>
  <c r="F290" i="16"/>
  <c r="F291" i="16"/>
  <c r="J32" i="16"/>
  <c r="J33" i="16"/>
</calcChain>
</file>

<file path=xl/sharedStrings.xml><?xml version="1.0" encoding="utf-8"?>
<sst xmlns="http://schemas.openxmlformats.org/spreadsheetml/2006/main" count="148" uniqueCount="94">
  <si>
    <t>DASHBOARD</t>
  </si>
  <si>
    <t>SETTINGS</t>
  </si>
  <si>
    <t>DATABASE</t>
  </si>
  <si>
    <t>Team Members</t>
  </si>
  <si>
    <t>Priority</t>
  </si>
  <si>
    <t>Board Section</t>
  </si>
  <si>
    <t>Backlog</t>
  </si>
  <si>
    <t>Done</t>
  </si>
  <si>
    <t>Low</t>
  </si>
  <si>
    <t>Medium</t>
  </si>
  <si>
    <t>High</t>
  </si>
  <si>
    <t>Work Progress</t>
  </si>
  <si>
    <t>Tasks</t>
  </si>
  <si>
    <t>Responsible Person</t>
  </si>
  <si>
    <t>Overdue</t>
  </si>
  <si>
    <t>Helper</t>
  </si>
  <si>
    <t>Due Date</t>
  </si>
  <si>
    <t>Research</t>
  </si>
  <si>
    <t>Work Done</t>
  </si>
  <si>
    <t>Work Left</t>
  </si>
  <si>
    <t>Database Helper Value for k in Small</t>
  </si>
  <si>
    <t>Q&amp;A</t>
  </si>
  <si>
    <t>Start Date</t>
  </si>
  <si>
    <t>Finish Date</t>
  </si>
  <si>
    <t>Start Date Month</t>
  </si>
  <si>
    <t>Due Date Month</t>
  </si>
  <si>
    <t>Task Start Date</t>
  </si>
  <si>
    <t>Task Due Date</t>
  </si>
  <si>
    <t>May</t>
  </si>
  <si>
    <t>Numeric Months</t>
  </si>
  <si>
    <t>Months</t>
  </si>
  <si>
    <t>Delayed days</t>
  </si>
  <si>
    <t>Duration</t>
  </si>
  <si>
    <t>Row Labels</t>
  </si>
  <si>
    <t>Grand Total</t>
  </si>
  <si>
    <t>Count of Tasks</t>
  </si>
  <si>
    <t>Column Labels</t>
  </si>
  <si>
    <t>Work (hrs)</t>
  </si>
  <si>
    <t>Notes</t>
  </si>
  <si>
    <t xml:space="preserve">Duration </t>
  </si>
  <si>
    <t xml:space="preserve">Delayed days </t>
  </si>
  <si>
    <t xml:space="preserve">Work Left </t>
  </si>
  <si>
    <t xml:space="preserve">Work Done </t>
  </si>
  <si>
    <t>Status</t>
  </si>
  <si>
    <t>In Progress</t>
  </si>
  <si>
    <t>Dynamic Database Row Height</t>
  </si>
  <si>
    <t>Helper Row</t>
  </si>
  <si>
    <t>Jan</t>
  </si>
  <si>
    <t>Feb</t>
  </si>
  <si>
    <t>Mar</t>
  </si>
  <si>
    <t>Apr</t>
  </si>
  <si>
    <t>Jun</t>
  </si>
  <si>
    <t>Jul</t>
  </si>
  <si>
    <t>Aug</t>
  </si>
  <si>
    <t>Sep</t>
  </si>
  <si>
    <t>Oct</t>
  </si>
  <si>
    <t>Nov</t>
  </si>
  <si>
    <t>Dec</t>
  </si>
  <si>
    <t>Kanban 3rd row text</t>
  </si>
  <si>
    <t>Kanban Due Date to Display</t>
  </si>
  <si>
    <t>KANBAN BOARD TEMPLATE</t>
  </si>
  <si>
    <t>Status Section</t>
  </si>
  <si>
    <t>All</t>
  </si>
  <si>
    <t>SPEEDOMETER SETTINGS</t>
  </si>
  <si>
    <t>Value</t>
  </si>
  <si>
    <t>Pointer</t>
  </si>
  <si>
    <t>End</t>
  </si>
  <si>
    <t>Overdue % Settings</t>
  </si>
  <si>
    <t>CONSOLIDATED DATA</t>
  </si>
  <si>
    <t>Conditional Formatting for whole card</t>
  </si>
  <si>
    <t>Board Section (Kanban Sheet D.V)</t>
  </si>
  <si>
    <t>Status Section (Kanban Sheet D.V)</t>
  </si>
  <si>
    <t>Kanban Blank Slicer Option</t>
  </si>
  <si>
    <t>Not Set</t>
  </si>
  <si>
    <t>Board</t>
  </si>
  <si>
    <t>Project Tracker</t>
  </si>
  <si>
    <t>On Hold</t>
  </si>
  <si>
    <t xml:space="preserve">Reporting </t>
  </si>
  <si>
    <t>Project Virgo</t>
  </si>
  <si>
    <t>Data</t>
  </si>
  <si>
    <t>RDS</t>
  </si>
  <si>
    <t>Subbu</t>
  </si>
  <si>
    <t>TO DO LIST</t>
  </si>
  <si>
    <t>#</t>
  </si>
  <si>
    <t>Date</t>
  </si>
  <si>
    <t>Activities / Tasks / Items</t>
  </si>
  <si>
    <t>Completed</t>
  </si>
  <si>
    <t>Status inputs</t>
  </si>
  <si>
    <t>Weightage</t>
  </si>
  <si>
    <t>Not Started</t>
  </si>
  <si>
    <t>Total Activities</t>
  </si>
  <si>
    <t>Completed Score</t>
  </si>
  <si>
    <t>Total Score</t>
  </si>
  <si>
    <t>% Completed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</si>
</sst>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dd/mm/yy;@"/>
    <numFmt numFmtId="166" formatCode=";;;"/>
    <numFmt numFmtId="167" formatCode="0.0%"/>
  </numFmts>
  <fonts count="34" x14ac:knownFonts="1">
    <font>
      <sz val="11"/>
      <color theme="1"/>
      <name val="Calibri"/>
      <family val="2"/>
      <scheme val="minor"/>
    </font>
    <font>
      <sz val="11"/>
      <color theme="1"/>
      <name val="Calibri"/>
      <family val="2"/>
      <charset val="162"/>
      <scheme val="minor"/>
    </font>
    <font>
      <sz val="11"/>
      <color theme="1"/>
      <name val="Calibri"/>
      <family val="2"/>
      <charset val="162"/>
      <scheme val="minor"/>
    </font>
    <font>
      <sz val="11"/>
      <color theme="1"/>
      <name val="Calibri"/>
      <family val="2"/>
      <charset val="162"/>
      <scheme val="minor"/>
    </font>
    <font>
      <sz val="11"/>
      <color theme="1"/>
      <name val="Calibri"/>
      <family val="2"/>
      <scheme val="minor"/>
    </font>
    <font>
      <b/>
      <sz val="16"/>
      <color theme="1"/>
      <name val="Calibri"/>
      <family val="2"/>
      <charset val="162"/>
      <scheme val="minor"/>
    </font>
    <font>
      <b/>
      <sz val="16"/>
      <color theme="0"/>
      <name val="Calibri"/>
      <family val="2"/>
      <charset val="162"/>
      <scheme val="minor"/>
    </font>
    <font>
      <u/>
      <sz val="10"/>
      <color indexed="12"/>
      <name val="Verdana"/>
      <family val="2"/>
    </font>
    <font>
      <u/>
      <sz val="11"/>
      <color theme="0"/>
      <name val="Calibri"/>
      <family val="2"/>
      <charset val="162"/>
      <scheme val="minor"/>
    </font>
    <font>
      <sz val="13"/>
      <color rgb="FFFFC000"/>
      <name val="Calibri"/>
      <family val="2"/>
      <charset val="162"/>
      <scheme val="minor"/>
    </font>
    <font>
      <b/>
      <sz val="11"/>
      <color theme="1"/>
      <name val="Calibri"/>
      <family val="2"/>
      <charset val="162"/>
      <scheme val="minor"/>
    </font>
    <font>
      <sz val="10"/>
      <name val="Arial"/>
      <family val="2"/>
      <charset val="162"/>
    </font>
    <font>
      <sz val="13"/>
      <color theme="0" tint="-4.9989318521683403E-2"/>
      <name val="Calibri"/>
      <family val="2"/>
      <charset val="162"/>
      <scheme val="minor"/>
    </font>
    <font>
      <b/>
      <i/>
      <sz val="16"/>
      <color theme="0" tint="-4.9989318521683403E-2"/>
      <name val="Calibri"/>
      <family val="2"/>
      <charset val="162"/>
      <scheme val="minor"/>
    </font>
    <font>
      <sz val="13"/>
      <color theme="1"/>
      <name val="Calibri"/>
      <family val="2"/>
      <charset val="162"/>
      <scheme val="minor"/>
    </font>
    <font>
      <b/>
      <sz val="11"/>
      <color theme="0"/>
      <name val="Calibri"/>
      <family val="2"/>
      <charset val="162"/>
      <scheme val="minor"/>
    </font>
    <font>
      <sz val="11"/>
      <name val="Calibri"/>
      <family val="2"/>
      <scheme val="minor"/>
    </font>
    <font>
      <sz val="8"/>
      <name val="Calibri"/>
      <family val="2"/>
      <scheme val="minor"/>
    </font>
    <font>
      <b/>
      <sz val="11"/>
      <color theme="1"/>
      <name val="Calibri"/>
      <family val="2"/>
      <scheme val="minor"/>
    </font>
    <font>
      <sz val="11"/>
      <color theme="0"/>
      <name val="Calibri"/>
      <family val="2"/>
      <scheme val="minor"/>
    </font>
    <font>
      <sz val="14"/>
      <color theme="1"/>
      <name val="Calibri"/>
      <family val="2"/>
      <scheme val="minor"/>
    </font>
    <font>
      <b/>
      <sz val="11"/>
      <name val="Calibri"/>
      <family val="2"/>
      <scheme val="minor"/>
    </font>
    <font>
      <b/>
      <i/>
      <sz val="11"/>
      <name val="Calibri"/>
      <family val="2"/>
      <charset val="162"/>
      <scheme val="minor"/>
    </font>
    <font>
      <b/>
      <i/>
      <sz val="11"/>
      <color theme="1"/>
      <name val="Calibri"/>
      <family val="2"/>
      <charset val="162"/>
      <scheme val="minor"/>
    </font>
    <font>
      <b/>
      <sz val="12"/>
      <color theme="1"/>
      <name val="Calibri"/>
      <family val="2"/>
      <scheme val="minor"/>
    </font>
    <font>
      <i/>
      <sz val="11"/>
      <color theme="1" tint="0.499984740745262"/>
      <name val="Calibri"/>
      <family val="2"/>
      <charset val="162"/>
      <scheme val="minor"/>
    </font>
    <font>
      <sz val="11"/>
      <color theme="0" tint="-4.9989318521683403E-2"/>
      <name val="Calibri"/>
      <family val="2"/>
      <scheme val="minor"/>
    </font>
    <font>
      <sz val="11"/>
      <color theme="6" tint="-0.499984740745262"/>
      <name val="Calibri"/>
      <family val="2"/>
      <charset val="162"/>
      <scheme val="minor"/>
    </font>
    <font>
      <sz val="11"/>
      <color rgb="FF000000"/>
      <name val="Calibri"/>
    </font>
    <font>
      <sz val="10"/>
      <color theme="1"/>
      <name val="Verdana"/>
      <family val="2"/>
    </font>
    <font>
      <b/>
      <u/>
      <sz val="12"/>
      <color theme="4" tint="-0.249977111117893"/>
      <name val="Verdana"/>
      <family val="2"/>
    </font>
    <font>
      <b/>
      <u/>
      <sz val="10"/>
      <color theme="4" tint="-0.249977111117893"/>
      <name val="Verdana"/>
      <family val="2"/>
    </font>
    <font>
      <b/>
      <sz val="9"/>
      <color theme="1"/>
      <name val="Verdana"/>
      <family val="2"/>
    </font>
    <font>
      <sz val="9"/>
      <color theme="1"/>
      <name val="Verdana"/>
      <family val="2"/>
    </font>
  </fonts>
  <fills count="22">
    <fill>
      <patternFill patternType="none"/>
    </fill>
    <fill>
      <patternFill patternType="gray125"/>
    </fill>
    <fill>
      <patternFill patternType="solid">
        <fgColor theme="0" tint="-4.9989318521683403E-2"/>
        <bgColor indexed="64"/>
      </patternFill>
    </fill>
    <fill>
      <patternFill patternType="solid">
        <fgColor theme="1"/>
        <bgColor indexed="64"/>
      </patternFill>
    </fill>
    <fill>
      <patternFill patternType="solid">
        <fgColor rgb="FF000000"/>
        <bgColor indexed="64"/>
      </patternFill>
    </fill>
    <fill>
      <patternFill patternType="solid">
        <fgColor theme="3"/>
        <bgColor indexed="64"/>
      </patternFill>
    </fill>
    <fill>
      <patternFill patternType="solid">
        <fgColor rgb="FF44546A"/>
        <bgColor indexed="64"/>
      </patternFill>
    </fill>
    <fill>
      <patternFill patternType="solid">
        <fgColor theme="3" tint="-0.249977111117893"/>
        <bgColor indexed="64"/>
      </patternFill>
    </fill>
    <fill>
      <patternFill patternType="solid">
        <fgColor theme="5"/>
        <bgColor indexed="64"/>
      </patternFill>
    </fill>
    <fill>
      <patternFill patternType="solid">
        <fgColor theme="4" tint="0.79998168889431442"/>
        <bgColor indexed="64"/>
      </patternFill>
    </fill>
    <fill>
      <patternFill patternType="solid">
        <fgColor rgb="FFFFFFFF"/>
        <bgColor indexed="64"/>
      </patternFill>
    </fill>
    <fill>
      <patternFill patternType="solid">
        <fgColor theme="9" tint="0.79998168889431442"/>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rgb="FFFF0000"/>
        <bgColor indexed="64"/>
      </patternFill>
    </fill>
    <fill>
      <patternFill patternType="solid">
        <fgColor rgb="FFFFFF00"/>
        <bgColor indexed="64"/>
      </patternFill>
    </fill>
    <fill>
      <patternFill patternType="solid">
        <fgColor rgb="FF00B050"/>
        <bgColor indexed="64"/>
      </patternFill>
    </fill>
    <fill>
      <patternFill patternType="solid">
        <fgColor rgb="FFDFDDDD"/>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8" tint="0.59999389629810485"/>
        <bgColor indexed="64"/>
      </patternFill>
    </fill>
  </fills>
  <borders count="29">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thick">
        <color theme="0"/>
      </right>
      <top/>
      <bottom/>
      <diagonal/>
    </border>
    <border>
      <left/>
      <right style="thick">
        <color theme="0"/>
      </right>
      <top/>
      <bottom style="thick">
        <color theme="0"/>
      </bottom>
      <diagonal/>
    </border>
    <border>
      <left style="thick">
        <color theme="0"/>
      </left>
      <right style="thick">
        <color theme="0"/>
      </right>
      <top/>
      <bottom style="thick">
        <color theme="0"/>
      </bottom>
      <diagonal/>
    </border>
    <border>
      <left/>
      <right style="thick">
        <color theme="0"/>
      </right>
      <top style="thick">
        <color theme="0"/>
      </top>
      <bottom/>
      <diagonal/>
    </border>
    <border>
      <left/>
      <right/>
      <top style="thin">
        <color indexed="64"/>
      </top>
      <bottom style="thin">
        <color indexed="64"/>
      </bottom>
      <diagonal/>
    </border>
    <border>
      <left/>
      <right/>
      <top style="thick">
        <color theme="0"/>
      </top>
      <bottom/>
      <diagonal/>
    </border>
    <border>
      <left style="thin">
        <color theme="3" tint="-0.24994659260841701"/>
      </left>
      <right/>
      <top/>
      <bottom/>
      <diagonal/>
    </border>
    <border>
      <left style="thin">
        <color theme="4" tint="0.39994506668294322"/>
      </left>
      <right/>
      <top style="thin">
        <color theme="4" tint="0.39994506668294322"/>
      </top>
      <bottom style="thin">
        <color theme="4" tint="0.39994506668294322"/>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0" tint="-0.249977111117893"/>
      </left>
      <right style="thin">
        <color theme="0" tint="-0.249977111117893"/>
      </right>
      <top style="thin">
        <color theme="0" tint="-0.249977111117893"/>
      </top>
      <bottom style="double">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499984740745262"/>
      </left>
      <right/>
      <top style="thin">
        <color theme="0" tint="-0.499984740745262"/>
      </top>
      <bottom style="thin">
        <color theme="0" tint="-0.499984740745262"/>
      </bottom>
      <diagonal/>
    </border>
  </borders>
  <cellStyleXfs count="8">
    <xf numFmtId="0" fontId="0" fillId="0" borderId="0"/>
    <xf numFmtId="0" fontId="3" fillId="0" borderId="0"/>
    <xf numFmtId="0" fontId="7" fillId="0" borderId="0" applyNumberFormat="0" applyFill="0" applyBorder="0" applyAlignment="0" applyProtection="0">
      <alignment vertical="top"/>
      <protection locked="0"/>
    </xf>
    <xf numFmtId="0" fontId="2" fillId="0" borderId="0"/>
    <xf numFmtId="0" fontId="11" fillId="0" borderId="0"/>
    <xf numFmtId="0" fontId="1" fillId="0" borderId="0"/>
    <xf numFmtId="9" fontId="4" fillId="0" borderId="0" applyFont="0" applyFill="0" applyBorder="0" applyAlignment="0" applyProtection="0"/>
    <xf numFmtId="0" fontId="29" fillId="0" borderId="0"/>
  </cellStyleXfs>
  <cellXfs count="199">
    <xf numFmtId="0" fontId="0" fillId="0" borderId="0" xfId="0"/>
    <xf numFmtId="0" fontId="4" fillId="2" borderId="0" xfId="0" applyFont="1" applyFill="1" applyAlignment="1">
      <alignment vertical="center"/>
    </xf>
    <xf numFmtId="49" fontId="4" fillId="2" borderId="0" xfId="0" applyNumberFormat="1" applyFont="1" applyFill="1" applyAlignment="1">
      <alignment horizontal="center" vertical="center"/>
    </xf>
    <xf numFmtId="0" fontId="4" fillId="2" borderId="0" xfId="0" applyFont="1" applyFill="1" applyAlignment="1">
      <alignment horizontal="center" vertical="center"/>
    </xf>
    <xf numFmtId="0" fontId="5" fillId="2" borderId="0" xfId="0" applyFont="1" applyFill="1" applyAlignment="1">
      <alignment vertical="center"/>
    </xf>
    <xf numFmtId="49" fontId="6" fillId="5" borderId="0" xfId="0" applyNumberFormat="1" applyFont="1" applyFill="1" applyAlignment="1">
      <alignment horizontal="left" vertical="center" indent="1"/>
    </xf>
    <xf numFmtId="49" fontId="6" fillId="5" borderId="0" xfId="0" applyNumberFormat="1" applyFont="1" applyFill="1" applyAlignment="1">
      <alignment vertical="center"/>
    </xf>
    <xf numFmtId="0" fontId="6" fillId="5" borderId="0" xfId="0" applyFont="1" applyFill="1" applyAlignment="1">
      <alignment horizontal="center" vertical="center"/>
    </xf>
    <xf numFmtId="0" fontId="6" fillId="2" borderId="0" xfId="0" applyFont="1" applyFill="1" applyAlignment="1">
      <alignment horizontal="center" vertical="center"/>
    </xf>
    <xf numFmtId="0" fontId="3" fillId="2" borderId="0" xfId="1" applyFont="1" applyFill="1" applyAlignment="1">
      <alignment vertical="center"/>
    </xf>
    <xf numFmtId="0" fontId="4" fillId="2" borderId="0" xfId="0" applyFont="1" applyFill="1"/>
    <xf numFmtId="0" fontId="3" fillId="2" borderId="0" xfId="1" applyFont="1" applyFill="1" applyBorder="1" applyAlignment="1">
      <alignment vertical="center"/>
    </xf>
    <xf numFmtId="0" fontId="0" fillId="0" borderId="1" xfId="0" applyBorder="1"/>
    <xf numFmtId="0" fontId="0" fillId="0" borderId="2" xfId="0" applyBorder="1"/>
    <xf numFmtId="0" fontId="0" fillId="0" borderId="3" xfId="0" applyBorder="1"/>
    <xf numFmtId="0" fontId="0" fillId="0" borderId="4" xfId="0" applyBorder="1"/>
    <xf numFmtId="0" fontId="0" fillId="0" borderId="0" xfId="0" applyBorder="1"/>
    <xf numFmtId="0" fontId="0" fillId="0" borderId="5" xfId="0" applyBorder="1"/>
    <xf numFmtId="0" fontId="4" fillId="2" borderId="0" xfId="0" applyFont="1" applyFill="1" applyBorder="1"/>
    <xf numFmtId="0" fontId="0" fillId="0" borderId="6" xfId="0" applyBorder="1"/>
    <xf numFmtId="0" fontId="0" fillId="0" borderId="7" xfId="0" applyBorder="1"/>
    <xf numFmtId="0" fontId="0" fillId="0" borderId="8" xfId="0" applyBorder="1"/>
    <xf numFmtId="0" fontId="0" fillId="2" borderId="0" xfId="0" applyFont="1" applyFill="1" applyAlignment="1">
      <alignment vertical="center"/>
    </xf>
    <xf numFmtId="0" fontId="0" fillId="7" borderId="0" xfId="0" applyFill="1" applyBorder="1"/>
    <xf numFmtId="0" fontId="8" fillId="7" borderId="0" xfId="2" applyFont="1" applyFill="1" applyBorder="1" applyAlignment="1" applyProtection="1">
      <alignment vertical="center"/>
    </xf>
    <xf numFmtId="0" fontId="0" fillId="7" borderId="0" xfId="0" applyFill="1" applyBorder="1" applyAlignment="1">
      <alignment horizontal="center"/>
    </xf>
    <xf numFmtId="49" fontId="9" fillId="3" borderId="0" xfId="0" applyNumberFormat="1" applyFont="1" applyFill="1" applyAlignment="1">
      <alignment vertical="center"/>
    </xf>
    <xf numFmtId="49" fontId="9" fillId="3" borderId="0" xfId="0" applyNumberFormat="1" applyFont="1" applyFill="1" applyAlignment="1">
      <alignment horizontal="left" vertical="center" indent="1"/>
    </xf>
    <xf numFmtId="0" fontId="12" fillId="4" borderId="0" xfId="0" applyFont="1" applyFill="1" applyBorder="1" applyAlignment="1">
      <alignment horizontal="right" vertical="center"/>
    </xf>
    <xf numFmtId="0" fontId="13" fillId="6" borderId="0" xfId="0" applyFont="1" applyFill="1" applyBorder="1" applyAlignment="1">
      <alignment horizontal="right" vertical="center"/>
    </xf>
    <xf numFmtId="0" fontId="14" fillId="2" borderId="0" xfId="0" applyFont="1" applyFill="1" applyAlignment="1">
      <alignment vertical="center"/>
    </xf>
    <xf numFmtId="0" fontId="14" fillId="3" borderId="0" xfId="0" applyFont="1" applyFill="1" applyAlignment="1">
      <alignment horizontal="center" vertical="center"/>
    </xf>
    <xf numFmtId="0" fontId="14" fillId="2" borderId="0" xfId="0" applyFont="1" applyFill="1" applyAlignment="1">
      <alignment horizontal="center" vertical="center"/>
    </xf>
    <xf numFmtId="0" fontId="0" fillId="2" borderId="0" xfId="0" applyFill="1"/>
    <xf numFmtId="0" fontId="0" fillId="0" borderId="0" xfId="0" applyBorder="1" applyAlignment="1">
      <alignment horizontal="center" vertical="center"/>
    </xf>
    <xf numFmtId="0" fontId="15" fillId="8" borderId="1" xfId="0" applyFont="1" applyFill="1" applyBorder="1" applyAlignment="1">
      <alignment horizontal="center" vertical="center"/>
    </xf>
    <xf numFmtId="0" fontId="10" fillId="2" borderId="12" xfId="0" applyFont="1" applyFill="1" applyBorder="1" applyAlignment="1">
      <alignment horizontal="center" vertical="center"/>
    </xf>
    <xf numFmtId="0" fontId="0" fillId="10" borderId="4" xfId="0" applyFill="1" applyBorder="1"/>
    <xf numFmtId="0" fontId="0" fillId="10" borderId="0" xfId="0" applyFill="1" applyBorder="1"/>
    <xf numFmtId="0" fontId="0" fillId="10" borderId="5" xfId="0" applyFill="1" applyBorder="1"/>
    <xf numFmtId="0" fontId="4" fillId="2" borderId="12" xfId="0" applyFont="1" applyFill="1" applyBorder="1" applyAlignment="1">
      <alignment horizontal="center" vertical="center"/>
    </xf>
    <xf numFmtId="0" fontId="0" fillId="2" borderId="17" xfId="0" applyFill="1" applyBorder="1"/>
    <xf numFmtId="0" fontId="0" fillId="0" borderId="0" xfId="0" pivotButton="1"/>
    <xf numFmtId="0" fontId="0" fillId="0" borderId="0" xfId="0" applyAlignment="1">
      <alignment horizontal="left"/>
    </xf>
    <xf numFmtId="0" fontId="0" fillId="0" borderId="0" xfId="0" applyNumberFormat="1" applyAlignment="1">
      <alignment horizontal="center" vertical="center"/>
    </xf>
    <xf numFmtId="0" fontId="0" fillId="0" borderId="0" xfId="0" applyBorder="1" applyAlignment="1">
      <alignment horizontal="center" vertical="center" shrinkToFit="1"/>
    </xf>
    <xf numFmtId="49" fontId="9" fillId="3" borderId="0" xfId="0" applyNumberFormat="1" applyFont="1" applyFill="1" applyAlignment="1">
      <alignment horizontal="left" vertical="center" indent="8"/>
    </xf>
    <xf numFmtId="49" fontId="6" fillId="5" borderId="0" xfId="0" applyNumberFormat="1" applyFont="1" applyFill="1" applyAlignment="1">
      <alignment horizontal="left" vertical="center" indent="8"/>
    </xf>
    <xf numFmtId="0" fontId="0" fillId="0" borderId="0" xfId="0" applyBorder="1" applyAlignment="1" applyProtection="1">
      <alignment shrinkToFit="1"/>
      <protection locked="0"/>
    </xf>
    <xf numFmtId="0" fontId="0" fillId="0" borderId="1" xfId="0" applyBorder="1" applyAlignment="1" applyProtection="1">
      <alignment horizontal="center"/>
      <protection locked="0"/>
    </xf>
    <xf numFmtId="0" fontId="0" fillId="0" borderId="10" xfId="0" applyBorder="1" applyAlignment="1" applyProtection="1">
      <alignment horizontal="center"/>
      <protection locked="0"/>
    </xf>
    <xf numFmtId="0" fontId="10" fillId="11" borderId="12" xfId="0" applyFont="1" applyFill="1" applyBorder="1" applyAlignment="1" applyProtection="1">
      <alignment horizontal="center" vertical="center"/>
      <protection hidden="1"/>
    </xf>
    <xf numFmtId="0" fontId="4" fillId="11" borderId="12" xfId="0" applyFont="1" applyFill="1" applyBorder="1" applyAlignment="1" applyProtection="1">
      <alignment horizontal="center" vertical="center"/>
      <protection hidden="1"/>
    </xf>
    <xf numFmtId="0" fontId="4" fillId="12" borderId="12" xfId="0" applyFont="1" applyFill="1" applyBorder="1" applyAlignment="1" applyProtection="1">
      <alignment horizontal="center" vertical="center"/>
      <protection hidden="1"/>
    </xf>
    <xf numFmtId="0" fontId="4" fillId="2" borderId="12" xfId="0" applyFont="1" applyFill="1" applyBorder="1" applyAlignment="1" applyProtection="1">
      <alignment horizontal="center"/>
      <protection hidden="1"/>
    </xf>
    <xf numFmtId="0" fontId="18" fillId="9" borderId="0" xfId="0" applyFont="1" applyFill="1" applyBorder="1" applyAlignment="1" applyProtection="1">
      <alignment horizontal="center" vertical="center"/>
      <protection locked="0"/>
    </xf>
    <xf numFmtId="0" fontId="18" fillId="9" borderId="15" xfId="0" applyFont="1" applyFill="1" applyBorder="1" applyAlignment="1" applyProtection="1">
      <alignment horizontal="center" vertical="center"/>
      <protection locked="0"/>
    </xf>
    <xf numFmtId="0" fontId="19" fillId="0" borderId="7" xfId="0" applyFont="1" applyFill="1" applyBorder="1"/>
    <xf numFmtId="0" fontId="16" fillId="0" borderId="2" xfId="0" applyFont="1" applyBorder="1"/>
    <xf numFmtId="0" fontId="14" fillId="13" borderId="0" xfId="0" applyFont="1" applyFill="1" applyAlignment="1">
      <alignment vertical="center"/>
    </xf>
    <xf numFmtId="0" fontId="5" fillId="13" borderId="0" xfId="0" applyFont="1" applyFill="1" applyAlignment="1">
      <alignment vertical="center"/>
    </xf>
    <xf numFmtId="0" fontId="4" fillId="13" borderId="0" xfId="0" applyFont="1" applyFill="1"/>
    <xf numFmtId="0" fontId="4" fillId="13" borderId="0" xfId="0" applyFont="1" applyFill="1" applyBorder="1"/>
    <xf numFmtId="0" fontId="0" fillId="13" borderId="0" xfId="0" applyFont="1" applyFill="1" applyAlignment="1">
      <alignment vertical="center"/>
    </xf>
    <xf numFmtId="0" fontId="4" fillId="2" borderId="12" xfId="0" applyFont="1" applyFill="1" applyBorder="1"/>
    <xf numFmtId="0" fontId="4" fillId="0" borderId="12" xfId="0" applyFont="1" applyFill="1" applyBorder="1" applyProtection="1">
      <protection hidden="1"/>
    </xf>
    <xf numFmtId="0" fontId="15" fillId="8" borderId="9" xfId="0" applyFont="1" applyFill="1" applyBorder="1" applyAlignment="1">
      <alignment horizontal="center" vertical="center"/>
    </xf>
    <xf numFmtId="164" fontId="4" fillId="2" borderId="0" xfId="0" applyNumberFormat="1" applyFont="1" applyFill="1"/>
    <xf numFmtId="0" fontId="4" fillId="0" borderId="11" xfId="0" applyFont="1" applyFill="1" applyBorder="1"/>
    <xf numFmtId="0" fontId="21" fillId="9" borderId="1" xfId="0" applyFont="1" applyFill="1" applyBorder="1" applyAlignment="1">
      <alignment horizontal="center" vertical="center" shrinkToFit="1"/>
    </xf>
    <xf numFmtId="0" fontId="16" fillId="2" borderId="1" xfId="0" applyFont="1" applyFill="1" applyBorder="1" applyAlignment="1">
      <alignment shrinkToFit="1"/>
    </xf>
    <xf numFmtId="0" fontId="18" fillId="9" borderId="0" xfId="0" applyFont="1" applyFill="1" applyBorder="1" applyAlignment="1">
      <alignment horizontal="center" vertical="center" shrinkToFit="1"/>
    </xf>
    <xf numFmtId="0" fontId="18" fillId="9" borderId="4" xfId="0" applyFont="1" applyFill="1" applyBorder="1" applyAlignment="1">
      <alignment horizontal="center" vertical="center" shrinkToFit="1"/>
    </xf>
    <xf numFmtId="0" fontId="23" fillId="9" borderId="4" xfId="0" applyFont="1" applyFill="1" applyBorder="1" applyAlignment="1">
      <alignment horizontal="center" vertical="center" shrinkToFit="1"/>
    </xf>
    <xf numFmtId="0" fontId="18" fillId="9" borderId="4" xfId="0" applyFont="1" applyFill="1" applyBorder="1" applyAlignment="1">
      <alignment horizontal="center" vertical="center"/>
    </xf>
    <xf numFmtId="0" fontId="4" fillId="13" borderId="0" xfId="0" applyFont="1" applyFill="1" applyAlignment="1">
      <alignment vertical="center"/>
    </xf>
    <xf numFmtId="0" fontId="4" fillId="2" borderId="2" xfId="0" applyFont="1" applyFill="1" applyBorder="1"/>
    <xf numFmtId="0" fontId="4" fillId="0" borderId="6" xfId="0" applyFont="1" applyFill="1" applyBorder="1"/>
    <xf numFmtId="0" fontId="4" fillId="0" borderId="0" xfId="0" applyFont="1" applyFill="1" applyBorder="1"/>
    <xf numFmtId="0" fontId="4" fillId="0" borderId="8" xfId="0" applyFont="1" applyFill="1" applyBorder="1"/>
    <xf numFmtId="0" fontId="0" fillId="0" borderId="4" xfId="0" applyFill="1" applyBorder="1"/>
    <xf numFmtId="0" fontId="4" fillId="0" borderId="4" xfId="0" applyFont="1" applyFill="1" applyBorder="1"/>
    <xf numFmtId="0" fontId="4" fillId="0" borderId="7" xfId="0" applyFont="1" applyFill="1" applyBorder="1"/>
    <xf numFmtId="0" fontId="10" fillId="14" borderId="10" xfId="0" applyFont="1" applyFill="1" applyBorder="1" applyAlignment="1">
      <alignment horizontal="centerContinuous"/>
    </xf>
    <xf numFmtId="0" fontId="10" fillId="14" borderId="17" xfId="0" applyFont="1" applyFill="1" applyBorder="1" applyAlignment="1">
      <alignment horizontal="centerContinuous"/>
    </xf>
    <xf numFmtId="0" fontId="10" fillId="14" borderId="11" xfId="0" applyFont="1" applyFill="1" applyBorder="1" applyAlignment="1">
      <alignment horizontal="centerContinuous"/>
    </xf>
    <xf numFmtId="0" fontId="25" fillId="0" borderId="1" xfId="0" applyFont="1" applyBorder="1" applyAlignment="1">
      <alignment horizontal="left"/>
    </xf>
    <xf numFmtId="0" fontId="4" fillId="0" borderId="2" xfId="0" applyFont="1" applyBorder="1" applyAlignment="1">
      <alignment horizontal="center"/>
    </xf>
    <xf numFmtId="9" fontId="4" fillId="0" borderId="3" xfId="6" applyBorder="1" applyAlignment="1">
      <alignment horizontal="center"/>
    </xf>
    <xf numFmtId="9" fontId="4" fillId="15" borderId="4" xfId="0" applyNumberFormat="1" applyFont="1" applyFill="1" applyBorder="1" applyAlignment="1">
      <alignment horizontal="left"/>
    </xf>
    <xf numFmtId="0" fontId="4" fillId="0" borderId="0" xfId="0" applyFont="1" applyAlignment="1">
      <alignment horizontal="center"/>
    </xf>
    <xf numFmtId="9" fontId="4" fillId="0" borderId="5" xfId="0" applyNumberFormat="1" applyFont="1" applyBorder="1" applyAlignment="1">
      <alignment horizontal="center"/>
    </xf>
    <xf numFmtId="9" fontId="4" fillId="16" borderId="4" xfId="0" applyNumberFormat="1" applyFont="1" applyFill="1" applyBorder="1" applyAlignment="1">
      <alignment horizontal="left"/>
    </xf>
    <xf numFmtId="9" fontId="4" fillId="17" borderId="4" xfId="0" applyNumberFormat="1" applyFont="1" applyFill="1" applyBorder="1" applyAlignment="1">
      <alignment horizontal="left"/>
    </xf>
    <xf numFmtId="0" fontId="4" fillId="0" borderId="0" xfId="0" applyFont="1"/>
    <xf numFmtId="0" fontId="4" fillId="0" borderId="5" xfId="0" applyFont="1" applyBorder="1"/>
    <xf numFmtId="9" fontId="25" fillId="0" borderId="6" xfId="0" applyNumberFormat="1" applyFont="1" applyBorder="1" applyAlignment="1">
      <alignment horizontal="left"/>
    </xf>
    <xf numFmtId="0" fontId="4" fillId="0" borderId="7" xfId="0" applyFont="1" applyBorder="1"/>
    <xf numFmtId="0" fontId="4" fillId="0" borderId="8" xfId="0" applyFont="1" applyBorder="1"/>
    <xf numFmtId="0" fontId="0" fillId="0" borderId="0" xfId="0" applyBorder="1" applyAlignment="1">
      <alignment horizontal="left" vertical="center"/>
    </xf>
    <xf numFmtId="0" fontId="0" fillId="0" borderId="2" xfId="0" applyBorder="1" applyAlignment="1">
      <alignment horizontal="left" vertical="center"/>
    </xf>
    <xf numFmtId="0" fontId="15" fillId="8" borderId="12" xfId="0" applyFont="1" applyFill="1" applyBorder="1" applyAlignment="1">
      <alignment horizontal="center" vertical="center"/>
    </xf>
    <xf numFmtId="0" fontId="0" fillId="0" borderId="9" xfId="0" applyBorder="1" applyAlignment="1" applyProtection="1">
      <alignment horizontal="center" vertical="center"/>
      <protection locked="0"/>
    </xf>
    <xf numFmtId="9" fontId="0" fillId="0" borderId="12" xfId="0" applyNumberFormat="1" applyBorder="1" applyAlignment="1" applyProtection="1">
      <alignment horizontal="center" vertical="center"/>
      <protection locked="0"/>
    </xf>
    <xf numFmtId="0" fontId="0" fillId="0" borderId="9" xfId="0" applyBorder="1" applyAlignment="1" applyProtection="1">
      <alignment horizontal="center"/>
      <protection locked="0"/>
    </xf>
    <xf numFmtId="0" fontId="0" fillId="0" borderId="12" xfId="0" applyBorder="1" applyAlignment="1" applyProtection="1">
      <alignment horizontal="center"/>
      <protection locked="0"/>
    </xf>
    <xf numFmtId="0" fontId="0" fillId="0" borderId="1" xfId="0" applyBorder="1" applyAlignment="1" applyProtection="1">
      <alignment shrinkToFit="1"/>
      <protection locked="0"/>
    </xf>
    <xf numFmtId="164" fontId="0" fillId="0" borderId="1" xfId="0" applyNumberFormat="1" applyBorder="1" applyAlignment="1" applyProtection="1">
      <alignment horizontal="center" shrinkToFit="1"/>
      <protection locked="0"/>
    </xf>
    <xf numFmtId="9" fontId="10" fillId="0" borderId="1" xfId="0" applyNumberFormat="1" applyFont="1" applyBorder="1" applyAlignment="1" applyProtection="1">
      <alignment horizontal="center" vertical="center" shrinkToFit="1"/>
      <protection locked="0"/>
    </xf>
    <xf numFmtId="3" fontId="0" fillId="0" borderId="1" xfId="0" applyNumberFormat="1" applyBorder="1" applyAlignment="1" applyProtection="1">
      <alignment horizontal="center" shrinkToFit="1"/>
      <protection locked="0"/>
    </xf>
    <xf numFmtId="0" fontId="16" fillId="0" borderId="1" xfId="0" applyFont="1" applyBorder="1" applyAlignment="1" applyProtection="1">
      <alignment shrinkToFit="1"/>
      <protection locked="0"/>
    </xf>
    <xf numFmtId="3" fontId="0" fillId="0" borderId="2" xfId="0" applyNumberFormat="1" applyBorder="1" applyAlignment="1" applyProtection="1">
      <alignment horizontal="center" shrinkToFit="1"/>
      <protection locked="0"/>
    </xf>
    <xf numFmtId="0" fontId="0" fillId="0" borderId="10" xfId="0" applyBorder="1" applyAlignment="1" applyProtection="1">
      <alignment shrinkToFit="1"/>
      <protection locked="0"/>
    </xf>
    <xf numFmtId="164" fontId="0" fillId="0" borderId="10" xfId="0" applyNumberFormat="1" applyBorder="1" applyAlignment="1" applyProtection="1">
      <alignment horizontal="center" shrinkToFit="1"/>
      <protection locked="0"/>
    </xf>
    <xf numFmtId="9" fontId="10" fillId="0" borderId="10" xfId="0" applyNumberFormat="1" applyFont="1" applyBorder="1" applyAlignment="1" applyProtection="1">
      <alignment horizontal="center" vertical="center" shrinkToFit="1"/>
      <protection locked="0"/>
    </xf>
    <xf numFmtId="3" fontId="0" fillId="0" borderId="10" xfId="0" applyNumberFormat="1" applyBorder="1" applyAlignment="1" applyProtection="1">
      <alignment horizontal="center" shrinkToFit="1"/>
      <protection locked="0"/>
    </xf>
    <xf numFmtId="0" fontId="16" fillId="0" borderId="10" xfId="0" applyFont="1" applyBorder="1" applyAlignment="1" applyProtection="1">
      <alignment shrinkToFit="1"/>
      <protection locked="0"/>
    </xf>
    <xf numFmtId="0" fontId="0" fillId="10" borderId="12" xfId="0" applyFill="1" applyBorder="1" applyAlignment="1" applyProtection="1">
      <alignment horizontal="center" vertical="center" shrinkToFit="1"/>
      <protection locked="0"/>
    </xf>
    <xf numFmtId="0" fontId="0" fillId="18" borderId="1" xfId="0" applyFill="1" applyBorder="1"/>
    <xf numFmtId="0" fontId="0" fillId="18" borderId="2" xfId="0" applyFill="1" applyBorder="1"/>
    <xf numFmtId="0" fontId="0" fillId="18" borderId="3" xfId="0" applyFill="1" applyBorder="1"/>
    <xf numFmtId="0" fontId="0" fillId="18" borderId="4" xfId="0" applyFill="1" applyBorder="1"/>
    <xf numFmtId="0" fontId="0" fillId="18" borderId="0" xfId="0" applyFill="1" applyBorder="1"/>
    <xf numFmtId="0" fontId="0" fillId="18" borderId="5" xfId="0" applyFill="1" applyBorder="1"/>
    <xf numFmtId="0" fontId="16" fillId="2" borderId="1" xfId="0" applyFont="1" applyFill="1" applyBorder="1" applyAlignment="1">
      <alignment horizontal="left" shrinkToFit="1"/>
    </xf>
    <xf numFmtId="0" fontId="16" fillId="2" borderId="1" xfId="0" applyFont="1" applyFill="1" applyBorder="1" applyAlignment="1">
      <alignment horizontal="center" vertical="center"/>
    </xf>
    <xf numFmtId="3" fontId="16" fillId="2" borderId="1" xfId="0" applyNumberFormat="1" applyFont="1" applyFill="1" applyBorder="1" applyAlignment="1">
      <alignment horizontal="center" vertical="center"/>
    </xf>
    <xf numFmtId="0" fontId="16" fillId="2" borderId="2" xfId="0" applyFont="1" applyFill="1" applyBorder="1" applyAlignment="1">
      <alignment horizontal="left" shrinkToFit="1"/>
    </xf>
    <xf numFmtId="14" fontId="16" fillId="2" borderId="1" xfId="0" applyNumberFormat="1" applyFont="1" applyFill="1" applyBorder="1" applyAlignment="1">
      <alignment horizontal="center" shrinkToFit="1"/>
    </xf>
    <xf numFmtId="9" fontId="16" fillId="2" borderId="1" xfId="0" applyNumberFormat="1" applyFont="1" applyFill="1" applyBorder="1" applyAlignment="1">
      <alignment horizontal="center" vertical="center" shrinkToFit="1"/>
    </xf>
    <xf numFmtId="3" fontId="16" fillId="2" borderId="1" xfId="0" applyNumberFormat="1" applyFont="1" applyFill="1" applyBorder="1" applyAlignment="1">
      <alignment horizontal="center" shrinkToFit="1"/>
    </xf>
    <xf numFmtId="0" fontId="16" fillId="2" borderId="1" xfId="0" applyFont="1" applyFill="1" applyBorder="1" applyAlignment="1">
      <alignment horizontal="left"/>
    </xf>
    <xf numFmtId="0" fontId="16" fillId="2" borderId="1" xfId="0" applyFont="1" applyFill="1" applyBorder="1" applyAlignment="1">
      <alignment horizontal="center" shrinkToFit="1"/>
    </xf>
    <xf numFmtId="0" fontId="0" fillId="0" borderId="0" xfId="0" applyAlignment="1">
      <alignment horizontal="center"/>
    </xf>
    <xf numFmtId="0" fontId="0" fillId="0" borderId="0" xfId="0" applyNumberFormat="1" applyAlignment="1">
      <alignment horizontal="center"/>
    </xf>
    <xf numFmtId="0" fontId="0" fillId="0" borderId="0" xfId="0" applyBorder="1" applyAlignment="1">
      <alignment horizontal="center"/>
    </xf>
    <xf numFmtId="3" fontId="0" fillId="0" borderId="0" xfId="0" applyNumberFormat="1" applyAlignment="1">
      <alignment horizontal="center"/>
    </xf>
    <xf numFmtId="0" fontId="20" fillId="18" borderId="0" xfId="0" applyFont="1" applyFill="1" applyBorder="1" applyAlignment="1" applyProtection="1">
      <alignment vertical="center" shrinkToFit="1"/>
      <protection hidden="1"/>
    </xf>
    <xf numFmtId="0" fontId="20" fillId="18" borderId="5" xfId="0" applyFont="1" applyFill="1" applyBorder="1" applyAlignment="1" applyProtection="1">
      <alignment vertical="center" shrinkToFit="1"/>
      <protection hidden="1"/>
    </xf>
    <xf numFmtId="0" fontId="20" fillId="2" borderId="17" xfId="0" applyFont="1" applyFill="1" applyBorder="1" applyAlignment="1" applyProtection="1">
      <alignment vertical="center" shrinkToFit="1"/>
      <protection hidden="1"/>
    </xf>
    <xf numFmtId="0" fontId="0" fillId="2" borderId="7" xfId="0" applyFill="1" applyBorder="1"/>
    <xf numFmtId="0" fontId="4" fillId="13" borderId="12" xfId="0" applyFont="1" applyFill="1" applyBorder="1" applyAlignment="1">
      <alignment horizontal="left"/>
    </xf>
    <xf numFmtId="0" fontId="4" fillId="13" borderId="12" xfId="0" applyFont="1" applyFill="1" applyBorder="1" applyAlignment="1" applyProtection="1">
      <alignment horizontal="left"/>
      <protection hidden="1"/>
    </xf>
    <xf numFmtId="0" fontId="10" fillId="13" borderId="12" xfId="0" applyFont="1" applyFill="1" applyBorder="1" applyAlignment="1">
      <alignment horizontal="center" vertical="center"/>
    </xf>
    <xf numFmtId="0" fontId="5" fillId="2" borderId="12" xfId="0" applyFont="1" applyFill="1" applyBorder="1" applyAlignment="1">
      <alignment vertical="center"/>
    </xf>
    <xf numFmtId="0" fontId="0" fillId="18" borderId="6" xfId="0" applyFill="1" applyBorder="1"/>
    <xf numFmtId="0" fontId="0" fillId="18" borderId="7" xfId="0" applyFill="1" applyBorder="1"/>
    <xf numFmtId="0" fontId="0" fillId="18" borderId="8" xfId="0" applyFill="1" applyBorder="1"/>
    <xf numFmtId="0" fontId="4" fillId="13" borderId="7" xfId="0" applyFont="1" applyFill="1" applyBorder="1"/>
    <xf numFmtId="0" fontId="24" fillId="9" borderId="12" xfId="0" applyFont="1" applyFill="1" applyBorder="1" applyAlignment="1" applyProtection="1">
      <alignment horizontal="center" vertical="center"/>
    </xf>
    <xf numFmtId="0" fontId="4" fillId="13" borderId="12" xfId="0" applyFont="1" applyFill="1" applyBorder="1" applyProtection="1">
      <protection hidden="1"/>
    </xf>
    <xf numFmtId="49" fontId="9" fillId="3" borderId="0" xfId="0" applyNumberFormat="1" applyFont="1" applyFill="1" applyAlignment="1">
      <alignment horizontal="left" vertical="center" indent="6"/>
    </xf>
    <xf numFmtId="49" fontId="6" fillId="5" borderId="0" xfId="0" applyNumberFormat="1" applyFont="1" applyFill="1" applyAlignment="1">
      <alignment horizontal="left" vertical="center" indent="6"/>
    </xf>
    <xf numFmtId="0" fontId="10" fillId="2" borderId="0" xfId="0" applyFont="1" applyFill="1" applyBorder="1"/>
    <xf numFmtId="0" fontId="6" fillId="5" borderId="0" xfId="0" applyNumberFormat="1" applyFont="1" applyFill="1" applyAlignment="1" applyProtection="1">
      <alignment horizontal="left" vertical="center" indent="6"/>
      <protection hidden="1"/>
    </xf>
    <xf numFmtId="49" fontId="9" fillId="3" borderId="0" xfId="0" applyNumberFormat="1" applyFont="1" applyFill="1" applyAlignment="1">
      <alignment horizontal="left" vertical="center" indent="3"/>
    </xf>
    <xf numFmtId="49" fontId="6" fillId="5" borderId="0" xfId="0" applyNumberFormat="1" applyFont="1" applyFill="1" applyAlignment="1">
      <alignment horizontal="left" vertical="center" indent="3"/>
    </xf>
    <xf numFmtId="0" fontId="26" fillId="2" borderId="0" xfId="0" applyFont="1" applyFill="1"/>
    <xf numFmtId="0" fontId="10" fillId="2" borderId="4" xfId="0" applyFont="1" applyFill="1" applyBorder="1" applyAlignment="1">
      <alignment horizontal="center" vertical="center"/>
    </xf>
    <xf numFmtId="0" fontId="4" fillId="2" borderId="4" xfId="0" applyFont="1" applyFill="1" applyBorder="1" applyAlignment="1">
      <alignment horizontal="center" vertical="center"/>
    </xf>
    <xf numFmtId="0" fontId="19" fillId="0" borderId="0" xfId="0" applyFont="1" applyFill="1" applyBorder="1"/>
    <xf numFmtId="0" fontId="0" fillId="2" borderId="0" xfId="0" applyFill="1" applyBorder="1"/>
    <xf numFmtId="0" fontId="0" fillId="2" borderId="4" xfId="0" applyFill="1" applyBorder="1"/>
    <xf numFmtId="0" fontId="0" fillId="2" borderId="19" xfId="0" applyFill="1" applyBorder="1"/>
    <xf numFmtId="0" fontId="21" fillId="13" borderId="1" xfId="0" applyFont="1" applyFill="1" applyBorder="1" applyAlignment="1">
      <alignment horizontal="center" vertical="center" shrinkToFit="1"/>
    </xf>
    <xf numFmtId="0" fontId="22" fillId="13" borderId="1" xfId="0" applyFont="1" applyFill="1" applyBorder="1" applyAlignment="1">
      <alignment horizontal="center" vertical="center" shrinkToFit="1"/>
    </xf>
    <xf numFmtId="0" fontId="0" fillId="13" borderId="17" xfId="0" applyFill="1" applyBorder="1" applyAlignment="1">
      <alignment horizontal="centerContinuous" vertical="center"/>
    </xf>
    <xf numFmtId="0" fontId="16" fillId="13" borderId="17" xfId="0" applyFont="1" applyFill="1" applyBorder="1" applyAlignment="1">
      <alignment horizontal="centerContinuous" vertical="center"/>
    </xf>
    <xf numFmtId="0" fontId="0" fillId="13" borderId="11" xfId="0" applyFill="1" applyBorder="1" applyAlignment="1">
      <alignment horizontal="centerContinuous" vertical="center"/>
    </xf>
    <xf numFmtId="0" fontId="27" fillId="13" borderId="10" xfId="0" applyFont="1" applyFill="1" applyBorder="1" applyAlignment="1">
      <alignment horizontal="centerContinuous" vertical="center"/>
    </xf>
    <xf numFmtId="0" fontId="16" fillId="2" borderId="16" xfId="0" applyFont="1" applyFill="1" applyBorder="1" applyAlignment="1" applyProtection="1">
      <alignment shrinkToFit="1"/>
      <protection hidden="1"/>
    </xf>
    <xf numFmtId="0" fontId="16" fillId="2" borderId="13" xfId="0" applyFont="1" applyFill="1" applyBorder="1" applyAlignment="1" applyProtection="1">
      <alignment shrinkToFit="1"/>
      <protection hidden="1"/>
    </xf>
    <xf numFmtId="14" fontId="16" fillId="2" borderId="13" xfId="0" applyNumberFormat="1" applyFont="1" applyFill="1" applyBorder="1" applyAlignment="1" applyProtection="1">
      <alignment shrinkToFit="1"/>
      <protection hidden="1"/>
    </xf>
    <xf numFmtId="0" fontId="16" fillId="2" borderId="14" xfId="0" applyFont="1" applyFill="1" applyBorder="1" applyAlignment="1" applyProtection="1">
      <alignment shrinkToFit="1"/>
      <protection hidden="1"/>
    </xf>
    <xf numFmtId="0" fontId="16" fillId="2" borderId="18" xfId="0" applyFont="1" applyFill="1" applyBorder="1" applyAlignment="1" applyProtection="1">
      <alignment shrinkToFit="1"/>
      <protection hidden="1"/>
    </xf>
    <xf numFmtId="0" fontId="30" fillId="0" borderId="0" xfId="7" applyFont="1" applyAlignment="1">
      <alignment horizontal="centerContinuous" vertical="top"/>
    </xf>
    <xf numFmtId="0" fontId="31" fillId="0" borderId="0" xfId="7" applyFont="1" applyAlignment="1">
      <alignment horizontal="centerContinuous" vertical="top"/>
    </xf>
    <xf numFmtId="0" fontId="29" fillId="0" borderId="0" xfId="7" applyAlignment="1">
      <alignment horizontal="centerContinuous" vertical="top"/>
    </xf>
    <xf numFmtId="0" fontId="29" fillId="0" borderId="0" xfId="7"/>
    <xf numFmtId="0" fontId="29" fillId="9" borderId="20" xfId="7" applyFill="1" applyBorder="1"/>
    <xf numFmtId="0" fontId="29" fillId="9" borderId="21" xfId="7" applyFill="1" applyBorder="1"/>
    <xf numFmtId="0" fontId="29" fillId="9" borderId="22" xfId="7" applyFill="1" applyBorder="1"/>
    <xf numFmtId="0" fontId="32" fillId="19" borderId="23" xfId="7" applyFont="1" applyFill="1" applyBorder="1" applyAlignment="1">
      <alignment horizontal="center" vertical="center"/>
    </xf>
    <xf numFmtId="0" fontId="32" fillId="20" borderId="23" xfId="7" applyFont="1" applyFill="1" applyBorder="1" applyAlignment="1">
      <alignment horizontal="center" vertical="center"/>
    </xf>
    <xf numFmtId="0" fontId="32" fillId="21" borderId="24" xfId="7" applyFont="1" applyFill="1" applyBorder="1" applyAlignment="1">
      <alignment horizontal="center" vertical="center"/>
    </xf>
    <xf numFmtId="0" fontId="32" fillId="21" borderId="25" xfId="7" applyFont="1" applyFill="1" applyBorder="1" applyAlignment="1">
      <alignment horizontal="center" vertical="center"/>
    </xf>
    <xf numFmtId="0" fontId="33" fillId="0" borderId="26" xfId="7" applyFont="1" applyBorder="1" applyAlignment="1">
      <alignment horizontal="center" vertical="center"/>
    </xf>
    <xf numFmtId="14" fontId="33" fillId="0" borderId="26" xfId="7" applyNumberFormat="1" applyFont="1" applyBorder="1" applyAlignment="1">
      <alignment horizontal="center" vertical="center"/>
    </xf>
    <xf numFmtId="0" fontId="33" fillId="0" borderId="26" xfId="7" applyFont="1" applyBorder="1"/>
    <xf numFmtId="0" fontId="33" fillId="0" borderId="27" xfId="7" applyFont="1" applyBorder="1"/>
    <xf numFmtId="166" fontId="33" fillId="0" borderId="26" xfId="7" applyNumberFormat="1" applyFont="1" applyBorder="1"/>
    <xf numFmtId="0" fontId="33" fillId="0" borderId="24" xfId="7" applyFont="1" applyBorder="1"/>
    <xf numFmtId="0" fontId="33" fillId="0" borderId="28" xfId="7" applyFont="1" applyBorder="1"/>
    <xf numFmtId="0" fontId="33" fillId="0" borderId="24" xfId="7" applyFont="1" applyBorder="1" applyAlignment="1">
      <alignment horizontal="center"/>
    </xf>
    <xf numFmtId="0" fontId="33" fillId="0" borderId="27" xfId="7" applyFont="1" applyBorder="1" applyAlignment="1">
      <alignment horizontal="center" vertical="center"/>
    </xf>
    <xf numFmtId="14" fontId="33" fillId="0" borderId="27" xfId="7" applyNumberFormat="1" applyFont="1" applyBorder="1" applyAlignment="1">
      <alignment horizontal="center" vertical="center"/>
    </xf>
    <xf numFmtId="166" fontId="33" fillId="0" borderId="27" xfId="7" applyNumberFormat="1" applyFont="1" applyBorder="1"/>
    <xf numFmtId="0" fontId="29" fillId="0" borderId="24" xfId="7" applyBorder="1"/>
    <xf numFmtId="167" fontId="29" fillId="0" borderId="24" xfId="7" applyNumberFormat="1" applyBorder="1"/>
  </cellXfs>
  <cellStyles count="8">
    <cellStyle name="Hyperlink" xfId="2" builtinId="8"/>
    <cellStyle name="Normal" xfId="0" builtinId="0"/>
    <cellStyle name="Normal 2" xfId="1" xr:uid="{3954E752-B4A6-4129-A4B7-AFC294856010}"/>
    <cellStyle name="Normal 2 2" xfId="4" xr:uid="{536D19DF-F8AB-4192-80B1-9D84BD191CDA}"/>
    <cellStyle name="Normal 2 3" xfId="7" xr:uid="{DFA64607-3CC5-4B15-9C38-221C1B96597A}"/>
    <cellStyle name="Normal 3" xfId="3" xr:uid="{6CDF8B16-5B16-4C1E-8190-16EFBDFCEFB4}"/>
    <cellStyle name="Normal 3 2" xfId="5" xr:uid="{EBE6B589-17BD-473F-A3A7-5779EC871246}"/>
    <cellStyle name="Percent" xfId="6" builtinId="5"/>
  </cellStyles>
  <dxfs count="122">
    <dxf>
      <fill>
        <patternFill>
          <bgColor theme="9" tint="0.59996337778862885"/>
        </patternFill>
      </fill>
    </dxf>
    <dxf>
      <font>
        <strike/>
      </font>
    </dxf>
    <dxf>
      <fill>
        <patternFill>
          <bgColor theme="9" tint="0.59996337778862885"/>
        </patternFill>
      </fill>
    </dxf>
    <dxf>
      <font>
        <strike/>
      </font>
    </dxf>
    <dxf>
      <fill>
        <patternFill>
          <bgColor theme="9" tint="0.59996337778862885"/>
        </patternFill>
      </fill>
    </dxf>
    <dxf>
      <font>
        <strike/>
      </font>
    </dxf>
    <dxf>
      <fill>
        <patternFill>
          <bgColor theme="9" tint="0.59996337778862885"/>
        </patternFill>
      </fill>
    </dxf>
    <dxf>
      <font>
        <strike/>
      </font>
    </dxf>
    <dxf>
      <fill>
        <patternFill>
          <bgColor theme="9" tint="0.59996337778862885"/>
        </patternFill>
      </fill>
    </dxf>
    <dxf>
      <font>
        <strike/>
      </font>
    </dxf>
    <dxf>
      <fill>
        <patternFill>
          <bgColor theme="9" tint="0.59996337778862885"/>
        </patternFill>
      </fill>
    </dxf>
    <dxf>
      <font>
        <strike/>
      </font>
    </dxf>
    <dxf>
      <fill>
        <patternFill>
          <bgColor theme="9" tint="0.59996337778862885"/>
        </patternFill>
      </fill>
    </dxf>
    <dxf>
      <font>
        <strike/>
      </font>
    </dxf>
    <dxf>
      <fill>
        <patternFill>
          <bgColor theme="9" tint="0.59996337778862885"/>
        </patternFill>
      </fill>
    </dxf>
    <dxf>
      <font>
        <strike/>
      </font>
    </dxf>
    <dxf>
      <fill>
        <patternFill>
          <bgColor theme="9" tint="0.59996337778862885"/>
        </patternFill>
      </fill>
    </dxf>
    <dxf>
      <font>
        <strike/>
      </font>
    </dxf>
    <dxf>
      <fill>
        <patternFill>
          <bgColor theme="9" tint="0.59996337778862885"/>
        </patternFill>
      </fill>
    </dxf>
    <dxf>
      <font>
        <strike/>
      </font>
    </dxf>
    <dxf>
      <fill>
        <patternFill>
          <bgColor theme="9" tint="0.59996337778862885"/>
        </patternFill>
      </fill>
    </dxf>
    <dxf>
      <font>
        <strike/>
      </font>
    </dxf>
    <dxf>
      <fill>
        <patternFill>
          <bgColor theme="9" tint="0.59996337778862885"/>
        </patternFill>
      </fill>
    </dxf>
    <dxf>
      <font>
        <strike/>
      </font>
    </dxf>
    <dxf>
      <fill>
        <patternFill>
          <bgColor theme="9" tint="0.59996337778862885"/>
        </patternFill>
      </fill>
    </dxf>
    <dxf>
      <font>
        <strike/>
      </font>
    </dxf>
    <dxf>
      <fill>
        <patternFill>
          <bgColor theme="9" tint="0.59996337778862885"/>
        </patternFill>
      </fill>
    </dxf>
    <dxf>
      <font>
        <strike/>
      </font>
    </dxf>
    <dxf>
      <fill>
        <patternFill>
          <bgColor theme="9" tint="0.59996337778862885"/>
        </patternFill>
      </fill>
    </dxf>
    <dxf>
      <font>
        <strike/>
      </font>
    </dxf>
    <dxf>
      <fill>
        <patternFill>
          <bgColor theme="9" tint="0.59996337778862885"/>
        </patternFill>
      </fill>
    </dxf>
    <dxf>
      <font>
        <strike/>
      </font>
    </dxf>
    <dxf>
      <fill>
        <patternFill>
          <bgColor theme="9" tint="0.59996337778862885"/>
        </patternFill>
      </fill>
    </dxf>
    <dxf>
      <font>
        <strike/>
      </font>
    </dxf>
    <dxf>
      <fill>
        <patternFill>
          <bgColor theme="9" tint="0.59996337778862885"/>
        </patternFill>
      </fill>
    </dxf>
    <dxf>
      <font>
        <strike/>
      </font>
    </dxf>
    <dxf>
      <fill>
        <patternFill>
          <bgColor theme="9" tint="0.59996337778862885"/>
        </patternFill>
      </fill>
    </dxf>
    <dxf>
      <font>
        <strike/>
      </font>
    </dxf>
    <dxf>
      <fill>
        <patternFill>
          <bgColor theme="9" tint="0.59996337778862885"/>
        </patternFill>
      </fill>
    </dxf>
    <dxf>
      <font>
        <strike/>
      </font>
    </dxf>
    <dxf>
      <fill>
        <patternFill>
          <bgColor theme="9" tint="0.59996337778862885"/>
        </patternFill>
      </fill>
    </dxf>
    <dxf>
      <font>
        <strike/>
      </font>
    </dxf>
    <dxf>
      <fill>
        <patternFill>
          <bgColor theme="9" tint="0.59996337778862885"/>
        </patternFill>
      </fill>
    </dxf>
    <dxf>
      <font>
        <strike/>
      </font>
    </dxf>
    <dxf>
      <fill>
        <patternFill>
          <bgColor theme="9" tint="0.59996337778862885"/>
        </patternFill>
      </fill>
    </dxf>
    <dxf>
      <font>
        <strike/>
      </font>
    </dxf>
    <dxf>
      <fill>
        <patternFill>
          <bgColor theme="9" tint="0.59996337778862885"/>
        </patternFill>
      </fill>
    </dxf>
    <dxf>
      <font>
        <strike/>
      </font>
    </dxf>
    <dxf>
      <fill>
        <patternFill>
          <bgColor theme="9" tint="0.59996337778862885"/>
        </patternFill>
      </fill>
    </dxf>
    <dxf>
      <font>
        <strike/>
      </font>
    </dxf>
    <dxf>
      <fill>
        <patternFill>
          <bgColor theme="9" tint="0.59996337778862885"/>
        </patternFill>
      </fill>
    </dxf>
    <dxf>
      <font>
        <strike/>
      </font>
    </dxf>
    <dxf>
      <alignment horizontal="center"/>
    </dxf>
    <dxf>
      <alignment horizontal="center"/>
    </dxf>
    <dxf>
      <alignment horizontal="center"/>
    </dxf>
    <dxf>
      <alignment horizontal="center"/>
    </dxf>
    <dxf>
      <numFmt numFmtId="3" formatCode="#,##0"/>
    </dxf>
    <dxf>
      <alignment horizontal="center"/>
    </dxf>
    <dxf>
      <alignment horizontal="center"/>
    </dxf>
    <dxf>
      <alignment horizontal="center"/>
    </dxf>
    <dxf>
      <alignment horizontal="center"/>
    </dxf>
    <dxf>
      <alignment horizont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font>
        <b val="0"/>
        <i val="0"/>
        <strike val="0"/>
        <condense val="0"/>
        <extend val="0"/>
        <outline val="0"/>
        <shadow val="0"/>
        <u val="none"/>
        <vertAlign val="baseline"/>
        <sz val="11"/>
        <color auto="1"/>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auto="1"/>
        <name val="Calibri"/>
        <family val="2"/>
        <scheme val="minor"/>
      </font>
      <numFmt numFmtId="3" formatCode="#,##0"/>
      <fill>
        <patternFill patternType="solid">
          <fgColor indexed="64"/>
          <bgColor theme="0" tint="-4.9989318521683403E-2"/>
        </patternFill>
      </fill>
      <alignment horizontal="center" vertical="center" textRotation="0" wrapText="0" indent="0" justifyLastLine="0" shrinkToFit="0" readingOrder="0"/>
      <border diagonalUp="0" diagonalDown="0" outline="0">
        <left/>
        <right style="thin">
          <color indexed="64"/>
        </right>
        <top style="thin">
          <color indexed="64"/>
        </top>
        <bottom/>
      </border>
    </dxf>
    <dxf>
      <font>
        <b val="0"/>
        <i val="0"/>
        <strike val="0"/>
        <condense val="0"/>
        <extend val="0"/>
        <outline val="0"/>
        <shadow val="0"/>
        <u val="none"/>
        <vertAlign val="baseline"/>
        <sz val="11"/>
        <color auto="1"/>
        <name val="Calibri"/>
        <family val="2"/>
        <scheme val="minor"/>
      </font>
      <numFmt numFmtId="3" formatCode="#,##0"/>
      <fill>
        <patternFill patternType="solid">
          <fgColor indexed="64"/>
          <bgColor theme="0" tint="-4.9989318521683403E-2"/>
        </patternFill>
      </fill>
      <alignment horizontal="center" vertical="center" textRotation="0" wrapText="0" indent="0" justifyLastLine="0" shrinkToFit="0" readingOrder="0"/>
      <border diagonalUp="0" diagonalDown="0" outline="0">
        <left/>
        <right style="thin">
          <color indexed="64"/>
        </right>
        <top style="thin">
          <color indexed="64"/>
        </top>
        <bottom/>
      </border>
    </dxf>
    <dxf>
      <font>
        <b val="0"/>
        <i val="0"/>
        <strike val="0"/>
        <condense val="0"/>
        <extend val="0"/>
        <outline val="0"/>
        <shadow val="0"/>
        <u val="none"/>
        <vertAlign val="baseline"/>
        <sz val="11"/>
        <color auto="1"/>
        <name val="Calibri"/>
        <family val="2"/>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border diagonalUp="0" diagonalDown="0">
        <left/>
        <right style="thin">
          <color indexed="64"/>
        </right>
        <top style="thin">
          <color indexed="64"/>
        </top>
        <bottom/>
      </border>
    </dxf>
    <dxf>
      <font>
        <b val="0"/>
        <i val="0"/>
        <strike val="0"/>
        <condense val="0"/>
        <extend val="0"/>
        <outline val="0"/>
        <shadow val="0"/>
        <u val="none"/>
        <vertAlign val="baseline"/>
        <sz val="11"/>
        <color auto="1"/>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outline="0">
        <left/>
        <right style="thin">
          <color indexed="64"/>
        </right>
        <top style="thin">
          <color indexed="64"/>
        </top>
        <bottom/>
      </border>
    </dxf>
    <dxf>
      <font>
        <b val="0"/>
        <i val="0"/>
        <strike val="0"/>
        <condense val="0"/>
        <extend val="0"/>
        <outline val="0"/>
        <shadow val="0"/>
        <u val="none"/>
        <vertAlign val="baseline"/>
        <sz val="11"/>
        <color auto="1"/>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outline="0">
        <left/>
        <right style="thin">
          <color indexed="64"/>
        </right>
        <top style="thin">
          <color indexed="64"/>
        </top>
        <bottom/>
      </border>
    </dxf>
    <dxf>
      <font>
        <b val="0"/>
        <i val="0"/>
        <strike val="0"/>
        <condense val="0"/>
        <extend val="0"/>
        <outline val="0"/>
        <shadow val="0"/>
        <u val="none"/>
        <vertAlign val="baseline"/>
        <sz val="11"/>
        <color auto="1"/>
        <name val="Calibri"/>
        <family val="2"/>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border diagonalUp="0" diagonalDown="0">
        <left/>
        <right style="thin">
          <color indexed="64"/>
        </right>
        <top style="thin">
          <color indexed="64"/>
        </top>
        <bottom/>
      </border>
    </dxf>
    <dxf>
      <font>
        <b val="0"/>
        <i val="0"/>
        <strike val="0"/>
        <condense val="0"/>
        <extend val="0"/>
        <outline val="0"/>
        <shadow val="0"/>
        <u val="none"/>
        <vertAlign val="baseline"/>
        <sz val="11"/>
        <color auto="1"/>
        <name val="Calibri"/>
        <family val="2"/>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border diagonalUp="0" diagonalDown="0">
        <left/>
        <right style="thin">
          <color indexed="64"/>
        </right>
        <top style="thin">
          <color indexed="64"/>
        </top>
        <bottom/>
      </border>
    </dxf>
    <dxf>
      <font>
        <b val="0"/>
        <i val="0"/>
        <strike val="0"/>
        <condense val="0"/>
        <extend val="0"/>
        <outline val="0"/>
        <shadow val="0"/>
        <u val="none"/>
        <vertAlign val="baseline"/>
        <sz val="11"/>
        <color auto="1"/>
        <name val="Calibri"/>
        <family val="2"/>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border diagonalUp="0" diagonalDown="0">
        <left/>
        <right style="thin">
          <color indexed="64"/>
        </right>
        <top style="thin">
          <color indexed="64"/>
        </top>
        <bottom/>
      </border>
    </dxf>
    <dxf>
      <font>
        <b val="0"/>
        <i val="0"/>
        <strike val="0"/>
        <condense val="0"/>
        <extend val="0"/>
        <outline val="0"/>
        <shadow val="0"/>
        <u val="none"/>
        <vertAlign val="baseline"/>
        <sz val="11"/>
        <color auto="1"/>
        <name val="Calibri"/>
        <family val="2"/>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border diagonalUp="0" diagonalDown="0">
        <left/>
        <right style="thin">
          <color indexed="64"/>
        </right>
        <top style="thin">
          <color indexed="64"/>
        </top>
        <bottom/>
      </border>
    </dxf>
    <dxf>
      <font>
        <b val="0"/>
        <i val="0"/>
        <strike val="0"/>
        <condense val="0"/>
        <extend val="0"/>
        <outline val="0"/>
        <shadow val="0"/>
        <u val="none"/>
        <vertAlign val="baseline"/>
        <sz val="11"/>
        <color auto="1"/>
        <name val="Calibri"/>
        <family val="2"/>
        <scheme val="minor"/>
      </font>
      <fill>
        <patternFill patternType="solid">
          <fgColor indexed="64"/>
          <bgColor theme="0" tint="-4.9989318521683403E-2"/>
        </patternFill>
      </fill>
      <alignment horizontal="center" vertical="bottom" textRotation="0" wrapText="0" indent="0" justifyLastLine="0" shrinkToFit="1" readingOrder="0"/>
      <border diagonalUp="0" diagonalDown="0" outline="0">
        <left/>
        <right style="thin">
          <color indexed="64"/>
        </right>
        <top style="thin">
          <color indexed="64"/>
        </top>
        <bottom/>
      </border>
    </dxf>
    <dxf>
      <font>
        <b val="0"/>
        <i val="0"/>
        <strike val="0"/>
        <condense val="0"/>
        <extend val="0"/>
        <outline val="0"/>
        <shadow val="0"/>
        <u val="none"/>
        <vertAlign val="baseline"/>
        <sz val="11"/>
        <color auto="1"/>
        <name val="Calibri"/>
        <family val="2"/>
        <scheme val="minor"/>
      </font>
      <numFmt numFmtId="0" formatCode="General"/>
      <fill>
        <patternFill patternType="solid">
          <fgColor indexed="64"/>
          <bgColor theme="0" tint="-4.9989318521683403E-2"/>
        </patternFill>
      </fill>
      <alignment horizontal="left" vertical="bottom" textRotation="0" wrapText="0" indent="0" justifyLastLine="0" shrinkToFit="0" readingOrder="0"/>
      <border diagonalUp="0" diagonalDown="0">
        <left/>
        <right style="thin">
          <color indexed="64"/>
        </right>
        <top style="thin">
          <color indexed="64"/>
        </top>
        <bottom/>
      </border>
    </dxf>
    <dxf>
      <font>
        <strike val="0"/>
        <outline val="0"/>
        <shadow val="0"/>
        <u val="none"/>
        <vertAlign val="baseline"/>
        <sz val="11"/>
        <color auto="1"/>
        <name val="Calibri"/>
        <family val="2"/>
        <scheme val="minor"/>
      </font>
      <numFmt numFmtId="3" formatCode="#,##0"/>
      <fill>
        <patternFill patternType="solid">
          <fgColor indexed="64"/>
          <bgColor theme="0" tint="-4.9989318521683403E-2"/>
        </patternFill>
      </fill>
      <alignment horizontal="center" vertical="bottom" textRotation="0" wrapText="0" indent="0" justifyLastLine="0" shrinkToFit="1" readingOrder="0"/>
      <border diagonalUp="0" diagonalDown="0">
        <left/>
        <right style="thin">
          <color indexed="64"/>
        </right>
        <top style="thin">
          <color indexed="64"/>
        </top>
        <bottom/>
      </border>
    </dxf>
    <dxf>
      <font>
        <strike val="0"/>
        <outline val="0"/>
        <shadow val="0"/>
        <u val="none"/>
        <vertAlign val="baseline"/>
        <sz val="11"/>
        <color auto="1"/>
        <name val="Calibri"/>
        <family val="2"/>
        <scheme val="minor"/>
      </font>
      <numFmt numFmtId="13" formatCode="0%"/>
      <fill>
        <patternFill patternType="solid">
          <fgColor indexed="64"/>
          <bgColor theme="0" tint="-4.9989318521683403E-2"/>
        </patternFill>
      </fill>
      <alignment horizontal="center" vertical="center" textRotation="0" wrapText="0" indent="0" justifyLastLine="0" shrinkToFit="1" readingOrder="0"/>
      <border diagonalUp="0" diagonalDown="0">
        <left/>
        <right style="thin">
          <color indexed="64"/>
        </right>
        <top style="thin">
          <color indexed="64"/>
        </top>
        <bottom/>
      </border>
    </dxf>
    <dxf>
      <font>
        <strike val="0"/>
        <outline val="0"/>
        <shadow val="0"/>
        <u val="none"/>
        <vertAlign val="baseline"/>
        <sz val="11"/>
        <color auto="1"/>
        <name val="Calibri"/>
        <family val="2"/>
        <scheme val="minor"/>
      </font>
      <numFmt numFmtId="0" formatCode="General"/>
      <fill>
        <patternFill patternType="solid">
          <fgColor indexed="64"/>
          <bgColor theme="0" tint="-4.9989318521683403E-2"/>
        </patternFill>
      </fill>
      <alignment horizontal="left" vertical="bottom" textRotation="0" wrapText="0" indent="0" justifyLastLine="0" shrinkToFit="1" readingOrder="0"/>
      <border diagonalUp="0" diagonalDown="0">
        <left style="thin">
          <color indexed="64"/>
        </left>
        <right style="thin">
          <color indexed="64"/>
        </right>
        <top style="thin">
          <color indexed="64"/>
        </top>
        <bottom/>
      </border>
    </dxf>
    <dxf>
      <font>
        <strike val="0"/>
        <outline val="0"/>
        <shadow val="0"/>
        <u val="none"/>
        <vertAlign val="baseline"/>
        <sz val="11"/>
        <color auto="1"/>
        <name val="Calibri"/>
        <family val="2"/>
        <scheme val="minor"/>
      </font>
      <numFmt numFmtId="165" formatCode="d/mm/yyyy"/>
      <fill>
        <patternFill patternType="solid">
          <fgColor indexed="64"/>
          <bgColor theme="0" tint="-4.9989318521683403E-2"/>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border>
    </dxf>
    <dxf>
      <font>
        <strike val="0"/>
        <outline val="0"/>
        <shadow val="0"/>
        <u val="none"/>
        <vertAlign val="baseline"/>
        <sz val="11"/>
        <color auto="1"/>
        <name val="Calibri"/>
        <family val="2"/>
        <scheme val="minor"/>
      </font>
      <numFmt numFmtId="165" formatCode="d/mm/yyyy"/>
      <fill>
        <patternFill patternType="solid">
          <fgColor indexed="64"/>
          <bgColor theme="0" tint="-4.9989318521683403E-2"/>
        </patternFill>
      </fill>
      <alignment horizontal="center" vertical="bottom" textRotation="0" wrapText="0" indent="0" justifyLastLine="0" shrinkToFit="1" readingOrder="0"/>
      <border diagonalUp="0" diagonalDown="0">
        <left style="thin">
          <color indexed="64"/>
        </left>
        <right/>
        <top style="thin">
          <color indexed="64"/>
        </top>
        <bottom/>
      </border>
    </dxf>
    <dxf>
      <font>
        <strike val="0"/>
        <outline val="0"/>
        <shadow val="0"/>
        <u val="none"/>
        <vertAlign val="baseline"/>
        <sz val="11"/>
        <color auto="1"/>
        <name val="Calibri"/>
        <family val="2"/>
        <scheme val="minor"/>
      </font>
      <numFmt numFmtId="165" formatCode="d/mm/yyyy"/>
      <fill>
        <patternFill patternType="solid">
          <fgColor indexed="64"/>
          <bgColor theme="0" tint="-4.9989318521683403E-2"/>
        </patternFill>
      </fill>
      <alignment horizontal="center" vertical="bottom" textRotation="0" wrapText="0" indent="0" justifyLastLine="0" shrinkToFit="1" readingOrder="0"/>
      <border diagonalUp="0" diagonalDown="0">
        <left style="thin">
          <color indexed="64"/>
        </left>
        <right/>
        <top style="thin">
          <color indexed="64"/>
        </top>
        <bottom/>
      </border>
    </dxf>
    <dxf>
      <font>
        <strike val="0"/>
        <outline val="0"/>
        <shadow val="0"/>
        <u val="none"/>
        <vertAlign val="baseline"/>
        <sz val="11"/>
        <color auto="1"/>
        <name val="Calibri"/>
        <family val="2"/>
        <scheme val="minor"/>
      </font>
      <numFmt numFmtId="165" formatCode="d/mm/yyyy"/>
      <fill>
        <patternFill patternType="solid">
          <fgColor indexed="64"/>
          <bgColor theme="0" tint="-4.9989318521683403E-2"/>
        </patternFill>
      </fill>
      <alignment horizontal="center" vertical="bottom" textRotation="0" wrapText="0" indent="0" justifyLastLine="0" shrinkToFit="1" readingOrder="0"/>
      <border diagonalUp="0" diagonalDown="0">
        <left/>
        <right/>
        <top style="thin">
          <color indexed="64"/>
        </top>
        <bottom/>
      </border>
    </dxf>
    <dxf>
      <font>
        <strike val="0"/>
        <outline val="0"/>
        <shadow val="0"/>
        <u val="none"/>
        <vertAlign val="baseline"/>
        <sz val="11"/>
        <color auto="1"/>
        <name val="Calibri"/>
        <family val="2"/>
        <scheme val="minor"/>
      </font>
      <numFmt numFmtId="0" formatCode="General"/>
      <fill>
        <patternFill patternType="solid">
          <fgColor indexed="64"/>
          <bgColor theme="0" tint="-4.9989318521683403E-2"/>
        </patternFill>
      </fill>
      <alignment horizontal="left" vertical="bottom" textRotation="0" wrapText="0" indent="0" justifyLastLine="0" shrinkToFit="1" readingOrder="0"/>
      <border diagonalUp="0" diagonalDown="0">
        <left/>
        <right/>
        <top style="thin">
          <color indexed="64"/>
        </top>
        <bottom/>
      </border>
    </dxf>
    <dxf>
      <font>
        <strike val="0"/>
        <outline val="0"/>
        <shadow val="0"/>
        <u val="none"/>
        <vertAlign val="baseline"/>
        <sz val="11"/>
        <color auto="1"/>
        <name val="Calibri"/>
        <family val="2"/>
        <scheme val="minor"/>
      </font>
      <numFmt numFmtId="0" formatCode="General"/>
      <fill>
        <patternFill patternType="solid">
          <fgColor indexed="64"/>
          <bgColor theme="0" tint="-4.9989318521683403E-2"/>
        </patternFill>
      </fill>
      <alignment horizontal="left" vertical="bottom" textRotation="0" wrapText="0" indent="0" justifyLastLine="0" shrinkToFit="1" readingOrder="0"/>
      <border diagonalUp="0" diagonalDown="0">
        <left style="thin">
          <color indexed="64"/>
        </left>
        <right style="thin">
          <color indexed="64"/>
        </right>
        <top style="thin">
          <color indexed="64"/>
        </top>
        <bottom/>
      </border>
    </dxf>
    <dxf>
      <font>
        <strike val="0"/>
        <outline val="0"/>
        <shadow val="0"/>
        <u val="none"/>
        <vertAlign val="baseline"/>
        <sz val="11"/>
        <color auto="1"/>
        <name val="Calibri"/>
        <family val="2"/>
        <scheme val="minor"/>
      </font>
      <numFmt numFmtId="0" formatCode="General"/>
      <fill>
        <patternFill patternType="solid">
          <fgColor indexed="64"/>
          <bgColor theme="0" tint="-4.9989318521683403E-2"/>
        </patternFill>
      </fill>
      <alignment horizontal="general" vertical="bottom" textRotation="0" wrapText="0" indent="0" justifyLastLine="0" shrinkToFit="1" readingOrder="0"/>
      <border diagonalUp="0" diagonalDown="0">
        <left/>
        <right style="thin">
          <color indexed="64"/>
        </right>
        <top style="thin">
          <color indexed="64"/>
        </top>
        <bottom/>
      </border>
    </dxf>
    <dxf>
      <font>
        <strike val="0"/>
        <outline val="0"/>
        <shadow val="0"/>
        <u val="none"/>
        <vertAlign val="baseline"/>
        <sz val="11"/>
        <color auto="1"/>
        <name val="Calibri"/>
        <family val="2"/>
        <scheme val="minor"/>
      </font>
      <numFmt numFmtId="0" formatCode="General"/>
      <fill>
        <patternFill patternType="solid">
          <fgColor indexed="64"/>
          <bgColor theme="0" tint="-4.9989318521683403E-2"/>
        </patternFill>
      </fill>
      <alignment horizontal="left" vertical="bottom" textRotation="0" wrapText="0" indent="0" justifyLastLine="0" shrinkToFit="1" readingOrder="0"/>
      <border diagonalUp="0" diagonalDown="0">
        <left/>
        <right/>
        <top style="thin">
          <color indexed="64"/>
        </top>
        <bottom/>
      </border>
    </dxf>
    <dxf>
      <border outline="0">
        <left style="thin">
          <color indexed="64"/>
        </left>
        <right style="thin">
          <color auto="1"/>
        </right>
        <top style="thin">
          <color indexed="64"/>
        </top>
        <bottom style="thin">
          <color auto="1"/>
        </bottom>
      </border>
    </dxf>
    <dxf>
      <font>
        <b val="0"/>
        <i val="0"/>
        <strike val="0"/>
        <condense val="0"/>
        <extend val="0"/>
        <outline val="0"/>
        <shadow val="0"/>
        <u val="none"/>
        <vertAlign val="baseline"/>
        <sz val="11"/>
        <color auto="1"/>
        <name val="Calibri"/>
        <family val="2"/>
        <scheme val="minor"/>
      </font>
      <fill>
        <patternFill patternType="solid">
          <fgColor indexed="64"/>
          <bgColor theme="0" tint="-4.9989318521683403E-2"/>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general" vertical="bottom" textRotation="0" wrapText="0" indent="0" justifyLastLine="0" shrinkToFit="1" readingOrder="0"/>
      <border diagonalUp="0" diagonalDown="0">
        <left style="thin">
          <color indexed="64"/>
        </left>
        <right/>
        <top style="thin">
          <color indexed="64"/>
        </top>
        <bottom/>
        <vertical/>
        <horizontal/>
      </border>
      <protection locked="0" hidden="0"/>
    </dxf>
    <dxf>
      <numFmt numFmtId="3" formatCode="#,##0"/>
      <alignment horizontal="center" vertical="bottom" textRotation="0" wrapText="0" indent="0" justifyLastLine="0" shrinkToFit="1" readingOrder="0"/>
      <border diagonalUp="0" diagonalDown="0">
        <left/>
        <right/>
        <top style="thin">
          <color indexed="64"/>
        </top>
        <bottom/>
      </border>
      <protection locked="0" hidden="0"/>
    </dxf>
    <dxf>
      <font>
        <b/>
        <charset val="162"/>
      </font>
      <numFmt numFmtId="13" formatCode="0%"/>
      <alignment horizontal="center" vertical="center" textRotation="0" wrapText="0" indent="0" justifyLastLine="0" shrinkToFit="1" readingOrder="0"/>
      <border diagonalUp="0" diagonalDown="0">
        <left style="thin">
          <color indexed="64"/>
        </left>
        <right/>
        <top style="thin">
          <color indexed="64"/>
        </top>
        <bottom/>
      </border>
      <protection locked="0" hidden="0"/>
    </dxf>
    <dxf>
      <numFmt numFmtId="164" formatCode="dd/mm/yy;@"/>
      <alignment horizontal="center" vertical="bottom" textRotation="0" wrapText="0" indent="0" justifyLastLine="0" shrinkToFit="1" readingOrder="0"/>
      <border diagonalUp="0" diagonalDown="0">
        <left style="thin">
          <color indexed="64"/>
        </left>
        <right/>
        <top style="thin">
          <color indexed="64"/>
        </top>
        <bottom/>
        <vertical/>
        <horizontal/>
      </border>
      <protection locked="0" hidden="0"/>
    </dxf>
    <dxf>
      <numFmt numFmtId="164" formatCode="dd/mm/yy;@"/>
      <alignment horizontal="center" vertical="bottom" textRotation="0" wrapText="0" indent="0" justifyLastLine="0" shrinkToFit="1" readingOrder="0"/>
      <border diagonalUp="0" diagonalDown="0">
        <left style="thin">
          <color indexed="64"/>
        </left>
        <right/>
        <top style="thin">
          <color indexed="64"/>
        </top>
        <bottom/>
        <vertical/>
        <horizontal/>
      </border>
      <protection locked="0" hidden="0"/>
    </dxf>
    <dxf>
      <numFmt numFmtId="164" formatCode="dd/mm/yy;@"/>
      <alignment horizontal="center" vertical="bottom" textRotation="0" wrapText="0" indent="0" justifyLastLine="0" shrinkToFit="1" readingOrder="0"/>
      <border diagonalUp="0" diagonalDown="0">
        <left style="thin">
          <color indexed="64"/>
        </left>
        <right/>
        <top style="thin">
          <color indexed="64"/>
        </top>
        <bottom/>
        <vertical/>
        <horizontal/>
      </border>
      <protection locked="0" hidden="0"/>
    </dxf>
    <dxf>
      <alignment horizontal="general" vertical="bottom" textRotation="0" wrapText="0" indent="0" justifyLastLine="0" shrinkToFit="1" readingOrder="0"/>
      <border diagonalUp="0" diagonalDown="0">
        <left style="thin">
          <color indexed="64"/>
        </left>
        <right/>
        <top style="thin">
          <color indexed="64"/>
        </top>
        <bottom/>
        <vertical/>
        <horizontal/>
      </border>
      <protection locked="0" hidden="0"/>
    </dxf>
    <dxf>
      <alignment horizontal="general" vertical="bottom" textRotation="0" wrapText="0" indent="0" justifyLastLine="0" shrinkToFit="1" readingOrder="0"/>
      <border diagonalUp="0" diagonalDown="0">
        <left style="thin">
          <color indexed="64"/>
        </left>
        <right/>
        <top style="thin">
          <color indexed="64"/>
        </top>
        <bottom/>
        <vertical/>
        <horizontal/>
      </border>
      <protection locked="0" hidden="0"/>
    </dxf>
    <dxf>
      <alignment horizontal="general" vertical="bottom" textRotation="0" wrapText="0" indent="0" justifyLastLine="0" shrinkToFit="1" readingOrder="0"/>
      <border diagonalUp="0" diagonalDown="0">
        <left style="thin">
          <color indexed="64"/>
        </left>
        <right/>
        <top style="thin">
          <color indexed="64"/>
        </top>
        <bottom/>
        <vertical/>
        <horizontal/>
      </border>
      <protection locked="0" hidden="0"/>
    </dxf>
    <dxf>
      <alignment horizontal="general" vertical="bottom" textRotation="0" wrapText="0" indent="0" justifyLastLine="0" shrinkToFit="1" readingOrder="0"/>
      <border diagonalUp="0" diagonalDown="0">
        <left style="thin">
          <color indexed="64"/>
        </left>
        <right/>
        <top style="thin">
          <color indexed="64"/>
        </top>
        <bottom/>
        <vertical/>
        <horizontal/>
      </border>
      <protection locked="0" hidden="0"/>
    </dxf>
    <dxf>
      <alignment horizontal="general" vertical="bottom" textRotation="0" wrapText="0" indent="0" justifyLastLine="0" shrinkToFit="1" readingOrder="0"/>
      <protection locked="0" hidden="0"/>
    </dxf>
    <dxf>
      <border outline="0">
        <right style="thin">
          <color auto="1"/>
        </right>
      </border>
    </dxf>
    <dxf>
      <protection locked="0" hidden="0"/>
    </dxf>
    <dxf>
      <font>
        <b/>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center" vertical="center" textRotation="0" wrapText="0" indent="0" justifyLastLine="0" shrinkToFit="1" readingOrder="0"/>
    </dxf>
    <dxf>
      <fill>
        <patternFill>
          <bgColor rgb="FFFC887B"/>
        </patternFill>
      </fill>
    </dxf>
    <dxf>
      <fill>
        <patternFill>
          <bgColor rgb="FFFFDD95"/>
        </patternFill>
      </fill>
    </dxf>
    <dxf>
      <fill>
        <patternFill>
          <bgColor rgb="FFD0E6A5"/>
        </patternFill>
      </fill>
    </dxf>
    <dxf>
      <fill>
        <patternFill patternType="solid">
          <bgColor theme="0"/>
        </patternFill>
      </fill>
    </dxf>
    <dxf>
      <font>
        <b/>
        <i val="0"/>
      </font>
    </dxf>
    <dxf>
      <fill>
        <patternFill patternType="none">
          <bgColor auto="1"/>
        </patternFill>
      </fill>
    </dxf>
    <dxf>
      <font>
        <b/>
        <i val="0"/>
        <color auto="1"/>
      </font>
      <fill>
        <patternFill>
          <bgColor theme="4" tint="0.79998168889431442"/>
        </patternFill>
      </fill>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font>
        <b/>
        <i val="0"/>
      </font>
      <fill>
        <patternFill>
          <bgColor theme="4" tint="0.79998168889431442"/>
        </patternFill>
      </fill>
    </dxf>
    <dxf>
      <fill>
        <patternFill>
          <bgColor theme="0" tint="-4.9989318521683403E-2"/>
        </patternFill>
      </fill>
      <border>
        <left style="thin">
          <color auto="1"/>
        </left>
        <right style="thin">
          <color auto="1"/>
        </right>
        <top style="thin">
          <color auto="1"/>
        </top>
        <bottom style="thin">
          <color auto="1"/>
        </bottom>
        <vertical style="thin">
          <color auto="1"/>
        </vertical>
        <horizontal style="thin">
          <color auto="1"/>
        </horizontal>
      </border>
    </dxf>
    <dxf>
      <font>
        <b/>
        <i val="0"/>
        <color theme="0"/>
      </font>
      <fill>
        <patternFill>
          <bgColor theme="5"/>
        </patternFill>
      </fill>
    </dxf>
    <dxf>
      <border>
        <left style="thin">
          <color auto="1"/>
        </left>
        <right style="thin">
          <color auto="1"/>
        </right>
        <top style="thin">
          <color auto="1"/>
        </top>
        <bottom style="thin">
          <color auto="1"/>
        </bottom>
        <vertical style="thin">
          <color auto="1"/>
        </vertical>
        <horizontal style="thin">
          <color auto="1"/>
        </horizontal>
      </border>
    </dxf>
  </dxfs>
  <tableStyles count="3" defaultTableStyle="TableStyleMedium2" defaultPivotStyle="PivotStyleLight16">
    <tableStyle name="Table Style 1" pivot="0" count="2" xr9:uid="{D5486B5A-746C-43F2-8DF7-6338134063A6}">
      <tableStyleElement type="wholeTable" dxfId="121"/>
      <tableStyleElement type="headerRow" dxfId="120"/>
    </tableStyle>
    <tableStyle name="Table Style 2" pivot="0" count="2" xr9:uid="{711FF5C2-6BE0-4689-B0B6-19DD4A5B7A9F}">
      <tableStyleElement type="wholeTable" dxfId="119"/>
      <tableStyleElement type="headerRow" dxfId="118"/>
    </tableStyle>
    <tableStyle name="Table Style 3" pivot="0" count="2" xr9:uid="{98A46D44-2CFF-43BC-8006-8B10E3878FDD}">
      <tableStyleElement type="wholeTable" dxfId="117"/>
      <tableStyleElement type="headerRow" dxfId="116"/>
    </tableStyle>
  </tableStyles>
  <colors>
    <mruColors>
      <color rgb="FFFFEBAB"/>
      <color rgb="FF3B485B"/>
      <color rgb="FFE9E7E7"/>
      <color rgb="FFDFDDDD"/>
      <color rgb="FFFC887B"/>
      <color rgb="FFFFDD95"/>
      <color rgb="FFD0E6A5"/>
      <color rgb="FFFDA9A9"/>
      <color rgb="FFFFFFFF"/>
      <color rgb="FFF9F9F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microsoft.com/office/2007/relationships/slicerCache" Target="slicerCaches/slicerCache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microsoft.com/office/2007/relationships/slicerCache" Target="slicerCaches/slicerCache2.xml"/><Relationship Id="rId17" Type="http://schemas.microsoft.com/office/2007/relationships/slicerCache" Target="slicerCaches/slicerCache7.xml"/><Relationship Id="rId25" Type="http://schemas.microsoft.com/office/2006/relationships/vbaProject" Target="vbaProject.bin"/><Relationship Id="rId2" Type="http://schemas.openxmlformats.org/officeDocument/2006/relationships/worksheet" Target="worksheets/sheet2.xml"/><Relationship Id="rId16" Type="http://schemas.microsoft.com/office/2007/relationships/slicerCache" Target="slicerCaches/slicerCache6.xml"/><Relationship Id="rId20" Type="http://schemas.microsoft.com/office/2007/relationships/slicerCache" Target="slicerCaches/slicerCache10.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24" Type="http://schemas.openxmlformats.org/officeDocument/2006/relationships/calcChain" Target="calcChain.xml"/><Relationship Id="rId5" Type="http://schemas.openxmlformats.org/officeDocument/2006/relationships/worksheet" Target="worksheets/sheet5.xml"/><Relationship Id="rId15" Type="http://schemas.microsoft.com/office/2007/relationships/slicerCache" Target="slicerCaches/slicerCache5.xml"/><Relationship Id="rId23" Type="http://schemas.openxmlformats.org/officeDocument/2006/relationships/sharedStrings" Target="sharedStrings.xml"/><Relationship Id="rId10" Type="http://schemas.openxmlformats.org/officeDocument/2006/relationships/pivotCacheDefinition" Target="pivotCache/pivotCacheDefinition1.xml"/><Relationship Id="rId19" Type="http://schemas.microsoft.com/office/2007/relationships/slicerCache" Target="slicerCaches/slicerCache9.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7/relationships/slicerCache" Target="slicerCaches/slicerCache4.xml"/><Relationship Id="rId22"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barChart>
        <c:barDir val="bar"/>
        <c:grouping val="clustered"/>
        <c:varyColors val="0"/>
        <c:ser>
          <c:idx val="1"/>
          <c:order val="1"/>
          <c:spPr>
            <a:solidFill>
              <a:schemeClr val="accent2"/>
            </a:solidFill>
            <a:ln>
              <a:noFill/>
            </a:ln>
            <a:effectLst/>
          </c:spPr>
          <c:invertIfNegative val="0"/>
          <c:dPt>
            <c:idx val="0"/>
            <c:invertIfNegative val="0"/>
            <c:bubble3D val="0"/>
            <c:spPr>
              <a:solidFill>
                <a:schemeClr val="bg1">
                  <a:lumMod val="85000"/>
                  <a:alpha val="70000"/>
                </a:schemeClr>
              </a:solidFill>
              <a:ln>
                <a:solidFill>
                  <a:schemeClr val="accent1"/>
                </a:solidFill>
              </a:ln>
              <a:effectLst/>
            </c:spPr>
            <c:extLst>
              <c:ext xmlns:c16="http://schemas.microsoft.com/office/drawing/2014/chart" uri="{C3380CC4-5D6E-409C-BE32-E72D297353CC}">
                <c16:uniqueId val="{00000001-B016-4EB0-9A74-B48BA88D1908}"/>
              </c:ext>
            </c:extLst>
          </c:dPt>
          <c:cat>
            <c:strLit>
              <c:ptCount val="1"/>
              <c:pt idx="0">
                <c:v>Total</c:v>
              </c:pt>
            </c:strLit>
          </c:cat>
          <c:val>
            <c:numLit>
              <c:formatCode>General</c:formatCode>
              <c:ptCount val="1"/>
              <c:pt idx="0">
                <c:v>1</c:v>
              </c:pt>
            </c:numLit>
          </c:val>
          <c:extLst>
            <c:ext xmlns:c16="http://schemas.microsoft.com/office/drawing/2014/chart" uri="{C3380CC4-5D6E-409C-BE32-E72D297353CC}">
              <c16:uniqueId val="{00000002-B016-4EB0-9A74-B48BA88D1908}"/>
            </c:ext>
          </c:extLst>
        </c:ser>
        <c:dLbls>
          <c:showLegendKey val="0"/>
          <c:showVal val="0"/>
          <c:showCatName val="0"/>
          <c:showSerName val="0"/>
          <c:showPercent val="0"/>
          <c:showBubbleSize val="0"/>
        </c:dLbls>
        <c:gapWidth val="72"/>
        <c:overlap val="100"/>
        <c:axId val="431484408"/>
        <c:axId val="431484800"/>
      </c:barChart>
      <c:barChart>
        <c:barDir val="bar"/>
        <c:grouping val="clustered"/>
        <c:varyColors val="0"/>
        <c:ser>
          <c:idx val="0"/>
          <c:order val="0"/>
          <c:spPr>
            <a:solidFill>
              <a:schemeClr val="accent1"/>
            </a:solidFill>
            <a:ln>
              <a:noFill/>
            </a:ln>
            <a:effectLst/>
          </c:spPr>
          <c:invertIfNegative val="0"/>
          <c:cat>
            <c:strLit>
              <c:ptCount val="1"/>
              <c:pt idx="0">
                <c:v>Total</c:v>
              </c:pt>
            </c:strLit>
          </c:cat>
          <c:val>
            <c:numRef>
              <c:f>ToDo!$H$12</c:f>
              <c:numCache>
                <c:formatCode>0.0%</c:formatCode>
                <c:ptCount val="1"/>
                <c:pt idx="0">
                  <c:v>0</c:v>
                </c:pt>
              </c:numCache>
            </c:numRef>
          </c:val>
          <c:extLst>
            <c:ext xmlns:c16="http://schemas.microsoft.com/office/drawing/2014/chart" uri="{C3380CC4-5D6E-409C-BE32-E72D297353CC}">
              <c16:uniqueId val="{00000003-B016-4EB0-9A74-B48BA88D1908}"/>
            </c:ext>
          </c:extLst>
        </c:ser>
        <c:dLbls>
          <c:showLegendKey val="0"/>
          <c:showVal val="0"/>
          <c:showCatName val="0"/>
          <c:showSerName val="0"/>
          <c:showPercent val="0"/>
          <c:showBubbleSize val="0"/>
        </c:dLbls>
        <c:gapWidth val="72"/>
        <c:overlap val="100"/>
        <c:axId val="431473040"/>
        <c:axId val="431485192"/>
      </c:barChart>
      <c:catAx>
        <c:axId val="431484408"/>
        <c:scaling>
          <c:orientation val="minMax"/>
        </c:scaling>
        <c:delete val="1"/>
        <c:axPos val="l"/>
        <c:numFmt formatCode="General" sourceLinked="1"/>
        <c:majorTickMark val="none"/>
        <c:minorTickMark val="none"/>
        <c:tickLblPos val="nextTo"/>
        <c:crossAx val="431484800"/>
        <c:crosses val="autoZero"/>
        <c:auto val="1"/>
        <c:lblAlgn val="ctr"/>
        <c:lblOffset val="100"/>
        <c:noMultiLvlLbl val="0"/>
      </c:catAx>
      <c:valAx>
        <c:axId val="431484800"/>
        <c:scaling>
          <c:orientation val="minMax"/>
          <c:max val="1"/>
          <c:min val="0"/>
        </c:scaling>
        <c:delete val="1"/>
        <c:axPos val="b"/>
        <c:numFmt formatCode="General" sourceLinked="1"/>
        <c:majorTickMark val="out"/>
        <c:minorTickMark val="none"/>
        <c:tickLblPos val="nextTo"/>
        <c:crossAx val="431484408"/>
        <c:crosses val="autoZero"/>
        <c:crossBetween val="between"/>
      </c:valAx>
      <c:valAx>
        <c:axId val="431485192"/>
        <c:scaling>
          <c:orientation val="minMax"/>
        </c:scaling>
        <c:delete val="1"/>
        <c:axPos val="t"/>
        <c:numFmt formatCode="0.0%" sourceLinked="1"/>
        <c:majorTickMark val="out"/>
        <c:minorTickMark val="none"/>
        <c:tickLblPos val="nextTo"/>
        <c:crossAx val="431473040"/>
        <c:crosses val="max"/>
        <c:crossBetween val="between"/>
      </c:valAx>
      <c:catAx>
        <c:axId val="431473040"/>
        <c:scaling>
          <c:orientation val="minMax"/>
        </c:scaling>
        <c:delete val="1"/>
        <c:axPos val="l"/>
        <c:numFmt formatCode="General" sourceLinked="1"/>
        <c:majorTickMark val="out"/>
        <c:minorTickMark val="none"/>
        <c:tickLblPos val="nextTo"/>
        <c:crossAx val="431485192"/>
        <c:crosses val="autoZero"/>
        <c:auto val="1"/>
        <c:lblAlgn val="ctr"/>
        <c:lblOffset val="100"/>
        <c:noMultiLvlLbl val="0"/>
      </c:catAx>
      <c:spPr>
        <a:noFill/>
        <a:ln>
          <a:noFill/>
        </a:ln>
        <a:effectLst/>
      </c:spPr>
    </c:plotArea>
    <c:plotVisOnly val="0"/>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[Project_Tracker.xlsm]Charts_Source!Responsible People by Priority</c:name>
    <c:fmtId val="2"/>
  </c:pivotSource>
  <c:chart>
    <c:title>
      <c:tx>
        <c:rich>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r>
              <a:rPr lang="en-US" sz="1400"/>
              <a:t>RESPONSIBLE</a:t>
            </a:r>
            <a:r>
              <a:rPr lang="en-US" sz="1400" baseline="0"/>
              <a:t> PEOPLE BY PRIORITY</a:t>
            </a:r>
            <a:endParaRPr lang="en-US" sz="1400"/>
          </a:p>
        </c:rich>
      </c:tx>
      <c:layout>
        <c:manualLayout>
          <c:xMode val="edge"/>
          <c:yMode val="edge"/>
          <c:x val="0.32515141537605891"/>
          <c:y val="2.3057371096586784E-2"/>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Charts_Source!$C$6:$C$7</c:f>
              <c:strCache>
                <c:ptCount val="1"/>
                <c:pt idx="0">
                  <c:v>Low</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Charts_Source!$B$8:$B$9</c:f>
              <c:strCache>
                <c:ptCount val="1"/>
                <c:pt idx="0">
                  <c:v>Not Set</c:v>
                </c:pt>
              </c:strCache>
            </c:strRef>
          </c:cat>
          <c:val>
            <c:numRef>
              <c:f>Charts_Source!$C$8:$C$9</c:f>
              <c:numCache>
                <c:formatCode>General</c:formatCode>
                <c:ptCount val="1"/>
                <c:pt idx="0">
                  <c:v>1</c:v>
                </c:pt>
              </c:numCache>
            </c:numRef>
          </c:val>
          <c:extLst>
            <c:ext xmlns:c16="http://schemas.microsoft.com/office/drawing/2014/chart" uri="{C3380CC4-5D6E-409C-BE32-E72D297353CC}">
              <c16:uniqueId val="{00000000-1B61-45B9-B4F1-27C4FE8D105B}"/>
            </c:ext>
          </c:extLst>
        </c:ser>
        <c:dLbls>
          <c:dLblPos val="ctr"/>
          <c:showLegendKey val="0"/>
          <c:showVal val="1"/>
          <c:showCatName val="0"/>
          <c:showSerName val="0"/>
          <c:showPercent val="0"/>
          <c:showBubbleSize val="0"/>
        </c:dLbls>
        <c:gapWidth val="100"/>
        <c:overlap val="100"/>
        <c:axId val="1797940111"/>
        <c:axId val="13675759"/>
      </c:barChart>
      <c:catAx>
        <c:axId val="1797940111"/>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3675759"/>
        <c:crosses val="autoZero"/>
        <c:auto val="1"/>
        <c:lblAlgn val="ctr"/>
        <c:lblOffset val="100"/>
        <c:noMultiLvlLbl val="0"/>
      </c:catAx>
      <c:valAx>
        <c:axId val="136757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79401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[Project_Tracker.xlsm]Charts_Source!Work Done vs. Work Left</c:name>
    <c:fmtId val="7"/>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WORK DONE vs. LEFT</a:t>
            </a:r>
            <a:endParaRPr lang="tr-TR" b="1"/>
          </a:p>
        </c:rich>
      </c:tx>
      <c:layout>
        <c:manualLayout>
          <c:xMode val="edge"/>
          <c:yMode val="edge"/>
          <c:x val="0.18123749443712212"/>
          <c:y val="3.4829963955492871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FFDD95"/>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D0E6A5"/>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Charts_Source!$CN$4</c:f>
              <c:strCache>
                <c:ptCount val="1"/>
                <c:pt idx="0">
                  <c:v>Work Done </c:v>
                </c:pt>
              </c:strCache>
            </c:strRef>
          </c:tx>
          <c:spPr>
            <a:solidFill>
              <a:srgbClr val="D0E6A5"/>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Charts_Source!$CN$5</c:f>
              <c:strCache>
                <c:ptCount val="1"/>
                <c:pt idx="0">
                  <c:v>Total</c:v>
                </c:pt>
              </c:strCache>
            </c:strRef>
          </c:cat>
          <c:val>
            <c:numRef>
              <c:f>Charts_Source!$CN$5</c:f>
              <c:numCache>
                <c:formatCode>#,##0</c:formatCode>
                <c:ptCount val="1"/>
                <c:pt idx="0">
                  <c:v>0</c:v>
                </c:pt>
              </c:numCache>
            </c:numRef>
          </c:val>
          <c:extLst>
            <c:ext xmlns:c16="http://schemas.microsoft.com/office/drawing/2014/chart" uri="{C3380CC4-5D6E-409C-BE32-E72D297353CC}">
              <c16:uniqueId val="{00000000-80FB-4658-AAD8-2144BE9F2AAD}"/>
            </c:ext>
          </c:extLst>
        </c:ser>
        <c:ser>
          <c:idx val="1"/>
          <c:order val="1"/>
          <c:tx>
            <c:strRef>
              <c:f>Charts_Source!$CO$4</c:f>
              <c:strCache>
                <c:ptCount val="1"/>
                <c:pt idx="0">
                  <c:v>Work Left </c:v>
                </c:pt>
              </c:strCache>
            </c:strRef>
          </c:tx>
          <c:spPr>
            <a:solidFill>
              <a:srgbClr val="FFDD95"/>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Charts_Source!$CN$5</c:f>
              <c:strCache>
                <c:ptCount val="1"/>
                <c:pt idx="0">
                  <c:v>Total</c:v>
                </c:pt>
              </c:strCache>
            </c:strRef>
          </c:cat>
          <c:val>
            <c:numRef>
              <c:f>Charts_Source!$CO$5</c:f>
              <c:numCache>
                <c:formatCode>#,##0</c:formatCode>
                <c:ptCount val="1"/>
                <c:pt idx="0">
                  <c:v>0</c:v>
                </c:pt>
              </c:numCache>
            </c:numRef>
          </c:val>
          <c:extLst>
            <c:ext xmlns:c16="http://schemas.microsoft.com/office/drawing/2014/chart" uri="{C3380CC4-5D6E-409C-BE32-E72D297353CC}">
              <c16:uniqueId val="{00000001-80FB-4658-AAD8-2144BE9F2AAD}"/>
            </c:ext>
          </c:extLst>
        </c:ser>
        <c:dLbls>
          <c:dLblPos val="ctr"/>
          <c:showLegendKey val="0"/>
          <c:showVal val="1"/>
          <c:showCatName val="0"/>
          <c:showSerName val="0"/>
          <c:showPercent val="0"/>
          <c:showBubbleSize val="0"/>
        </c:dLbls>
        <c:gapWidth val="150"/>
        <c:overlap val="100"/>
        <c:axId val="2087360095"/>
        <c:axId val="13701135"/>
      </c:barChart>
      <c:catAx>
        <c:axId val="20873600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01135"/>
        <c:crosses val="autoZero"/>
        <c:auto val="1"/>
        <c:lblAlgn val="ctr"/>
        <c:lblOffset val="100"/>
        <c:noMultiLvlLbl val="0"/>
      </c:catAx>
      <c:valAx>
        <c:axId val="13701135"/>
        <c:scaling>
          <c:orientation val="minMax"/>
        </c:scaling>
        <c:delete val="0"/>
        <c:axPos val="l"/>
        <c:majorGridlines>
          <c:spPr>
            <a:ln w="9525" cap="flat" cmpd="sng" algn="ctr">
              <a:solidFill>
                <a:schemeClr val="bg1">
                  <a:lumMod val="9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736009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[Project_Tracker.xlsm]Charts_Source!Cards by their Priority</c:name>
    <c:fmtId val="3"/>
  </c:pivotSource>
  <c:chart>
    <c:title>
      <c:tx>
        <c:rich>
          <a:bodyPr rot="0" spcFirstLastPara="1" vertOverflow="ellipsis" vert="horz" wrap="square" anchor="ctr" anchorCtr="1"/>
          <a:lstStyle/>
          <a:p>
            <a:pPr>
              <a:defRPr sz="1400" b="1" i="0" u="none" strike="noStrike" kern="1200" cap="all" spc="120" normalizeH="0" baseline="0">
                <a:solidFill>
                  <a:schemeClr val="tx1">
                    <a:lumMod val="65000"/>
                    <a:lumOff val="35000"/>
                  </a:schemeClr>
                </a:solidFill>
                <a:latin typeface="+mn-lt"/>
                <a:ea typeface="+mn-ea"/>
                <a:cs typeface="+mn-cs"/>
              </a:defRPr>
            </a:pPr>
            <a:r>
              <a:rPr lang="en-US" sz="1400"/>
              <a:t>Cards by their Priority</a:t>
            </a:r>
            <a:endParaRPr lang="tr-TR" sz="1400"/>
          </a:p>
        </c:rich>
      </c:tx>
      <c:overlay val="0"/>
      <c:spPr>
        <a:noFill/>
        <a:ln>
          <a:noFill/>
        </a:ln>
        <a:effectLst/>
      </c:spPr>
      <c:txPr>
        <a:bodyPr rot="0" spcFirstLastPara="1" vertOverflow="ellipsis" vert="horz" wrap="square" anchor="ctr" anchorCtr="1"/>
        <a:lstStyle/>
        <a:p>
          <a:pPr>
            <a:defRPr sz="14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6"/>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6"/>
          </a:solidFill>
          <a:ln>
            <a:noFill/>
          </a:ln>
          <a:effectLst/>
        </c:spPr>
      </c:pivotFmt>
      <c:pivotFmt>
        <c:idx val="13"/>
        <c:spPr>
          <a:solidFill>
            <a:schemeClr val="accent6"/>
          </a:solidFill>
          <a:ln>
            <a:noFill/>
          </a:ln>
          <a:effectLst/>
        </c:spPr>
      </c:pivotFmt>
      <c:pivotFmt>
        <c:idx val="14"/>
        <c:spPr>
          <a:solidFill>
            <a:schemeClr val="accent6"/>
          </a:solidFill>
          <a:ln>
            <a:noFill/>
          </a:ln>
          <a:effectLst/>
        </c:spPr>
      </c:pivotFmt>
      <c:pivotFmt>
        <c:idx val="15"/>
        <c:spPr>
          <a:solidFill>
            <a:schemeClr val="accent6"/>
          </a:solidFill>
          <a:ln>
            <a:noFill/>
          </a:ln>
          <a:effectLst/>
        </c:spPr>
      </c:pivotFmt>
      <c:pivotFmt>
        <c:idx val="16"/>
        <c:spPr>
          <a:solidFill>
            <a:schemeClr val="accent6"/>
          </a:solidFill>
          <a:ln>
            <a:noFill/>
          </a:ln>
          <a:effectLst/>
        </c:spPr>
      </c:pivotFmt>
      <c:pivotFmt>
        <c:idx val="17"/>
        <c:spPr>
          <a:solidFill>
            <a:schemeClr val="accent6"/>
          </a:solidFill>
          <a:ln>
            <a:noFill/>
          </a:ln>
          <a:effectLst/>
        </c:spPr>
      </c:pivotFmt>
      <c:pivotFmt>
        <c:idx val="18"/>
        <c:spPr>
          <a:solidFill>
            <a:schemeClr val="accent6"/>
          </a:solidFill>
          <a:ln>
            <a:noFill/>
          </a:ln>
          <a:effectLst/>
        </c:spPr>
      </c:pivotFmt>
      <c:pivotFmt>
        <c:idx val="19"/>
        <c:spPr>
          <a:solidFill>
            <a:schemeClr val="accent6"/>
          </a:solidFill>
          <a:ln>
            <a:noFill/>
          </a:ln>
          <a:effectLst/>
        </c:spPr>
      </c:pivotFmt>
      <c:pivotFmt>
        <c:idx val="20"/>
        <c:spPr>
          <a:solidFill>
            <a:schemeClr val="accent6"/>
          </a:solidFill>
          <a:ln>
            <a:noFill/>
          </a:ln>
          <a:effectLst/>
        </c:spPr>
      </c:pivotFmt>
      <c:pivotFmt>
        <c:idx val="21"/>
        <c:spPr>
          <a:solidFill>
            <a:schemeClr val="accent6"/>
          </a:solidFill>
          <a:ln>
            <a:noFill/>
          </a:ln>
          <a:effectLst/>
        </c:spPr>
      </c:pivotFmt>
      <c:pivotFmt>
        <c:idx val="22"/>
        <c:spPr>
          <a:solidFill>
            <a:schemeClr val="accent6"/>
          </a:solidFill>
          <a:ln>
            <a:noFill/>
          </a:ln>
          <a:effectLst/>
        </c:spPr>
      </c:pivotFmt>
      <c:pivotFmt>
        <c:idx val="23"/>
        <c:spPr>
          <a:solidFill>
            <a:schemeClr val="accent6"/>
          </a:solidFill>
          <a:ln>
            <a:noFill/>
          </a:ln>
          <a:effectLst/>
        </c:spPr>
      </c:pivotFmt>
    </c:pivotFmts>
    <c:plotArea>
      <c:layout/>
      <c:doughnutChart>
        <c:varyColors val="1"/>
        <c:ser>
          <c:idx val="0"/>
          <c:order val="0"/>
          <c:tx>
            <c:strRef>
              <c:f>Charts_Source!$BY$4</c:f>
              <c:strCache>
                <c:ptCount val="1"/>
                <c:pt idx="0">
                  <c:v>Total</c:v>
                </c:pt>
              </c:strCache>
            </c:strRef>
          </c:tx>
          <c:explosion val="2"/>
          <c:dPt>
            <c:idx val="0"/>
            <c:bubble3D val="0"/>
            <c:spPr>
              <a:solidFill>
                <a:schemeClr val="accent6"/>
              </a:solidFill>
              <a:ln>
                <a:noFill/>
              </a:ln>
              <a:effectLst/>
            </c:spPr>
            <c:extLst>
              <c:ext xmlns:c16="http://schemas.microsoft.com/office/drawing/2014/chart" uri="{C3380CC4-5D6E-409C-BE32-E72D297353CC}">
                <c16:uniqueId val="{00000000-6A5A-4857-A324-33996BA18FA3}"/>
              </c:ext>
            </c:extLst>
          </c:dPt>
          <c:dPt>
            <c:idx val="1"/>
            <c:bubble3D val="0"/>
            <c:spPr>
              <a:solidFill>
                <a:schemeClr val="accent5"/>
              </a:solidFill>
              <a:ln>
                <a:noFill/>
              </a:ln>
              <a:effectLst/>
            </c:spPr>
            <c:extLst>
              <c:ext xmlns:c16="http://schemas.microsoft.com/office/drawing/2014/chart" uri="{C3380CC4-5D6E-409C-BE32-E72D297353CC}">
                <c16:uniqueId val="{00000001-6A5A-4857-A324-33996BA18FA3}"/>
              </c:ext>
            </c:extLst>
          </c:dPt>
          <c:dPt>
            <c:idx val="2"/>
            <c:bubble3D val="0"/>
            <c:spPr>
              <a:solidFill>
                <a:schemeClr val="accent4"/>
              </a:solidFill>
              <a:ln>
                <a:noFill/>
              </a:ln>
              <a:effectLst/>
            </c:spPr>
            <c:extLst>
              <c:ext xmlns:c16="http://schemas.microsoft.com/office/drawing/2014/chart" uri="{C3380CC4-5D6E-409C-BE32-E72D297353CC}">
                <c16:uniqueId val="{00000002-6A5A-4857-A324-33996BA18FA3}"/>
              </c:ext>
            </c:extLst>
          </c:dPt>
          <c:dPt>
            <c:idx val="3"/>
            <c:bubble3D val="0"/>
            <c:spPr>
              <a:solidFill>
                <a:schemeClr val="accent6">
                  <a:lumMod val="60000"/>
                </a:schemeClr>
              </a:solidFill>
              <a:ln>
                <a:noFill/>
              </a:ln>
              <a:effectLst/>
            </c:spPr>
            <c:extLst>
              <c:ext xmlns:c16="http://schemas.microsoft.com/office/drawing/2014/chart" uri="{C3380CC4-5D6E-409C-BE32-E72D297353CC}">
                <c16:uniqueId val="{00000007-C391-476A-BE9C-21A0FC659D00}"/>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Charts_Source!$BX$5:$BX$6</c:f>
              <c:strCache>
                <c:ptCount val="1"/>
                <c:pt idx="0">
                  <c:v>Low</c:v>
                </c:pt>
              </c:strCache>
            </c:strRef>
          </c:cat>
          <c:val>
            <c:numRef>
              <c:f>Charts_Source!$BY$5:$BY$6</c:f>
              <c:numCache>
                <c:formatCode>General</c:formatCode>
                <c:ptCount val="1"/>
                <c:pt idx="0">
                  <c:v>1</c:v>
                </c:pt>
              </c:numCache>
            </c:numRef>
          </c:val>
          <c:extLst>
            <c:ext xmlns:c16="http://schemas.microsoft.com/office/drawing/2014/chart" uri="{C3380CC4-5D6E-409C-BE32-E72D297353CC}">
              <c16:uniqueId val="{00000000-DFF4-4DE2-A8F0-6687DB54E83C}"/>
            </c:ext>
          </c:extLst>
        </c:ser>
        <c:dLbls>
          <c:showLegendKey val="0"/>
          <c:showVal val="0"/>
          <c:showCatName val="0"/>
          <c:showSerName val="0"/>
          <c:showPercent val="0"/>
          <c:showBubbleSize val="0"/>
          <c:showLeaderLines val="1"/>
        </c:dLbls>
        <c:firstSliceAng val="0"/>
        <c:holeSize val="69"/>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[Project_Tracker.xlsm]Charts_Source!Tasks by Status</c:name>
    <c:fmtId val="3"/>
  </c:pivotSource>
  <c:chart>
    <c:title>
      <c:tx>
        <c:rich>
          <a:bodyPr rot="0" spcFirstLastPara="1" vertOverflow="ellipsis" vert="horz" wrap="square" anchor="ctr" anchorCtr="1"/>
          <a:lstStyle/>
          <a:p>
            <a:pPr>
              <a:defRPr sz="1400" b="1" i="0" u="none" strike="noStrike" kern="1200" cap="all" spc="120" normalizeH="0" baseline="0">
                <a:solidFill>
                  <a:schemeClr val="tx1">
                    <a:lumMod val="65000"/>
                    <a:lumOff val="35000"/>
                  </a:schemeClr>
                </a:solidFill>
                <a:latin typeface="+mn-lt"/>
                <a:ea typeface="+mn-ea"/>
                <a:cs typeface="+mn-cs"/>
              </a:defRPr>
            </a:pPr>
            <a:r>
              <a:rPr lang="en-US" sz="1400"/>
              <a:t>Tasks by Status</a:t>
            </a:r>
          </a:p>
        </c:rich>
      </c:tx>
      <c:overlay val="0"/>
      <c:spPr>
        <a:noFill/>
        <a:ln>
          <a:noFill/>
        </a:ln>
        <a:effectLst/>
      </c:spPr>
      <c:txPr>
        <a:bodyPr rot="0" spcFirstLastPara="1" vertOverflow="ellipsis" vert="horz" wrap="square" anchor="ctr" anchorCtr="1"/>
        <a:lstStyle/>
        <a:p>
          <a:pPr>
            <a:defRPr sz="14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diamond"/>
          <c:size val="6"/>
          <c:spPr>
            <a:solidFill>
              <a:schemeClr val="accent1"/>
            </a:solidFill>
            <a:ln w="952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Charts_Source!$AK$4:$AK$5</c:f>
              <c:strCache>
                <c:ptCount val="1"/>
                <c:pt idx="0">
                  <c:v>Research</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Charts_Source!$AJ$6:$AJ$7</c:f>
              <c:strCache>
                <c:ptCount val="1"/>
                <c:pt idx="0">
                  <c:v>Not Set</c:v>
                </c:pt>
              </c:strCache>
            </c:strRef>
          </c:cat>
          <c:val>
            <c:numRef>
              <c:f>Charts_Source!$AK$6:$AK$7</c:f>
              <c:numCache>
                <c:formatCode>General</c:formatCode>
                <c:ptCount val="1"/>
                <c:pt idx="0">
                  <c:v>1</c:v>
                </c:pt>
              </c:numCache>
            </c:numRef>
          </c:val>
          <c:extLst>
            <c:ext xmlns:c16="http://schemas.microsoft.com/office/drawing/2014/chart" uri="{C3380CC4-5D6E-409C-BE32-E72D297353CC}">
              <c16:uniqueId val="{00000000-7CE7-492F-A49F-0DE3912C1815}"/>
            </c:ext>
          </c:extLst>
        </c:ser>
        <c:dLbls>
          <c:showLegendKey val="0"/>
          <c:showVal val="1"/>
          <c:showCatName val="0"/>
          <c:showSerName val="0"/>
          <c:showPercent val="0"/>
          <c:showBubbleSize val="0"/>
        </c:dLbls>
        <c:gapWidth val="150"/>
        <c:overlap val="100"/>
        <c:axId val="1799722687"/>
        <c:axId val="161012223"/>
      </c:barChart>
      <c:catAx>
        <c:axId val="179972268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cap="all" spc="120" normalizeH="0" baseline="0">
                <a:solidFill>
                  <a:schemeClr val="tx1">
                    <a:lumMod val="65000"/>
                    <a:lumOff val="35000"/>
                  </a:schemeClr>
                </a:solidFill>
                <a:latin typeface="+mn-lt"/>
                <a:ea typeface="+mn-ea"/>
                <a:cs typeface="+mn-cs"/>
              </a:defRPr>
            </a:pPr>
            <a:endParaRPr lang="en-US"/>
          </a:p>
        </c:txPr>
        <c:crossAx val="161012223"/>
        <c:crosses val="autoZero"/>
        <c:auto val="1"/>
        <c:lblAlgn val="ctr"/>
        <c:lblOffset val="100"/>
        <c:noMultiLvlLbl val="0"/>
      </c:catAx>
      <c:valAx>
        <c:axId val="161012223"/>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97226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OVERDUE PERCENTAGE</a:t>
            </a:r>
            <a:endParaRPr lang="tr-TR" b="1"/>
          </a:p>
        </c:rich>
      </c:tx>
      <c:layout>
        <c:manualLayout>
          <c:xMode val="edge"/>
          <c:yMode val="edge"/>
          <c:x val="0.2427034108906429"/>
          <c:y val="4.0345693649527836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3958333333333334"/>
          <c:y val="0.22453703703703703"/>
          <c:w val="0.57222222222222219"/>
          <c:h val="0.77546296296296291"/>
        </c:manualLayout>
      </c:layout>
      <c:doughnutChart>
        <c:varyColors val="1"/>
        <c:ser>
          <c:idx val="0"/>
          <c:order val="0"/>
          <c:tx>
            <c:v>Speed-o-meter</c:v>
          </c:tx>
          <c:explosion val="1"/>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6E6-4A98-B26F-E5F1300CACE4}"/>
              </c:ext>
            </c:extLst>
          </c:dPt>
          <c:dPt>
            <c:idx val="1"/>
            <c:bubble3D val="0"/>
            <c:spPr>
              <a:solidFill>
                <a:srgbClr val="D0E6A5"/>
              </a:solidFill>
              <a:ln w="19050">
                <a:solidFill>
                  <a:schemeClr val="lt1"/>
                </a:solidFill>
              </a:ln>
              <a:effectLst/>
            </c:spPr>
            <c:extLst>
              <c:ext xmlns:c16="http://schemas.microsoft.com/office/drawing/2014/chart" uri="{C3380CC4-5D6E-409C-BE32-E72D297353CC}">
                <c16:uniqueId val="{00000003-86E6-4A98-B26F-E5F1300CACE4}"/>
              </c:ext>
            </c:extLst>
          </c:dPt>
          <c:dPt>
            <c:idx val="2"/>
            <c:bubble3D val="0"/>
            <c:spPr>
              <a:solidFill>
                <a:srgbClr val="FFDD95"/>
              </a:solidFill>
              <a:ln w="19050">
                <a:solidFill>
                  <a:schemeClr val="lt1"/>
                </a:solidFill>
              </a:ln>
              <a:effectLst/>
            </c:spPr>
            <c:extLst>
              <c:ext xmlns:c16="http://schemas.microsoft.com/office/drawing/2014/chart" uri="{C3380CC4-5D6E-409C-BE32-E72D297353CC}">
                <c16:uniqueId val="{00000005-86E6-4A98-B26F-E5F1300CACE4}"/>
              </c:ext>
            </c:extLst>
          </c:dPt>
          <c:dPt>
            <c:idx val="3"/>
            <c:bubble3D val="0"/>
            <c:spPr>
              <a:solidFill>
                <a:srgbClr val="FC887B"/>
              </a:solidFill>
              <a:ln w="19050">
                <a:solidFill>
                  <a:schemeClr val="lt1"/>
                </a:solidFill>
              </a:ln>
              <a:effectLst/>
            </c:spPr>
            <c:extLst>
              <c:ext xmlns:c16="http://schemas.microsoft.com/office/drawing/2014/chart" uri="{C3380CC4-5D6E-409C-BE32-E72D297353CC}">
                <c16:uniqueId val="{00000007-86E6-4A98-B26F-E5F1300CACE4}"/>
              </c:ext>
            </c:extLst>
          </c:dPt>
          <c:dPt>
            <c:idx val="4"/>
            <c:bubble3D val="0"/>
            <c:spPr>
              <a:noFill/>
              <a:ln w="19050">
                <a:solidFill>
                  <a:schemeClr val="lt1"/>
                </a:solidFill>
              </a:ln>
              <a:effectLst/>
            </c:spPr>
            <c:extLst>
              <c:ext xmlns:c16="http://schemas.microsoft.com/office/drawing/2014/chart" uri="{C3380CC4-5D6E-409C-BE32-E72D297353CC}">
                <c16:uniqueId val="{00000009-86E6-4A98-B26F-E5F1300CACE4}"/>
              </c:ext>
            </c:extLst>
          </c:dPt>
          <c:val>
            <c:numRef>
              <c:f>Charts_Source!$BH$16:$BH$20</c:f>
              <c:numCache>
                <c:formatCode>0%</c:formatCode>
                <c:ptCount val="5"/>
                <c:pt idx="0" formatCode="General">
                  <c:v>0</c:v>
                </c:pt>
                <c:pt idx="1">
                  <c:v>0.3</c:v>
                </c:pt>
                <c:pt idx="2">
                  <c:v>0.4</c:v>
                </c:pt>
                <c:pt idx="3">
                  <c:v>0.3</c:v>
                </c:pt>
                <c:pt idx="4">
                  <c:v>1</c:v>
                </c:pt>
              </c:numCache>
            </c:numRef>
          </c:val>
          <c:extLst>
            <c:ext xmlns:c16="http://schemas.microsoft.com/office/drawing/2014/chart" uri="{C3380CC4-5D6E-409C-BE32-E72D297353CC}">
              <c16:uniqueId val="{0000000A-86E6-4A98-B26F-E5F1300CACE4}"/>
            </c:ext>
          </c:extLst>
        </c:ser>
        <c:dLbls>
          <c:showLegendKey val="0"/>
          <c:showVal val="0"/>
          <c:showCatName val="0"/>
          <c:showSerName val="0"/>
          <c:showPercent val="0"/>
          <c:showBubbleSize val="0"/>
          <c:showLeaderLines val="1"/>
        </c:dLbls>
        <c:firstSliceAng val="270"/>
        <c:holeSize val="75"/>
      </c:doughnutChart>
      <c:pieChart>
        <c:varyColors val="1"/>
        <c:ser>
          <c:idx val="1"/>
          <c:order val="1"/>
          <c:tx>
            <c:strRef>
              <c:f>Charts_Source!$BI$17</c:f>
              <c:strCache>
                <c:ptCount val="1"/>
                <c:pt idx="0">
                  <c:v>Pointer</c:v>
                </c:pt>
              </c:strCache>
            </c:strRef>
          </c:tx>
          <c:dPt>
            <c:idx val="0"/>
            <c:bubble3D val="0"/>
            <c:spPr>
              <a:noFill/>
              <a:ln w="19050">
                <a:solidFill>
                  <a:schemeClr val="lt1"/>
                </a:solidFill>
              </a:ln>
              <a:effectLst/>
            </c:spPr>
            <c:extLst>
              <c:ext xmlns:c16="http://schemas.microsoft.com/office/drawing/2014/chart" uri="{C3380CC4-5D6E-409C-BE32-E72D297353CC}">
                <c16:uniqueId val="{0000000C-86E6-4A98-B26F-E5F1300CACE4}"/>
              </c:ext>
            </c:extLst>
          </c:dPt>
          <c:dPt>
            <c:idx val="1"/>
            <c:bubble3D val="0"/>
            <c:spPr>
              <a:solidFill>
                <a:schemeClr val="tx1"/>
              </a:solidFill>
              <a:ln w="19050">
                <a:solidFill>
                  <a:schemeClr val="lt1"/>
                </a:solidFill>
              </a:ln>
              <a:effectLst/>
            </c:spPr>
            <c:extLst>
              <c:ext xmlns:c16="http://schemas.microsoft.com/office/drawing/2014/chart" uri="{C3380CC4-5D6E-409C-BE32-E72D297353CC}">
                <c16:uniqueId val="{0000000E-86E6-4A98-B26F-E5F1300CACE4}"/>
              </c:ext>
            </c:extLst>
          </c:dPt>
          <c:dPt>
            <c:idx val="2"/>
            <c:bubble3D val="0"/>
            <c:spPr>
              <a:noFill/>
              <a:ln w="19050">
                <a:solidFill>
                  <a:schemeClr val="lt1"/>
                </a:solidFill>
              </a:ln>
              <a:effectLst/>
            </c:spPr>
            <c:extLst>
              <c:ext xmlns:c16="http://schemas.microsoft.com/office/drawing/2014/chart" uri="{C3380CC4-5D6E-409C-BE32-E72D297353CC}">
                <c16:uniqueId val="{00000010-86E6-4A98-B26F-E5F1300CACE4}"/>
              </c:ext>
            </c:extLst>
          </c:dPt>
          <c:dLbls>
            <c:dLbl>
              <c:idx val="1"/>
              <c:tx>
                <c:strRef>
                  <c:f>Charts_Source!$BJ$16</c:f>
                  <c:strCache>
                    <c:ptCount val="1"/>
                    <c:pt idx="0">
                      <c:v>0%</c:v>
                    </c:pt>
                  </c:strCache>
                </c:strRef>
              </c:tx>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dlblFTEntry>
                      <c15:txfldGUID>{1E86A3CE-3688-463D-A5B6-68C81F528CDC}</c15:txfldGUID>
                      <c15:f>Charts_Source!$BJ$16</c15:f>
                      <c15:dlblFieldTableCache>
                        <c:ptCount val="1"/>
                        <c:pt idx="0">
                          <c:v>0%</c:v>
                        </c:pt>
                      </c15:dlblFieldTableCache>
                    </c15:dlblFTEntry>
                  </c15:dlblFieldTable>
                  <c15:showDataLabelsRange val="0"/>
                </c:ext>
                <c:ext xmlns:c16="http://schemas.microsoft.com/office/drawing/2014/chart" uri="{C3380CC4-5D6E-409C-BE32-E72D297353CC}">
                  <c16:uniqueId val="{0000000E-86E6-4A98-B26F-E5F1300CACE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s>
          <c:val>
            <c:numRef>
              <c:f>Charts_Source!$BJ$16:$BJ$18</c:f>
              <c:numCache>
                <c:formatCode>0%</c:formatCode>
                <c:ptCount val="3"/>
                <c:pt idx="0">
                  <c:v>0</c:v>
                </c:pt>
                <c:pt idx="1">
                  <c:v>0.02</c:v>
                </c:pt>
                <c:pt idx="2">
                  <c:v>2</c:v>
                </c:pt>
              </c:numCache>
            </c:numRef>
          </c:val>
          <c:extLst>
            <c:ext xmlns:c16="http://schemas.microsoft.com/office/drawing/2014/chart" uri="{C3380CC4-5D6E-409C-BE32-E72D297353CC}">
              <c16:uniqueId val="{00000011-86E6-4A98-B26F-E5F1300CACE4}"/>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E$5" lockText="1" noThreeD="1"/>
</file>

<file path=xl/ctrlProps/ctrlProp2.xml><?xml version="1.0" encoding="utf-8"?>
<formControlPr xmlns="http://schemas.microsoft.com/office/spreadsheetml/2009/9/main" objectType="CheckBox" fmlaLink="$E$6" lockText="1" noThreeD="1"/>
</file>

<file path=xl/ctrlProps/ctrlProp3.xml><?xml version="1.0" encoding="utf-8"?>
<formControlPr xmlns="http://schemas.microsoft.com/office/spreadsheetml/2009/9/main" objectType="CheckBox" fmlaLink="$E$7" lockText="1" noThreeD="1"/>
</file>

<file path=xl/ctrlProps/ctrlProp4.xml><?xml version="1.0" encoding="utf-8"?>
<formControlPr xmlns="http://schemas.microsoft.com/office/spreadsheetml/2009/9/main" objectType="CheckBox" fmlaLink="$E$8" lockText="1" noThreeD="1"/>
</file>

<file path=xl/ctrlProps/ctrlProp5.xml><?xml version="1.0" encoding="utf-8"?>
<formControlPr xmlns="http://schemas.microsoft.com/office/spreadsheetml/2009/9/main" objectType="CheckBox" fmlaLink="$E$9" lockText="1" noThreeD="1"/>
</file>

<file path=xl/ctrlProps/ctrlProp6.xml><?xml version="1.0" encoding="utf-8"?>
<formControlPr xmlns="http://schemas.microsoft.com/office/spreadsheetml/2009/9/main" objectType="CheckBox" fmlaLink="$E$10" lockText="1" noThreeD="1"/>
</file>

<file path=xl/ctrlProps/ctrlProp7.xml><?xml version="1.0" encoding="utf-8"?>
<formControlPr xmlns="http://schemas.microsoft.com/office/spreadsheetml/2009/9/main" objectType="CheckBox" fmlaLink="$E$11" lockText="1" noThreeD="1"/>
</file>

<file path=xl/ctrlProps/ctrlProp8.xml><?xml version="1.0" encoding="utf-8"?>
<formControlPr xmlns="http://schemas.microsoft.com/office/spreadsheetml/2009/9/main" objectType="CheckBox" fmlaLink="$E$12" lockText="1" noThreeD="1"/>
</file>

<file path=xl/ctrlProps/ctrlProp9.xml><?xml version="1.0" encoding="utf-8"?>
<formControlPr xmlns="http://schemas.microsoft.com/office/spreadsheetml/2009/9/main" objectType="CheckBox" fmlaLink="$E$13" lockText="1" noThreeD="1"/>
</file>

<file path=xl/ctrlProps/ctrlProp10.xml><?xml version="1.0" encoding="utf-8"?>
<formControlPr xmlns="http://schemas.microsoft.com/office/spreadsheetml/2009/9/main" objectType="CheckBox" fmlaLink="$E$14" lockText="1" noThreeD="1"/>
</file>

<file path=xl/ctrlProps/ctrlProp11.xml><?xml version="1.0" encoding="utf-8"?>
<formControlPr xmlns="http://schemas.microsoft.com/office/spreadsheetml/2009/9/main" objectType="CheckBox" fmlaLink="$E$15" lockText="1" noThreeD="1"/>
</file>

<file path=xl/ctrlProps/ctrlProp12.xml><?xml version="1.0" encoding="utf-8"?>
<formControlPr xmlns="http://schemas.microsoft.com/office/spreadsheetml/2009/9/main" objectType="CheckBox" fmlaLink="$E$16" lockText="1" noThreeD="1"/>
</file>

<file path=xl/ctrlProps/ctrlProp13.xml><?xml version="1.0" encoding="utf-8"?>
<formControlPr xmlns="http://schemas.microsoft.com/office/spreadsheetml/2009/9/main" objectType="CheckBox" fmlaLink="$E$17" lockText="1" noThreeD="1"/>
</file>

<file path=xl/ctrlProps/ctrlProp14.xml><?xml version="1.0" encoding="utf-8"?>
<formControlPr xmlns="http://schemas.microsoft.com/office/spreadsheetml/2009/9/main" objectType="CheckBox" fmlaLink="$E$18" lockText="1" noThreeD="1"/>
</file>

<file path=xl/ctrlProps/ctrlProp15.xml><?xml version="1.0" encoding="utf-8"?>
<formControlPr xmlns="http://schemas.microsoft.com/office/spreadsheetml/2009/9/main" objectType="CheckBox" fmlaLink="$E$19" lockText="1" noThreeD="1"/>
</file>

<file path=xl/ctrlProps/ctrlProp16.xml><?xml version="1.0" encoding="utf-8"?>
<formControlPr xmlns="http://schemas.microsoft.com/office/spreadsheetml/2009/9/main" objectType="CheckBox" fmlaLink="$E$20" lockText="1" noThreeD="1"/>
</file>

<file path=xl/ctrlProps/ctrlProp17.xml><?xml version="1.0" encoding="utf-8"?>
<formControlPr xmlns="http://schemas.microsoft.com/office/spreadsheetml/2009/9/main" objectType="CheckBox" fmlaLink="$E$21" lockText="1" noThreeD="1"/>
</file>

<file path=xl/ctrlProps/ctrlProp18.xml><?xml version="1.0" encoding="utf-8"?>
<formControlPr xmlns="http://schemas.microsoft.com/office/spreadsheetml/2009/9/main" objectType="CheckBox" fmlaLink="$E$22" lockText="1" noThreeD="1"/>
</file>

<file path=xl/ctrlProps/ctrlProp19.xml><?xml version="1.0" encoding="utf-8"?>
<formControlPr xmlns="http://schemas.microsoft.com/office/spreadsheetml/2009/9/main" objectType="CheckBox" fmlaLink="$E$23" lockText="1" noThreeD="1"/>
</file>

<file path=xl/ctrlProps/ctrlProp20.xml><?xml version="1.0" encoding="utf-8"?>
<formControlPr xmlns="http://schemas.microsoft.com/office/spreadsheetml/2009/9/main" objectType="CheckBox" fmlaLink="$E$24" lockText="1" noThreeD="1"/>
</file>

<file path=xl/ctrlProps/ctrlProp21.xml><?xml version="1.0" encoding="utf-8"?>
<formControlPr xmlns="http://schemas.microsoft.com/office/spreadsheetml/2009/9/main" objectType="CheckBox" fmlaLink="$E$25" lockText="1" noThreeD="1"/>
</file>

<file path=xl/ctrlProps/ctrlProp22.xml><?xml version="1.0" encoding="utf-8"?>
<formControlPr xmlns="http://schemas.microsoft.com/office/spreadsheetml/2009/9/main" objectType="CheckBox" fmlaLink="$E$26" lockText="1" noThreeD="1"/>
</file>

<file path=xl/ctrlProps/ctrlProp23.xml><?xml version="1.0" encoding="utf-8"?>
<formControlPr xmlns="http://schemas.microsoft.com/office/spreadsheetml/2009/9/main" objectType="CheckBox" fmlaLink="$E$27" lockText="1" noThreeD="1"/>
</file>

<file path=xl/ctrlProps/ctrlProp24.xml><?xml version="1.0" encoding="utf-8"?>
<formControlPr xmlns="http://schemas.microsoft.com/office/spreadsheetml/2009/9/main" objectType="CheckBox" fmlaLink="$E$28" lockText="1" noThreeD="1"/>
</file>

<file path=xl/ctrlProps/ctrlProp25.xml><?xml version="1.0" encoding="utf-8"?>
<formControlPr xmlns="http://schemas.microsoft.com/office/spreadsheetml/2009/9/main" objectType="CheckBox" fmlaLink="$E$29" lockText="1" noThreeD="1"/>
</file>

<file path=xl/ctrlProps/ctrlProp26.xml><?xml version="1.0" encoding="utf-8"?>
<formControlPr xmlns="http://schemas.microsoft.com/office/spreadsheetml/2009/9/main" objectType="CheckBox" fmlaLink="$E$29" lockText="1" noThreeD="1"/>
</file>

<file path=xl/ctrlProps/ctrlProp27.xml><?xml version="1.0" encoding="utf-8"?>
<formControlPr xmlns="http://schemas.microsoft.com/office/spreadsheetml/2009/9/main" objectType="CheckBox" fmlaLink="$E$29" lockText="1" noThreeD="1"/>
</file>

<file path=xl/ctrlProps/ctrlProp28.xml><?xml version="1.0" encoding="utf-8"?>
<formControlPr xmlns="http://schemas.microsoft.com/office/spreadsheetml/2009/9/main" objectType="CheckBox" fmlaLink="$E$29" lockText="1" noThreeD="1"/>
</file>

<file path=xl/ctrlProps/ctrlProp29.xml><?xml version="1.0" encoding="utf-8"?>
<formControlPr xmlns="http://schemas.microsoft.com/office/spreadsheetml/2009/9/main" objectType="CheckBox" fmlaLink="$E$29" lockText="1" noThreeD="1"/>
</file>

<file path=xl/ctrlProps/ctrlProp30.xml><?xml version="1.0" encoding="utf-8"?>
<formControlPr xmlns="http://schemas.microsoft.com/office/spreadsheetml/2009/9/main" objectType="CheckBox" fmlaLink="$E$29" lockText="1" noThreeD="1"/>
</file>

<file path=xl/ctrlProps/ctrlProp31.xml><?xml version="1.0" encoding="utf-8"?>
<formControlPr xmlns="http://schemas.microsoft.com/office/spreadsheetml/2009/9/main" objectType="CheckBox" fmlaLink="$E$29" lockText="1" noThreeD="1"/>
</file>

<file path=xl/ctrlProps/ctrlProp32.xml><?xml version="1.0" encoding="utf-8"?>
<formControlPr xmlns="http://schemas.microsoft.com/office/spreadsheetml/2009/9/main" objectType="CheckBox" fmlaLink="$E$29" lockText="1" noThreeD="1"/>
</file>

<file path=xl/ctrlProps/ctrlProp33.xml><?xml version="1.0" encoding="utf-8"?>
<formControlPr xmlns="http://schemas.microsoft.com/office/spreadsheetml/2009/9/main" objectType="CheckBox" fmlaLink="$E$29" lockText="1" noThreeD="1"/>
</file>

<file path=xl/ctrlProps/ctrlProp34.xml><?xml version="1.0" encoding="utf-8"?>
<formControlPr xmlns="http://schemas.microsoft.com/office/spreadsheetml/2009/9/main" objectType="CheckBox" fmlaLink="$E$29" lockText="1" noThreeD="1"/>
</file>

<file path=xl/ctrlProps/ctrlProp35.xml><?xml version="1.0" encoding="utf-8"?>
<formControlPr xmlns="http://schemas.microsoft.com/office/spreadsheetml/2009/9/main" objectType="CheckBox" fmlaLink="$E$29" lockText="1" noThreeD="1"/>
</file>

<file path=xl/ctrlProps/ctrlProp36.xml><?xml version="1.0" encoding="utf-8"?>
<formControlPr xmlns="http://schemas.microsoft.com/office/spreadsheetml/2009/9/main" objectType="CheckBox" fmlaLink="$E$29" lockText="1" noThreeD="1"/>
</file>

<file path=xl/ctrlProps/ctrlProp37.xml><?xml version="1.0" encoding="utf-8"?>
<formControlPr xmlns="http://schemas.microsoft.com/office/spreadsheetml/2009/9/main" objectType="CheckBox" fmlaLink="$E$29" lockText="1" noThreeD="1"/>
</file>

<file path=xl/ctrlProps/ctrlProp38.xml><?xml version="1.0" encoding="utf-8"?>
<formControlPr xmlns="http://schemas.microsoft.com/office/spreadsheetml/2009/9/main" objectType="CheckBox" fmlaLink="$E$29" lockText="1" noThreeD="1"/>
</file>

<file path=xl/ctrlProps/ctrlProp39.xml><?xml version="1.0" encoding="utf-8"?>
<formControlPr xmlns="http://schemas.microsoft.com/office/spreadsheetml/2009/9/main" objectType="CheckBox" fmlaLink="$E$29" lockText="1" noThreeD="1"/>
</file>

<file path=xl/ctrlProps/ctrlProp40.xml><?xml version="1.0" encoding="utf-8"?>
<formControlPr xmlns="http://schemas.microsoft.com/office/spreadsheetml/2009/9/main" objectType="CheckBox" fmlaLink="$E$29" lockText="1" noThreeD="1"/>
</file>

<file path=xl/ctrlProps/ctrlProp41.xml><?xml version="1.0" encoding="utf-8"?>
<formControlPr xmlns="http://schemas.microsoft.com/office/spreadsheetml/2009/9/main" objectType="CheckBox" fmlaLink="$E$29" lockText="1" noThreeD="1"/>
</file>

<file path=xl/ctrlProps/ctrlProp42.xml><?xml version="1.0" encoding="utf-8"?>
<formControlPr xmlns="http://schemas.microsoft.com/office/spreadsheetml/2009/9/main" objectType="CheckBox" fmlaLink="$E$29" lockText="1" noThreeD="1"/>
</file>

<file path=xl/ctrlProps/ctrlProp43.xml><?xml version="1.0" encoding="utf-8"?>
<formControlPr xmlns="http://schemas.microsoft.com/office/spreadsheetml/2009/9/main" objectType="CheckBox" fmlaLink="$E$29" lockText="1" noThreeD="1"/>
</file>

<file path=xl/ctrlProps/ctrlProp44.xml><?xml version="1.0" encoding="utf-8"?>
<formControlPr xmlns="http://schemas.microsoft.com/office/spreadsheetml/2009/9/main" objectType="CheckBox" fmlaLink="$E$29" lockText="1" noThreeD="1"/>
</file>

<file path=xl/ctrlProps/ctrlProp45.xml><?xml version="1.0" encoding="utf-8"?>
<formControlPr xmlns="http://schemas.microsoft.com/office/spreadsheetml/2009/9/main" objectType="CheckBox" fmlaLink="$E$29" lockText="1" noThreeD="1"/>
</file>

<file path=xl/ctrlProps/ctrlProp46.xml><?xml version="1.0" encoding="utf-8"?>
<formControlPr xmlns="http://schemas.microsoft.com/office/spreadsheetml/2009/9/main" objectType="CheckBox" fmlaLink="$E$29" lockText="1" noThreeD="1"/>
</file>

<file path=xl/ctrlProps/ctrlProp47.xml><?xml version="1.0" encoding="utf-8"?>
<formControlPr xmlns="http://schemas.microsoft.com/office/spreadsheetml/2009/9/main" objectType="CheckBox" fmlaLink="$E$29" lockText="1" noThreeD="1"/>
</file>

<file path=xl/ctrlProps/ctrlProp48.xml><?xml version="1.0" encoding="utf-8"?>
<formControlPr xmlns="http://schemas.microsoft.com/office/spreadsheetml/2009/9/main" objectType="CheckBox" fmlaLink="$E$29" lockText="1" noThreeD="1"/>
</file>

<file path=xl/ctrlProps/ctrlProp49.xml><?xml version="1.0" encoding="utf-8"?>
<formControlPr xmlns="http://schemas.microsoft.com/office/spreadsheetml/2009/9/main" objectType="CheckBox" fmlaLink="$E$29" lockText="1" noThreeD="1"/>
</file>

<file path=xl/ctrlProps/ctrlProp50.xml><?xml version="1.0" encoding="utf-8"?>
<formControlPr xmlns="http://schemas.microsoft.com/office/spreadsheetml/2009/9/main" objectType="CheckBox" fmlaLink="$E$29" lockText="1" noThreeD="1"/>
</file>

<file path=xl/drawings/_rels/drawing1.xml.rels><?xml version="1.0" encoding="UTF-8" standalone="yes"?>
<Relationships xmlns="http://schemas.openxmlformats.org/package/2006/relationships"><Relationship Id="rId2" Type="http://schemas.openxmlformats.org/officeDocument/2006/relationships/hyperlink" Target="#Kanban!A12"/><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hyperlink" Target="#Settings!A8"/><Relationship Id="rId7" Type="http://schemas.openxmlformats.org/officeDocument/2006/relationships/hyperlink" Target="#ToDo!A8"/><Relationship Id="rId2" Type="http://schemas.openxmlformats.org/officeDocument/2006/relationships/hyperlink" Target="#Database!A9"/><Relationship Id="rId1" Type="http://schemas.openxmlformats.org/officeDocument/2006/relationships/hyperlink" Target="#Kanban!A12"/><Relationship Id="rId6" Type="http://schemas.openxmlformats.org/officeDocument/2006/relationships/hyperlink" Target="#'Terms of Use'!A4"/><Relationship Id="rId5" Type="http://schemas.openxmlformats.org/officeDocument/2006/relationships/image" Target="../media/image1.png"/><Relationship Id="rId4" Type="http://schemas.openxmlformats.org/officeDocument/2006/relationships/hyperlink" Target="#Dashboard!A5"/></Relationships>
</file>

<file path=xl/drawings/_rels/drawing3.xml.rels><?xml version="1.0" encoding="UTF-8" standalone="yes"?>
<Relationships xmlns="http://schemas.openxmlformats.org/package/2006/relationships"><Relationship Id="rId8" Type="http://schemas.openxmlformats.org/officeDocument/2006/relationships/chart" Target="../charts/chart6.xml"/><Relationship Id="rId13" Type="http://schemas.openxmlformats.org/officeDocument/2006/relationships/hyperlink" Target="#ToDo!A8"/><Relationship Id="rId3" Type="http://schemas.openxmlformats.org/officeDocument/2006/relationships/chart" Target="../charts/chart2.xml"/><Relationship Id="rId7" Type="http://schemas.openxmlformats.org/officeDocument/2006/relationships/image" Target="../media/image1.png"/><Relationship Id="rId12" Type="http://schemas.openxmlformats.org/officeDocument/2006/relationships/hyperlink" Target="#Dashboard!A5"/><Relationship Id="rId2" Type="http://schemas.openxmlformats.org/officeDocument/2006/relationships/hyperlink" Target="https://www.someka.net/?utm_source=someka&amp;utm_medium=excel&amp;utm_campaign=File_Automated_Kanban" TargetMode="External"/><Relationship Id="rId1" Type="http://schemas.openxmlformats.org/officeDocument/2006/relationships/hyperlink" Target="#'Terms of Use'!A4"/><Relationship Id="rId6" Type="http://schemas.openxmlformats.org/officeDocument/2006/relationships/chart" Target="../charts/chart5.xml"/><Relationship Id="rId11" Type="http://schemas.openxmlformats.org/officeDocument/2006/relationships/hyperlink" Target="#Settings!A8"/><Relationship Id="rId5" Type="http://schemas.openxmlformats.org/officeDocument/2006/relationships/chart" Target="../charts/chart4.xml"/><Relationship Id="rId10" Type="http://schemas.openxmlformats.org/officeDocument/2006/relationships/hyperlink" Target="#Database!A9"/><Relationship Id="rId4" Type="http://schemas.openxmlformats.org/officeDocument/2006/relationships/chart" Target="../charts/chart3.xml"/><Relationship Id="rId9" Type="http://schemas.openxmlformats.org/officeDocument/2006/relationships/hyperlink" Target="#Kanban!A12"/></Relationships>
</file>

<file path=xl/drawings/_rels/drawing4.xml.rels><?xml version="1.0" encoding="UTF-8" standalone="yes"?>
<Relationships xmlns="http://schemas.openxmlformats.org/package/2006/relationships"><Relationship Id="rId8" Type="http://schemas.openxmlformats.org/officeDocument/2006/relationships/hyperlink" Target="#ToDo!A8"/><Relationship Id="rId3" Type="http://schemas.openxmlformats.org/officeDocument/2006/relationships/image" Target="../media/image2.png"/><Relationship Id="rId7" Type="http://schemas.openxmlformats.org/officeDocument/2006/relationships/hyperlink" Target="#Dashboard!A5"/><Relationship Id="rId2" Type="http://schemas.openxmlformats.org/officeDocument/2006/relationships/hyperlink" Target="https://www.someka.net/?utm_source=someka&amp;utm_medium=excel&amp;utm_campaign=File_Automated_Kanban" TargetMode="External"/><Relationship Id="rId1" Type="http://schemas.openxmlformats.org/officeDocument/2006/relationships/hyperlink" Target="#'Terms of Use'!A4"/><Relationship Id="rId6" Type="http://schemas.openxmlformats.org/officeDocument/2006/relationships/hyperlink" Target="#Settings!A8"/><Relationship Id="rId5" Type="http://schemas.openxmlformats.org/officeDocument/2006/relationships/hyperlink" Target="#Database!A9"/><Relationship Id="rId4" Type="http://schemas.openxmlformats.org/officeDocument/2006/relationships/hyperlink" Target="#Kanban!A12"/></Relationships>
</file>

<file path=xl/drawings/_rels/drawing5.xml.rels><?xml version="1.0" encoding="UTF-8" standalone="yes"?>
<Relationships xmlns="http://schemas.openxmlformats.org/package/2006/relationships"><Relationship Id="rId3" Type="http://schemas.openxmlformats.org/officeDocument/2006/relationships/hyperlink" Target="#Kanban!A12"/><Relationship Id="rId7" Type="http://schemas.openxmlformats.org/officeDocument/2006/relationships/hyperlink" Target="#ToDo!A8"/><Relationship Id="rId2" Type="http://schemas.openxmlformats.org/officeDocument/2006/relationships/image" Target="../media/image1.png"/><Relationship Id="rId1" Type="http://schemas.openxmlformats.org/officeDocument/2006/relationships/hyperlink" Target="https://www.someka.net/?utm_source=someka&amp;utm_medium=excel&amp;utm_campaign=File_Automated_Kanban" TargetMode="External"/><Relationship Id="rId6" Type="http://schemas.openxmlformats.org/officeDocument/2006/relationships/hyperlink" Target="#Dashboard!A5"/><Relationship Id="rId5" Type="http://schemas.openxmlformats.org/officeDocument/2006/relationships/hyperlink" Target="#Settings!A8"/><Relationship Id="rId4" Type="http://schemas.openxmlformats.org/officeDocument/2006/relationships/hyperlink" Target="#Database!A9"/></Relationships>
</file>

<file path=xl/drawings/drawing1.xml><?xml version="1.0" encoding="utf-8"?>
<xdr:wsDr xmlns:xdr="http://schemas.openxmlformats.org/drawingml/2006/spreadsheetDrawing" xmlns:a="http://schemas.openxmlformats.org/drawingml/2006/main">
  <xdr:absoluteAnchor>
    <xdr:pos x="133350" y="301625"/>
    <xdr:ext cx="5384800" cy="314325"/>
    <xdr:graphicFrame macro="">
      <xdr:nvGraphicFramePr>
        <xdr:cNvPr id="2" name="Chart 1">
          <a:extLst>
            <a:ext uri="{FF2B5EF4-FFF2-40B4-BE49-F238E27FC236}">
              <a16:creationId xmlns:a16="http://schemas.microsoft.com/office/drawing/2014/main" id="{D4C1DDF0-D2DF-42A8-8386-0F8B420CAF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oneCellAnchor>
    <xdr:from>
      <xdr:col>4</xdr:col>
      <xdr:colOff>495299</xdr:colOff>
      <xdr:row>1</xdr:row>
      <xdr:rowOff>80962</xdr:rowOff>
    </xdr:from>
    <xdr:ext cx="774701" cy="209550"/>
    <xdr:sp macro="" textlink="$H$12">
      <xdr:nvSpPr>
        <xdr:cNvPr id="3" name="TextBox 2">
          <a:extLst>
            <a:ext uri="{FF2B5EF4-FFF2-40B4-BE49-F238E27FC236}">
              <a16:creationId xmlns:a16="http://schemas.microsoft.com/office/drawing/2014/main" id="{9ECC4135-AE28-4D5D-820A-01E0471C38DD}"/>
            </a:ext>
          </a:extLst>
        </xdr:cNvPr>
        <xdr:cNvSpPr txBox="1"/>
      </xdr:nvSpPr>
      <xdr:spPr>
        <a:xfrm>
          <a:off x="5480049" y="354012"/>
          <a:ext cx="774701"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38E5F9B6-F467-45D6-BB80-245A13DA7B19}" type="TxLink">
            <a:rPr lang="en-US" sz="800" b="1" i="1" u="none" strike="noStrike">
              <a:solidFill>
                <a:srgbClr val="000000"/>
              </a:solidFill>
              <a:latin typeface="Verdana"/>
              <a:ea typeface="Verdana"/>
              <a:cs typeface="Calibri"/>
            </a:rPr>
            <a:pPr algn="ctr"/>
            <a:t>0.0%</a:t>
          </a:fld>
          <a:endParaRPr lang="en-GB" sz="800" b="1" i="1">
            <a:solidFill>
              <a:schemeClr val="bg2">
                <a:lumMod val="25000"/>
              </a:schemeClr>
            </a:solidFill>
          </a:endParaRPr>
        </a:p>
      </xdr:txBody>
    </xdr:sp>
    <xdr:clientData/>
  </xdr:oneCellAnchor>
  <xdr:twoCellAnchor>
    <xdr:from>
      <xdr:col>9</xdr:col>
      <xdr:colOff>190500</xdr:colOff>
      <xdr:row>0</xdr:row>
      <xdr:rowOff>0</xdr:rowOff>
    </xdr:from>
    <xdr:to>
      <xdr:col>14</xdr:col>
      <xdr:colOff>276225</xdr:colOff>
      <xdr:row>14</xdr:row>
      <xdr:rowOff>95250</xdr:rowOff>
    </xdr:to>
    <xdr:sp macro="" textlink="G21">
      <xdr:nvSpPr>
        <xdr:cNvPr id="4" name="Flowchart: Alternate Process 3">
          <a:extLst>
            <a:ext uri="{FF2B5EF4-FFF2-40B4-BE49-F238E27FC236}">
              <a16:creationId xmlns:a16="http://schemas.microsoft.com/office/drawing/2014/main" id="{18636FF0-E78E-41C6-9694-B7C9212E0725}"/>
            </a:ext>
          </a:extLst>
        </xdr:cNvPr>
        <xdr:cNvSpPr/>
      </xdr:nvSpPr>
      <xdr:spPr>
        <a:xfrm>
          <a:off x="6445250" y="0"/>
          <a:ext cx="3133725" cy="2597150"/>
        </a:xfrm>
        <a:prstGeom prst="flowChartAlternateProcess">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833085FA-8211-4905-AF78-ABD6E1FD3C67}" type="TxLink">
            <a:rPr lang="en-US" sz="1800" b="0" i="0" u="none" strike="noStrike">
              <a:solidFill>
                <a:srgbClr val="C00000"/>
              </a:solidFill>
              <a:latin typeface="Segoe Print" panose="02000600000000000000" pitchFamily="2" charset="0"/>
              <a:ea typeface="Verdana"/>
              <a:cs typeface="Verdana"/>
            </a:rPr>
            <a:pPr algn="ctr"/>
            <a:t> </a:t>
          </a:fld>
          <a:endParaRPr lang="en-GB" sz="1800">
            <a:solidFill>
              <a:srgbClr val="C00000"/>
            </a:solidFill>
            <a:latin typeface="Segoe Print" panose="02000600000000000000" pitchFamily="2" charset="0"/>
          </a:endParaRPr>
        </a:p>
      </xdr:txBody>
    </xdr:sp>
    <xdr:clientData/>
  </xdr:twoCellAnchor>
  <mc:AlternateContent xmlns:mc="http://schemas.openxmlformats.org/markup-compatibility/2006">
    <mc:Choice xmlns:a14="http://schemas.microsoft.com/office/drawing/2010/main" Requires="a14">
      <xdr:twoCellAnchor editAs="oneCell">
        <xdr:from>
          <xdr:col>4</xdr:col>
          <xdr:colOff>476250</xdr:colOff>
          <xdr:row>3</xdr:row>
          <xdr:rowOff>209550</xdr:rowOff>
        </xdr:from>
        <xdr:to>
          <xdr:col>9</xdr:col>
          <xdr:colOff>114300</xdr:colOff>
          <xdr:row>5</xdr:row>
          <xdr:rowOff>38100</xdr:rowOff>
        </xdr:to>
        <xdr:sp macro="" textlink="">
          <xdr:nvSpPr>
            <xdr:cNvPr id="6145" name="Check Box 1" hidden="1">
              <a:extLst>
                <a:ext uri="{63B3BB69-23CF-44E3-9099-C40C66FF867C}">
                  <a14:compatExt spid="_x0000_s6145"/>
                </a:ext>
                <a:ext uri="{FF2B5EF4-FFF2-40B4-BE49-F238E27FC236}">
                  <a16:creationId xmlns:a16="http://schemas.microsoft.com/office/drawing/2014/main" id="{D243D6F0-DAC4-4149-A6F6-91A3D85DC03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4</xdr:row>
          <xdr:rowOff>152400</xdr:rowOff>
        </xdr:from>
        <xdr:to>
          <xdr:col>9</xdr:col>
          <xdr:colOff>114300</xdr:colOff>
          <xdr:row>6</xdr:row>
          <xdr:rowOff>38100</xdr:rowOff>
        </xdr:to>
        <xdr:sp macro="" textlink="">
          <xdr:nvSpPr>
            <xdr:cNvPr id="6146" name="Check Box 2" hidden="1">
              <a:extLst>
                <a:ext uri="{63B3BB69-23CF-44E3-9099-C40C66FF867C}">
                  <a14:compatExt spid="_x0000_s6146"/>
                </a:ext>
                <a:ext uri="{FF2B5EF4-FFF2-40B4-BE49-F238E27FC236}">
                  <a16:creationId xmlns:a16="http://schemas.microsoft.com/office/drawing/2014/main" id="{D3A3B0C4-CA33-4545-BDFD-9020C7DFEB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5</xdr:row>
          <xdr:rowOff>146050</xdr:rowOff>
        </xdr:from>
        <xdr:to>
          <xdr:col>9</xdr:col>
          <xdr:colOff>114300</xdr:colOff>
          <xdr:row>7</xdr:row>
          <xdr:rowOff>31750</xdr:rowOff>
        </xdr:to>
        <xdr:sp macro="" textlink="">
          <xdr:nvSpPr>
            <xdr:cNvPr id="6147" name="Check Box 3" hidden="1">
              <a:extLst>
                <a:ext uri="{63B3BB69-23CF-44E3-9099-C40C66FF867C}">
                  <a14:compatExt spid="_x0000_s6147"/>
                </a:ext>
                <a:ext uri="{FF2B5EF4-FFF2-40B4-BE49-F238E27FC236}">
                  <a16:creationId xmlns:a16="http://schemas.microsoft.com/office/drawing/2014/main" id="{7A111A2B-6EB2-400B-BD3B-6FC1451CD66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6</xdr:row>
          <xdr:rowOff>146050</xdr:rowOff>
        </xdr:from>
        <xdr:to>
          <xdr:col>9</xdr:col>
          <xdr:colOff>114300</xdr:colOff>
          <xdr:row>8</xdr:row>
          <xdr:rowOff>31750</xdr:rowOff>
        </xdr:to>
        <xdr:sp macro="" textlink="">
          <xdr:nvSpPr>
            <xdr:cNvPr id="6148" name="Check Box 4" hidden="1">
              <a:extLst>
                <a:ext uri="{63B3BB69-23CF-44E3-9099-C40C66FF867C}">
                  <a14:compatExt spid="_x0000_s6148"/>
                </a:ext>
                <a:ext uri="{FF2B5EF4-FFF2-40B4-BE49-F238E27FC236}">
                  <a16:creationId xmlns:a16="http://schemas.microsoft.com/office/drawing/2014/main" id="{9E0CC6AD-CDF6-4FD2-8110-3182C4B752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7</xdr:row>
          <xdr:rowOff>146050</xdr:rowOff>
        </xdr:from>
        <xdr:to>
          <xdr:col>9</xdr:col>
          <xdr:colOff>114300</xdr:colOff>
          <xdr:row>9</xdr:row>
          <xdr:rowOff>31750</xdr:rowOff>
        </xdr:to>
        <xdr:sp macro="" textlink="">
          <xdr:nvSpPr>
            <xdr:cNvPr id="6149" name="Check Box 5" hidden="1">
              <a:extLst>
                <a:ext uri="{63B3BB69-23CF-44E3-9099-C40C66FF867C}">
                  <a14:compatExt spid="_x0000_s6149"/>
                </a:ext>
                <a:ext uri="{FF2B5EF4-FFF2-40B4-BE49-F238E27FC236}">
                  <a16:creationId xmlns:a16="http://schemas.microsoft.com/office/drawing/2014/main" id="{41422E8B-B702-492A-8774-BFD26AAA7D6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8</xdr:row>
          <xdr:rowOff>146050</xdr:rowOff>
        </xdr:from>
        <xdr:to>
          <xdr:col>9</xdr:col>
          <xdr:colOff>114300</xdr:colOff>
          <xdr:row>10</xdr:row>
          <xdr:rowOff>31750</xdr:rowOff>
        </xdr:to>
        <xdr:sp macro="" textlink="">
          <xdr:nvSpPr>
            <xdr:cNvPr id="6150" name="Check Box 6" hidden="1">
              <a:extLst>
                <a:ext uri="{63B3BB69-23CF-44E3-9099-C40C66FF867C}">
                  <a14:compatExt spid="_x0000_s6150"/>
                </a:ext>
                <a:ext uri="{FF2B5EF4-FFF2-40B4-BE49-F238E27FC236}">
                  <a16:creationId xmlns:a16="http://schemas.microsoft.com/office/drawing/2014/main" id="{58A1B59F-61D3-4672-8441-EEC05BB1FC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9</xdr:row>
          <xdr:rowOff>146050</xdr:rowOff>
        </xdr:from>
        <xdr:to>
          <xdr:col>9</xdr:col>
          <xdr:colOff>114300</xdr:colOff>
          <xdr:row>11</xdr:row>
          <xdr:rowOff>31750</xdr:rowOff>
        </xdr:to>
        <xdr:sp macro="" textlink="">
          <xdr:nvSpPr>
            <xdr:cNvPr id="6151" name="Check Box 7" hidden="1">
              <a:extLst>
                <a:ext uri="{63B3BB69-23CF-44E3-9099-C40C66FF867C}">
                  <a14:compatExt spid="_x0000_s6151"/>
                </a:ext>
                <a:ext uri="{FF2B5EF4-FFF2-40B4-BE49-F238E27FC236}">
                  <a16:creationId xmlns:a16="http://schemas.microsoft.com/office/drawing/2014/main" id="{A876B1AA-08C9-4689-A784-4A16A40771F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10</xdr:row>
          <xdr:rowOff>146050</xdr:rowOff>
        </xdr:from>
        <xdr:to>
          <xdr:col>9</xdr:col>
          <xdr:colOff>114300</xdr:colOff>
          <xdr:row>12</xdr:row>
          <xdr:rowOff>31750</xdr:rowOff>
        </xdr:to>
        <xdr:sp macro="" textlink="">
          <xdr:nvSpPr>
            <xdr:cNvPr id="6152" name="Check Box 8" hidden="1">
              <a:extLst>
                <a:ext uri="{63B3BB69-23CF-44E3-9099-C40C66FF867C}">
                  <a14:compatExt spid="_x0000_s6152"/>
                </a:ext>
                <a:ext uri="{FF2B5EF4-FFF2-40B4-BE49-F238E27FC236}">
                  <a16:creationId xmlns:a16="http://schemas.microsoft.com/office/drawing/2014/main" id="{FAEB6E66-C4E6-4EF9-B011-FD63037861A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11</xdr:row>
          <xdr:rowOff>146050</xdr:rowOff>
        </xdr:from>
        <xdr:to>
          <xdr:col>9</xdr:col>
          <xdr:colOff>114300</xdr:colOff>
          <xdr:row>13</xdr:row>
          <xdr:rowOff>31750</xdr:rowOff>
        </xdr:to>
        <xdr:sp macro="" textlink="">
          <xdr:nvSpPr>
            <xdr:cNvPr id="6153" name="Check Box 9" hidden="1">
              <a:extLst>
                <a:ext uri="{63B3BB69-23CF-44E3-9099-C40C66FF867C}">
                  <a14:compatExt spid="_x0000_s6153"/>
                </a:ext>
                <a:ext uri="{FF2B5EF4-FFF2-40B4-BE49-F238E27FC236}">
                  <a16:creationId xmlns:a16="http://schemas.microsoft.com/office/drawing/2014/main" id="{0232C9C4-35FB-4095-A96F-D8B7104F751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12</xdr:row>
          <xdr:rowOff>146050</xdr:rowOff>
        </xdr:from>
        <xdr:to>
          <xdr:col>9</xdr:col>
          <xdr:colOff>114300</xdr:colOff>
          <xdr:row>14</xdr:row>
          <xdr:rowOff>31750</xdr:rowOff>
        </xdr:to>
        <xdr:sp macro="" textlink="">
          <xdr:nvSpPr>
            <xdr:cNvPr id="6154" name="Check Box 10" hidden="1">
              <a:extLst>
                <a:ext uri="{63B3BB69-23CF-44E3-9099-C40C66FF867C}">
                  <a14:compatExt spid="_x0000_s6154"/>
                </a:ext>
                <a:ext uri="{FF2B5EF4-FFF2-40B4-BE49-F238E27FC236}">
                  <a16:creationId xmlns:a16="http://schemas.microsoft.com/office/drawing/2014/main" id="{F25DBB42-AE32-4E47-9526-ABEE70FF36C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13</xdr:row>
          <xdr:rowOff>133350</xdr:rowOff>
        </xdr:from>
        <xdr:to>
          <xdr:col>9</xdr:col>
          <xdr:colOff>114300</xdr:colOff>
          <xdr:row>15</xdr:row>
          <xdr:rowOff>19050</xdr:rowOff>
        </xdr:to>
        <xdr:sp macro="" textlink="">
          <xdr:nvSpPr>
            <xdr:cNvPr id="6155" name="Check Box 11" hidden="1">
              <a:extLst>
                <a:ext uri="{63B3BB69-23CF-44E3-9099-C40C66FF867C}">
                  <a14:compatExt spid="_x0000_s6155"/>
                </a:ext>
                <a:ext uri="{FF2B5EF4-FFF2-40B4-BE49-F238E27FC236}">
                  <a16:creationId xmlns:a16="http://schemas.microsoft.com/office/drawing/2014/main" id="{F57127DE-1626-4232-BE27-01BED9C3035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14</xdr:row>
          <xdr:rowOff>133350</xdr:rowOff>
        </xdr:from>
        <xdr:to>
          <xdr:col>9</xdr:col>
          <xdr:colOff>114300</xdr:colOff>
          <xdr:row>16</xdr:row>
          <xdr:rowOff>19050</xdr:rowOff>
        </xdr:to>
        <xdr:sp macro="" textlink="">
          <xdr:nvSpPr>
            <xdr:cNvPr id="6156" name="Check Box 12" hidden="1">
              <a:extLst>
                <a:ext uri="{63B3BB69-23CF-44E3-9099-C40C66FF867C}">
                  <a14:compatExt spid="_x0000_s6156"/>
                </a:ext>
                <a:ext uri="{FF2B5EF4-FFF2-40B4-BE49-F238E27FC236}">
                  <a16:creationId xmlns:a16="http://schemas.microsoft.com/office/drawing/2014/main" id="{BF8648C7-13EC-4185-A88D-5BCBA90E6B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15</xdr:row>
          <xdr:rowOff>133350</xdr:rowOff>
        </xdr:from>
        <xdr:to>
          <xdr:col>9</xdr:col>
          <xdr:colOff>114300</xdr:colOff>
          <xdr:row>17</xdr:row>
          <xdr:rowOff>19050</xdr:rowOff>
        </xdr:to>
        <xdr:sp macro="" textlink="">
          <xdr:nvSpPr>
            <xdr:cNvPr id="6157" name="Check Box 13" hidden="1">
              <a:extLst>
                <a:ext uri="{63B3BB69-23CF-44E3-9099-C40C66FF867C}">
                  <a14:compatExt spid="_x0000_s6157"/>
                </a:ext>
                <a:ext uri="{FF2B5EF4-FFF2-40B4-BE49-F238E27FC236}">
                  <a16:creationId xmlns:a16="http://schemas.microsoft.com/office/drawing/2014/main" id="{66FD99B2-C48B-4F12-BBE5-C4593B76C46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16</xdr:row>
          <xdr:rowOff>133350</xdr:rowOff>
        </xdr:from>
        <xdr:to>
          <xdr:col>9</xdr:col>
          <xdr:colOff>114300</xdr:colOff>
          <xdr:row>18</xdr:row>
          <xdr:rowOff>19050</xdr:rowOff>
        </xdr:to>
        <xdr:sp macro="" textlink="">
          <xdr:nvSpPr>
            <xdr:cNvPr id="6158" name="Check Box 14" hidden="1">
              <a:extLst>
                <a:ext uri="{63B3BB69-23CF-44E3-9099-C40C66FF867C}">
                  <a14:compatExt spid="_x0000_s6158"/>
                </a:ext>
                <a:ext uri="{FF2B5EF4-FFF2-40B4-BE49-F238E27FC236}">
                  <a16:creationId xmlns:a16="http://schemas.microsoft.com/office/drawing/2014/main" id="{67F1E565-AFA3-4EE3-8B34-D89194D4354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17</xdr:row>
          <xdr:rowOff>133350</xdr:rowOff>
        </xdr:from>
        <xdr:to>
          <xdr:col>9</xdr:col>
          <xdr:colOff>114300</xdr:colOff>
          <xdr:row>19</xdr:row>
          <xdr:rowOff>19050</xdr:rowOff>
        </xdr:to>
        <xdr:sp macro="" textlink="">
          <xdr:nvSpPr>
            <xdr:cNvPr id="6159" name="Check Box 15" hidden="1">
              <a:extLst>
                <a:ext uri="{63B3BB69-23CF-44E3-9099-C40C66FF867C}">
                  <a14:compatExt spid="_x0000_s6159"/>
                </a:ext>
                <a:ext uri="{FF2B5EF4-FFF2-40B4-BE49-F238E27FC236}">
                  <a16:creationId xmlns:a16="http://schemas.microsoft.com/office/drawing/2014/main" id="{B4CDA80E-0452-499A-B9C0-C0AAB9FEF5E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18</xdr:row>
          <xdr:rowOff>133350</xdr:rowOff>
        </xdr:from>
        <xdr:to>
          <xdr:col>9</xdr:col>
          <xdr:colOff>114300</xdr:colOff>
          <xdr:row>20</xdr:row>
          <xdr:rowOff>19050</xdr:rowOff>
        </xdr:to>
        <xdr:sp macro="" textlink="">
          <xdr:nvSpPr>
            <xdr:cNvPr id="6160" name="Check Box 16" hidden="1">
              <a:extLst>
                <a:ext uri="{63B3BB69-23CF-44E3-9099-C40C66FF867C}">
                  <a14:compatExt spid="_x0000_s6160"/>
                </a:ext>
                <a:ext uri="{FF2B5EF4-FFF2-40B4-BE49-F238E27FC236}">
                  <a16:creationId xmlns:a16="http://schemas.microsoft.com/office/drawing/2014/main" id="{A7152581-1699-422F-82BA-F93C6B168F5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19</xdr:row>
          <xdr:rowOff>133350</xdr:rowOff>
        </xdr:from>
        <xdr:to>
          <xdr:col>9</xdr:col>
          <xdr:colOff>114300</xdr:colOff>
          <xdr:row>21</xdr:row>
          <xdr:rowOff>19050</xdr:rowOff>
        </xdr:to>
        <xdr:sp macro="" textlink="">
          <xdr:nvSpPr>
            <xdr:cNvPr id="6161" name="Check Box 17" hidden="1">
              <a:extLst>
                <a:ext uri="{63B3BB69-23CF-44E3-9099-C40C66FF867C}">
                  <a14:compatExt spid="_x0000_s6161"/>
                </a:ext>
                <a:ext uri="{FF2B5EF4-FFF2-40B4-BE49-F238E27FC236}">
                  <a16:creationId xmlns:a16="http://schemas.microsoft.com/office/drawing/2014/main" id="{5C568231-8F98-42EB-84F1-DE9A3B801CB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20</xdr:row>
          <xdr:rowOff>133350</xdr:rowOff>
        </xdr:from>
        <xdr:to>
          <xdr:col>9</xdr:col>
          <xdr:colOff>114300</xdr:colOff>
          <xdr:row>22</xdr:row>
          <xdr:rowOff>19050</xdr:rowOff>
        </xdr:to>
        <xdr:sp macro="" textlink="">
          <xdr:nvSpPr>
            <xdr:cNvPr id="6162" name="Check Box 18" hidden="1">
              <a:extLst>
                <a:ext uri="{63B3BB69-23CF-44E3-9099-C40C66FF867C}">
                  <a14:compatExt spid="_x0000_s6162"/>
                </a:ext>
                <a:ext uri="{FF2B5EF4-FFF2-40B4-BE49-F238E27FC236}">
                  <a16:creationId xmlns:a16="http://schemas.microsoft.com/office/drawing/2014/main" id="{B533974A-23AC-49FA-B56F-82F3D7C801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21</xdr:row>
          <xdr:rowOff>133350</xdr:rowOff>
        </xdr:from>
        <xdr:to>
          <xdr:col>9</xdr:col>
          <xdr:colOff>114300</xdr:colOff>
          <xdr:row>23</xdr:row>
          <xdr:rowOff>19050</xdr:rowOff>
        </xdr:to>
        <xdr:sp macro="" textlink="">
          <xdr:nvSpPr>
            <xdr:cNvPr id="6163" name="Check Box 19" hidden="1">
              <a:extLst>
                <a:ext uri="{63B3BB69-23CF-44E3-9099-C40C66FF867C}">
                  <a14:compatExt spid="_x0000_s6163"/>
                </a:ext>
                <a:ext uri="{FF2B5EF4-FFF2-40B4-BE49-F238E27FC236}">
                  <a16:creationId xmlns:a16="http://schemas.microsoft.com/office/drawing/2014/main" id="{523797FA-A629-4EAE-8333-B8E42A5406B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22</xdr:row>
          <xdr:rowOff>133350</xdr:rowOff>
        </xdr:from>
        <xdr:to>
          <xdr:col>9</xdr:col>
          <xdr:colOff>114300</xdr:colOff>
          <xdr:row>24</xdr:row>
          <xdr:rowOff>19050</xdr:rowOff>
        </xdr:to>
        <xdr:sp macro="" textlink="">
          <xdr:nvSpPr>
            <xdr:cNvPr id="6164" name="Check Box 20" hidden="1">
              <a:extLst>
                <a:ext uri="{63B3BB69-23CF-44E3-9099-C40C66FF867C}">
                  <a14:compatExt spid="_x0000_s6164"/>
                </a:ext>
                <a:ext uri="{FF2B5EF4-FFF2-40B4-BE49-F238E27FC236}">
                  <a16:creationId xmlns:a16="http://schemas.microsoft.com/office/drawing/2014/main" id="{DCD46DA2-9160-4D3D-BC98-083377E66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23</xdr:row>
          <xdr:rowOff>133350</xdr:rowOff>
        </xdr:from>
        <xdr:to>
          <xdr:col>9</xdr:col>
          <xdr:colOff>114300</xdr:colOff>
          <xdr:row>25</xdr:row>
          <xdr:rowOff>19050</xdr:rowOff>
        </xdr:to>
        <xdr:sp macro="" textlink="">
          <xdr:nvSpPr>
            <xdr:cNvPr id="6165" name="Check Box 21" hidden="1">
              <a:extLst>
                <a:ext uri="{63B3BB69-23CF-44E3-9099-C40C66FF867C}">
                  <a14:compatExt spid="_x0000_s6165"/>
                </a:ext>
                <a:ext uri="{FF2B5EF4-FFF2-40B4-BE49-F238E27FC236}">
                  <a16:creationId xmlns:a16="http://schemas.microsoft.com/office/drawing/2014/main" id="{713E6C24-75F7-4518-8EF8-40EC2D929B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24</xdr:row>
          <xdr:rowOff>133350</xdr:rowOff>
        </xdr:from>
        <xdr:to>
          <xdr:col>9</xdr:col>
          <xdr:colOff>114300</xdr:colOff>
          <xdr:row>26</xdr:row>
          <xdr:rowOff>19050</xdr:rowOff>
        </xdr:to>
        <xdr:sp macro="" textlink="">
          <xdr:nvSpPr>
            <xdr:cNvPr id="6166" name="Check Box 22" hidden="1">
              <a:extLst>
                <a:ext uri="{63B3BB69-23CF-44E3-9099-C40C66FF867C}">
                  <a14:compatExt spid="_x0000_s6166"/>
                </a:ext>
                <a:ext uri="{FF2B5EF4-FFF2-40B4-BE49-F238E27FC236}">
                  <a16:creationId xmlns:a16="http://schemas.microsoft.com/office/drawing/2014/main" id="{D9C33AAC-1D86-4E83-BC10-A6892C8B0B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25</xdr:row>
          <xdr:rowOff>133350</xdr:rowOff>
        </xdr:from>
        <xdr:to>
          <xdr:col>9</xdr:col>
          <xdr:colOff>114300</xdr:colOff>
          <xdr:row>27</xdr:row>
          <xdr:rowOff>19050</xdr:rowOff>
        </xdr:to>
        <xdr:sp macro="" textlink="">
          <xdr:nvSpPr>
            <xdr:cNvPr id="6167" name="Check Box 23" hidden="1">
              <a:extLst>
                <a:ext uri="{63B3BB69-23CF-44E3-9099-C40C66FF867C}">
                  <a14:compatExt spid="_x0000_s6167"/>
                </a:ext>
                <a:ext uri="{FF2B5EF4-FFF2-40B4-BE49-F238E27FC236}">
                  <a16:creationId xmlns:a16="http://schemas.microsoft.com/office/drawing/2014/main" id="{C779DE09-6DCA-458A-A452-F635FD20CB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26</xdr:row>
          <xdr:rowOff>146050</xdr:rowOff>
        </xdr:from>
        <xdr:to>
          <xdr:col>9</xdr:col>
          <xdr:colOff>114300</xdr:colOff>
          <xdr:row>28</xdr:row>
          <xdr:rowOff>31750</xdr:rowOff>
        </xdr:to>
        <xdr:sp macro="" textlink="">
          <xdr:nvSpPr>
            <xdr:cNvPr id="6168" name="Check Box 24" hidden="1">
              <a:extLst>
                <a:ext uri="{63B3BB69-23CF-44E3-9099-C40C66FF867C}">
                  <a14:compatExt spid="_x0000_s6168"/>
                </a:ext>
                <a:ext uri="{FF2B5EF4-FFF2-40B4-BE49-F238E27FC236}">
                  <a16:creationId xmlns:a16="http://schemas.microsoft.com/office/drawing/2014/main" id="{E55DE1C4-9288-4802-9FE3-F069D95758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27</xdr:row>
          <xdr:rowOff>146050</xdr:rowOff>
        </xdr:from>
        <xdr:to>
          <xdr:col>9</xdr:col>
          <xdr:colOff>114300</xdr:colOff>
          <xdr:row>29</xdr:row>
          <xdr:rowOff>31750</xdr:rowOff>
        </xdr:to>
        <xdr:sp macro="" textlink="">
          <xdr:nvSpPr>
            <xdr:cNvPr id="6169" name="Check Box 25" hidden="1">
              <a:extLst>
                <a:ext uri="{63B3BB69-23CF-44E3-9099-C40C66FF867C}">
                  <a14:compatExt spid="_x0000_s6169"/>
                </a:ext>
                <a:ext uri="{FF2B5EF4-FFF2-40B4-BE49-F238E27FC236}">
                  <a16:creationId xmlns:a16="http://schemas.microsoft.com/office/drawing/2014/main" id="{9CD9C66B-D728-403E-B621-BD5B165675D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28</xdr:row>
          <xdr:rowOff>146050</xdr:rowOff>
        </xdr:from>
        <xdr:to>
          <xdr:col>9</xdr:col>
          <xdr:colOff>114300</xdr:colOff>
          <xdr:row>30</xdr:row>
          <xdr:rowOff>31750</xdr:rowOff>
        </xdr:to>
        <xdr:sp macro="" textlink="">
          <xdr:nvSpPr>
            <xdr:cNvPr id="6170" name="Check Box 26" hidden="1">
              <a:extLst>
                <a:ext uri="{63B3BB69-23CF-44E3-9099-C40C66FF867C}">
                  <a14:compatExt spid="_x0000_s6170"/>
                </a:ext>
                <a:ext uri="{FF2B5EF4-FFF2-40B4-BE49-F238E27FC236}">
                  <a16:creationId xmlns:a16="http://schemas.microsoft.com/office/drawing/2014/main" id="{11ACC7D6-C4F0-455A-B425-2BE04BE3DAE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29</xdr:row>
          <xdr:rowOff>146050</xdr:rowOff>
        </xdr:from>
        <xdr:to>
          <xdr:col>9</xdr:col>
          <xdr:colOff>114300</xdr:colOff>
          <xdr:row>31</xdr:row>
          <xdr:rowOff>31750</xdr:rowOff>
        </xdr:to>
        <xdr:sp macro="" textlink="">
          <xdr:nvSpPr>
            <xdr:cNvPr id="6171" name="Check Box 27" hidden="1">
              <a:extLst>
                <a:ext uri="{63B3BB69-23CF-44E3-9099-C40C66FF867C}">
                  <a14:compatExt spid="_x0000_s6171"/>
                </a:ext>
                <a:ext uri="{FF2B5EF4-FFF2-40B4-BE49-F238E27FC236}">
                  <a16:creationId xmlns:a16="http://schemas.microsoft.com/office/drawing/2014/main" id="{12CFFF89-2775-4E47-AF81-C9B15B19E43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30</xdr:row>
          <xdr:rowOff>146050</xdr:rowOff>
        </xdr:from>
        <xdr:to>
          <xdr:col>9</xdr:col>
          <xdr:colOff>114300</xdr:colOff>
          <xdr:row>32</xdr:row>
          <xdr:rowOff>31750</xdr:rowOff>
        </xdr:to>
        <xdr:sp macro="" textlink="">
          <xdr:nvSpPr>
            <xdr:cNvPr id="6172" name="Check Box 28" hidden="1">
              <a:extLst>
                <a:ext uri="{63B3BB69-23CF-44E3-9099-C40C66FF867C}">
                  <a14:compatExt spid="_x0000_s6172"/>
                </a:ext>
                <a:ext uri="{FF2B5EF4-FFF2-40B4-BE49-F238E27FC236}">
                  <a16:creationId xmlns:a16="http://schemas.microsoft.com/office/drawing/2014/main" id="{7D6AFB6F-1CB2-48FE-B018-461A995C24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31</xdr:row>
          <xdr:rowOff>146050</xdr:rowOff>
        </xdr:from>
        <xdr:to>
          <xdr:col>9</xdr:col>
          <xdr:colOff>114300</xdr:colOff>
          <xdr:row>33</xdr:row>
          <xdr:rowOff>31750</xdr:rowOff>
        </xdr:to>
        <xdr:sp macro="" textlink="">
          <xdr:nvSpPr>
            <xdr:cNvPr id="6173" name="Check Box 29" hidden="1">
              <a:extLst>
                <a:ext uri="{63B3BB69-23CF-44E3-9099-C40C66FF867C}">
                  <a14:compatExt spid="_x0000_s6173"/>
                </a:ext>
                <a:ext uri="{FF2B5EF4-FFF2-40B4-BE49-F238E27FC236}">
                  <a16:creationId xmlns:a16="http://schemas.microsoft.com/office/drawing/2014/main" id="{BF49034F-7CA2-429B-BF67-0A5BFA9043B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32</xdr:row>
          <xdr:rowOff>146050</xdr:rowOff>
        </xdr:from>
        <xdr:to>
          <xdr:col>9</xdr:col>
          <xdr:colOff>114300</xdr:colOff>
          <xdr:row>34</xdr:row>
          <xdr:rowOff>31750</xdr:rowOff>
        </xdr:to>
        <xdr:sp macro="" textlink="">
          <xdr:nvSpPr>
            <xdr:cNvPr id="6174" name="Check Box 30" hidden="1">
              <a:extLst>
                <a:ext uri="{63B3BB69-23CF-44E3-9099-C40C66FF867C}">
                  <a14:compatExt spid="_x0000_s6174"/>
                </a:ext>
                <a:ext uri="{FF2B5EF4-FFF2-40B4-BE49-F238E27FC236}">
                  <a16:creationId xmlns:a16="http://schemas.microsoft.com/office/drawing/2014/main" id="{3A3A7FC0-19F9-4C33-80E8-48E5D8F7621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33</xdr:row>
          <xdr:rowOff>146050</xdr:rowOff>
        </xdr:from>
        <xdr:to>
          <xdr:col>9</xdr:col>
          <xdr:colOff>114300</xdr:colOff>
          <xdr:row>35</xdr:row>
          <xdr:rowOff>31750</xdr:rowOff>
        </xdr:to>
        <xdr:sp macro="" textlink="">
          <xdr:nvSpPr>
            <xdr:cNvPr id="6175" name="Check Box 31" hidden="1">
              <a:extLst>
                <a:ext uri="{63B3BB69-23CF-44E3-9099-C40C66FF867C}">
                  <a14:compatExt spid="_x0000_s6175"/>
                </a:ext>
                <a:ext uri="{FF2B5EF4-FFF2-40B4-BE49-F238E27FC236}">
                  <a16:creationId xmlns:a16="http://schemas.microsoft.com/office/drawing/2014/main" id="{BC029EB9-DAE2-475C-BFC4-3CCE665AFAC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34</xdr:row>
          <xdr:rowOff>146050</xdr:rowOff>
        </xdr:from>
        <xdr:to>
          <xdr:col>9</xdr:col>
          <xdr:colOff>114300</xdr:colOff>
          <xdr:row>36</xdr:row>
          <xdr:rowOff>31750</xdr:rowOff>
        </xdr:to>
        <xdr:sp macro="" textlink="">
          <xdr:nvSpPr>
            <xdr:cNvPr id="6176" name="Check Box 32" hidden="1">
              <a:extLst>
                <a:ext uri="{63B3BB69-23CF-44E3-9099-C40C66FF867C}">
                  <a14:compatExt spid="_x0000_s6176"/>
                </a:ext>
                <a:ext uri="{FF2B5EF4-FFF2-40B4-BE49-F238E27FC236}">
                  <a16:creationId xmlns:a16="http://schemas.microsoft.com/office/drawing/2014/main" id="{1F242C4D-44A1-45B6-9428-6258178693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35</xdr:row>
          <xdr:rowOff>146050</xdr:rowOff>
        </xdr:from>
        <xdr:to>
          <xdr:col>9</xdr:col>
          <xdr:colOff>114300</xdr:colOff>
          <xdr:row>37</xdr:row>
          <xdr:rowOff>31750</xdr:rowOff>
        </xdr:to>
        <xdr:sp macro="" textlink="">
          <xdr:nvSpPr>
            <xdr:cNvPr id="6177" name="Check Box 33" hidden="1">
              <a:extLst>
                <a:ext uri="{63B3BB69-23CF-44E3-9099-C40C66FF867C}">
                  <a14:compatExt spid="_x0000_s6177"/>
                </a:ext>
                <a:ext uri="{FF2B5EF4-FFF2-40B4-BE49-F238E27FC236}">
                  <a16:creationId xmlns:a16="http://schemas.microsoft.com/office/drawing/2014/main" id="{DE4D96BF-252F-431C-B6E1-8EF781DAD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36</xdr:row>
          <xdr:rowOff>146050</xdr:rowOff>
        </xdr:from>
        <xdr:to>
          <xdr:col>9</xdr:col>
          <xdr:colOff>114300</xdr:colOff>
          <xdr:row>38</xdr:row>
          <xdr:rowOff>31750</xdr:rowOff>
        </xdr:to>
        <xdr:sp macro="" textlink="">
          <xdr:nvSpPr>
            <xdr:cNvPr id="6178" name="Check Box 34" hidden="1">
              <a:extLst>
                <a:ext uri="{63B3BB69-23CF-44E3-9099-C40C66FF867C}">
                  <a14:compatExt spid="_x0000_s6178"/>
                </a:ext>
                <a:ext uri="{FF2B5EF4-FFF2-40B4-BE49-F238E27FC236}">
                  <a16:creationId xmlns:a16="http://schemas.microsoft.com/office/drawing/2014/main" id="{4434F777-8FEA-47F6-988F-C1110853D2E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37</xdr:row>
          <xdr:rowOff>146050</xdr:rowOff>
        </xdr:from>
        <xdr:to>
          <xdr:col>9</xdr:col>
          <xdr:colOff>114300</xdr:colOff>
          <xdr:row>39</xdr:row>
          <xdr:rowOff>31750</xdr:rowOff>
        </xdr:to>
        <xdr:sp macro="" textlink="">
          <xdr:nvSpPr>
            <xdr:cNvPr id="6179" name="Check Box 35" hidden="1">
              <a:extLst>
                <a:ext uri="{63B3BB69-23CF-44E3-9099-C40C66FF867C}">
                  <a14:compatExt spid="_x0000_s6179"/>
                </a:ext>
                <a:ext uri="{FF2B5EF4-FFF2-40B4-BE49-F238E27FC236}">
                  <a16:creationId xmlns:a16="http://schemas.microsoft.com/office/drawing/2014/main" id="{FF0017FD-B209-4B8D-ABB0-18FE52C1B9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38</xdr:row>
          <xdr:rowOff>146050</xdr:rowOff>
        </xdr:from>
        <xdr:to>
          <xdr:col>9</xdr:col>
          <xdr:colOff>114300</xdr:colOff>
          <xdr:row>40</xdr:row>
          <xdr:rowOff>31750</xdr:rowOff>
        </xdr:to>
        <xdr:sp macro="" textlink="">
          <xdr:nvSpPr>
            <xdr:cNvPr id="6180" name="Check Box 36" hidden="1">
              <a:extLst>
                <a:ext uri="{63B3BB69-23CF-44E3-9099-C40C66FF867C}">
                  <a14:compatExt spid="_x0000_s6180"/>
                </a:ext>
                <a:ext uri="{FF2B5EF4-FFF2-40B4-BE49-F238E27FC236}">
                  <a16:creationId xmlns:a16="http://schemas.microsoft.com/office/drawing/2014/main" id="{968355DF-C815-47E2-8F2D-B34B519CDDA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39</xdr:row>
          <xdr:rowOff>146050</xdr:rowOff>
        </xdr:from>
        <xdr:to>
          <xdr:col>9</xdr:col>
          <xdr:colOff>114300</xdr:colOff>
          <xdr:row>41</xdr:row>
          <xdr:rowOff>31750</xdr:rowOff>
        </xdr:to>
        <xdr:sp macro="" textlink="">
          <xdr:nvSpPr>
            <xdr:cNvPr id="6181" name="Check Box 37" hidden="1">
              <a:extLst>
                <a:ext uri="{63B3BB69-23CF-44E3-9099-C40C66FF867C}">
                  <a14:compatExt spid="_x0000_s6181"/>
                </a:ext>
                <a:ext uri="{FF2B5EF4-FFF2-40B4-BE49-F238E27FC236}">
                  <a16:creationId xmlns:a16="http://schemas.microsoft.com/office/drawing/2014/main" id="{1502FE3F-414A-4CD7-9F67-D193A281AE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40</xdr:row>
          <xdr:rowOff>146050</xdr:rowOff>
        </xdr:from>
        <xdr:to>
          <xdr:col>9</xdr:col>
          <xdr:colOff>114300</xdr:colOff>
          <xdr:row>42</xdr:row>
          <xdr:rowOff>31750</xdr:rowOff>
        </xdr:to>
        <xdr:sp macro="" textlink="">
          <xdr:nvSpPr>
            <xdr:cNvPr id="6182" name="Check Box 38" hidden="1">
              <a:extLst>
                <a:ext uri="{63B3BB69-23CF-44E3-9099-C40C66FF867C}">
                  <a14:compatExt spid="_x0000_s6182"/>
                </a:ext>
                <a:ext uri="{FF2B5EF4-FFF2-40B4-BE49-F238E27FC236}">
                  <a16:creationId xmlns:a16="http://schemas.microsoft.com/office/drawing/2014/main" id="{4535BF25-127A-4552-9656-C0C448FB00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41</xdr:row>
          <xdr:rowOff>146050</xdr:rowOff>
        </xdr:from>
        <xdr:to>
          <xdr:col>9</xdr:col>
          <xdr:colOff>114300</xdr:colOff>
          <xdr:row>43</xdr:row>
          <xdr:rowOff>31750</xdr:rowOff>
        </xdr:to>
        <xdr:sp macro="" textlink="">
          <xdr:nvSpPr>
            <xdr:cNvPr id="6183" name="Check Box 39" hidden="1">
              <a:extLst>
                <a:ext uri="{63B3BB69-23CF-44E3-9099-C40C66FF867C}">
                  <a14:compatExt spid="_x0000_s6183"/>
                </a:ext>
                <a:ext uri="{FF2B5EF4-FFF2-40B4-BE49-F238E27FC236}">
                  <a16:creationId xmlns:a16="http://schemas.microsoft.com/office/drawing/2014/main" id="{F8F02A96-510F-452B-88F0-1627907F72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42</xdr:row>
          <xdr:rowOff>146050</xdr:rowOff>
        </xdr:from>
        <xdr:to>
          <xdr:col>9</xdr:col>
          <xdr:colOff>114300</xdr:colOff>
          <xdr:row>44</xdr:row>
          <xdr:rowOff>31750</xdr:rowOff>
        </xdr:to>
        <xdr:sp macro="" textlink="">
          <xdr:nvSpPr>
            <xdr:cNvPr id="6184" name="Check Box 40" hidden="1">
              <a:extLst>
                <a:ext uri="{63B3BB69-23CF-44E3-9099-C40C66FF867C}">
                  <a14:compatExt spid="_x0000_s6184"/>
                </a:ext>
                <a:ext uri="{FF2B5EF4-FFF2-40B4-BE49-F238E27FC236}">
                  <a16:creationId xmlns:a16="http://schemas.microsoft.com/office/drawing/2014/main" id="{BC7F6847-FDB2-4A61-876E-9EDC540348E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43</xdr:row>
          <xdr:rowOff>146050</xdr:rowOff>
        </xdr:from>
        <xdr:to>
          <xdr:col>9</xdr:col>
          <xdr:colOff>114300</xdr:colOff>
          <xdr:row>45</xdr:row>
          <xdr:rowOff>31750</xdr:rowOff>
        </xdr:to>
        <xdr:sp macro="" textlink="">
          <xdr:nvSpPr>
            <xdr:cNvPr id="6185" name="Check Box 41" hidden="1">
              <a:extLst>
                <a:ext uri="{63B3BB69-23CF-44E3-9099-C40C66FF867C}">
                  <a14:compatExt spid="_x0000_s6185"/>
                </a:ext>
                <a:ext uri="{FF2B5EF4-FFF2-40B4-BE49-F238E27FC236}">
                  <a16:creationId xmlns:a16="http://schemas.microsoft.com/office/drawing/2014/main" id="{883336C0-FF1F-4186-9C57-DC6A8B919EE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44</xdr:row>
          <xdr:rowOff>146050</xdr:rowOff>
        </xdr:from>
        <xdr:to>
          <xdr:col>9</xdr:col>
          <xdr:colOff>114300</xdr:colOff>
          <xdr:row>46</xdr:row>
          <xdr:rowOff>31750</xdr:rowOff>
        </xdr:to>
        <xdr:sp macro="" textlink="">
          <xdr:nvSpPr>
            <xdr:cNvPr id="6186" name="Check Box 42" hidden="1">
              <a:extLst>
                <a:ext uri="{63B3BB69-23CF-44E3-9099-C40C66FF867C}">
                  <a14:compatExt spid="_x0000_s6186"/>
                </a:ext>
                <a:ext uri="{FF2B5EF4-FFF2-40B4-BE49-F238E27FC236}">
                  <a16:creationId xmlns:a16="http://schemas.microsoft.com/office/drawing/2014/main" id="{BDC75A8B-DBB7-49D9-8091-5BB811A278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45</xdr:row>
          <xdr:rowOff>146050</xdr:rowOff>
        </xdr:from>
        <xdr:to>
          <xdr:col>9</xdr:col>
          <xdr:colOff>114300</xdr:colOff>
          <xdr:row>47</xdr:row>
          <xdr:rowOff>31750</xdr:rowOff>
        </xdr:to>
        <xdr:sp macro="" textlink="">
          <xdr:nvSpPr>
            <xdr:cNvPr id="6187" name="Check Box 43" hidden="1">
              <a:extLst>
                <a:ext uri="{63B3BB69-23CF-44E3-9099-C40C66FF867C}">
                  <a14:compatExt spid="_x0000_s6187"/>
                </a:ext>
                <a:ext uri="{FF2B5EF4-FFF2-40B4-BE49-F238E27FC236}">
                  <a16:creationId xmlns:a16="http://schemas.microsoft.com/office/drawing/2014/main" id="{C8569584-D8F5-462F-B57E-676BC36ECE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46</xdr:row>
          <xdr:rowOff>146050</xdr:rowOff>
        </xdr:from>
        <xdr:to>
          <xdr:col>9</xdr:col>
          <xdr:colOff>114300</xdr:colOff>
          <xdr:row>48</xdr:row>
          <xdr:rowOff>31750</xdr:rowOff>
        </xdr:to>
        <xdr:sp macro="" textlink="">
          <xdr:nvSpPr>
            <xdr:cNvPr id="6188" name="Check Box 44" hidden="1">
              <a:extLst>
                <a:ext uri="{63B3BB69-23CF-44E3-9099-C40C66FF867C}">
                  <a14:compatExt spid="_x0000_s6188"/>
                </a:ext>
                <a:ext uri="{FF2B5EF4-FFF2-40B4-BE49-F238E27FC236}">
                  <a16:creationId xmlns:a16="http://schemas.microsoft.com/office/drawing/2014/main" id="{14FB5D30-F70A-4A90-A506-034CFA0EE0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47</xdr:row>
          <xdr:rowOff>146050</xdr:rowOff>
        </xdr:from>
        <xdr:to>
          <xdr:col>9</xdr:col>
          <xdr:colOff>114300</xdr:colOff>
          <xdr:row>49</xdr:row>
          <xdr:rowOff>31750</xdr:rowOff>
        </xdr:to>
        <xdr:sp macro="" textlink="">
          <xdr:nvSpPr>
            <xdr:cNvPr id="6189" name="Check Box 45" hidden="1">
              <a:extLst>
                <a:ext uri="{63B3BB69-23CF-44E3-9099-C40C66FF867C}">
                  <a14:compatExt spid="_x0000_s6189"/>
                </a:ext>
                <a:ext uri="{FF2B5EF4-FFF2-40B4-BE49-F238E27FC236}">
                  <a16:creationId xmlns:a16="http://schemas.microsoft.com/office/drawing/2014/main" id="{D177B05C-000C-4B0B-9528-D66A98CE12E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48</xdr:row>
          <xdr:rowOff>146050</xdr:rowOff>
        </xdr:from>
        <xdr:to>
          <xdr:col>9</xdr:col>
          <xdr:colOff>114300</xdr:colOff>
          <xdr:row>50</xdr:row>
          <xdr:rowOff>31750</xdr:rowOff>
        </xdr:to>
        <xdr:sp macro="" textlink="">
          <xdr:nvSpPr>
            <xdr:cNvPr id="6190" name="Check Box 46" hidden="1">
              <a:extLst>
                <a:ext uri="{63B3BB69-23CF-44E3-9099-C40C66FF867C}">
                  <a14:compatExt spid="_x0000_s6190"/>
                </a:ext>
                <a:ext uri="{FF2B5EF4-FFF2-40B4-BE49-F238E27FC236}">
                  <a16:creationId xmlns:a16="http://schemas.microsoft.com/office/drawing/2014/main" id="{37BB0B47-7EEC-4333-9A16-CD75F1862BB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49</xdr:row>
          <xdr:rowOff>146050</xdr:rowOff>
        </xdr:from>
        <xdr:to>
          <xdr:col>9</xdr:col>
          <xdr:colOff>114300</xdr:colOff>
          <xdr:row>51</xdr:row>
          <xdr:rowOff>31750</xdr:rowOff>
        </xdr:to>
        <xdr:sp macro="" textlink="">
          <xdr:nvSpPr>
            <xdr:cNvPr id="6191" name="Check Box 47" hidden="1">
              <a:extLst>
                <a:ext uri="{63B3BB69-23CF-44E3-9099-C40C66FF867C}">
                  <a14:compatExt spid="_x0000_s6191"/>
                </a:ext>
                <a:ext uri="{FF2B5EF4-FFF2-40B4-BE49-F238E27FC236}">
                  <a16:creationId xmlns:a16="http://schemas.microsoft.com/office/drawing/2014/main" id="{53B43594-A629-4C93-961D-D98757C738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50</xdr:row>
          <xdr:rowOff>146050</xdr:rowOff>
        </xdr:from>
        <xdr:to>
          <xdr:col>9</xdr:col>
          <xdr:colOff>114300</xdr:colOff>
          <xdr:row>52</xdr:row>
          <xdr:rowOff>31750</xdr:rowOff>
        </xdr:to>
        <xdr:sp macro="" textlink="">
          <xdr:nvSpPr>
            <xdr:cNvPr id="6192" name="Check Box 48" hidden="1">
              <a:extLst>
                <a:ext uri="{63B3BB69-23CF-44E3-9099-C40C66FF867C}">
                  <a14:compatExt spid="_x0000_s6192"/>
                </a:ext>
                <a:ext uri="{FF2B5EF4-FFF2-40B4-BE49-F238E27FC236}">
                  <a16:creationId xmlns:a16="http://schemas.microsoft.com/office/drawing/2014/main" id="{1D4ADC63-E96B-4FE6-839C-AA30AC9330E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51</xdr:row>
          <xdr:rowOff>146050</xdr:rowOff>
        </xdr:from>
        <xdr:to>
          <xdr:col>9</xdr:col>
          <xdr:colOff>114300</xdr:colOff>
          <xdr:row>53</xdr:row>
          <xdr:rowOff>31750</xdr:rowOff>
        </xdr:to>
        <xdr:sp macro="" textlink="">
          <xdr:nvSpPr>
            <xdr:cNvPr id="6193" name="Check Box 49" hidden="1">
              <a:extLst>
                <a:ext uri="{63B3BB69-23CF-44E3-9099-C40C66FF867C}">
                  <a14:compatExt spid="_x0000_s6193"/>
                </a:ext>
                <a:ext uri="{FF2B5EF4-FFF2-40B4-BE49-F238E27FC236}">
                  <a16:creationId xmlns:a16="http://schemas.microsoft.com/office/drawing/2014/main" id="{0D80D20E-A32E-4284-A7F4-4C2127EECC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52</xdr:row>
          <xdr:rowOff>146050</xdr:rowOff>
        </xdr:from>
        <xdr:to>
          <xdr:col>9</xdr:col>
          <xdr:colOff>114300</xdr:colOff>
          <xdr:row>54</xdr:row>
          <xdr:rowOff>31750</xdr:rowOff>
        </xdr:to>
        <xdr:sp macro="" textlink="">
          <xdr:nvSpPr>
            <xdr:cNvPr id="6194" name="Check Box 50" hidden="1">
              <a:extLst>
                <a:ext uri="{63B3BB69-23CF-44E3-9099-C40C66FF867C}">
                  <a14:compatExt spid="_x0000_s6194"/>
                </a:ext>
                <a:ext uri="{FF2B5EF4-FFF2-40B4-BE49-F238E27FC236}">
                  <a16:creationId xmlns:a16="http://schemas.microsoft.com/office/drawing/2014/main" id="{DDD5CB34-1326-4141-9769-0AE69533373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10</xdr:col>
      <xdr:colOff>101600</xdr:colOff>
      <xdr:row>1</xdr:row>
      <xdr:rowOff>0</xdr:rowOff>
    </xdr:from>
    <xdr:to>
      <xdr:col>12</xdr:col>
      <xdr:colOff>361950</xdr:colOff>
      <xdr:row>1</xdr:row>
      <xdr:rowOff>342900</xdr:rowOff>
    </xdr:to>
    <xdr:sp macro="" textlink="">
      <xdr:nvSpPr>
        <xdr:cNvPr id="58" name="Rectangle: Rounded Corners 57">
          <a:hlinkClick xmlns:r="http://schemas.openxmlformats.org/officeDocument/2006/relationships" r:id="rId2" tooltip="Kanban Board"/>
          <a:extLst>
            <a:ext uri="{FF2B5EF4-FFF2-40B4-BE49-F238E27FC236}">
              <a16:creationId xmlns:a16="http://schemas.microsoft.com/office/drawing/2014/main" id="{63357606-457B-440B-887C-803CFB802452}"/>
            </a:ext>
          </a:extLst>
        </xdr:cNvPr>
        <xdr:cNvSpPr/>
      </xdr:nvSpPr>
      <xdr:spPr>
        <a:xfrm>
          <a:off x="6965950" y="273050"/>
          <a:ext cx="1479550" cy="342900"/>
        </a:xfrm>
        <a:prstGeom prst="roundRect">
          <a:avLst/>
        </a:prstGeom>
        <a:solidFill>
          <a:srgbClr val="3B485B"/>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lIns="0" tIns="0" rIns="0" bIns="0" rtlCol="0" anchor="ctr"/>
        <a:lstStyle/>
        <a:p>
          <a:pPr marL="0" indent="0" algn="ctr"/>
          <a:r>
            <a:rPr lang="en-US" sz="1100" b="1">
              <a:solidFill>
                <a:schemeClr val="lt1"/>
              </a:solidFill>
              <a:effectLst>
                <a:outerShdw blurRad="50800" dist="38100" dir="13500000" algn="br" rotWithShape="0">
                  <a:prstClr val="black">
                    <a:alpha val="40000"/>
                  </a:prstClr>
                </a:outerShdw>
              </a:effectLst>
              <a:latin typeface="+mn-lt"/>
              <a:ea typeface="+mn-ea"/>
              <a:cs typeface="+mn-cs"/>
            </a:rPr>
            <a:t>KANBAN</a:t>
          </a:r>
          <a:endParaRPr lang="tr-TR" sz="1100" b="1">
            <a:solidFill>
              <a:schemeClr val="lt1"/>
            </a:solidFill>
            <a:effectLst>
              <a:outerShdw blurRad="50800" dist="38100" dir="13500000" algn="br" rotWithShape="0">
                <a:prstClr val="black">
                  <a:alpha val="40000"/>
                </a:prstClr>
              </a:outerShdw>
            </a:effectLst>
            <a:latin typeface="+mn-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943379</xdr:colOff>
      <xdr:row>1</xdr:row>
      <xdr:rowOff>95255</xdr:rowOff>
    </xdr:from>
    <xdr:to>
      <xdr:col>3</xdr:col>
      <xdr:colOff>1861768</xdr:colOff>
      <xdr:row>2</xdr:row>
      <xdr:rowOff>220646</xdr:rowOff>
    </xdr:to>
    <xdr:sp macro="" textlink="">
      <xdr:nvSpPr>
        <xdr:cNvPr id="17" name="Rectangle: Rounded Corners 16">
          <a:hlinkClick xmlns:r="http://schemas.openxmlformats.org/officeDocument/2006/relationships" r:id="rId1" tooltip="Kanban Board"/>
          <a:extLst>
            <a:ext uri="{FF2B5EF4-FFF2-40B4-BE49-F238E27FC236}">
              <a16:creationId xmlns:a16="http://schemas.microsoft.com/office/drawing/2014/main" id="{1D7CE14B-76D7-4906-A48E-540BDBA586F0}"/>
            </a:ext>
          </a:extLst>
        </xdr:cNvPr>
        <xdr:cNvSpPr/>
      </xdr:nvSpPr>
      <xdr:spPr>
        <a:xfrm>
          <a:off x="3377546" y="179922"/>
          <a:ext cx="918389" cy="368807"/>
        </a:xfrm>
        <a:prstGeom prst="roundRect">
          <a:avLst/>
        </a:prstGeom>
        <a:solidFill>
          <a:srgbClr val="3B485B"/>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lIns="0" tIns="0" rIns="0" bIns="0" rtlCol="0" anchor="ctr"/>
        <a:lstStyle/>
        <a:p>
          <a:pPr marL="0" indent="0" algn="ctr"/>
          <a:r>
            <a:rPr lang="en-US" sz="1100" b="1">
              <a:solidFill>
                <a:schemeClr val="lt1"/>
              </a:solidFill>
              <a:effectLst>
                <a:outerShdw blurRad="50800" dist="38100" dir="13500000" algn="br" rotWithShape="0">
                  <a:prstClr val="black">
                    <a:alpha val="40000"/>
                  </a:prstClr>
                </a:outerShdw>
              </a:effectLst>
              <a:latin typeface="+mn-lt"/>
              <a:ea typeface="+mn-ea"/>
              <a:cs typeface="+mn-cs"/>
            </a:rPr>
            <a:t>KANBAN</a:t>
          </a:r>
          <a:endParaRPr lang="tr-TR" sz="1100" b="1">
            <a:solidFill>
              <a:schemeClr val="lt1"/>
            </a:solidFill>
            <a:effectLst>
              <a:outerShdw blurRad="50800" dist="38100" dir="13500000" algn="br" rotWithShape="0">
                <a:prstClr val="black">
                  <a:alpha val="40000"/>
                </a:prstClr>
              </a:outerShdw>
            </a:effectLst>
            <a:latin typeface="+mn-lt"/>
            <a:ea typeface="+mn-ea"/>
            <a:cs typeface="+mn-cs"/>
          </a:endParaRPr>
        </a:p>
      </xdr:txBody>
    </xdr:sp>
    <xdr:clientData/>
  </xdr:twoCellAnchor>
  <xdr:twoCellAnchor editAs="oneCell">
    <xdr:from>
      <xdr:col>4</xdr:col>
      <xdr:colOff>1314532</xdr:colOff>
      <xdr:row>1</xdr:row>
      <xdr:rowOff>95255</xdr:rowOff>
    </xdr:from>
    <xdr:to>
      <xdr:col>5</xdr:col>
      <xdr:colOff>317961</xdr:colOff>
      <xdr:row>2</xdr:row>
      <xdr:rowOff>220646</xdr:rowOff>
    </xdr:to>
    <xdr:sp macro="" textlink="">
      <xdr:nvSpPr>
        <xdr:cNvPr id="18" name="Rectangle: Rounded Corners 17">
          <a:hlinkClick xmlns:r="http://schemas.openxmlformats.org/officeDocument/2006/relationships" r:id="rId2" tooltip="Database"/>
          <a:extLst>
            <a:ext uri="{FF2B5EF4-FFF2-40B4-BE49-F238E27FC236}">
              <a16:creationId xmlns:a16="http://schemas.microsoft.com/office/drawing/2014/main" id="{15FF2C00-F949-4BD4-B6B9-7C2E24485534}"/>
            </a:ext>
          </a:extLst>
        </xdr:cNvPr>
        <xdr:cNvSpPr/>
      </xdr:nvSpPr>
      <xdr:spPr>
        <a:xfrm>
          <a:off x="5664282" y="179922"/>
          <a:ext cx="919012" cy="368807"/>
        </a:xfrm>
        <a:prstGeom prst="roundRect">
          <a:avLst/>
        </a:prstGeom>
        <a:solidFill>
          <a:schemeClr val="tx2">
            <a:lumMod val="60000"/>
            <a:lumOff val="4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lIns="0" tIns="0" rIns="0" bIns="0" rtlCol="0" anchor="ctr"/>
        <a:lstStyle/>
        <a:p>
          <a:pPr marL="0" indent="0" algn="ctr"/>
          <a:r>
            <a:rPr lang="en-US" sz="1100" b="1">
              <a:solidFill>
                <a:schemeClr val="lt1"/>
              </a:solidFill>
              <a:effectLst>
                <a:outerShdw blurRad="50800" dist="38100" dir="13500000" algn="br" rotWithShape="0">
                  <a:prstClr val="black">
                    <a:alpha val="40000"/>
                  </a:prstClr>
                </a:outerShdw>
              </a:effectLst>
              <a:latin typeface="+mn-lt"/>
              <a:ea typeface="+mn-ea"/>
              <a:cs typeface="+mn-cs"/>
            </a:rPr>
            <a:t>DATABASE</a:t>
          </a:r>
          <a:endParaRPr lang="tr-TR" sz="1100" b="1">
            <a:solidFill>
              <a:schemeClr val="lt1"/>
            </a:solidFill>
            <a:effectLst>
              <a:outerShdw blurRad="50800" dist="38100" dir="13500000" algn="br" rotWithShape="0">
                <a:prstClr val="black">
                  <a:alpha val="40000"/>
                </a:prstClr>
              </a:outerShdw>
            </a:effectLst>
            <a:latin typeface="+mn-lt"/>
            <a:ea typeface="+mn-ea"/>
            <a:cs typeface="+mn-cs"/>
          </a:endParaRPr>
        </a:p>
      </xdr:txBody>
    </xdr:sp>
    <xdr:clientData/>
  </xdr:twoCellAnchor>
  <xdr:twoCellAnchor editAs="oneCell">
    <xdr:from>
      <xdr:col>5</xdr:col>
      <xdr:colOff>542940</xdr:colOff>
      <xdr:row>1</xdr:row>
      <xdr:rowOff>95255</xdr:rowOff>
    </xdr:from>
    <xdr:to>
      <xdr:col>5</xdr:col>
      <xdr:colOff>1453860</xdr:colOff>
      <xdr:row>2</xdr:row>
      <xdr:rowOff>220646</xdr:rowOff>
    </xdr:to>
    <xdr:sp macro="" textlink="">
      <xdr:nvSpPr>
        <xdr:cNvPr id="19" name="Rectangle: Rounded Corners 18">
          <a:hlinkClick xmlns:r="http://schemas.openxmlformats.org/officeDocument/2006/relationships" r:id="rId3" tooltip="Settings"/>
          <a:extLst>
            <a:ext uri="{FF2B5EF4-FFF2-40B4-BE49-F238E27FC236}">
              <a16:creationId xmlns:a16="http://schemas.microsoft.com/office/drawing/2014/main" id="{F3C7358F-306C-4D2E-B094-D6B0C2AB348A}"/>
            </a:ext>
          </a:extLst>
        </xdr:cNvPr>
        <xdr:cNvSpPr/>
      </xdr:nvSpPr>
      <xdr:spPr>
        <a:xfrm>
          <a:off x="6808273" y="179922"/>
          <a:ext cx="910920" cy="368807"/>
        </a:xfrm>
        <a:prstGeom prst="roundRect">
          <a:avLst/>
        </a:prstGeom>
        <a:solidFill>
          <a:schemeClr val="tx2">
            <a:lumMod val="60000"/>
            <a:lumOff val="4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lIns="0" tIns="0" rIns="0" bIns="0" rtlCol="0" anchor="ctr"/>
        <a:lstStyle/>
        <a:p>
          <a:pPr marL="0" indent="0" algn="ctr"/>
          <a:r>
            <a:rPr lang="en-US" sz="1100" b="1">
              <a:solidFill>
                <a:schemeClr val="lt1"/>
              </a:solidFill>
              <a:effectLst>
                <a:outerShdw blurRad="50800" dist="38100" dir="13500000" algn="br" rotWithShape="0">
                  <a:prstClr val="black">
                    <a:alpha val="40000"/>
                  </a:prstClr>
                </a:outerShdw>
              </a:effectLst>
              <a:latin typeface="+mn-lt"/>
              <a:ea typeface="+mn-ea"/>
              <a:cs typeface="+mn-cs"/>
            </a:rPr>
            <a:t>SETTINGS</a:t>
          </a:r>
          <a:endParaRPr lang="tr-TR" sz="1100" b="1">
            <a:solidFill>
              <a:schemeClr val="lt1"/>
            </a:solidFill>
            <a:effectLst>
              <a:outerShdw blurRad="50800" dist="38100" dir="13500000" algn="br" rotWithShape="0">
                <a:prstClr val="black">
                  <a:alpha val="40000"/>
                </a:prstClr>
              </a:outerShdw>
            </a:effectLst>
            <a:latin typeface="+mn-lt"/>
            <a:ea typeface="+mn-ea"/>
            <a:cs typeface="+mn-cs"/>
          </a:endParaRPr>
        </a:p>
      </xdr:txBody>
    </xdr:sp>
    <xdr:clientData/>
  </xdr:twoCellAnchor>
  <xdr:twoCellAnchor editAs="oneCell">
    <xdr:from>
      <xdr:col>4</xdr:col>
      <xdr:colOff>171164</xdr:colOff>
      <xdr:row>1</xdr:row>
      <xdr:rowOff>95255</xdr:rowOff>
    </xdr:from>
    <xdr:to>
      <xdr:col>4</xdr:col>
      <xdr:colOff>1089553</xdr:colOff>
      <xdr:row>2</xdr:row>
      <xdr:rowOff>220646</xdr:rowOff>
    </xdr:to>
    <xdr:sp macro="" textlink="">
      <xdr:nvSpPr>
        <xdr:cNvPr id="20" name="Rectangle: Rounded Corners 19">
          <a:hlinkClick xmlns:r="http://schemas.openxmlformats.org/officeDocument/2006/relationships" r:id="rId4" tooltip="Dashboard"/>
          <a:extLst>
            <a:ext uri="{FF2B5EF4-FFF2-40B4-BE49-F238E27FC236}">
              <a16:creationId xmlns:a16="http://schemas.microsoft.com/office/drawing/2014/main" id="{2A5E946E-9E69-4FC2-A877-944C0726AA11}"/>
            </a:ext>
          </a:extLst>
        </xdr:cNvPr>
        <xdr:cNvSpPr/>
      </xdr:nvSpPr>
      <xdr:spPr>
        <a:xfrm>
          <a:off x="4520914" y="179922"/>
          <a:ext cx="918389" cy="368807"/>
        </a:xfrm>
        <a:prstGeom prst="roundRect">
          <a:avLst/>
        </a:prstGeom>
        <a:solidFill>
          <a:schemeClr val="tx2">
            <a:lumMod val="60000"/>
            <a:lumOff val="4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lIns="0" tIns="0" rIns="0" bIns="0" rtlCol="0" anchor="ctr"/>
        <a:lstStyle/>
        <a:p>
          <a:pPr marL="0" indent="0" algn="ctr"/>
          <a:r>
            <a:rPr lang="en-US" sz="1100" b="1">
              <a:solidFill>
                <a:schemeClr val="lt1"/>
              </a:solidFill>
              <a:effectLst>
                <a:outerShdw blurRad="50800" dist="38100" dir="13500000" algn="br" rotWithShape="0">
                  <a:prstClr val="black">
                    <a:alpha val="40000"/>
                  </a:prstClr>
                </a:outerShdw>
              </a:effectLst>
              <a:latin typeface="+mn-lt"/>
              <a:ea typeface="+mn-ea"/>
              <a:cs typeface="+mn-cs"/>
            </a:rPr>
            <a:t>DASHBOARD</a:t>
          </a:r>
        </a:p>
      </xdr:txBody>
    </xdr:sp>
    <xdr:clientData/>
  </xdr:twoCellAnchor>
  <xdr:twoCellAnchor editAs="oneCell">
    <xdr:from>
      <xdr:col>1</xdr:col>
      <xdr:colOff>189486</xdr:colOff>
      <xdr:row>1</xdr:row>
      <xdr:rowOff>89647</xdr:rowOff>
    </xdr:from>
    <xdr:to>
      <xdr:col>2</xdr:col>
      <xdr:colOff>278595</xdr:colOff>
      <xdr:row>2</xdr:row>
      <xdr:rowOff>214033</xdr:rowOff>
    </xdr:to>
    <xdr:pic>
      <xdr:nvPicPr>
        <xdr:cNvPr id="13" name="mainicon">
          <a:extLst>
            <a:ext uri="{FF2B5EF4-FFF2-40B4-BE49-F238E27FC236}">
              <a16:creationId xmlns:a16="http://schemas.microsoft.com/office/drawing/2014/main" id="{847E036C-2DB4-4941-9D5D-9014DB4374AE}"/>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xdr:blipFill>
      <xdr:spPr>
        <a:xfrm>
          <a:off x="450542" y="174314"/>
          <a:ext cx="378386" cy="378386"/>
        </a:xfrm>
        <a:prstGeom prst="rect">
          <a:avLst/>
        </a:prstGeom>
        <a:effectLst>
          <a:outerShdw blurRad="63500" sx="102000" sy="102000" algn="ctr" rotWithShape="0">
            <a:prstClr val="black">
              <a:alpha val="40000"/>
            </a:prstClr>
          </a:outerShdw>
        </a:effectLst>
      </xdr:spPr>
    </xdr:pic>
    <xdr:clientData/>
  </xdr:twoCellAnchor>
  <xdr:twoCellAnchor editAs="oneCell">
    <xdr:from>
      <xdr:col>4</xdr:col>
      <xdr:colOff>247596</xdr:colOff>
      <xdr:row>5</xdr:row>
      <xdr:rowOff>9961</xdr:rowOff>
    </xdr:from>
    <xdr:to>
      <xdr:col>6</xdr:col>
      <xdr:colOff>311899</xdr:colOff>
      <xdr:row>7</xdr:row>
      <xdr:rowOff>14978</xdr:rowOff>
    </xdr:to>
    <mc:AlternateContent xmlns:mc="http://schemas.openxmlformats.org/markup-compatibility/2006" xmlns:sle15="http://schemas.microsoft.com/office/drawing/2012/slicer">
      <mc:Choice Requires="sle15">
        <xdr:graphicFrame macro="">
          <xdr:nvGraphicFramePr>
            <xdr:cNvPr id="9" name="Responsible Person">
              <a:extLst>
                <a:ext uri="{FF2B5EF4-FFF2-40B4-BE49-F238E27FC236}">
                  <a16:creationId xmlns:a16="http://schemas.microsoft.com/office/drawing/2014/main" id="{3B444B80-32F0-43B3-B89D-9467C8C89F35}"/>
                </a:ext>
              </a:extLst>
            </xdr:cNvPr>
            <xdr:cNvGraphicFramePr/>
          </xdr:nvGraphicFramePr>
          <xdr:xfrm>
            <a:off x="0" y="0"/>
            <a:ext cx="0" cy="0"/>
          </xdr:xfrm>
          <a:graphic>
            <a:graphicData uri="http://schemas.microsoft.com/office/drawing/2010/slicer">
              <sle:slicer xmlns:sle="http://schemas.microsoft.com/office/drawing/2010/slicer" name="Responsible Person"/>
            </a:graphicData>
          </a:graphic>
        </xdr:graphicFrame>
      </mc:Choice>
      <mc:Fallback xmlns="">
        <xdr:sp macro="" textlink="">
          <xdr:nvSpPr>
            <xdr:cNvPr id="0" name=""/>
            <xdr:cNvSpPr>
              <a:spLocks noTextEdit="1"/>
            </xdr:cNvSpPr>
          </xdr:nvSpPr>
          <xdr:spPr>
            <a:xfrm>
              <a:off x="4597346" y="782544"/>
              <a:ext cx="3895470" cy="851684"/>
            </a:xfrm>
            <a:prstGeom prst="rect">
              <a:avLst/>
            </a:prstGeom>
            <a:solidFill>
              <a:prstClr val="white"/>
            </a:solidFill>
            <a:ln w="1">
              <a:solidFill>
                <a:prstClr val="green"/>
              </a:solidFill>
            </a:ln>
          </xdr:spPr>
          <xdr:txBody>
            <a:bodyPr vertOverflow="clip" horzOverflow="clip"/>
            <a:lstStyle/>
            <a:p>
              <a:r>
                <a:rPr lang="tr-TR"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oneCell">
    <xdr:from>
      <xdr:col>3</xdr:col>
      <xdr:colOff>126376</xdr:colOff>
      <xdr:row>5</xdr:row>
      <xdr:rowOff>9961</xdr:rowOff>
    </xdr:from>
    <xdr:to>
      <xdr:col>4</xdr:col>
      <xdr:colOff>133838</xdr:colOff>
      <xdr:row>7</xdr:row>
      <xdr:rowOff>14978</xdr:rowOff>
    </xdr:to>
    <mc:AlternateContent xmlns:mc="http://schemas.openxmlformats.org/markup-compatibility/2006" xmlns:sle15="http://schemas.microsoft.com/office/drawing/2012/slicer">
      <mc:Choice Requires="sle15">
        <xdr:graphicFrame macro="">
          <xdr:nvGraphicFramePr>
            <xdr:cNvPr id="10" name="Priority">
              <a:extLst>
                <a:ext uri="{FF2B5EF4-FFF2-40B4-BE49-F238E27FC236}">
                  <a16:creationId xmlns:a16="http://schemas.microsoft.com/office/drawing/2014/main" id="{52EBB8D8-3B43-4816-A7D2-0125965E4AEF}"/>
                </a:ext>
              </a:extLst>
            </xdr:cNvPr>
            <xdr:cNvGraphicFramePr/>
          </xdr:nvGraphicFramePr>
          <xdr:xfrm>
            <a:off x="0" y="0"/>
            <a:ext cx="0" cy="0"/>
          </xdr:xfrm>
          <a:graphic>
            <a:graphicData uri="http://schemas.microsoft.com/office/drawing/2010/slicer">
              <sle:slicer xmlns:sle="http://schemas.microsoft.com/office/drawing/2010/slicer" name="Priority"/>
            </a:graphicData>
          </a:graphic>
        </xdr:graphicFrame>
      </mc:Choice>
      <mc:Fallback xmlns="">
        <xdr:sp macro="" textlink="">
          <xdr:nvSpPr>
            <xdr:cNvPr id="0" name=""/>
            <xdr:cNvSpPr>
              <a:spLocks noTextEdit="1"/>
            </xdr:cNvSpPr>
          </xdr:nvSpPr>
          <xdr:spPr>
            <a:xfrm>
              <a:off x="2560543" y="782544"/>
              <a:ext cx="1923045" cy="851684"/>
            </a:xfrm>
            <a:prstGeom prst="rect">
              <a:avLst/>
            </a:prstGeom>
            <a:solidFill>
              <a:prstClr val="white"/>
            </a:solidFill>
            <a:ln w="1">
              <a:solidFill>
                <a:prstClr val="green"/>
              </a:solidFill>
            </a:ln>
          </xdr:spPr>
          <xdr:txBody>
            <a:bodyPr vertOverflow="clip" horzOverflow="clip"/>
            <a:lstStyle/>
            <a:p>
              <a:r>
                <a:rPr lang="tr-TR"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oneCell">
    <xdr:from>
      <xdr:col>7</xdr:col>
      <xdr:colOff>821143</xdr:colOff>
      <xdr:row>5</xdr:row>
      <xdr:rowOff>9961</xdr:rowOff>
    </xdr:from>
    <xdr:to>
      <xdr:col>8</xdr:col>
      <xdr:colOff>164937</xdr:colOff>
      <xdr:row>7</xdr:row>
      <xdr:rowOff>14978</xdr:rowOff>
    </xdr:to>
    <mc:AlternateContent xmlns:mc="http://schemas.openxmlformats.org/markup-compatibility/2006" xmlns:sle15="http://schemas.microsoft.com/office/drawing/2012/slicer">
      <mc:Choice Requires="sle15">
        <xdr:graphicFrame macro="">
          <xdr:nvGraphicFramePr>
            <xdr:cNvPr id="14" name="Overdue">
              <a:extLst>
                <a:ext uri="{FF2B5EF4-FFF2-40B4-BE49-F238E27FC236}">
                  <a16:creationId xmlns:a16="http://schemas.microsoft.com/office/drawing/2014/main" id="{13E53A5B-057C-4E0A-ACDE-D7AFDC13A94F}"/>
                </a:ext>
              </a:extLst>
            </xdr:cNvPr>
            <xdr:cNvGraphicFramePr/>
          </xdr:nvGraphicFramePr>
          <xdr:xfrm>
            <a:off x="0" y="0"/>
            <a:ext cx="0" cy="0"/>
          </xdr:xfrm>
          <a:graphic>
            <a:graphicData uri="http://schemas.microsoft.com/office/drawing/2010/slicer">
              <sle:slicer xmlns:sle="http://schemas.microsoft.com/office/drawing/2010/slicer" name="Overdue"/>
            </a:graphicData>
          </a:graphic>
        </xdr:graphicFrame>
      </mc:Choice>
      <mc:Fallback xmlns="">
        <xdr:sp macro="" textlink="">
          <xdr:nvSpPr>
            <xdr:cNvPr id="0" name=""/>
            <xdr:cNvSpPr>
              <a:spLocks noTextEdit="1"/>
            </xdr:cNvSpPr>
          </xdr:nvSpPr>
          <xdr:spPr>
            <a:xfrm>
              <a:off x="10917643" y="782544"/>
              <a:ext cx="1259377" cy="851684"/>
            </a:xfrm>
            <a:prstGeom prst="rect">
              <a:avLst/>
            </a:prstGeom>
            <a:solidFill>
              <a:prstClr val="white"/>
            </a:solidFill>
            <a:ln w="1">
              <a:solidFill>
                <a:prstClr val="green"/>
              </a:solidFill>
            </a:ln>
          </xdr:spPr>
          <xdr:txBody>
            <a:bodyPr vertOverflow="clip" horzOverflow="clip"/>
            <a:lstStyle/>
            <a:p>
              <a:r>
                <a:rPr lang="tr-TR"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oneCell">
    <xdr:from>
      <xdr:col>6</xdr:col>
      <xdr:colOff>425657</xdr:colOff>
      <xdr:row>5</xdr:row>
      <xdr:rowOff>9961</xdr:rowOff>
    </xdr:from>
    <xdr:to>
      <xdr:col>7</xdr:col>
      <xdr:colOff>707386</xdr:colOff>
      <xdr:row>7</xdr:row>
      <xdr:rowOff>14978</xdr:rowOff>
    </xdr:to>
    <mc:AlternateContent xmlns:mc="http://schemas.openxmlformats.org/markup-compatibility/2006" xmlns:sle15="http://schemas.microsoft.com/office/drawing/2012/slicer">
      <mc:Choice Requires="sle15">
        <xdr:graphicFrame macro="">
          <xdr:nvGraphicFramePr>
            <xdr:cNvPr id="16" name="Task Due Date">
              <a:extLst>
                <a:ext uri="{FF2B5EF4-FFF2-40B4-BE49-F238E27FC236}">
                  <a16:creationId xmlns:a16="http://schemas.microsoft.com/office/drawing/2014/main" id="{2B087B65-173D-4B55-9CCC-6AE251AA68D4}"/>
                </a:ext>
              </a:extLst>
            </xdr:cNvPr>
            <xdr:cNvGraphicFramePr/>
          </xdr:nvGraphicFramePr>
          <xdr:xfrm>
            <a:off x="0" y="0"/>
            <a:ext cx="0" cy="0"/>
          </xdr:xfrm>
          <a:graphic>
            <a:graphicData uri="http://schemas.microsoft.com/office/drawing/2010/slicer">
              <sle:slicer xmlns:sle="http://schemas.microsoft.com/office/drawing/2010/slicer" name="Task Due Date"/>
            </a:graphicData>
          </a:graphic>
        </xdr:graphicFrame>
      </mc:Choice>
      <mc:Fallback xmlns="">
        <xdr:sp macro="" textlink="">
          <xdr:nvSpPr>
            <xdr:cNvPr id="0" name=""/>
            <xdr:cNvSpPr>
              <a:spLocks noTextEdit="1"/>
            </xdr:cNvSpPr>
          </xdr:nvSpPr>
          <xdr:spPr>
            <a:xfrm>
              <a:off x="8606574" y="782544"/>
              <a:ext cx="2197312" cy="851684"/>
            </a:xfrm>
            <a:prstGeom prst="rect">
              <a:avLst/>
            </a:prstGeom>
            <a:solidFill>
              <a:prstClr val="white"/>
            </a:solidFill>
            <a:ln w="1">
              <a:solidFill>
                <a:prstClr val="green"/>
              </a:solidFill>
            </a:ln>
          </xdr:spPr>
          <xdr:txBody>
            <a:bodyPr vertOverflow="clip" horzOverflow="clip"/>
            <a:lstStyle/>
            <a:p>
              <a:r>
                <a:rPr lang="tr-TR"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oneCell">
    <xdr:from>
      <xdr:col>1</xdr:col>
      <xdr:colOff>169328</xdr:colOff>
      <xdr:row>298</xdr:row>
      <xdr:rowOff>21166</xdr:rowOff>
    </xdr:from>
    <xdr:to>
      <xdr:col>1</xdr:col>
      <xdr:colOff>242096</xdr:colOff>
      <xdr:row>298</xdr:row>
      <xdr:rowOff>229744</xdr:rowOff>
    </xdr:to>
    <xdr:sp macro="" textlink="">
      <xdr:nvSpPr>
        <xdr:cNvPr id="15" name="termsbox">
          <a:hlinkClick xmlns:r="http://schemas.openxmlformats.org/officeDocument/2006/relationships" r:id="rId6" tooltip="Terms of Use"/>
          <a:extLst>
            <a:ext uri="{FF2B5EF4-FFF2-40B4-BE49-F238E27FC236}">
              <a16:creationId xmlns:a16="http://schemas.microsoft.com/office/drawing/2014/main" id="{4A7B664D-E4CC-48B4-A72C-5474A3FC857C}"/>
            </a:ext>
          </a:extLst>
        </xdr:cNvPr>
        <xdr:cNvSpPr/>
      </xdr:nvSpPr>
      <xdr:spPr>
        <a:xfrm>
          <a:off x="430384" y="56098722"/>
          <a:ext cx="72768" cy="20857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36000" tIns="18000" rIns="36000" bIns="18000" rtlCol="0" anchor="t">
          <a:spAutoFit/>
        </a:bodyPr>
        <a:lstStyle/>
        <a:p>
          <a:pPr algn="l"/>
          <a:endParaRPr lang="tr-TR" sz="1100" i="1" u="sng">
            <a:solidFill>
              <a:schemeClr val="bg1">
                <a:lumMod val="95000"/>
              </a:schemeClr>
            </a:solidFill>
          </a:endParaRPr>
        </a:p>
      </xdr:txBody>
    </xdr:sp>
    <xdr:clientData fPrintsWithSheet="0"/>
  </xdr:twoCellAnchor>
  <xdr:twoCellAnchor editAs="oneCell">
    <xdr:from>
      <xdr:col>5</xdr:col>
      <xdr:colOff>1686276</xdr:colOff>
      <xdr:row>1</xdr:row>
      <xdr:rowOff>102310</xdr:rowOff>
    </xdr:from>
    <xdr:to>
      <xdr:col>6</xdr:col>
      <xdr:colOff>754943</xdr:colOff>
      <xdr:row>2</xdr:row>
      <xdr:rowOff>227701</xdr:rowOff>
    </xdr:to>
    <xdr:sp macro="[0]!S_Refresh" textlink="">
      <xdr:nvSpPr>
        <xdr:cNvPr id="12" name="Rectangle: Rounded Corners 11">
          <a:hlinkClick xmlns:r="http://schemas.openxmlformats.org/officeDocument/2006/relationships" r:id="rId7" tooltip="Settings"/>
          <a:extLst>
            <a:ext uri="{FF2B5EF4-FFF2-40B4-BE49-F238E27FC236}">
              <a16:creationId xmlns:a16="http://schemas.microsoft.com/office/drawing/2014/main" id="{B4218B6F-0C21-4A1D-BFA6-50F2AC97588B}"/>
            </a:ext>
          </a:extLst>
        </xdr:cNvPr>
        <xdr:cNvSpPr/>
      </xdr:nvSpPr>
      <xdr:spPr>
        <a:xfrm flipH="1">
          <a:off x="8247943" y="186977"/>
          <a:ext cx="1072444" cy="379391"/>
        </a:xfrm>
        <a:prstGeom prst="roundRect">
          <a:avLst/>
        </a:prstGeom>
        <a:solidFill>
          <a:schemeClr val="tx2">
            <a:lumMod val="60000"/>
            <a:lumOff val="4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lIns="0" tIns="0" rIns="0" bIns="0" rtlCol="0" anchor="ctr"/>
        <a:lstStyle/>
        <a:p>
          <a:pPr marL="0" indent="0" algn="ctr"/>
          <a:r>
            <a:rPr lang="en-US" sz="1100" b="1">
              <a:solidFill>
                <a:schemeClr val="lt1"/>
              </a:solidFill>
              <a:effectLst>
                <a:outerShdw blurRad="50800" dist="38100" dir="13500000" algn="br" rotWithShape="0">
                  <a:prstClr val="black">
                    <a:alpha val="40000"/>
                  </a:prstClr>
                </a:outerShdw>
              </a:effectLst>
              <a:latin typeface="+mn-lt"/>
              <a:ea typeface="+mn-ea"/>
              <a:cs typeface="+mn-cs"/>
            </a:rPr>
            <a:t>ToDo</a:t>
          </a:r>
          <a:endParaRPr lang="tr-TR" sz="1100" b="1">
            <a:solidFill>
              <a:schemeClr val="lt1"/>
            </a:solidFill>
            <a:effectLst>
              <a:outerShdw blurRad="50800" dist="38100" dir="13500000" algn="br" rotWithShape="0">
                <a:prstClr val="black">
                  <a:alpha val="40000"/>
                </a:prstClr>
              </a:outerShdw>
            </a:effectLst>
            <a:latin typeface="+mn-lt"/>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53786</xdr:colOff>
      <xdr:row>40</xdr:row>
      <xdr:rowOff>30818</xdr:rowOff>
    </xdr:from>
    <xdr:to>
      <xdr:col>1</xdr:col>
      <xdr:colOff>126554</xdr:colOff>
      <xdr:row>40</xdr:row>
      <xdr:rowOff>239396</xdr:rowOff>
    </xdr:to>
    <xdr:sp macro="" textlink="">
      <xdr:nvSpPr>
        <xdr:cNvPr id="5" name="termsbox">
          <a:hlinkClick xmlns:r="http://schemas.openxmlformats.org/officeDocument/2006/relationships" r:id="rId1" tooltip="Terms of Use"/>
          <a:extLst>
            <a:ext uri="{FF2B5EF4-FFF2-40B4-BE49-F238E27FC236}">
              <a16:creationId xmlns:a16="http://schemas.microsoft.com/office/drawing/2014/main" id="{E86FD291-ADAA-45B9-A9B6-84ACC896E563}"/>
            </a:ext>
          </a:extLst>
        </xdr:cNvPr>
        <xdr:cNvSpPr/>
      </xdr:nvSpPr>
      <xdr:spPr>
        <a:xfrm>
          <a:off x="314842" y="7467374"/>
          <a:ext cx="72768" cy="20857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36000" tIns="18000" rIns="36000" bIns="18000" rtlCol="0" anchor="t">
          <a:spAutoFit/>
        </a:bodyPr>
        <a:lstStyle/>
        <a:p>
          <a:pPr algn="l"/>
          <a:endParaRPr lang="tr-TR" sz="1100" i="1" u="sng">
            <a:solidFill>
              <a:schemeClr val="bg1">
                <a:lumMod val="95000"/>
              </a:schemeClr>
            </a:solidFill>
          </a:endParaRPr>
        </a:p>
      </xdr:txBody>
    </xdr:sp>
    <xdr:clientData fPrintsWithSheet="0"/>
  </xdr:twoCellAnchor>
  <xdr:twoCellAnchor editAs="oneCell">
    <xdr:from>
      <xdr:col>12</xdr:col>
      <xdr:colOff>536126</xdr:colOff>
      <xdr:row>40</xdr:row>
      <xdr:rowOff>35859</xdr:rowOff>
    </xdr:from>
    <xdr:to>
      <xdr:col>12</xdr:col>
      <xdr:colOff>608894</xdr:colOff>
      <xdr:row>40</xdr:row>
      <xdr:rowOff>244437</xdr:rowOff>
    </xdr:to>
    <xdr:sp macro="" textlink="">
      <xdr:nvSpPr>
        <xdr:cNvPr id="6" name="devbysom">
          <a:hlinkClick xmlns:r="http://schemas.openxmlformats.org/officeDocument/2006/relationships" r:id="rId2" tooltip="Someka Excel Solutions"/>
          <a:extLst>
            <a:ext uri="{FF2B5EF4-FFF2-40B4-BE49-F238E27FC236}">
              <a16:creationId xmlns:a16="http://schemas.microsoft.com/office/drawing/2014/main" id="{DBA3562E-1351-4E4E-ABD1-5B4DCAE22206}"/>
            </a:ext>
          </a:extLst>
        </xdr:cNvPr>
        <xdr:cNvSpPr/>
      </xdr:nvSpPr>
      <xdr:spPr>
        <a:xfrm>
          <a:off x="10618515" y="7472415"/>
          <a:ext cx="72768" cy="20857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36000" tIns="18000" rIns="36000" bIns="18000" rtlCol="0" anchor="t">
          <a:spAutoFit/>
        </a:bodyPr>
        <a:lstStyle/>
        <a:p>
          <a:pPr algn="l"/>
          <a:endParaRPr lang="tr-TR" sz="1100" i="1" u="none">
            <a:solidFill>
              <a:schemeClr val="bg1">
                <a:lumMod val="95000"/>
              </a:schemeClr>
            </a:solidFill>
          </a:endParaRPr>
        </a:p>
      </xdr:txBody>
    </xdr:sp>
    <xdr:clientData/>
  </xdr:twoCellAnchor>
  <xdr:twoCellAnchor editAs="oneCell">
    <xdr:from>
      <xdr:col>16</xdr:col>
      <xdr:colOff>86299</xdr:colOff>
      <xdr:row>1</xdr:row>
      <xdr:rowOff>86151</xdr:rowOff>
    </xdr:from>
    <xdr:to>
      <xdr:col>17</xdr:col>
      <xdr:colOff>467987</xdr:colOff>
      <xdr:row>2</xdr:row>
      <xdr:rowOff>235720</xdr:rowOff>
    </xdr:to>
    <xdr:sp macro="[0]!S_Refresh" textlink="">
      <xdr:nvSpPr>
        <xdr:cNvPr id="13" name="Rectangle: Rounded Corners 12">
          <a:extLst>
            <a:ext uri="{FF2B5EF4-FFF2-40B4-BE49-F238E27FC236}">
              <a16:creationId xmlns:a16="http://schemas.microsoft.com/office/drawing/2014/main" id="{5FE3635D-0AA5-4E34-AD92-24895BDE960E}"/>
            </a:ext>
          </a:extLst>
        </xdr:cNvPr>
        <xdr:cNvSpPr/>
      </xdr:nvSpPr>
      <xdr:spPr>
        <a:xfrm>
          <a:off x="12087799" y="175798"/>
          <a:ext cx="975600" cy="396098"/>
        </a:xfrm>
        <a:prstGeom prst="roundRect">
          <a:avLst/>
        </a:prstGeom>
        <a:solidFill>
          <a:srgbClr val="FF5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lIns="0" tIns="0" rIns="0" bIns="0" rtlCol="0" anchor="ctr"/>
        <a:lstStyle/>
        <a:p>
          <a:pPr marL="0" indent="0" algn="ctr"/>
          <a:r>
            <a:rPr lang="en-US" sz="1100" b="1">
              <a:solidFill>
                <a:schemeClr val="lt1"/>
              </a:solidFill>
              <a:effectLst>
                <a:outerShdw blurRad="50800" dist="38100" dir="13500000" algn="br" rotWithShape="0">
                  <a:prstClr val="black">
                    <a:alpha val="40000"/>
                  </a:prstClr>
                </a:outerShdw>
              </a:effectLst>
              <a:latin typeface="+mn-lt"/>
              <a:ea typeface="+mn-ea"/>
              <a:cs typeface="+mn-cs"/>
            </a:rPr>
            <a:t>REFRESH</a:t>
          </a:r>
          <a:endParaRPr lang="tr-TR" sz="1100" b="1">
            <a:solidFill>
              <a:schemeClr val="lt1"/>
            </a:solidFill>
            <a:effectLst>
              <a:outerShdw blurRad="50800" dist="38100" dir="13500000" algn="br" rotWithShape="0">
                <a:prstClr val="black">
                  <a:alpha val="40000"/>
                </a:prstClr>
              </a:outerShdw>
            </a:effectLst>
            <a:latin typeface="+mn-lt"/>
            <a:ea typeface="+mn-ea"/>
            <a:cs typeface="+mn-cs"/>
          </a:endParaRPr>
        </a:p>
      </xdr:txBody>
    </xdr:sp>
    <xdr:clientData/>
  </xdr:twoCellAnchor>
  <xdr:twoCellAnchor editAs="oneCell">
    <xdr:from>
      <xdr:col>6</xdr:col>
      <xdr:colOff>134466</xdr:colOff>
      <xdr:row>11</xdr:row>
      <xdr:rowOff>74082</xdr:rowOff>
    </xdr:from>
    <xdr:to>
      <xdr:col>14</xdr:col>
      <xdr:colOff>448231</xdr:colOff>
      <xdr:row>25</xdr:row>
      <xdr:rowOff>12916</xdr:rowOff>
    </xdr:to>
    <xdr:graphicFrame macro="">
      <xdr:nvGraphicFramePr>
        <xdr:cNvPr id="15" name="Chart 14">
          <a:extLst>
            <a:ext uri="{FF2B5EF4-FFF2-40B4-BE49-F238E27FC236}">
              <a16:creationId xmlns:a16="http://schemas.microsoft.com/office/drawing/2014/main" id="{C54F756F-7875-4C44-9475-3330C7F235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5</xdr:col>
      <xdr:colOff>123263</xdr:colOff>
      <xdr:row>25</xdr:row>
      <xdr:rowOff>137585</xdr:rowOff>
    </xdr:from>
    <xdr:to>
      <xdr:col>8</xdr:col>
      <xdr:colOff>33616</xdr:colOff>
      <xdr:row>38</xdr:row>
      <xdr:rowOff>75901</xdr:rowOff>
    </xdr:to>
    <xdr:graphicFrame macro="">
      <xdr:nvGraphicFramePr>
        <xdr:cNvPr id="17" name="Chart 16">
          <a:extLst>
            <a:ext uri="{FF2B5EF4-FFF2-40B4-BE49-F238E27FC236}">
              <a16:creationId xmlns:a16="http://schemas.microsoft.com/office/drawing/2014/main" id="{A30EFD52-E7CE-4F94-9E8A-2CE6B4C97D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xdr:col>
      <xdr:colOff>84667</xdr:colOff>
      <xdr:row>11</xdr:row>
      <xdr:rowOff>74082</xdr:rowOff>
    </xdr:from>
    <xdr:to>
      <xdr:col>5</xdr:col>
      <xdr:colOff>874059</xdr:colOff>
      <xdr:row>25</xdr:row>
      <xdr:rowOff>11205</xdr:rowOff>
    </xdr:to>
    <xdr:graphicFrame macro="">
      <xdr:nvGraphicFramePr>
        <xdr:cNvPr id="18" name="Chart 17">
          <a:extLst>
            <a:ext uri="{FF2B5EF4-FFF2-40B4-BE49-F238E27FC236}">
              <a16:creationId xmlns:a16="http://schemas.microsoft.com/office/drawing/2014/main" id="{179403F5-B0A7-4761-BD2B-969BB4AEE1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8</xdr:col>
      <xdr:colOff>224118</xdr:colOff>
      <xdr:row>25</xdr:row>
      <xdr:rowOff>137585</xdr:rowOff>
    </xdr:from>
    <xdr:to>
      <xdr:col>14</xdr:col>
      <xdr:colOff>448231</xdr:colOff>
      <xdr:row>38</xdr:row>
      <xdr:rowOff>75901</xdr:rowOff>
    </xdr:to>
    <xdr:graphicFrame macro="">
      <xdr:nvGraphicFramePr>
        <xdr:cNvPr id="19" name="Chart 18">
          <a:extLst>
            <a:ext uri="{FF2B5EF4-FFF2-40B4-BE49-F238E27FC236}">
              <a16:creationId xmlns:a16="http://schemas.microsoft.com/office/drawing/2014/main" id="{0FE5F952-8F40-4EB7-9C91-8AA3BFE08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xdr:col>
      <xdr:colOff>199654</xdr:colOff>
      <xdr:row>1</xdr:row>
      <xdr:rowOff>89647</xdr:rowOff>
    </xdr:from>
    <xdr:to>
      <xdr:col>1</xdr:col>
      <xdr:colOff>578040</xdr:colOff>
      <xdr:row>2</xdr:row>
      <xdr:rowOff>214033</xdr:rowOff>
    </xdr:to>
    <xdr:pic>
      <xdr:nvPicPr>
        <xdr:cNvPr id="25" name="mainicon">
          <a:extLst>
            <a:ext uri="{FF2B5EF4-FFF2-40B4-BE49-F238E27FC236}">
              <a16:creationId xmlns:a16="http://schemas.microsoft.com/office/drawing/2014/main" id="{C7B171DD-B052-4090-BF2D-23994A08807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xdr:blipFill>
      <xdr:spPr>
        <a:xfrm>
          <a:off x="460710" y="174314"/>
          <a:ext cx="378386" cy="378386"/>
        </a:xfrm>
        <a:prstGeom prst="rect">
          <a:avLst/>
        </a:prstGeom>
        <a:effectLst>
          <a:outerShdw blurRad="63500" sx="102000" sy="102000" algn="ctr" rotWithShape="0">
            <a:prstClr val="black">
              <a:alpha val="40000"/>
            </a:prstClr>
          </a:outerShdw>
        </a:effectLst>
      </xdr:spPr>
    </xdr:pic>
    <xdr:clientData/>
  </xdr:twoCellAnchor>
  <xdr:twoCellAnchor editAs="oneCell">
    <xdr:from>
      <xdr:col>3</xdr:col>
      <xdr:colOff>422079</xdr:colOff>
      <xdr:row>5</xdr:row>
      <xdr:rowOff>78442</xdr:rowOff>
    </xdr:from>
    <xdr:to>
      <xdr:col>6</xdr:col>
      <xdr:colOff>268938</xdr:colOff>
      <xdr:row>9</xdr:row>
      <xdr:rowOff>176842</xdr:rowOff>
    </xdr:to>
    <mc:AlternateContent xmlns:mc="http://schemas.openxmlformats.org/markup-compatibility/2006" xmlns:a14="http://schemas.microsoft.com/office/drawing/2010/main">
      <mc:Choice Requires="a14">
        <xdr:graphicFrame macro="">
          <xdr:nvGraphicFramePr>
            <xdr:cNvPr id="20" name="Responsible Person 1">
              <a:extLst>
                <a:ext uri="{FF2B5EF4-FFF2-40B4-BE49-F238E27FC236}">
                  <a16:creationId xmlns:a16="http://schemas.microsoft.com/office/drawing/2014/main" id="{42711929-6ECD-430C-8256-545BD24F5045}"/>
                </a:ext>
              </a:extLst>
            </xdr:cNvPr>
            <xdr:cNvGraphicFramePr/>
          </xdr:nvGraphicFramePr>
          <xdr:xfrm>
            <a:off x="0" y="0"/>
            <a:ext cx="0" cy="0"/>
          </xdr:xfrm>
          <a:graphic>
            <a:graphicData uri="http://schemas.microsoft.com/office/drawing/2010/slicer">
              <sle:slicer xmlns:sle="http://schemas.microsoft.com/office/drawing/2010/slicer" name="Responsible Person 1"/>
            </a:graphicData>
          </a:graphic>
        </xdr:graphicFrame>
      </mc:Choice>
      <mc:Fallback xmlns="">
        <xdr:sp macro="" textlink="">
          <xdr:nvSpPr>
            <xdr:cNvPr id="0" name=""/>
            <xdr:cNvSpPr>
              <a:spLocks noTextEdit="1"/>
            </xdr:cNvSpPr>
          </xdr:nvSpPr>
          <xdr:spPr>
            <a:xfrm>
              <a:off x="2104829" y="819275"/>
              <a:ext cx="2513859" cy="860400"/>
            </a:xfrm>
            <a:prstGeom prst="rect">
              <a:avLst/>
            </a:prstGeom>
            <a:solidFill>
              <a:prstClr val="white"/>
            </a:solidFill>
            <a:ln w="1">
              <a:solidFill>
                <a:prstClr val="green"/>
              </a:solidFill>
            </a:ln>
          </xdr:spPr>
          <xdr:txBody>
            <a:bodyPr vertOverflow="clip" horzOverflow="clip"/>
            <a:lstStyle/>
            <a:p>
              <a:r>
                <a:rPr lang="tr-T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xdr:col>
      <xdr:colOff>95250</xdr:colOff>
      <xdr:row>5</xdr:row>
      <xdr:rowOff>78442</xdr:rowOff>
    </xdr:from>
    <xdr:to>
      <xdr:col>3</xdr:col>
      <xdr:colOff>324970</xdr:colOff>
      <xdr:row>9</xdr:row>
      <xdr:rowOff>176842</xdr:rowOff>
    </xdr:to>
    <mc:AlternateContent xmlns:mc="http://schemas.openxmlformats.org/markup-compatibility/2006" xmlns:a14="http://schemas.microsoft.com/office/drawing/2010/main">
      <mc:Choice Requires="a14">
        <xdr:graphicFrame macro="">
          <xdr:nvGraphicFramePr>
            <xdr:cNvPr id="21" name="Priority 1">
              <a:extLst>
                <a:ext uri="{FF2B5EF4-FFF2-40B4-BE49-F238E27FC236}">
                  <a16:creationId xmlns:a16="http://schemas.microsoft.com/office/drawing/2014/main" id="{8C665B5E-18F7-486E-B34C-544D034F9711}"/>
                </a:ext>
              </a:extLst>
            </xdr:cNvPr>
            <xdr:cNvGraphicFramePr/>
          </xdr:nvGraphicFramePr>
          <xdr:xfrm>
            <a:off x="0" y="0"/>
            <a:ext cx="0" cy="0"/>
          </xdr:xfrm>
          <a:graphic>
            <a:graphicData uri="http://schemas.microsoft.com/office/drawing/2010/slicer">
              <sle:slicer xmlns:sle="http://schemas.microsoft.com/office/drawing/2010/slicer" name="Priority 1"/>
            </a:graphicData>
          </a:graphic>
        </xdr:graphicFrame>
      </mc:Choice>
      <mc:Fallback xmlns="">
        <xdr:sp macro="" textlink="">
          <xdr:nvSpPr>
            <xdr:cNvPr id="0" name=""/>
            <xdr:cNvSpPr>
              <a:spLocks noTextEdit="1"/>
            </xdr:cNvSpPr>
          </xdr:nvSpPr>
          <xdr:spPr>
            <a:xfrm>
              <a:off x="338667" y="819275"/>
              <a:ext cx="1669053" cy="860400"/>
            </a:xfrm>
            <a:prstGeom prst="rect">
              <a:avLst/>
            </a:prstGeom>
            <a:solidFill>
              <a:prstClr val="white"/>
            </a:solidFill>
            <a:ln w="1">
              <a:solidFill>
                <a:prstClr val="green"/>
              </a:solidFill>
            </a:ln>
          </xdr:spPr>
          <xdr:txBody>
            <a:bodyPr vertOverflow="clip" horzOverflow="clip"/>
            <a:lstStyle/>
            <a:p>
              <a:r>
                <a:rPr lang="tr-T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8</xdr:col>
      <xdr:colOff>434539</xdr:colOff>
      <xdr:row>5</xdr:row>
      <xdr:rowOff>78442</xdr:rowOff>
    </xdr:from>
    <xdr:to>
      <xdr:col>10</xdr:col>
      <xdr:colOff>608010</xdr:colOff>
      <xdr:row>9</xdr:row>
      <xdr:rowOff>176842</xdr:rowOff>
    </xdr:to>
    <mc:AlternateContent xmlns:mc="http://schemas.openxmlformats.org/markup-compatibility/2006" xmlns:a14="http://schemas.microsoft.com/office/drawing/2010/main">
      <mc:Choice Requires="a14">
        <xdr:graphicFrame macro="">
          <xdr:nvGraphicFramePr>
            <xdr:cNvPr id="23" name="Task Start Date 1">
              <a:extLst>
                <a:ext uri="{FF2B5EF4-FFF2-40B4-BE49-F238E27FC236}">
                  <a16:creationId xmlns:a16="http://schemas.microsoft.com/office/drawing/2014/main" id="{70AC3C7D-BEBB-41B7-9007-A5D2F7DA482E}"/>
                </a:ext>
              </a:extLst>
            </xdr:cNvPr>
            <xdr:cNvGraphicFramePr/>
          </xdr:nvGraphicFramePr>
          <xdr:xfrm>
            <a:off x="0" y="0"/>
            <a:ext cx="0" cy="0"/>
          </xdr:xfrm>
          <a:graphic>
            <a:graphicData uri="http://schemas.microsoft.com/office/drawing/2010/slicer">
              <sle:slicer xmlns:sle="http://schemas.microsoft.com/office/drawing/2010/slicer" name="Task Start Date 1"/>
            </a:graphicData>
          </a:graphic>
        </xdr:graphicFrame>
      </mc:Choice>
      <mc:Fallback xmlns="">
        <xdr:sp macro="" textlink="">
          <xdr:nvSpPr>
            <xdr:cNvPr id="0" name=""/>
            <xdr:cNvSpPr>
              <a:spLocks noTextEdit="1"/>
            </xdr:cNvSpPr>
          </xdr:nvSpPr>
          <xdr:spPr>
            <a:xfrm>
              <a:off x="6562289" y="819275"/>
              <a:ext cx="1951471" cy="860400"/>
            </a:xfrm>
            <a:prstGeom prst="rect">
              <a:avLst/>
            </a:prstGeom>
            <a:solidFill>
              <a:prstClr val="white"/>
            </a:solidFill>
            <a:ln w="1">
              <a:solidFill>
                <a:prstClr val="green"/>
              </a:solidFill>
            </a:ln>
          </xdr:spPr>
          <xdr:txBody>
            <a:bodyPr vertOverflow="clip" horzOverflow="clip"/>
            <a:lstStyle/>
            <a:p>
              <a:r>
                <a:rPr lang="tr-T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10</xdr:col>
      <xdr:colOff>727136</xdr:colOff>
      <xdr:row>5</xdr:row>
      <xdr:rowOff>78442</xdr:rowOff>
    </xdr:from>
    <xdr:to>
      <xdr:col>13</xdr:col>
      <xdr:colOff>15342</xdr:colOff>
      <xdr:row>9</xdr:row>
      <xdr:rowOff>176842</xdr:rowOff>
    </xdr:to>
    <mc:AlternateContent xmlns:mc="http://schemas.openxmlformats.org/markup-compatibility/2006" xmlns:a14="http://schemas.microsoft.com/office/drawing/2010/main">
      <mc:Choice Requires="a14">
        <xdr:graphicFrame macro="">
          <xdr:nvGraphicFramePr>
            <xdr:cNvPr id="24" name="Task Due Date 1">
              <a:extLst>
                <a:ext uri="{FF2B5EF4-FFF2-40B4-BE49-F238E27FC236}">
                  <a16:creationId xmlns:a16="http://schemas.microsoft.com/office/drawing/2014/main" id="{AF1740CE-B7C5-493F-A8B4-954EFD4A300F}"/>
                </a:ext>
              </a:extLst>
            </xdr:cNvPr>
            <xdr:cNvGraphicFramePr/>
          </xdr:nvGraphicFramePr>
          <xdr:xfrm>
            <a:off x="0" y="0"/>
            <a:ext cx="0" cy="0"/>
          </xdr:xfrm>
          <a:graphic>
            <a:graphicData uri="http://schemas.microsoft.com/office/drawing/2010/slicer">
              <sle:slicer xmlns:sle="http://schemas.microsoft.com/office/drawing/2010/slicer" name="Task Due Date 1"/>
            </a:graphicData>
          </a:graphic>
        </xdr:graphicFrame>
      </mc:Choice>
      <mc:Fallback xmlns="">
        <xdr:sp macro="" textlink="">
          <xdr:nvSpPr>
            <xdr:cNvPr id="0" name=""/>
            <xdr:cNvSpPr>
              <a:spLocks noTextEdit="1"/>
            </xdr:cNvSpPr>
          </xdr:nvSpPr>
          <xdr:spPr>
            <a:xfrm>
              <a:off x="8632886" y="819275"/>
              <a:ext cx="1955206" cy="860400"/>
            </a:xfrm>
            <a:prstGeom prst="rect">
              <a:avLst/>
            </a:prstGeom>
            <a:solidFill>
              <a:prstClr val="white"/>
            </a:solidFill>
            <a:ln w="1">
              <a:solidFill>
                <a:prstClr val="green"/>
              </a:solidFill>
            </a:ln>
          </xdr:spPr>
          <xdr:txBody>
            <a:bodyPr vertOverflow="clip" horzOverflow="clip"/>
            <a:lstStyle/>
            <a:p>
              <a:r>
                <a:rPr lang="tr-T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13</xdr:col>
      <xdr:colOff>119340</xdr:colOff>
      <xdr:row>5</xdr:row>
      <xdr:rowOff>78442</xdr:rowOff>
    </xdr:from>
    <xdr:to>
      <xdr:col>14</xdr:col>
      <xdr:colOff>494075</xdr:colOff>
      <xdr:row>9</xdr:row>
      <xdr:rowOff>176842</xdr:rowOff>
    </xdr:to>
    <mc:AlternateContent xmlns:mc="http://schemas.openxmlformats.org/markup-compatibility/2006" xmlns:a14="http://schemas.microsoft.com/office/drawing/2010/main">
      <mc:Choice Requires="a14">
        <xdr:graphicFrame macro="">
          <xdr:nvGraphicFramePr>
            <xdr:cNvPr id="30" name="Overdue 1">
              <a:extLst>
                <a:ext uri="{FF2B5EF4-FFF2-40B4-BE49-F238E27FC236}">
                  <a16:creationId xmlns:a16="http://schemas.microsoft.com/office/drawing/2014/main" id="{C8AA9B51-F31B-4435-9710-AD42744E720F}"/>
                </a:ext>
              </a:extLst>
            </xdr:cNvPr>
            <xdr:cNvGraphicFramePr/>
          </xdr:nvGraphicFramePr>
          <xdr:xfrm>
            <a:off x="0" y="0"/>
            <a:ext cx="0" cy="0"/>
          </xdr:xfrm>
          <a:graphic>
            <a:graphicData uri="http://schemas.microsoft.com/office/drawing/2010/slicer">
              <sle:slicer xmlns:sle="http://schemas.microsoft.com/office/drawing/2010/slicer" name="Overdue 1"/>
            </a:graphicData>
          </a:graphic>
        </xdr:graphicFrame>
      </mc:Choice>
      <mc:Fallback xmlns="">
        <xdr:sp macro="" textlink="">
          <xdr:nvSpPr>
            <xdr:cNvPr id="0" name=""/>
            <xdr:cNvSpPr>
              <a:spLocks noTextEdit="1"/>
            </xdr:cNvSpPr>
          </xdr:nvSpPr>
          <xdr:spPr>
            <a:xfrm>
              <a:off x="10692090" y="819275"/>
              <a:ext cx="1263735" cy="860400"/>
            </a:xfrm>
            <a:prstGeom prst="rect">
              <a:avLst/>
            </a:prstGeom>
            <a:solidFill>
              <a:prstClr val="white"/>
            </a:solidFill>
            <a:ln w="1">
              <a:solidFill>
                <a:prstClr val="green"/>
              </a:solidFill>
            </a:ln>
          </xdr:spPr>
          <xdr:txBody>
            <a:bodyPr vertOverflow="clip" horzOverflow="clip"/>
            <a:lstStyle/>
            <a:p>
              <a:r>
                <a:rPr lang="tr-T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6</xdr:col>
      <xdr:colOff>403411</xdr:colOff>
      <xdr:row>5</xdr:row>
      <xdr:rowOff>78442</xdr:rowOff>
    </xdr:from>
    <xdr:to>
      <xdr:col>8</xdr:col>
      <xdr:colOff>313764</xdr:colOff>
      <xdr:row>9</xdr:row>
      <xdr:rowOff>176842</xdr:rowOff>
    </xdr:to>
    <mc:AlternateContent xmlns:mc="http://schemas.openxmlformats.org/markup-compatibility/2006" xmlns:a14="http://schemas.microsoft.com/office/drawing/2010/main">
      <mc:Choice Requires="a14">
        <xdr:graphicFrame macro="">
          <xdr:nvGraphicFramePr>
            <xdr:cNvPr id="31" name="Board">
              <a:extLst>
                <a:ext uri="{FF2B5EF4-FFF2-40B4-BE49-F238E27FC236}">
                  <a16:creationId xmlns:a16="http://schemas.microsoft.com/office/drawing/2014/main" id="{EE0F000B-1684-49B5-91E4-77DA99AD19AA}"/>
                </a:ext>
              </a:extLst>
            </xdr:cNvPr>
            <xdr:cNvGraphicFramePr/>
          </xdr:nvGraphicFramePr>
          <xdr:xfrm>
            <a:off x="0" y="0"/>
            <a:ext cx="0" cy="0"/>
          </xdr:xfrm>
          <a:graphic>
            <a:graphicData uri="http://schemas.microsoft.com/office/drawing/2010/slicer">
              <sle:slicer xmlns:sle="http://schemas.microsoft.com/office/drawing/2010/slicer" name="Board"/>
            </a:graphicData>
          </a:graphic>
        </xdr:graphicFrame>
      </mc:Choice>
      <mc:Fallback xmlns="">
        <xdr:sp macro="" textlink="">
          <xdr:nvSpPr>
            <xdr:cNvPr id="0" name=""/>
            <xdr:cNvSpPr>
              <a:spLocks noTextEdit="1"/>
            </xdr:cNvSpPr>
          </xdr:nvSpPr>
          <xdr:spPr>
            <a:xfrm>
              <a:off x="4753161" y="819275"/>
              <a:ext cx="1688353" cy="860400"/>
            </a:xfrm>
            <a:prstGeom prst="rect">
              <a:avLst/>
            </a:prstGeom>
            <a:solidFill>
              <a:prstClr val="white"/>
            </a:solidFill>
            <a:ln w="1">
              <a:solidFill>
                <a:prstClr val="green"/>
              </a:solidFill>
            </a:ln>
          </xdr:spPr>
          <xdr:txBody>
            <a:bodyPr vertOverflow="clip" horzOverflow="clip"/>
            <a:lstStyle/>
            <a:p>
              <a:r>
                <a:rPr lang="tr-T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xdr:col>
      <xdr:colOff>84667</xdr:colOff>
      <xdr:row>25</xdr:row>
      <xdr:rowOff>137585</xdr:rowOff>
    </xdr:from>
    <xdr:to>
      <xdr:col>4</xdr:col>
      <xdr:colOff>862854</xdr:colOff>
      <xdr:row>38</xdr:row>
      <xdr:rowOff>74083</xdr:rowOff>
    </xdr:to>
    <xdr:graphicFrame macro="">
      <xdr:nvGraphicFramePr>
        <xdr:cNvPr id="32" name="Chart 31">
          <a:extLst>
            <a:ext uri="{FF2B5EF4-FFF2-40B4-BE49-F238E27FC236}">
              <a16:creationId xmlns:a16="http://schemas.microsoft.com/office/drawing/2014/main" id="{A9B39962-790A-411E-86A3-6104AD93BE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5</xdr:col>
      <xdr:colOff>476251</xdr:colOff>
      <xdr:row>1</xdr:row>
      <xdr:rowOff>95250</xdr:rowOff>
    </xdr:from>
    <xdr:to>
      <xdr:col>6</xdr:col>
      <xdr:colOff>505640</xdr:colOff>
      <xdr:row>2</xdr:row>
      <xdr:rowOff>220641</xdr:rowOff>
    </xdr:to>
    <xdr:sp macro="" textlink="">
      <xdr:nvSpPr>
        <xdr:cNvPr id="26" name="Rectangle: Rounded Corners 25">
          <a:hlinkClick xmlns:r="http://schemas.openxmlformats.org/officeDocument/2006/relationships" r:id="rId9" tooltip="Kanban Board"/>
          <a:extLst>
            <a:ext uri="{FF2B5EF4-FFF2-40B4-BE49-F238E27FC236}">
              <a16:creationId xmlns:a16="http://schemas.microsoft.com/office/drawing/2014/main" id="{7BA25948-5424-4E8E-84C8-221FCFEC85F5}"/>
            </a:ext>
          </a:extLst>
        </xdr:cNvPr>
        <xdr:cNvSpPr/>
      </xdr:nvSpPr>
      <xdr:spPr>
        <a:xfrm>
          <a:off x="3937001" y="179917"/>
          <a:ext cx="918389" cy="368807"/>
        </a:xfrm>
        <a:prstGeom prst="roundRect">
          <a:avLst/>
        </a:prstGeom>
        <a:solidFill>
          <a:schemeClr val="tx2">
            <a:lumMod val="60000"/>
            <a:lumOff val="4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lIns="0" tIns="0" rIns="0" bIns="0" rtlCol="0" anchor="ctr"/>
        <a:lstStyle/>
        <a:p>
          <a:pPr marL="0" indent="0" algn="ctr"/>
          <a:r>
            <a:rPr lang="en-US" sz="1100" b="1">
              <a:solidFill>
                <a:schemeClr val="lt1"/>
              </a:solidFill>
              <a:effectLst>
                <a:outerShdw blurRad="50800" dist="38100" dir="13500000" algn="br" rotWithShape="0">
                  <a:prstClr val="black">
                    <a:alpha val="40000"/>
                  </a:prstClr>
                </a:outerShdw>
              </a:effectLst>
              <a:latin typeface="+mn-lt"/>
              <a:ea typeface="+mn-ea"/>
              <a:cs typeface="+mn-cs"/>
            </a:rPr>
            <a:t>KANBAN</a:t>
          </a:r>
          <a:endParaRPr lang="tr-TR" sz="1100" b="1">
            <a:solidFill>
              <a:schemeClr val="lt1"/>
            </a:solidFill>
            <a:effectLst>
              <a:outerShdw blurRad="50800" dist="38100" dir="13500000" algn="br" rotWithShape="0">
                <a:prstClr val="black">
                  <a:alpha val="40000"/>
                </a:prstClr>
              </a:outerShdw>
            </a:effectLst>
            <a:latin typeface="+mn-lt"/>
            <a:ea typeface="+mn-ea"/>
            <a:cs typeface="+mn-cs"/>
          </a:endParaRPr>
        </a:p>
      </xdr:txBody>
    </xdr:sp>
    <xdr:clientData/>
  </xdr:twoCellAnchor>
  <xdr:twoCellAnchor editAs="oneCell">
    <xdr:from>
      <xdr:col>8</xdr:col>
      <xdr:colOff>95987</xdr:colOff>
      <xdr:row>1</xdr:row>
      <xdr:rowOff>95250</xdr:rowOff>
    </xdr:from>
    <xdr:to>
      <xdr:col>9</xdr:col>
      <xdr:colOff>125999</xdr:colOff>
      <xdr:row>2</xdr:row>
      <xdr:rowOff>220641</xdr:rowOff>
    </xdr:to>
    <xdr:sp macro="" textlink="">
      <xdr:nvSpPr>
        <xdr:cNvPr id="27" name="Rectangle: Rounded Corners 26">
          <a:hlinkClick xmlns:r="http://schemas.openxmlformats.org/officeDocument/2006/relationships" r:id="rId10" tooltip="Database"/>
          <a:extLst>
            <a:ext uri="{FF2B5EF4-FFF2-40B4-BE49-F238E27FC236}">
              <a16:creationId xmlns:a16="http://schemas.microsoft.com/office/drawing/2014/main" id="{D804D175-1A1A-4FAD-9CB7-2251E2977A54}"/>
            </a:ext>
          </a:extLst>
        </xdr:cNvPr>
        <xdr:cNvSpPr/>
      </xdr:nvSpPr>
      <xdr:spPr>
        <a:xfrm>
          <a:off x="6223737" y="179917"/>
          <a:ext cx="919012" cy="368807"/>
        </a:xfrm>
        <a:prstGeom prst="roundRect">
          <a:avLst/>
        </a:prstGeom>
        <a:solidFill>
          <a:schemeClr val="tx2">
            <a:lumMod val="60000"/>
            <a:lumOff val="4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lIns="0" tIns="0" rIns="0" bIns="0" rtlCol="0" anchor="ctr"/>
        <a:lstStyle/>
        <a:p>
          <a:pPr marL="0" indent="0" algn="ctr"/>
          <a:r>
            <a:rPr lang="en-US" sz="1100" b="1">
              <a:solidFill>
                <a:schemeClr val="lt1"/>
              </a:solidFill>
              <a:effectLst>
                <a:outerShdw blurRad="50800" dist="38100" dir="13500000" algn="br" rotWithShape="0">
                  <a:prstClr val="black">
                    <a:alpha val="40000"/>
                  </a:prstClr>
                </a:outerShdw>
              </a:effectLst>
              <a:latin typeface="+mn-lt"/>
              <a:ea typeface="+mn-ea"/>
              <a:cs typeface="+mn-cs"/>
            </a:rPr>
            <a:t>DATABASE</a:t>
          </a:r>
          <a:endParaRPr lang="tr-TR" sz="1100" b="1">
            <a:solidFill>
              <a:schemeClr val="lt1"/>
            </a:solidFill>
            <a:effectLst>
              <a:outerShdw blurRad="50800" dist="38100" dir="13500000" algn="br" rotWithShape="0">
                <a:prstClr val="black">
                  <a:alpha val="40000"/>
                </a:prstClr>
              </a:outerShdw>
            </a:effectLst>
            <a:latin typeface="+mn-lt"/>
            <a:ea typeface="+mn-ea"/>
            <a:cs typeface="+mn-cs"/>
          </a:endParaRPr>
        </a:p>
      </xdr:txBody>
    </xdr:sp>
    <xdr:clientData/>
  </xdr:twoCellAnchor>
  <xdr:twoCellAnchor editAs="oneCell">
    <xdr:from>
      <xdr:col>9</xdr:col>
      <xdr:colOff>350978</xdr:colOff>
      <xdr:row>1</xdr:row>
      <xdr:rowOff>95250</xdr:rowOff>
    </xdr:from>
    <xdr:to>
      <xdr:col>10</xdr:col>
      <xdr:colOff>372898</xdr:colOff>
      <xdr:row>2</xdr:row>
      <xdr:rowOff>220641</xdr:rowOff>
    </xdr:to>
    <xdr:sp macro="" textlink="">
      <xdr:nvSpPr>
        <xdr:cNvPr id="28" name="Rectangle: Rounded Corners 27">
          <a:hlinkClick xmlns:r="http://schemas.openxmlformats.org/officeDocument/2006/relationships" r:id="rId11" tooltip="Settings"/>
          <a:extLst>
            <a:ext uri="{FF2B5EF4-FFF2-40B4-BE49-F238E27FC236}">
              <a16:creationId xmlns:a16="http://schemas.microsoft.com/office/drawing/2014/main" id="{4E152E43-39FA-4AA2-B785-E016B69854A3}"/>
            </a:ext>
          </a:extLst>
        </xdr:cNvPr>
        <xdr:cNvSpPr/>
      </xdr:nvSpPr>
      <xdr:spPr>
        <a:xfrm>
          <a:off x="7367728" y="179917"/>
          <a:ext cx="910920" cy="368807"/>
        </a:xfrm>
        <a:prstGeom prst="roundRect">
          <a:avLst/>
        </a:prstGeom>
        <a:solidFill>
          <a:schemeClr val="tx2">
            <a:lumMod val="60000"/>
            <a:lumOff val="4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lIns="0" tIns="0" rIns="0" bIns="0" rtlCol="0" anchor="ctr"/>
        <a:lstStyle/>
        <a:p>
          <a:pPr marL="0" indent="0" algn="ctr"/>
          <a:r>
            <a:rPr lang="en-US" sz="1100" b="1">
              <a:solidFill>
                <a:schemeClr val="lt1"/>
              </a:solidFill>
              <a:effectLst>
                <a:outerShdw blurRad="50800" dist="38100" dir="13500000" algn="br" rotWithShape="0">
                  <a:prstClr val="black">
                    <a:alpha val="40000"/>
                  </a:prstClr>
                </a:outerShdw>
              </a:effectLst>
              <a:latin typeface="+mn-lt"/>
              <a:ea typeface="+mn-ea"/>
              <a:cs typeface="+mn-cs"/>
            </a:rPr>
            <a:t>SETTINGS</a:t>
          </a:r>
          <a:endParaRPr lang="tr-TR" sz="1100" b="1">
            <a:solidFill>
              <a:schemeClr val="lt1"/>
            </a:solidFill>
            <a:effectLst>
              <a:outerShdw blurRad="50800" dist="38100" dir="13500000" algn="br" rotWithShape="0">
                <a:prstClr val="black">
                  <a:alpha val="40000"/>
                </a:prstClr>
              </a:outerShdw>
            </a:effectLst>
            <a:latin typeface="+mn-lt"/>
            <a:ea typeface="+mn-ea"/>
            <a:cs typeface="+mn-cs"/>
          </a:endParaRPr>
        </a:p>
      </xdr:txBody>
    </xdr:sp>
    <xdr:clientData/>
  </xdr:twoCellAnchor>
  <xdr:twoCellAnchor editAs="oneCell">
    <xdr:from>
      <xdr:col>6</xdr:col>
      <xdr:colOff>730619</xdr:colOff>
      <xdr:row>1</xdr:row>
      <xdr:rowOff>95250</xdr:rowOff>
    </xdr:from>
    <xdr:to>
      <xdr:col>7</xdr:col>
      <xdr:colOff>760008</xdr:colOff>
      <xdr:row>2</xdr:row>
      <xdr:rowOff>220641</xdr:rowOff>
    </xdr:to>
    <xdr:sp macro="" textlink="">
      <xdr:nvSpPr>
        <xdr:cNvPr id="29" name="Rectangle: Rounded Corners 28">
          <a:hlinkClick xmlns:r="http://schemas.openxmlformats.org/officeDocument/2006/relationships" r:id="rId12" tooltip="Dashboard"/>
          <a:extLst>
            <a:ext uri="{FF2B5EF4-FFF2-40B4-BE49-F238E27FC236}">
              <a16:creationId xmlns:a16="http://schemas.microsoft.com/office/drawing/2014/main" id="{83ABE0B7-3AC3-406D-A261-6A1715920D79}"/>
            </a:ext>
          </a:extLst>
        </xdr:cNvPr>
        <xdr:cNvSpPr/>
      </xdr:nvSpPr>
      <xdr:spPr>
        <a:xfrm>
          <a:off x="5080369" y="179917"/>
          <a:ext cx="918389" cy="368807"/>
        </a:xfrm>
        <a:prstGeom prst="roundRect">
          <a:avLst/>
        </a:prstGeom>
        <a:solidFill>
          <a:srgbClr val="3B485B"/>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lIns="0" tIns="0" rIns="0" bIns="0" rtlCol="0" anchor="ctr"/>
        <a:lstStyle/>
        <a:p>
          <a:pPr marL="0" indent="0" algn="ctr"/>
          <a:r>
            <a:rPr lang="en-US" sz="1100" b="1">
              <a:solidFill>
                <a:schemeClr val="lt1"/>
              </a:solidFill>
              <a:effectLst>
                <a:outerShdw blurRad="50800" dist="38100" dir="13500000" algn="br" rotWithShape="0">
                  <a:prstClr val="black">
                    <a:alpha val="40000"/>
                  </a:prstClr>
                </a:outerShdw>
              </a:effectLst>
              <a:latin typeface="+mn-lt"/>
              <a:ea typeface="+mn-ea"/>
              <a:cs typeface="+mn-cs"/>
            </a:rPr>
            <a:t>DASHBOARD</a:t>
          </a:r>
        </a:p>
      </xdr:txBody>
    </xdr:sp>
    <xdr:clientData/>
  </xdr:twoCellAnchor>
  <xdr:twoCellAnchor editAs="oneCell">
    <xdr:from>
      <xdr:col>10</xdr:col>
      <xdr:colOff>536222</xdr:colOff>
      <xdr:row>1</xdr:row>
      <xdr:rowOff>98778</xdr:rowOff>
    </xdr:from>
    <xdr:to>
      <xdr:col>11</xdr:col>
      <xdr:colOff>684388</xdr:colOff>
      <xdr:row>2</xdr:row>
      <xdr:rowOff>224169</xdr:rowOff>
    </xdr:to>
    <xdr:sp macro="[0]!S_Refresh" textlink="">
      <xdr:nvSpPr>
        <xdr:cNvPr id="22" name="Rectangle: Rounded Corners 21">
          <a:hlinkClick xmlns:r="http://schemas.openxmlformats.org/officeDocument/2006/relationships" r:id="rId13" tooltip="Settings"/>
          <a:extLst>
            <a:ext uri="{FF2B5EF4-FFF2-40B4-BE49-F238E27FC236}">
              <a16:creationId xmlns:a16="http://schemas.microsoft.com/office/drawing/2014/main" id="{75B22F0E-EF7A-4967-939A-1A53F50591BA}"/>
            </a:ext>
          </a:extLst>
        </xdr:cNvPr>
        <xdr:cNvSpPr/>
      </xdr:nvSpPr>
      <xdr:spPr>
        <a:xfrm flipH="1">
          <a:off x="8770055" y="183445"/>
          <a:ext cx="1072444" cy="379391"/>
        </a:xfrm>
        <a:prstGeom prst="roundRect">
          <a:avLst/>
        </a:prstGeom>
        <a:solidFill>
          <a:schemeClr val="tx2">
            <a:lumMod val="60000"/>
            <a:lumOff val="4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lIns="0" tIns="0" rIns="0" bIns="0" rtlCol="0" anchor="ctr"/>
        <a:lstStyle/>
        <a:p>
          <a:pPr marL="0" indent="0" algn="ctr"/>
          <a:r>
            <a:rPr lang="en-US" sz="1100" b="1">
              <a:solidFill>
                <a:schemeClr val="lt1"/>
              </a:solidFill>
              <a:effectLst>
                <a:outerShdw blurRad="50800" dist="38100" dir="13500000" algn="br" rotWithShape="0">
                  <a:prstClr val="black">
                    <a:alpha val="40000"/>
                  </a:prstClr>
                </a:outerShdw>
              </a:effectLst>
              <a:latin typeface="+mn-lt"/>
              <a:ea typeface="+mn-ea"/>
              <a:cs typeface="+mn-cs"/>
            </a:rPr>
            <a:t>ToDo</a:t>
          </a:r>
          <a:endParaRPr lang="tr-TR" sz="1100" b="1">
            <a:solidFill>
              <a:schemeClr val="lt1"/>
            </a:solidFill>
            <a:effectLst>
              <a:outerShdw blurRad="50800" dist="38100" dir="13500000" algn="br" rotWithShape="0">
                <a:prstClr val="black">
                  <a:alpha val="40000"/>
                </a:prstClr>
              </a:outerShdw>
            </a:effectLst>
            <a:latin typeface="+mn-lt"/>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53786</xdr:colOff>
      <xdr:row>503</xdr:row>
      <xdr:rowOff>30818</xdr:rowOff>
    </xdr:from>
    <xdr:to>
      <xdr:col>1</xdr:col>
      <xdr:colOff>126554</xdr:colOff>
      <xdr:row>503</xdr:row>
      <xdr:rowOff>239396</xdr:rowOff>
    </xdr:to>
    <xdr:sp macro="" textlink="">
      <xdr:nvSpPr>
        <xdr:cNvPr id="3" name="termsbox">
          <a:hlinkClick xmlns:r="http://schemas.openxmlformats.org/officeDocument/2006/relationships" r:id="rId1" tooltip="Terms of Use"/>
          <a:extLst>
            <a:ext uri="{FF2B5EF4-FFF2-40B4-BE49-F238E27FC236}">
              <a16:creationId xmlns:a16="http://schemas.microsoft.com/office/drawing/2014/main" id="{3B267320-C200-47BE-AE5B-E4F270CADF20}"/>
            </a:ext>
          </a:extLst>
        </xdr:cNvPr>
        <xdr:cNvSpPr/>
      </xdr:nvSpPr>
      <xdr:spPr>
        <a:xfrm>
          <a:off x="314842" y="7439151"/>
          <a:ext cx="72768" cy="20857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36000" tIns="18000" rIns="36000" bIns="18000" rtlCol="0" anchor="t">
          <a:spAutoFit/>
        </a:bodyPr>
        <a:lstStyle/>
        <a:p>
          <a:pPr algn="l"/>
          <a:endParaRPr lang="tr-TR" sz="1100" i="1" u="sng">
            <a:solidFill>
              <a:schemeClr val="bg1">
                <a:lumMod val="95000"/>
              </a:schemeClr>
            </a:solidFill>
          </a:endParaRPr>
        </a:p>
      </xdr:txBody>
    </xdr:sp>
    <xdr:clientData fPrintsWithSheet="0"/>
  </xdr:twoCellAnchor>
  <xdr:twoCellAnchor editAs="oneCell">
    <xdr:from>
      <xdr:col>12</xdr:col>
      <xdr:colOff>1521320</xdr:colOff>
      <xdr:row>503</xdr:row>
      <xdr:rowOff>35859</xdr:rowOff>
    </xdr:from>
    <xdr:to>
      <xdr:col>12</xdr:col>
      <xdr:colOff>1594088</xdr:colOff>
      <xdr:row>503</xdr:row>
      <xdr:rowOff>244437</xdr:rowOff>
    </xdr:to>
    <xdr:sp macro="" textlink="">
      <xdr:nvSpPr>
        <xdr:cNvPr id="4" name="devbysom">
          <a:hlinkClick xmlns:r="http://schemas.openxmlformats.org/officeDocument/2006/relationships" r:id="rId2" tooltip="Someka Excel Solutions"/>
          <a:extLst>
            <a:ext uri="{FF2B5EF4-FFF2-40B4-BE49-F238E27FC236}">
              <a16:creationId xmlns:a16="http://schemas.microsoft.com/office/drawing/2014/main" id="{5E40F098-75EE-4436-8FFB-62DE82C2DFB8}"/>
            </a:ext>
          </a:extLst>
        </xdr:cNvPr>
        <xdr:cNvSpPr/>
      </xdr:nvSpPr>
      <xdr:spPr>
        <a:xfrm>
          <a:off x="15568931" y="7444192"/>
          <a:ext cx="72768" cy="20857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36000" tIns="18000" rIns="36000" bIns="18000" rtlCol="0" anchor="t">
          <a:spAutoFit/>
        </a:bodyPr>
        <a:lstStyle/>
        <a:p>
          <a:pPr algn="l"/>
          <a:endParaRPr lang="tr-TR" sz="1100" i="1" u="none">
            <a:solidFill>
              <a:schemeClr val="bg1">
                <a:lumMod val="95000"/>
              </a:schemeClr>
            </a:solidFill>
          </a:endParaRPr>
        </a:p>
      </xdr:txBody>
    </xdr:sp>
    <xdr:clientData/>
  </xdr:twoCellAnchor>
  <xdr:twoCellAnchor editAs="oneCell">
    <xdr:from>
      <xdr:col>1</xdr:col>
      <xdr:colOff>196021</xdr:colOff>
      <xdr:row>1</xdr:row>
      <xdr:rowOff>95249</xdr:rowOff>
    </xdr:from>
    <xdr:to>
      <xdr:col>2</xdr:col>
      <xdr:colOff>288243</xdr:colOff>
      <xdr:row>2</xdr:row>
      <xdr:rowOff>222748</xdr:rowOff>
    </xdr:to>
    <xdr:pic>
      <xdr:nvPicPr>
        <xdr:cNvPr id="6" name="mainicon">
          <a:extLst>
            <a:ext uri="{FF2B5EF4-FFF2-40B4-BE49-F238E27FC236}">
              <a16:creationId xmlns:a16="http://schemas.microsoft.com/office/drawing/2014/main" id="{D1795836-CE97-4999-B0FD-B50E0062E0C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457077" y="179916"/>
          <a:ext cx="381499" cy="381499"/>
        </a:xfrm>
        <a:prstGeom prst="rect">
          <a:avLst/>
        </a:prstGeom>
        <a:effectLst>
          <a:outerShdw blurRad="63500" sx="102000" sy="102000" algn="ctr" rotWithShape="0">
            <a:prstClr val="black">
              <a:alpha val="40000"/>
            </a:prstClr>
          </a:outerShdw>
        </a:effectLst>
      </xdr:spPr>
    </xdr:pic>
    <xdr:clientData/>
  </xdr:twoCellAnchor>
  <xdr:twoCellAnchor editAs="oneCell">
    <xdr:from>
      <xdr:col>3</xdr:col>
      <xdr:colOff>869709</xdr:colOff>
      <xdr:row>1</xdr:row>
      <xdr:rowOff>100854</xdr:rowOff>
    </xdr:from>
    <xdr:to>
      <xdr:col>3</xdr:col>
      <xdr:colOff>1788098</xdr:colOff>
      <xdr:row>2</xdr:row>
      <xdr:rowOff>223132</xdr:rowOff>
    </xdr:to>
    <xdr:sp macro="" textlink="">
      <xdr:nvSpPr>
        <xdr:cNvPr id="15" name="Rectangle: Rounded Corners 14">
          <a:hlinkClick xmlns:r="http://schemas.openxmlformats.org/officeDocument/2006/relationships" r:id="rId4" tooltip="Kanban Board"/>
          <a:extLst>
            <a:ext uri="{FF2B5EF4-FFF2-40B4-BE49-F238E27FC236}">
              <a16:creationId xmlns:a16="http://schemas.microsoft.com/office/drawing/2014/main" id="{47637238-E53B-45C6-BA53-54DF19AB0915}"/>
            </a:ext>
          </a:extLst>
        </xdr:cNvPr>
        <xdr:cNvSpPr/>
      </xdr:nvSpPr>
      <xdr:spPr>
        <a:xfrm>
          <a:off x="3536709" y="185521"/>
          <a:ext cx="918389" cy="365694"/>
        </a:xfrm>
        <a:prstGeom prst="roundRect">
          <a:avLst/>
        </a:prstGeom>
        <a:solidFill>
          <a:schemeClr val="tx2">
            <a:lumMod val="60000"/>
            <a:lumOff val="4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lIns="0" tIns="0" rIns="0" bIns="0" rtlCol="0" anchor="ctr"/>
        <a:lstStyle/>
        <a:p>
          <a:pPr marL="0" indent="0" algn="ctr"/>
          <a:r>
            <a:rPr lang="en-US" sz="1100" b="1">
              <a:solidFill>
                <a:schemeClr val="lt1"/>
              </a:solidFill>
              <a:effectLst>
                <a:outerShdw blurRad="50800" dist="38100" dir="13500000" algn="br" rotWithShape="0">
                  <a:prstClr val="black">
                    <a:alpha val="40000"/>
                  </a:prstClr>
                </a:outerShdw>
              </a:effectLst>
              <a:latin typeface="+mn-lt"/>
              <a:ea typeface="+mn-ea"/>
              <a:cs typeface="+mn-cs"/>
            </a:rPr>
            <a:t>KANBAN</a:t>
          </a:r>
          <a:endParaRPr lang="tr-TR" sz="1100" b="1">
            <a:solidFill>
              <a:schemeClr val="lt1"/>
            </a:solidFill>
            <a:effectLst>
              <a:outerShdw blurRad="50800" dist="38100" dir="13500000" algn="br" rotWithShape="0">
                <a:prstClr val="black">
                  <a:alpha val="40000"/>
                </a:prstClr>
              </a:outerShdw>
            </a:effectLst>
            <a:latin typeface="+mn-lt"/>
            <a:ea typeface="+mn-ea"/>
            <a:cs typeface="+mn-cs"/>
          </a:endParaRPr>
        </a:p>
      </xdr:txBody>
    </xdr:sp>
    <xdr:clientData/>
  </xdr:twoCellAnchor>
  <xdr:twoCellAnchor editAs="oneCell">
    <xdr:from>
      <xdr:col>5</xdr:col>
      <xdr:colOff>247538</xdr:colOff>
      <xdr:row>1</xdr:row>
      <xdr:rowOff>100854</xdr:rowOff>
    </xdr:from>
    <xdr:to>
      <xdr:col>6</xdr:col>
      <xdr:colOff>313658</xdr:colOff>
      <xdr:row>2</xdr:row>
      <xdr:rowOff>223132</xdr:rowOff>
    </xdr:to>
    <xdr:sp macro="" textlink="">
      <xdr:nvSpPr>
        <xdr:cNvPr id="16" name="Rectangle: Rounded Corners 15">
          <a:hlinkClick xmlns:r="http://schemas.openxmlformats.org/officeDocument/2006/relationships" r:id="rId5" tooltip="Database"/>
          <a:extLst>
            <a:ext uri="{FF2B5EF4-FFF2-40B4-BE49-F238E27FC236}">
              <a16:creationId xmlns:a16="http://schemas.microsoft.com/office/drawing/2014/main" id="{F3ABED8D-5A8B-49BF-BB9E-52025EC0A401}"/>
            </a:ext>
          </a:extLst>
        </xdr:cNvPr>
        <xdr:cNvSpPr/>
      </xdr:nvSpPr>
      <xdr:spPr>
        <a:xfrm>
          <a:off x="5867288" y="185521"/>
          <a:ext cx="923370" cy="365694"/>
        </a:xfrm>
        <a:prstGeom prst="roundRect">
          <a:avLst/>
        </a:prstGeom>
        <a:solidFill>
          <a:srgbClr val="3B485B"/>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lIns="0" tIns="0" rIns="0" bIns="0" rtlCol="0" anchor="ctr"/>
        <a:lstStyle/>
        <a:p>
          <a:pPr marL="0" indent="0" algn="ctr"/>
          <a:r>
            <a:rPr lang="en-US" sz="1100" b="1">
              <a:solidFill>
                <a:schemeClr val="lt1"/>
              </a:solidFill>
              <a:effectLst>
                <a:outerShdw blurRad="50800" dist="38100" dir="13500000" algn="br" rotWithShape="0">
                  <a:prstClr val="black">
                    <a:alpha val="40000"/>
                  </a:prstClr>
                </a:outerShdw>
              </a:effectLst>
              <a:latin typeface="+mn-lt"/>
              <a:ea typeface="+mn-ea"/>
              <a:cs typeface="+mn-cs"/>
            </a:rPr>
            <a:t>DATABASE</a:t>
          </a:r>
          <a:endParaRPr lang="tr-TR" sz="1100" b="1">
            <a:solidFill>
              <a:schemeClr val="lt1"/>
            </a:solidFill>
            <a:effectLst>
              <a:outerShdw blurRad="50800" dist="38100" dir="13500000" algn="br" rotWithShape="0">
                <a:prstClr val="black">
                  <a:alpha val="40000"/>
                </a:prstClr>
              </a:outerShdw>
            </a:effectLst>
            <a:latin typeface="+mn-lt"/>
            <a:ea typeface="+mn-ea"/>
            <a:cs typeface="+mn-cs"/>
          </a:endParaRPr>
        </a:p>
      </xdr:txBody>
    </xdr:sp>
    <xdr:clientData/>
  </xdr:twoCellAnchor>
  <xdr:twoCellAnchor editAs="oneCell">
    <xdr:from>
      <xdr:col>6</xdr:col>
      <xdr:colOff>555797</xdr:colOff>
      <xdr:row>1</xdr:row>
      <xdr:rowOff>100854</xdr:rowOff>
    </xdr:from>
    <xdr:to>
      <xdr:col>6</xdr:col>
      <xdr:colOff>1461114</xdr:colOff>
      <xdr:row>2</xdr:row>
      <xdr:rowOff>223132</xdr:rowOff>
    </xdr:to>
    <xdr:sp macro="" textlink="">
      <xdr:nvSpPr>
        <xdr:cNvPr id="17" name="Rectangle: Rounded Corners 16">
          <a:hlinkClick xmlns:r="http://schemas.openxmlformats.org/officeDocument/2006/relationships" r:id="rId6" tooltip="Settings"/>
          <a:extLst>
            <a:ext uri="{FF2B5EF4-FFF2-40B4-BE49-F238E27FC236}">
              <a16:creationId xmlns:a16="http://schemas.microsoft.com/office/drawing/2014/main" id="{FEAC1BF5-34AC-4301-8EC8-B0799DE864B5}"/>
            </a:ext>
          </a:extLst>
        </xdr:cNvPr>
        <xdr:cNvSpPr/>
      </xdr:nvSpPr>
      <xdr:spPr>
        <a:xfrm>
          <a:off x="7032797" y="185521"/>
          <a:ext cx="905317" cy="365694"/>
        </a:xfrm>
        <a:prstGeom prst="roundRect">
          <a:avLst/>
        </a:prstGeom>
        <a:solidFill>
          <a:schemeClr val="tx2">
            <a:lumMod val="60000"/>
            <a:lumOff val="4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lIns="0" tIns="0" rIns="0" bIns="0" rtlCol="0" anchor="ctr"/>
        <a:lstStyle/>
        <a:p>
          <a:pPr marL="0" indent="0" algn="ctr"/>
          <a:r>
            <a:rPr lang="en-US" sz="1100" b="1">
              <a:solidFill>
                <a:schemeClr val="lt1"/>
              </a:solidFill>
              <a:effectLst>
                <a:outerShdw blurRad="50800" dist="38100" dir="13500000" algn="br" rotWithShape="0">
                  <a:prstClr val="black">
                    <a:alpha val="40000"/>
                  </a:prstClr>
                </a:outerShdw>
              </a:effectLst>
              <a:latin typeface="+mn-lt"/>
              <a:ea typeface="+mn-ea"/>
              <a:cs typeface="+mn-cs"/>
            </a:rPr>
            <a:t>SETTINGS</a:t>
          </a:r>
          <a:endParaRPr lang="tr-TR" sz="1100" b="1">
            <a:solidFill>
              <a:schemeClr val="lt1"/>
            </a:solidFill>
            <a:effectLst>
              <a:outerShdw blurRad="50800" dist="38100" dir="13500000" algn="br" rotWithShape="0">
                <a:prstClr val="black">
                  <a:alpha val="40000"/>
                </a:prstClr>
              </a:outerShdw>
            </a:effectLst>
            <a:latin typeface="+mn-lt"/>
            <a:ea typeface="+mn-ea"/>
            <a:cs typeface="+mn-cs"/>
          </a:endParaRPr>
        </a:p>
      </xdr:txBody>
    </xdr:sp>
    <xdr:clientData/>
  </xdr:twoCellAnchor>
  <xdr:twoCellAnchor editAs="oneCell">
    <xdr:from>
      <xdr:col>3</xdr:col>
      <xdr:colOff>2030236</xdr:colOff>
      <xdr:row>1</xdr:row>
      <xdr:rowOff>100854</xdr:rowOff>
    </xdr:from>
    <xdr:to>
      <xdr:col>5</xdr:col>
      <xdr:colOff>5400</xdr:colOff>
      <xdr:row>2</xdr:row>
      <xdr:rowOff>223132</xdr:rowOff>
    </xdr:to>
    <xdr:sp macro="" textlink="">
      <xdr:nvSpPr>
        <xdr:cNvPr id="18" name="Rectangle: Rounded Corners 17">
          <a:hlinkClick xmlns:r="http://schemas.openxmlformats.org/officeDocument/2006/relationships" r:id="rId7" tooltip="Dashboard"/>
          <a:extLst>
            <a:ext uri="{FF2B5EF4-FFF2-40B4-BE49-F238E27FC236}">
              <a16:creationId xmlns:a16="http://schemas.microsoft.com/office/drawing/2014/main" id="{CE66DD58-F3A6-4202-9D48-F3B14D648B44}"/>
            </a:ext>
          </a:extLst>
        </xdr:cNvPr>
        <xdr:cNvSpPr/>
      </xdr:nvSpPr>
      <xdr:spPr>
        <a:xfrm>
          <a:off x="4697236" y="185521"/>
          <a:ext cx="927914" cy="365694"/>
        </a:xfrm>
        <a:prstGeom prst="roundRect">
          <a:avLst/>
        </a:prstGeom>
        <a:solidFill>
          <a:schemeClr val="tx2">
            <a:lumMod val="60000"/>
            <a:lumOff val="4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lIns="0" tIns="0" rIns="0" bIns="0" rtlCol="0" anchor="ctr"/>
        <a:lstStyle/>
        <a:p>
          <a:pPr marL="0" indent="0" algn="ctr"/>
          <a:r>
            <a:rPr lang="en-US" sz="1100" b="1">
              <a:solidFill>
                <a:schemeClr val="lt1"/>
              </a:solidFill>
              <a:effectLst>
                <a:outerShdw blurRad="50800" dist="38100" dir="13500000" algn="br" rotWithShape="0">
                  <a:prstClr val="black">
                    <a:alpha val="40000"/>
                  </a:prstClr>
                </a:outerShdw>
              </a:effectLst>
              <a:latin typeface="+mn-lt"/>
              <a:ea typeface="+mn-ea"/>
              <a:cs typeface="+mn-cs"/>
            </a:rPr>
            <a:t>DASHBOARD</a:t>
          </a:r>
        </a:p>
      </xdr:txBody>
    </xdr:sp>
    <xdr:clientData/>
  </xdr:twoCellAnchor>
  <xdr:twoCellAnchor editAs="oneCell">
    <xdr:from>
      <xdr:col>7</xdr:col>
      <xdr:colOff>7055</xdr:colOff>
      <xdr:row>1</xdr:row>
      <xdr:rowOff>105833</xdr:rowOff>
    </xdr:from>
    <xdr:to>
      <xdr:col>8</xdr:col>
      <xdr:colOff>28221</xdr:colOff>
      <xdr:row>2</xdr:row>
      <xdr:rowOff>231224</xdr:rowOff>
    </xdr:to>
    <xdr:sp macro="[0]!S_Refresh" textlink="">
      <xdr:nvSpPr>
        <xdr:cNvPr id="10" name="Rectangle: Rounded Corners 9">
          <a:hlinkClick xmlns:r="http://schemas.openxmlformats.org/officeDocument/2006/relationships" r:id="rId8" tooltip="Settings"/>
          <a:extLst>
            <a:ext uri="{FF2B5EF4-FFF2-40B4-BE49-F238E27FC236}">
              <a16:creationId xmlns:a16="http://schemas.microsoft.com/office/drawing/2014/main" id="{EA7A16E2-E248-47C2-9259-E70A96387E0D}"/>
            </a:ext>
          </a:extLst>
        </xdr:cNvPr>
        <xdr:cNvSpPr/>
      </xdr:nvSpPr>
      <xdr:spPr>
        <a:xfrm flipH="1">
          <a:off x="8508999" y="190500"/>
          <a:ext cx="1072444" cy="379391"/>
        </a:xfrm>
        <a:prstGeom prst="roundRect">
          <a:avLst/>
        </a:prstGeom>
        <a:solidFill>
          <a:schemeClr val="tx2">
            <a:lumMod val="60000"/>
            <a:lumOff val="4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lIns="0" tIns="0" rIns="0" bIns="0" rtlCol="0" anchor="ctr"/>
        <a:lstStyle/>
        <a:p>
          <a:pPr marL="0" indent="0" algn="ctr"/>
          <a:r>
            <a:rPr lang="en-US" sz="1100" b="1">
              <a:solidFill>
                <a:schemeClr val="lt1"/>
              </a:solidFill>
              <a:effectLst>
                <a:outerShdw blurRad="50800" dist="38100" dir="13500000" algn="br" rotWithShape="0">
                  <a:prstClr val="black">
                    <a:alpha val="40000"/>
                  </a:prstClr>
                </a:outerShdw>
              </a:effectLst>
              <a:latin typeface="+mn-lt"/>
              <a:ea typeface="+mn-ea"/>
              <a:cs typeface="+mn-cs"/>
            </a:rPr>
            <a:t>ToDo</a:t>
          </a:r>
          <a:endParaRPr lang="tr-TR" sz="1100" b="1">
            <a:solidFill>
              <a:schemeClr val="lt1"/>
            </a:solidFill>
            <a:effectLst>
              <a:outerShdw blurRad="50800" dist="38100" dir="13500000" algn="br" rotWithShape="0">
                <a:prstClr val="black">
                  <a:alpha val="40000"/>
                </a:prstClr>
              </a:outerShdw>
            </a:effectLst>
            <a:latin typeface="+mn-lt"/>
            <a:ea typeface="+mn-ea"/>
            <a:cs typeface="+mn-cs"/>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1149173</xdr:colOff>
      <xdr:row>34</xdr:row>
      <xdr:rowOff>35859</xdr:rowOff>
    </xdr:from>
    <xdr:to>
      <xdr:col>8</xdr:col>
      <xdr:colOff>1221941</xdr:colOff>
      <xdr:row>34</xdr:row>
      <xdr:rowOff>244437</xdr:rowOff>
    </xdr:to>
    <xdr:sp macro="" textlink="">
      <xdr:nvSpPr>
        <xdr:cNvPr id="5" name="devbysom">
          <a:hlinkClick xmlns:r="http://schemas.openxmlformats.org/officeDocument/2006/relationships" r:id="rId1" tooltip="Someka Excel Solutions"/>
          <a:extLst>
            <a:ext uri="{FF2B5EF4-FFF2-40B4-BE49-F238E27FC236}">
              <a16:creationId xmlns:a16="http://schemas.microsoft.com/office/drawing/2014/main" id="{FC045253-1863-4B95-B41C-5717EEE40BA0}"/>
            </a:ext>
          </a:extLst>
        </xdr:cNvPr>
        <xdr:cNvSpPr/>
      </xdr:nvSpPr>
      <xdr:spPr>
        <a:xfrm>
          <a:off x="9171340" y="6089526"/>
          <a:ext cx="72768" cy="20857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36000" tIns="18000" rIns="36000" bIns="18000" rtlCol="0" anchor="t">
          <a:spAutoFit/>
        </a:bodyPr>
        <a:lstStyle/>
        <a:p>
          <a:pPr algn="l"/>
          <a:endParaRPr lang="tr-TR" sz="1100" i="1" u="none">
            <a:solidFill>
              <a:schemeClr val="bg1">
                <a:lumMod val="95000"/>
              </a:schemeClr>
            </a:solidFill>
          </a:endParaRPr>
        </a:p>
      </xdr:txBody>
    </xdr:sp>
    <xdr:clientData/>
  </xdr:twoCellAnchor>
  <xdr:twoCellAnchor editAs="oneCell">
    <xdr:from>
      <xdr:col>1</xdr:col>
      <xdr:colOff>188085</xdr:colOff>
      <xdr:row>1</xdr:row>
      <xdr:rowOff>95250</xdr:rowOff>
    </xdr:from>
    <xdr:to>
      <xdr:col>2</xdr:col>
      <xdr:colOff>276073</xdr:colOff>
      <xdr:row>2</xdr:row>
      <xdr:rowOff>218515</xdr:rowOff>
    </xdr:to>
    <xdr:pic>
      <xdr:nvPicPr>
        <xdr:cNvPr id="10" name="mainicon">
          <a:extLst>
            <a:ext uri="{FF2B5EF4-FFF2-40B4-BE49-F238E27FC236}">
              <a16:creationId xmlns:a16="http://schemas.microsoft.com/office/drawing/2014/main" id="{22C1A4BE-2662-4923-9022-DAAD55DB0D3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449141" y="179917"/>
          <a:ext cx="377265" cy="377265"/>
        </a:xfrm>
        <a:prstGeom prst="rect">
          <a:avLst/>
        </a:prstGeom>
        <a:effectLst>
          <a:outerShdw blurRad="63500" sx="102000" sy="102000" algn="ctr" rotWithShape="0">
            <a:prstClr val="black">
              <a:alpha val="40000"/>
            </a:prstClr>
          </a:outerShdw>
        </a:effectLst>
      </xdr:spPr>
    </xdr:pic>
    <xdr:clientData/>
  </xdr:twoCellAnchor>
  <xdr:twoCellAnchor editAs="oneCell">
    <xdr:from>
      <xdr:col>4</xdr:col>
      <xdr:colOff>1014939</xdr:colOff>
      <xdr:row>1</xdr:row>
      <xdr:rowOff>95250</xdr:rowOff>
    </xdr:from>
    <xdr:to>
      <xdr:col>4</xdr:col>
      <xdr:colOff>1933328</xdr:colOff>
      <xdr:row>2</xdr:row>
      <xdr:rowOff>216407</xdr:rowOff>
    </xdr:to>
    <xdr:sp macro="" textlink="">
      <xdr:nvSpPr>
        <xdr:cNvPr id="11" name="Rectangle: Rounded Corners 10">
          <a:hlinkClick xmlns:r="http://schemas.openxmlformats.org/officeDocument/2006/relationships" r:id="rId3" tooltip="Kanban Board"/>
          <a:extLst>
            <a:ext uri="{FF2B5EF4-FFF2-40B4-BE49-F238E27FC236}">
              <a16:creationId xmlns:a16="http://schemas.microsoft.com/office/drawing/2014/main" id="{C26218AA-CFD1-482B-BC61-12F98DE8A41F}"/>
            </a:ext>
          </a:extLst>
        </xdr:cNvPr>
        <xdr:cNvSpPr/>
      </xdr:nvSpPr>
      <xdr:spPr>
        <a:xfrm>
          <a:off x="3914772" y="179917"/>
          <a:ext cx="918389" cy="364573"/>
        </a:xfrm>
        <a:prstGeom prst="roundRect">
          <a:avLst/>
        </a:prstGeom>
        <a:solidFill>
          <a:schemeClr val="tx2">
            <a:lumMod val="60000"/>
            <a:lumOff val="4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lIns="0" tIns="0" rIns="0" bIns="0" rtlCol="0" anchor="ctr"/>
        <a:lstStyle/>
        <a:p>
          <a:pPr marL="0" indent="0" algn="ctr"/>
          <a:r>
            <a:rPr lang="en-US" sz="1100" b="1">
              <a:solidFill>
                <a:schemeClr val="lt1"/>
              </a:solidFill>
              <a:effectLst>
                <a:outerShdw blurRad="50800" dist="38100" dir="13500000" algn="br" rotWithShape="0">
                  <a:prstClr val="black">
                    <a:alpha val="40000"/>
                  </a:prstClr>
                </a:outerShdw>
              </a:effectLst>
              <a:latin typeface="+mn-lt"/>
              <a:ea typeface="+mn-ea"/>
              <a:cs typeface="+mn-cs"/>
            </a:rPr>
            <a:t>KANBAN</a:t>
          </a:r>
          <a:endParaRPr lang="tr-TR" sz="1100" b="1">
            <a:solidFill>
              <a:schemeClr val="lt1"/>
            </a:solidFill>
            <a:effectLst>
              <a:outerShdw blurRad="50800" dist="38100" dir="13500000" algn="br" rotWithShape="0">
                <a:prstClr val="black">
                  <a:alpha val="40000"/>
                </a:prstClr>
              </a:outerShdw>
            </a:effectLst>
            <a:latin typeface="+mn-lt"/>
            <a:ea typeface="+mn-ea"/>
            <a:cs typeface="+mn-cs"/>
          </a:endParaRPr>
        </a:p>
      </xdr:txBody>
    </xdr:sp>
    <xdr:clientData/>
  </xdr:twoCellAnchor>
  <xdr:twoCellAnchor editAs="oneCell">
    <xdr:from>
      <xdr:col>6</xdr:col>
      <xdr:colOff>920425</xdr:colOff>
      <xdr:row>1</xdr:row>
      <xdr:rowOff>95250</xdr:rowOff>
    </xdr:from>
    <xdr:to>
      <xdr:col>6</xdr:col>
      <xdr:colOff>1839437</xdr:colOff>
      <xdr:row>2</xdr:row>
      <xdr:rowOff>216407</xdr:rowOff>
    </xdr:to>
    <xdr:sp macro="" textlink="">
      <xdr:nvSpPr>
        <xdr:cNvPr id="12" name="Rectangle: Rounded Corners 11">
          <a:hlinkClick xmlns:r="http://schemas.openxmlformats.org/officeDocument/2006/relationships" r:id="rId4" tooltip="Database"/>
          <a:extLst>
            <a:ext uri="{FF2B5EF4-FFF2-40B4-BE49-F238E27FC236}">
              <a16:creationId xmlns:a16="http://schemas.microsoft.com/office/drawing/2014/main" id="{EFE041C4-7860-4A7E-8927-52849ABA697B}"/>
            </a:ext>
          </a:extLst>
        </xdr:cNvPr>
        <xdr:cNvSpPr/>
      </xdr:nvSpPr>
      <xdr:spPr>
        <a:xfrm>
          <a:off x="6201508" y="179917"/>
          <a:ext cx="919012" cy="364573"/>
        </a:xfrm>
        <a:prstGeom prst="roundRect">
          <a:avLst/>
        </a:prstGeom>
        <a:solidFill>
          <a:schemeClr val="tx2">
            <a:lumMod val="60000"/>
            <a:lumOff val="4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lIns="0" tIns="0" rIns="0" bIns="0" rtlCol="0" anchor="ctr"/>
        <a:lstStyle/>
        <a:p>
          <a:pPr marL="0" indent="0" algn="ctr"/>
          <a:r>
            <a:rPr lang="en-US" sz="1100" b="1">
              <a:solidFill>
                <a:schemeClr val="lt1"/>
              </a:solidFill>
              <a:effectLst>
                <a:outerShdw blurRad="50800" dist="38100" dir="13500000" algn="br" rotWithShape="0">
                  <a:prstClr val="black">
                    <a:alpha val="40000"/>
                  </a:prstClr>
                </a:outerShdw>
              </a:effectLst>
              <a:latin typeface="+mn-lt"/>
              <a:ea typeface="+mn-ea"/>
              <a:cs typeface="+mn-cs"/>
            </a:rPr>
            <a:t>DATABASE</a:t>
          </a:r>
          <a:endParaRPr lang="tr-TR" sz="1100" b="1">
            <a:solidFill>
              <a:schemeClr val="lt1"/>
            </a:solidFill>
            <a:effectLst>
              <a:outerShdw blurRad="50800" dist="38100" dir="13500000" algn="br" rotWithShape="0">
                <a:prstClr val="black">
                  <a:alpha val="40000"/>
                </a:prstClr>
              </a:outerShdw>
            </a:effectLst>
            <a:latin typeface="+mn-lt"/>
            <a:ea typeface="+mn-ea"/>
            <a:cs typeface="+mn-cs"/>
          </a:endParaRPr>
        </a:p>
      </xdr:txBody>
    </xdr:sp>
    <xdr:clientData/>
  </xdr:twoCellAnchor>
  <xdr:twoCellAnchor editAs="oneCell">
    <xdr:from>
      <xdr:col>7</xdr:col>
      <xdr:colOff>11249</xdr:colOff>
      <xdr:row>1</xdr:row>
      <xdr:rowOff>95250</xdr:rowOff>
    </xdr:from>
    <xdr:to>
      <xdr:col>8</xdr:col>
      <xdr:colOff>594086</xdr:colOff>
      <xdr:row>2</xdr:row>
      <xdr:rowOff>216407</xdr:rowOff>
    </xdr:to>
    <xdr:sp macro="" textlink="">
      <xdr:nvSpPr>
        <xdr:cNvPr id="16" name="Rectangle: Rounded Corners 15">
          <a:hlinkClick xmlns:r="http://schemas.openxmlformats.org/officeDocument/2006/relationships" r:id="rId5" tooltip="Settings"/>
          <a:extLst>
            <a:ext uri="{FF2B5EF4-FFF2-40B4-BE49-F238E27FC236}">
              <a16:creationId xmlns:a16="http://schemas.microsoft.com/office/drawing/2014/main" id="{FBF03E21-EABD-4893-8199-B715A90376EB}"/>
            </a:ext>
          </a:extLst>
        </xdr:cNvPr>
        <xdr:cNvSpPr/>
      </xdr:nvSpPr>
      <xdr:spPr>
        <a:xfrm>
          <a:off x="7345499" y="179917"/>
          <a:ext cx="910920" cy="364573"/>
        </a:xfrm>
        <a:prstGeom prst="roundRect">
          <a:avLst/>
        </a:prstGeom>
        <a:solidFill>
          <a:srgbClr val="3B485B"/>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lIns="0" tIns="0" rIns="0" bIns="0" rtlCol="0" anchor="ctr"/>
        <a:lstStyle/>
        <a:p>
          <a:pPr marL="0" indent="0" algn="ctr"/>
          <a:r>
            <a:rPr lang="en-US" sz="1100" b="1">
              <a:solidFill>
                <a:schemeClr val="lt1"/>
              </a:solidFill>
              <a:effectLst>
                <a:outerShdw blurRad="50800" dist="38100" dir="13500000" algn="br" rotWithShape="0">
                  <a:prstClr val="black">
                    <a:alpha val="40000"/>
                  </a:prstClr>
                </a:outerShdw>
              </a:effectLst>
              <a:latin typeface="+mn-lt"/>
              <a:ea typeface="+mn-ea"/>
              <a:cs typeface="+mn-cs"/>
            </a:rPr>
            <a:t>SETTINGS</a:t>
          </a:r>
          <a:endParaRPr lang="tr-TR" sz="1100" b="1">
            <a:solidFill>
              <a:schemeClr val="lt1"/>
            </a:solidFill>
            <a:effectLst>
              <a:outerShdw blurRad="50800" dist="38100" dir="13500000" algn="br" rotWithShape="0">
                <a:prstClr val="black">
                  <a:alpha val="40000"/>
                </a:prstClr>
              </a:outerShdw>
            </a:effectLst>
            <a:latin typeface="+mn-lt"/>
            <a:ea typeface="+mn-ea"/>
            <a:cs typeface="+mn-cs"/>
          </a:endParaRPr>
        </a:p>
      </xdr:txBody>
    </xdr:sp>
    <xdr:clientData/>
  </xdr:twoCellAnchor>
  <xdr:twoCellAnchor editAs="oneCell">
    <xdr:from>
      <xdr:col>5</xdr:col>
      <xdr:colOff>105140</xdr:colOff>
      <xdr:row>1</xdr:row>
      <xdr:rowOff>95250</xdr:rowOff>
    </xdr:from>
    <xdr:to>
      <xdr:col>6</xdr:col>
      <xdr:colOff>695446</xdr:colOff>
      <xdr:row>2</xdr:row>
      <xdr:rowOff>216407</xdr:rowOff>
    </xdr:to>
    <xdr:sp macro="" textlink="">
      <xdr:nvSpPr>
        <xdr:cNvPr id="17" name="Rectangle: Rounded Corners 16">
          <a:hlinkClick xmlns:r="http://schemas.openxmlformats.org/officeDocument/2006/relationships" r:id="rId6" tooltip="Dashboard"/>
          <a:extLst>
            <a:ext uri="{FF2B5EF4-FFF2-40B4-BE49-F238E27FC236}">
              <a16:creationId xmlns:a16="http://schemas.microsoft.com/office/drawing/2014/main" id="{359176AD-43C1-4E64-97A6-128961ADD0CE}"/>
            </a:ext>
          </a:extLst>
        </xdr:cNvPr>
        <xdr:cNvSpPr/>
      </xdr:nvSpPr>
      <xdr:spPr>
        <a:xfrm>
          <a:off x="5058140" y="179917"/>
          <a:ext cx="918389" cy="364573"/>
        </a:xfrm>
        <a:prstGeom prst="roundRect">
          <a:avLst/>
        </a:prstGeom>
        <a:solidFill>
          <a:schemeClr val="tx2">
            <a:lumMod val="60000"/>
            <a:lumOff val="4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lIns="0" tIns="0" rIns="0" bIns="0" rtlCol="0" anchor="ctr"/>
        <a:lstStyle/>
        <a:p>
          <a:pPr marL="0" indent="0" algn="ctr"/>
          <a:r>
            <a:rPr lang="en-US" sz="1100" b="1">
              <a:solidFill>
                <a:schemeClr val="lt1"/>
              </a:solidFill>
              <a:effectLst>
                <a:outerShdw blurRad="50800" dist="38100" dir="13500000" algn="br" rotWithShape="0">
                  <a:prstClr val="black">
                    <a:alpha val="40000"/>
                  </a:prstClr>
                </a:outerShdw>
              </a:effectLst>
              <a:latin typeface="+mn-lt"/>
              <a:ea typeface="+mn-ea"/>
              <a:cs typeface="+mn-cs"/>
            </a:rPr>
            <a:t>DASHBOARD</a:t>
          </a:r>
        </a:p>
      </xdr:txBody>
    </xdr:sp>
    <xdr:clientData/>
  </xdr:twoCellAnchor>
  <xdr:twoCellAnchor editAs="oneCell">
    <xdr:from>
      <xdr:col>8</xdr:col>
      <xdr:colOff>804333</xdr:colOff>
      <xdr:row>1</xdr:row>
      <xdr:rowOff>84666</xdr:rowOff>
    </xdr:from>
    <xdr:to>
      <xdr:col>9</xdr:col>
      <xdr:colOff>493888</xdr:colOff>
      <xdr:row>2</xdr:row>
      <xdr:rowOff>210057</xdr:rowOff>
    </xdr:to>
    <xdr:sp macro="[0]!S_Refresh" textlink="">
      <xdr:nvSpPr>
        <xdr:cNvPr id="8" name="Rectangle: Rounded Corners 7">
          <a:hlinkClick xmlns:r="http://schemas.openxmlformats.org/officeDocument/2006/relationships" r:id="rId7" tooltip="Settings"/>
          <a:extLst>
            <a:ext uri="{FF2B5EF4-FFF2-40B4-BE49-F238E27FC236}">
              <a16:creationId xmlns:a16="http://schemas.microsoft.com/office/drawing/2014/main" id="{BCAD0987-7FC6-481A-A0F3-55A3EC9AA511}"/>
            </a:ext>
          </a:extLst>
        </xdr:cNvPr>
        <xdr:cNvSpPr/>
      </xdr:nvSpPr>
      <xdr:spPr>
        <a:xfrm flipH="1">
          <a:off x="8826500" y="169333"/>
          <a:ext cx="1072444" cy="379391"/>
        </a:xfrm>
        <a:prstGeom prst="roundRect">
          <a:avLst/>
        </a:prstGeom>
        <a:solidFill>
          <a:schemeClr val="tx2">
            <a:lumMod val="60000"/>
            <a:lumOff val="4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lIns="0" tIns="0" rIns="0" bIns="0" rtlCol="0" anchor="ctr"/>
        <a:lstStyle/>
        <a:p>
          <a:pPr marL="0" indent="0" algn="ctr"/>
          <a:r>
            <a:rPr lang="en-US" sz="1100" b="1">
              <a:solidFill>
                <a:schemeClr val="lt1"/>
              </a:solidFill>
              <a:effectLst>
                <a:outerShdw blurRad="50800" dist="38100" dir="13500000" algn="br" rotWithShape="0">
                  <a:prstClr val="black">
                    <a:alpha val="40000"/>
                  </a:prstClr>
                </a:outerShdw>
              </a:effectLst>
              <a:latin typeface="+mn-lt"/>
              <a:ea typeface="+mn-ea"/>
              <a:cs typeface="+mn-cs"/>
            </a:rPr>
            <a:t>ToDo</a:t>
          </a:r>
          <a:endParaRPr lang="tr-TR" sz="1100" b="1">
            <a:solidFill>
              <a:schemeClr val="lt1"/>
            </a:solidFill>
            <a:effectLst>
              <a:outerShdw blurRad="50800" dist="38100" dir="13500000" algn="br" rotWithShape="0">
                <a:prstClr val="black">
                  <a:alpha val="40000"/>
                </a:prstClr>
              </a:outerShdw>
            </a:effectLst>
            <a:latin typeface="+mn-lt"/>
            <a:ea typeface="+mn-ea"/>
            <a:cs typeface="+mn-cs"/>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gile-kanban-board.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 Do List Check Box"/>
      <sheetName val="Sheet1"/>
      <sheetName val="Kanban"/>
    </sheetNames>
    <sheetDataSet>
      <sheetData sheetId="0">
        <row r="12">
          <cell r="H12">
            <v>0</v>
          </cell>
        </row>
      </sheetData>
      <sheetData sheetId="1" refreshError="1"/>
      <sheetData sheetId="2">
        <row r="30">
          <cell r="C30" t="str">
            <v>Feature</v>
          </cell>
          <cell r="G30" t="str">
            <v>High</v>
          </cell>
        </row>
        <row r="31">
          <cell r="C31" t="str">
            <v>Content</v>
          </cell>
          <cell r="G31" t="str">
            <v>Medium</v>
          </cell>
        </row>
        <row r="32">
          <cell r="C32" t="str">
            <v>Update</v>
          </cell>
          <cell r="G32" t="str">
            <v>Low</v>
          </cell>
        </row>
        <row r="33">
          <cell r="C33" t="str">
            <v>Task</v>
          </cell>
        </row>
        <row r="34">
          <cell r="C34" t="str">
            <v>Research</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bbu kandula" refreshedDate="44297.671454629628" missingItemsLimit="0" createdVersion="6" refreshedVersion="7" minRefreshableVersion="3" recordCount="1" xr:uid="{B5755064-C3E9-4815-9F82-299222126AC1}">
  <cacheSource type="worksheet">
    <worksheetSource name="Database_Calc"/>
  </cacheSource>
  <cacheFields count="23">
    <cacheField name="Board Section" numFmtId="0">
      <sharedItems count="1">
        <s v="Project Virgo"/>
      </sharedItems>
    </cacheField>
    <cacheField name="Tasks" numFmtId="0">
      <sharedItems count="1">
        <s v="Subbu"/>
      </sharedItems>
    </cacheField>
    <cacheField name="Responsible Person" numFmtId="0">
      <sharedItems count="1">
        <s v="Not Set"/>
      </sharedItems>
    </cacheField>
    <cacheField name="Priority" numFmtId="0">
      <sharedItems count="1">
        <s v="Low"/>
      </sharedItems>
    </cacheField>
    <cacheField name="Start Date" numFmtId="14">
      <sharedItems/>
    </cacheField>
    <cacheField name="Finish Date" numFmtId="14">
      <sharedItems/>
    </cacheField>
    <cacheField name="Due Date" numFmtId="14">
      <sharedItems/>
    </cacheField>
    <cacheField name="Kanban Due Date to Display" numFmtId="14">
      <sharedItems/>
    </cacheField>
    <cacheField name="Status" numFmtId="0">
      <sharedItems count="1">
        <s v="Research"/>
      </sharedItems>
    </cacheField>
    <cacheField name="Work Progress" numFmtId="9">
      <sharedItems containsSemiMixedTypes="0" containsString="0" containsNumber="1" minValue="0.1" maxValue="0.1"/>
    </cacheField>
    <cacheField name="Work (hrs)" numFmtId="3">
      <sharedItems/>
    </cacheField>
    <cacheField name="Notes" numFmtId="0">
      <sharedItems/>
    </cacheField>
    <cacheField name="Helper Row" numFmtId="0">
      <sharedItems containsSemiMixedTypes="0" containsString="0" containsNumber="1" containsInteger="1" minValue="1" maxValue="1"/>
    </cacheField>
    <cacheField name="Start Date Month" numFmtId="0">
      <sharedItems/>
    </cacheField>
    <cacheField name="Due Date Month" numFmtId="0">
      <sharedItems/>
    </cacheField>
    <cacheField name="Task Start Date" numFmtId="0">
      <sharedItems count="1">
        <s v="Not Set"/>
      </sharedItems>
    </cacheField>
    <cacheField name="Task Due Date" numFmtId="0">
      <sharedItems count="1">
        <s v="Not Set"/>
      </sharedItems>
    </cacheField>
    <cacheField name="Duration" numFmtId="0">
      <sharedItems/>
    </cacheField>
    <cacheField name="Delayed days" numFmtId="0">
      <sharedItems/>
    </cacheField>
    <cacheField name="Overdue" numFmtId="0">
      <sharedItems count="1">
        <s v="Not Set"/>
      </sharedItems>
    </cacheField>
    <cacheField name="Work Done" numFmtId="3">
      <sharedItems/>
    </cacheField>
    <cacheField name="Work Left" numFmtId="3">
      <sharedItems/>
    </cacheField>
    <cacheField name="Helper" numFmtId="0">
      <sharedItems containsSemiMixedTypes="0" containsString="0" containsNumber="1" containsInteger="1" minValue="1" maxValue="1"/>
    </cacheField>
  </cacheFields>
  <extLst>
    <ext xmlns:x14="http://schemas.microsoft.com/office/spreadsheetml/2009/9/main" uri="{725AE2AE-9491-48be-B2B4-4EB974FC3084}">
      <x14:pivotCacheDefinition pivotCacheId="69369596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x v="0"/>
    <x v="0"/>
    <x v="0"/>
    <x v="0"/>
    <s v="Not Set"/>
    <s v="Not Set"/>
    <s v="Not Set"/>
    <s v="Not Set"/>
    <x v="0"/>
    <n v="0.1"/>
    <s v="Not Set"/>
    <s v=""/>
    <n v="1"/>
    <s v="Not Set"/>
    <s v="Not Set"/>
    <x v="0"/>
    <x v="0"/>
    <s v=""/>
    <s v=""/>
    <x v="0"/>
    <s v=""/>
    <s v=""/>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72409B7-1B1E-41CD-9628-69D3AAA3DB67}" name="Cards by their Priority" cacheId="0" applyNumberFormats="0" applyBorderFormats="0" applyFontFormats="0" applyPatternFormats="0" applyAlignmentFormats="0" applyWidthHeightFormats="1" dataCaption="Values" showError="1" updatedVersion="7" minRefreshableVersion="3" enableDrill="0" itemPrintTitles="1" createdVersion="6" indent="0" outline="1" outlineData="1" multipleFieldFilters="0" chartFormat="4">
  <location ref="BX4:BY6" firstHeaderRow="1" firstDataRow="1" firstDataCol="1"/>
  <pivotFields count="23">
    <pivotField showAll="0">
      <items count="2">
        <item x="0"/>
        <item t="default"/>
      </items>
    </pivotField>
    <pivotField dataField="1" showAll="0"/>
    <pivotField showAll="0">
      <items count="2">
        <item x="0"/>
        <item t="default"/>
      </items>
    </pivotField>
    <pivotField axis="axisRow" showAll="0">
      <items count="2">
        <item x="0"/>
        <item t="default"/>
      </items>
    </pivotField>
    <pivotField numFmtId="164" showAll="0"/>
    <pivotField numFmtId="164" showAll="0"/>
    <pivotField numFmtId="164" showAll="0"/>
    <pivotField showAll="0"/>
    <pivotField showAll="0"/>
    <pivotField numFmtId="9" showAll="0"/>
    <pivotField numFmtId="3" showAll="0"/>
    <pivotField showAll="0"/>
    <pivotField showAll="0"/>
    <pivotField showAll="0"/>
    <pivotField showAll="0"/>
    <pivotField showAll="0">
      <items count="2">
        <item x="0"/>
        <item t="default"/>
      </items>
    </pivotField>
    <pivotField showAll="0">
      <items count="2">
        <item x="0"/>
        <item t="default"/>
      </items>
    </pivotField>
    <pivotField showAll="0"/>
    <pivotField showAll="0"/>
    <pivotField showAll="0">
      <items count="2">
        <item x="0"/>
        <item t="default"/>
      </items>
    </pivotField>
    <pivotField numFmtId="3" showAll="0"/>
    <pivotField numFmtId="3" showAll="0"/>
    <pivotField showAll="0"/>
  </pivotFields>
  <rowFields count="1">
    <field x="3"/>
  </rowFields>
  <rowItems count="2">
    <i>
      <x/>
    </i>
    <i t="grand">
      <x/>
    </i>
  </rowItems>
  <colItems count="1">
    <i/>
  </colItems>
  <dataFields count="1">
    <dataField name="Count of Tasks" fld="1" subtotal="count" baseField="0" baseItem="0"/>
  </dataFields>
  <formats count="2">
    <format dxfId="53">
      <pivotArea outline="0" collapsedLevelsAreSubtotals="1" fieldPosition="0"/>
    </format>
    <format dxfId="52">
      <pivotArea dataOnly="0" labelOnly="1" outline="0" axis="axisValues" fieldPosition="0"/>
    </format>
  </formats>
  <chartFormats count="2">
    <chartFormat chart="3" format="10" series="1">
      <pivotArea type="data" outline="0" fieldPosition="0">
        <references count="1">
          <reference field="4294967294" count="1" selected="0">
            <x v="0"/>
          </reference>
        </references>
      </pivotArea>
    </chartFormat>
    <chartFormat chart="3" format="23">
      <pivotArea type="data" outline="0" fieldPosition="0">
        <references count="2">
          <reference field="4294967294" count="1" selected="0">
            <x v="0"/>
          </reference>
          <reference field="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8608FC2-3DD8-4C18-84B7-8F6E7A979E45}" name="Overdue Percentage " cacheId="0" applyNumberFormats="0" applyBorderFormats="0" applyFontFormats="0" applyPatternFormats="0" applyAlignmentFormats="0" applyWidthHeightFormats="1" dataCaption="Values" showError="1" updatedVersion="7" minRefreshableVersion="3" enableDrill="0" itemPrintTitles="1" createdVersion="6" indent="0" outline="1" outlineData="1" multipleFieldFilters="0" chartFormat="3">
  <location ref="BH6:BI8" firstHeaderRow="1" firstDataRow="1" firstDataCol="1" rowPageCount="1" colPageCount="1"/>
  <pivotFields count="23">
    <pivotField showAll="0">
      <items count="2">
        <item x="0"/>
        <item t="default"/>
      </items>
    </pivotField>
    <pivotField dataField="1" showAll="0"/>
    <pivotField showAll="0">
      <items count="2">
        <item x="0"/>
        <item t="default"/>
      </items>
    </pivotField>
    <pivotField showAll="0">
      <items count="2">
        <item x="0"/>
        <item t="default"/>
      </items>
    </pivotField>
    <pivotField numFmtId="164" showAll="0"/>
    <pivotField numFmtId="164" showAll="0"/>
    <pivotField numFmtId="164" showAll="0"/>
    <pivotField showAll="0"/>
    <pivotField showAll="0"/>
    <pivotField numFmtId="9" showAll="0"/>
    <pivotField numFmtId="3" showAll="0"/>
    <pivotField showAll="0"/>
    <pivotField showAll="0"/>
    <pivotField showAll="0"/>
    <pivotField showAll="0"/>
    <pivotField showAll="0">
      <items count="2">
        <item x="0"/>
        <item t="default"/>
      </items>
    </pivotField>
    <pivotField axis="axisPage" multipleItemSelectionAllowed="1" showAll="0">
      <items count="2">
        <item x="0"/>
        <item t="default"/>
      </items>
    </pivotField>
    <pivotField showAll="0"/>
    <pivotField showAll="0"/>
    <pivotField axis="axisRow" showAll="0" sortType="ascending">
      <items count="2">
        <item x="0"/>
        <item t="default"/>
      </items>
    </pivotField>
    <pivotField numFmtId="3" showAll="0"/>
    <pivotField numFmtId="3" showAll="0"/>
    <pivotField showAll="0"/>
  </pivotFields>
  <rowFields count="1">
    <field x="19"/>
  </rowFields>
  <rowItems count="2">
    <i>
      <x/>
    </i>
    <i t="grand">
      <x/>
    </i>
  </rowItems>
  <colItems count="1">
    <i/>
  </colItems>
  <pageFields count="1">
    <pageField fld="16" hier="-1"/>
  </pageFields>
  <dataFields count="1">
    <dataField name="Count of Tasks" fld="1" subtotal="count" baseField="0" baseItem="0"/>
  </dataFields>
  <formats count="2">
    <format dxfId="55">
      <pivotArea outline="0" collapsedLevelsAreSubtotals="1" fieldPosition="0"/>
    </format>
    <format dxfId="54">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2D6EC16-9B98-43E2-8A7A-FA7436E0EC27}" name="Work Done vs. Work Left" cacheId="0" applyNumberFormats="0" applyBorderFormats="0" applyFontFormats="0" applyPatternFormats="0" applyAlignmentFormats="0" applyWidthHeightFormats="1" dataCaption="Values" showError="1" updatedVersion="7" minRefreshableVersion="3" enableDrill="0" itemPrintTitles="1" createdVersion="6" indent="0" outline="1" outlineData="1" multipleFieldFilters="0" chartFormat="8">
  <location ref="CN4:CO5" firstHeaderRow="0" firstDataRow="1" firstDataCol="0"/>
  <pivotFields count="23">
    <pivotField showAll="0">
      <items count="2">
        <item x="0"/>
        <item t="default"/>
      </items>
    </pivotField>
    <pivotField showAll="0"/>
    <pivotField showAll="0">
      <items count="2">
        <item x="0"/>
        <item t="default"/>
      </items>
    </pivotField>
    <pivotField showAll="0">
      <items count="2">
        <item x="0"/>
        <item t="default"/>
      </items>
    </pivotField>
    <pivotField numFmtId="164" showAll="0"/>
    <pivotField numFmtId="164" showAll="0"/>
    <pivotField numFmtId="164" showAll="0"/>
    <pivotField showAll="0"/>
    <pivotField showAll="0"/>
    <pivotField numFmtId="9" showAll="0"/>
    <pivotField numFmtId="3" showAll="0"/>
    <pivotField showAll="0"/>
    <pivotField showAll="0"/>
    <pivotField showAll="0"/>
    <pivotField showAll="0"/>
    <pivotField showAll="0">
      <items count="2">
        <item x="0"/>
        <item t="default"/>
      </items>
    </pivotField>
    <pivotField showAll="0">
      <items count="2">
        <item x="0"/>
        <item t="default"/>
      </items>
    </pivotField>
    <pivotField showAll="0"/>
    <pivotField showAll="0"/>
    <pivotField showAll="0">
      <items count="2">
        <item x="0"/>
        <item t="default"/>
      </items>
    </pivotField>
    <pivotField dataField="1" numFmtId="3" showAll="0"/>
    <pivotField dataField="1" numFmtId="3" showAll="0"/>
    <pivotField showAll="0"/>
  </pivotFields>
  <rowItems count="1">
    <i/>
  </rowItems>
  <colFields count="1">
    <field x="-2"/>
  </colFields>
  <colItems count="2">
    <i>
      <x/>
    </i>
    <i i="1">
      <x v="1"/>
    </i>
  </colItems>
  <dataFields count="2">
    <dataField name="Work Done " fld="20" baseField="0" baseItem="0"/>
    <dataField name="Work Left " fld="21" baseField="0" baseItem="0"/>
  </dataFields>
  <formats count="4">
    <format dxfId="59">
      <pivotArea type="all" dataOnly="0" outline="0" fieldPosition="0"/>
    </format>
    <format dxfId="58">
      <pivotArea outline="0" collapsedLevelsAreSubtotals="1" fieldPosition="0"/>
    </format>
    <format dxfId="57">
      <pivotArea dataOnly="0" labelOnly="1" outline="0" fieldPosition="0">
        <references count="1">
          <reference field="4294967294" count="2">
            <x v="0"/>
            <x v="1"/>
          </reference>
        </references>
      </pivotArea>
    </format>
    <format dxfId="56">
      <pivotArea outline="0" collapsedLevelsAreSubtotals="1" fieldPosition="0"/>
    </format>
  </formats>
  <chartFormats count="4">
    <chartFormat chart="2" format="0" series="1">
      <pivotArea type="data" outline="0" fieldPosition="0">
        <references count="1">
          <reference field="4294967294" count="1" selected="0">
            <x v="1"/>
          </reference>
        </references>
      </pivotArea>
    </chartFormat>
    <chartFormat chart="2" format="1"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1"/>
          </reference>
        </references>
      </pivotArea>
    </chartFormat>
    <chartFormat chart="7"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D07E361-BBAA-4E59-BD18-E38153296671}" name="Project Duration vs. Delay" cacheId="0" applyNumberFormats="0" applyBorderFormats="0" applyFontFormats="0" applyPatternFormats="0" applyAlignmentFormats="0" applyWidthHeightFormats="1" dataCaption="Values" showError="1" updatedVersion="7" minRefreshableVersion="3" enableDrill="0" itemPrintTitles="1" createdVersion="6" indent="0" outline="1" outlineData="1" multipleFieldFilters="0" chartFormat="3">
  <location ref="Q4:S6" firstHeaderRow="0" firstDataRow="1" firstDataCol="1"/>
  <pivotFields count="23">
    <pivotField showAll="0">
      <items count="2">
        <item x="0"/>
        <item t="default"/>
      </items>
    </pivotField>
    <pivotField axis="axisRow" showAll="0">
      <items count="2">
        <item x="0"/>
        <item t="default"/>
      </items>
    </pivotField>
    <pivotField showAll="0">
      <items count="2">
        <item x="0"/>
        <item t="default"/>
      </items>
    </pivotField>
    <pivotField showAll="0">
      <items count="2">
        <item x="0"/>
        <item t="default"/>
      </items>
    </pivotField>
    <pivotField numFmtId="164" showAll="0"/>
    <pivotField numFmtId="164" showAll="0"/>
    <pivotField numFmtId="164" showAll="0"/>
    <pivotField showAll="0"/>
    <pivotField showAll="0"/>
    <pivotField numFmtId="9" showAll="0"/>
    <pivotField numFmtId="3" showAll="0"/>
    <pivotField showAll="0"/>
    <pivotField showAll="0"/>
    <pivotField showAll="0"/>
    <pivotField showAll="0"/>
    <pivotField showAll="0">
      <items count="2">
        <item x="0"/>
        <item t="default"/>
      </items>
    </pivotField>
    <pivotField showAll="0">
      <items count="2">
        <item x="0"/>
        <item t="default"/>
      </items>
    </pivotField>
    <pivotField dataField="1" showAll="0"/>
    <pivotField dataField="1" showAll="0"/>
    <pivotField showAll="0">
      <items count="2">
        <item x="0"/>
        <item t="default"/>
      </items>
    </pivotField>
    <pivotField numFmtId="3" showAll="0"/>
    <pivotField numFmtId="3" showAll="0"/>
    <pivotField showAll="0"/>
  </pivotFields>
  <rowFields count="1">
    <field x="1"/>
  </rowFields>
  <rowItems count="2">
    <i>
      <x/>
    </i>
    <i t="grand">
      <x/>
    </i>
  </rowItems>
  <colFields count="1">
    <field x="-2"/>
  </colFields>
  <colItems count="2">
    <i>
      <x/>
    </i>
    <i i="1">
      <x v="1"/>
    </i>
  </colItems>
  <dataFields count="2">
    <dataField name="Duration " fld="17" baseField="0" baseItem="12"/>
    <dataField name="Delayed days " fld="18" baseField="0" baseItem="12"/>
  </dataFields>
  <formats count="4">
    <format dxfId="63">
      <pivotArea collapsedLevelsAreSubtotals="1" fieldPosition="0">
        <references count="1">
          <reference field="1" count="0"/>
        </references>
      </pivotArea>
    </format>
    <format dxfId="62">
      <pivotArea collapsedLevelsAreSubtotals="1" fieldPosition="0">
        <references count="1">
          <reference field="1" count="0"/>
        </references>
      </pivotArea>
    </format>
    <format dxfId="61">
      <pivotArea outline="0" collapsedLevelsAreSubtotals="1" fieldPosition="0"/>
    </format>
    <format dxfId="60">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3F81501-EABA-4221-B07F-5AB88D329EF6}" name="Responsible People by Priority" cacheId="0" applyNumberFormats="0" applyBorderFormats="0" applyFontFormats="0" applyPatternFormats="0" applyAlignmentFormats="0" applyWidthHeightFormats="1" dataCaption="Values" showError="1" updatedVersion="7" minRefreshableVersion="3" enableDrill="0" itemPrintTitles="1" createdVersion="6" indent="0" outline="1" outlineData="1" multipleFieldFilters="0" chartFormat="3">
  <location ref="B6:D9" firstHeaderRow="1" firstDataRow="2" firstDataCol="1" rowPageCount="1" colPageCount="1"/>
  <pivotFields count="23">
    <pivotField showAll="0">
      <items count="2">
        <item x="0"/>
        <item t="default"/>
      </items>
    </pivotField>
    <pivotField dataField="1" showAll="0"/>
    <pivotField axis="axisRow" showAll="0">
      <items count="2">
        <item x="0"/>
        <item t="default"/>
      </items>
    </pivotField>
    <pivotField axis="axisCol" showAll="0">
      <items count="2">
        <item x="0"/>
        <item t="default"/>
      </items>
    </pivotField>
    <pivotField showAll="0"/>
    <pivotField showAll="0"/>
    <pivotField showAll="0"/>
    <pivotField showAll="0"/>
    <pivotField showAll="0"/>
    <pivotField showAll="0"/>
    <pivotField numFmtId="3" showAll="0"/>
    <pivotField showAll="0"/>
    <pivotField showAll="0"/>
    <pivotField showAll="0"/>
    <pivotField showAll="0"/>
    <pivotField showAll="0">
      <items count="2">
        <item x="0"/>
        <item t="default"/>
      </items>
    </pivotField>
    <pivotField axis="axisPage" multipleItemSelectionAllowed="1" showAll="0">
      <items count="2">
        <item x="0"/>
        <item t="default"/>
      </items>
    </pivotField>
    <pivotField showAll="0"/>
    <pivotField showAll="0"/>
    <pivotField showAll="0">
      <items count="2">
        <item x="0"/>
        <item t="default"/>
      </items>
    </pivotField>
    <pivotField showAll="0"/>
    <pivotField showAll="0"/>
    <pivotField showAll="0"/>
  </pivotFields>
  <rowFields count="1">
    <field x="2"/>
  </rowFields>
  <rowItems count="2">
    <i>
      <x/>
    </i>
    <i t="grand">
      <x/>
    </i>
  </rowItems>
  <colFields count="1">
    <field x="3"/>
  </colFields>
  <colItems count="2">
    <i>
      <x/>
    </i>
    <i t="grand">
      <x/>
    </i>
  </colItems>
  <pageFields count="1">
    <pageField fld="16" hier="-1"/>
  </pageFields>
  <dataFields count="1">
    <dataField name="Count of Tasks" fld="1" subtotal="count" baseField="0" baseItem="0"/>
  </dataFields>
  <formats count="3">
    <format dxfId="66">
      <pivotArea outline="0" collapsedLevelsAreSubtotals="1" fieldPosition="0"/>
    </format>
    <format dxfId="65">
      <pivotArea dataOnly="0" labelOnly="1" fieldPosition="0">
        <references count="1">
          <reference field="3" count="0"/>
        </references>
      </pivotArea>
    </format>
    <format dxfId="64">
      <pivotArea dataOnly="0" labelOnly="1" grandCol="1" outline="0"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5FA5A5D-3445-4C69-A84C-0F0F0868B515}" name="Tasks by Status" cacheId="0" applyNumberFormats="0" applyBorderFormats="0" applyFontFormats="0" applyPatternFormats="0" applyAlignmentFormats="0" applyWidthHeightFormats="1" dataCaption="Values" showError="1" updatedVersion="7" minRefreshableVersion="3" enableDrill="0" itemPrintTitles="1" createdVersion="6" indent="0" outline="1" outlineData="1" multipleFieldFilters="0" chartFormat="4">
  <location ref="AJ4:AL7" firstHeaderRow="1" firstDataRow="2" firstDataCol="1"/>
  <pivotFields count="23">
    <pivotField showAll="0">
      <items count="2">
        <item x="0"/>
        <item t="default"/>
      </items>
    </pivotField>
    <pivotField dataField="1" showAll="0"/>
    <pivotField axis="axisRow" showAll="0">
      <items count="2">
        <item x="0"/>
        <item t="default"/>
      </items>
    </pivotField>
    <pivotField showAll="0">
      <items count="2">
        <item x="0"/>
        <item t="default"/>
      </items>
    </pivotField>
    <pivotField numFmtId="164" showAll="0"/>
    <pivotField numFmtId="164" showAll="0"/>
    <pivotField numFmtId="164" showAll="0"/>
    <pivotField showAll="0"/>
    <pivotField axis="axisCol" showAll="0">
      <items count="2">
        <item x="0"/>
        <item t="default"/>
      </items>
    </pivotField>
    <pivotField numFmtId="9" showAll="0"/>
    <pivotField numFmtId="3" showAll="0"/>
    <pivotField showAll="0"/>
    <pivotField showAll="0"/>
    <pivotField showAll="0"/>
    <pivotField showAll="0"/>
    <pivotField showAll="0">
      <items count="2">
        <item x="0"/>
        <item t="default"/>
      </items>
    </pivotField>
    <pivotField showAll="0">
      <items count="2">
        <item x="0"/>
        <item t="default"/>
      </items>
    </pivotField>
    <pivotField showAll="0"/>
    <pivotField showAll="0"/>
    <pivotField showAll="0">
      <items count="2">
        <item x="0"/>
        <item t="default"/>
      </items>
    </pivotField>
    <pivotField numFmtId="3" showAll="0"/>
    <pivotField numFmtId="3" showAll="0"/>
    <pivotField showAll="0"/>
  </pivotFields>
  <rowFields count="1">
    <field x="2"/>
  </rowFields>
  <rowItems count="2">
    <i>
      <x/>
    </i>
    <i t="grand">
      <x/>
    </i>
  </rowItems>
  <colFields count="1">
    <field x="8"/>
  </colFields>
  <colItems count="2">
    <i>
      <x/>
    </i>
    <i t="grand">
      <x/>
    </i>
  </colItems>
  <dataFields count="1">
    <dataField name="Count of Tasks" fld="1" subtotal="count" baseField="0" baseItem="0"/>
  </dataFields>
  <formats count="3">
    <format dxfId="69">
      <pivotArea outline="0" collapsedLevelsAreSubtotals="1" fieldPosition="0"/>
    </format>
    <format dxfId="68">
      <pivotArea dataOnly="0" labelOnly="1" fieldPosition="0">
        <references count="1">
          <reference field="8" count="0"/>
        </references>
      </pivotArea>
    </format>
    <format dxfId="67">
      <pivotArea dataOnly="0" labelOnly="1" grandCol="1" outline="0" fieldPosition="0"/>
    </format>
  </formats>
  <chartFormats count="2">
    <chartFormat chart="3" format="2" series="1">
      <pivotArea type="data" outline="0" fieldPosition="0">
        <references count="1">
          <reference field="4294967294" count="1" selected="0">
            <x v="0"/>
          </reference>
        </references>
      </pivotArea>
    </chartFormat>
    <chartFormat chart="3" format="28" series="1">
      <pivotArea type="data" outline="0" fieldPosition="0">
        <references count="2">
          <reference field="4294967294" count="1" selected="0">
            <x v="0"/>
          </reference>
          <reference field="8"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sponsible_Person1" xr10:uid="{4EB95AE3-C6B4-416B-B109-0C90B93FB0D1}" sourceName="Responsible Person">
  <pivotTables>
    <pivotTable tabId="14" name="Responsible People by Priority"/>
    <pivotTable tabId="14" name="Cards by their Priority"/>
    <pivotTable tabId="14" name="Overdue Percentage "/>
    <pivotTable tabId="14" name="Project Duration vs. Delay"/>
    <pivotTable tabId="14" name="Tasks by Status"/>
    <pivotTable tabId="14" name="Work Done vs. Work Left"/>
  </pivotTables>
  <data>
    <tabular pivotCacheId="693695961">
      <items count="1">
        <i x="0"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ority1" xr10:uid="{A486359E-5227-4EDE-94E7-D7BB2AA7A1A3}" sourceName="Priority">
  <pivotTables>
    <pivotTable tabId="14" name="Responsible People by Priority"/>
    <pivotTable tabId="14" name="Cards by their Priority"/>
    <pivotTable tabId="14" name="Overdue Percentage "/>
    <pivotTable tabId="14" name="Project Duration vs. Delay"/>
    <pivotTable tabId="14" name="Tasks by Status"/>
    <pivotTable tabId="14" name="Work Done vs. Work Left"/>
  </pivotTables>
  <data>
    <tabular pivotCacheId="693695961">
      <items count="1">
        <i x="0"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sk_Start_Date1" xr10:uid="{EC815924-3B59-4787-BD3B-EBF49ADC4E98}" sourceName="Task Start Date">
  <pivotTables>
    <pivotTable tabId="14" name="Responsible People by Priority"/>
    <pivotTable tabId="14" name="Cards by their Priority"/>
    <pivotTable tabId="14" name="Overdue Percentage "/>
    <pivotTable tabId="14" name="Project Duration vs. Delay"/>
    <pivotTable tabId="14" name="Tasks by Status"/>
    <pivotTable tabId="14" name="Work Done vs. Work Left"/>
  </pivotTables>
  <data>
    <tabular pivotCacheId="693695961">
      <items count="1">
        <i x="0"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sk_Due_Date1" xr10:uid="{6729D39D-B11C-49DF-A0C3-2640397BA0D5}" sourceName="Task Due Date">
  <pivotTables>
    <pivotTable tabId="14" name="Responsible People by Priority"/>
    <pivotTable tabId="14" name="Cards by their Priority"/>
    <pivotTable tabId="14" name="Overdue Percentage "/>
    <pivotTable tabId="14" name="Project Duration vs. Delay"/>
    <pivotTable tabId="14" name="Tasks by Status"/>
    <pivotTable tabId="14" name="Work Done vs. Work Left"/>
  </pivotTables>
  <data>
    <tabular pivotCacheId="693695961">
      <items count="1">
        <i x="0" s="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verdue1" xr10:uid="{A361DB67-30DF-4AA1-AFEC-36AD11EC556C}" sourceName="Overdue">
  <pivotTables>
    <pivotTable tabId="14" name="Responsible People by Priority"/>
    <pivotTable tabId="14" name="Cards by their Priority"/>
    <pivotTable tabId="14" name="Overdue Percentage "/>
    <pivotTable tabId="14" name="Project Duration vs. Delay"/>
    <pivotTable tabId="14" name="Tasks by Status"/>
    <pivotTable tabId="14" name="Work Done vs. Work Left"/>
  </pivotTables>
  <data>
    <tabular pivotCacheId="693695961">
      <items count="1">
        <i x="0" s="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oard_Section" xr10:uid="{3C2313B8-49CE-4B9C-8184-D4A766D9B242}" sourceName="Board Section">
  <pivotTables>
    <pivotTable tabId="14" name="Project Duration vs. Delay"/>
    <pivotTable tabId="14" name="Cards by their Priority"/>
    <pivotTable tabId="14" name="Overdue Percentage "/>
    <pivotTable tabId="14" name="Responsible People by Priority"/>
    <pivotTable tabId="14" name="Tasks by Status"/>
    <pivotTable tabId="14" name="Work Done vs. Work Left"/>
  </pivotTables>
  <data>
    <tabular pivotCacheId="693695961">
      <items count="1">
        <i x="0" s="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sponsible_Person" xr10:uid="{B8574D2E-F277-4DD4-AD0E-1E9D0A1CE6D7}" sourceName="Responsible Person">
  <extLst>
    <x:ext xmlns:x15="http://schemas.microsoft.com/office/spreadsheetml/2010/11/main" uri="{2F2917AC-EB37-4324-AD4E-5DD8C200BD13}">
      <x15:tableSlicerCache tableId="2" column="3"/>
    </x:ex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ority" xr10:uid="{CC0F82AE-681C-4057-A1E7-670B0F9A6C05}" sourceName="Priority">
  <extLst>
    <x:ext xmlns:x15="http://schemas.microsoft.com/office/spreadsheetml/2010/11/main" uri="{2F2917AC-EB37-4324-AD4E-5DD8C200BD13}">
      <x15:tableSlicerCache tableId="2" column="4"/>
    </x:ex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verdue" xr10:uid="{D5361ADC-E2C3-4CAD-AEAB-9C15B840C3DE}" sourceName="Overdue">
  <extLst>
    <x:ext xmlns:x15="http://schemas.microsoft.com/office/spreadsheetml/2010/11/main" uri="{2F2917AC-EB37-4324-AD4E-5DD8C200BD13}">
      <x15:tableSlicerCache tableId="2" column="20"/>
    </x:ex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sk_Due_Date" xr10:uid="{4B0C180E-038F-41FB-85EE-1F766BBF3A90}" sourceName="Task Due Date">
  <extLst>
    <x:ext xmlns:x15="http://schemas.microsoft.com/office/spreadsheetml/2010/11/main" uri="{2F2917AC-EB37-4324-AD4E-5DD8C200BD13}">
      <x15:tableSlicerCache tableId="2" column="17"/>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sponsible Person" xr10:uid="{FDE47516-CD5A-47A5-BBB7-3CF1FA732F9B}" cache="Slicer_Responsible_Person" caption="Responsible Person" columnCount="3" rowHeight="216000"/>
  <slicer name="Priority" xr10:uid="{C314DFFA-E4E2-491F-B618-95E95CFDA5DC}" cache="Slicer_Priority" caption="Priority" columnCount="2" rowHeight="216000"/>
  <slicer name="Overdue" xr10:uid="{655EF605-12B7-4A42-B66D-F701A6E44BB4}" cache="Slicer_Overdue" caption="Overdue" rowHeight="216000"/>
  <slicer name="Task Due Date" xr10:uid="{A76B8D82-0063-481F-AFD0-3189C72877EF}" cache="Slicer_Task_Due_Date" caption="Task Due Date" columnCount="2" rowHeight="216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sponsible Person 1" xr10:uid="{EBDF2EE5-313B-4477-9F07-BACC0830AB59}" cache="Slicer_Responsible_Person1" caption="Responsible Person" columnCount="2" rowHeight="216000"/>
  <slicer name="Priority 1" xr10:uid="{DBA92512-F22B-4456-AD35-A52E29D8EDED}" cache="Slicer_Priority1" caption="Priority" columnCount="2" rowHeight="216000"/>
  <slicer name="Task Start Date 1" xr10:uid="{9A2A104F-6572-4727-9729-8A74A55BCB1F}" cache="Slicer_Task_Start_Date1" caption="Task Start Date" columnCount="2" rowHeight="216000"/>
  <slicer name="Task Due Date 1" xr10:uid="{B4F6A8D8-FFB9-40DF-BC87-F91A9544C960}" cache="Slicer_Task_Due_Date1" caption="Task Due Date" columnCount="2" rowHeight="216000"/>
  <slicer name="Overdue 1" xr10:uid="{3FC5EF8A-D03A-41C2-8238-AB1362695188}" cache="Slicer_Overdue1" caption="Overdue" rowHeight="216000"/>
  <slicer name="Board" xr10:uid="{0DB45B86-45F3-4567-A212-389BF473B1E0}" cache="Slicer_Board_Section" caption="Board" columnCount="2" rowHeight="216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59F7838-167D-46E9-8255-328237220F6C}" name="Table1" displayName="Table1" ref="C8:M501" totalsRowShown="0" headerRowDxfId="109" dataDxfId="108" tableBorderDxfId="107">
  <autoFilter ref="C8:M501" xr:uid="{B5105E34-7193-453F-A320-2DBFFCFCEDAC}"/>
  <tableColumns count="11">
    <tableColumn id="1" xr3:uid="{72A04E78-2132-405F-9B6B-C78C705EFCC8}" name="Board" dataDxfId="106"/>
    <tableColumn id="2" xr3:uid="{4C3A6C0D-458E-4B10-9150-E7E9323ED0A7}" name="Tasks" dataDxfId="105"/>
    <tableColumn id="8" xr3:uid="{64AC5CBF-FB23-4B66-9640-2C62A085B82A}" name="Status" dataDxfId="104"/>
    <tableColumn id="4" xr3:uid="{FF6308E3-B916-4FDA-B5CE-0F1EFE80D6B6}" name="Priority" dataDxfId="103"/>
    <tableColumn id="3" xr3:uid="{FE0A7933-5452-4C7D-8292-1DE34A337CAB}" name="Responsible Person" dataDxfId="102"/>
    <tableColumn id="5" xr3:uid="{3F190C6D-F15E-4CE9-B0C1-3B359E8B8830}" name="Start Date" dataDxfId="101"/>
    <tableColumn id="6" xr3:uid="{DD3FCB13-290B-4373-BD23-C328EFEB687C}" name="Finish Date" dataDxfId="100"/>
    <tableColumn id="7" xr3:uid="{6BF6A354-5E40-487A-9F25-A1D455A3E5EA}" name="Due Date" dataDxfId="99"/>
    <tableColumn id="9" xr3:uid="{C0075E65-BDEA-4B28-BABD-2246745B2379}" name="Work Progress" dataDxfId="98"/>
    <tableColumn id="10" xr3:uid="{9BD2637F-07F5-4D12-AF8E-053F91E13E3A}" name="Work (hrs)" dataDxfId="97"/>
    <tableColumn id="11" xr3:uid="{34DBCE04-C3AA-464D-8E11-DCA2DD901BE7}" name="Notes" dataDxfId="96"/>
  </tableColumns>
  <tableStyleInfo name="Table Style 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20D9EDB-E88D-4C6C-808D-A172F10B773E}" name="Table2" displayName="Table2" ref="C7:Y500" totalsRowShown="0" headerRowDxfId="95" dataDxfId="94" tableBorderDxfId="93">
  <autoFilter ref="C7:Y500" xr:uid="{B21379CC-99B1-435F-B3B2-15D1DC00378D}">
    <filterColumn colId="0" hiddenButton="1"/>
    <filterColumn colId="1" hiddenButton="1"/>
    <filterColumn colId="2" hiddenButton="1"/>
    <filterColumn colId="3" hiddenButton="1">
      <filters>
        <filter val="Low"/>
      </filters>
    </filterColumn>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autoFilter>
  <tableColumns count="23">
    <tableColumn id="1" xr3:uid="{BFC44E5F-9C01-47C7-808D-C3BD1A72C283}" name="Board Section" dataDxfId="92">
      <calculatedColumnFormula>IFERROR(IF(LEN(INDEX(Database!C$9:C$501,ROW(Calc!A8)-ROW(Calc!$B$7)))=0,"",INDEX(Database!C$9:C$501,ROW(Calc!A8)-ROW(Calc!$B$7))),"")</calculatedColumnFormula>
    </tableColumn>
    <tableColumn id="2" xr3:uid="{436D5271-F19B-4B3C-88EB-BBD54A10D4B8}" name="Tasks" dataDxfId="91">
      <calculatedColumnFormula>IFERROR(IF(LEN(INDEX(Database!D$9:D$501,ROW(Calc!B8)-ROW(Calc!$B$7)))=0,"",INDEX(Database!D$9:D$501,ROW(Calc!B8)-ROW(Calc!$B$7))),"")</calculatedColumnFormula>
    </tableColumn>
    <tableColumn id="3" xr3:uid="{0E7D0D37-94FE-48A8-B5CA-9E4A792FFB1E}" name="Responsible Person" dataDxfId="90">
      <calculatedColumnFormula>IFERROR(IF(LEN(INDEX(Database!G$9:G$501,ROW(Calc!D8)-ROW(Calc!$B$7)))=0,$AD$3,INDEX(Database!G$9:G$501,ROW(Calc!D8)-ROW(Calc!$B$7))),"")</calculatedColumnFormula>
    </tableColumn>
    <tableColumn id="4" xr3:uid="{38D2F8FF-1FE9-435E-B831-91837BF64D56}" name="Priority" dataDxfId="89">
      <calculatedColumnFormula>IFERROR(IF(LEN(INDEX(Database!F$9:F$501,ROW(Calc!E8)-ROW(Calc!$B$7)))=0,$AD$3,INDEX(Database!F$9:F$501,ROW(Calc!E8)-ROW(Calc!$B$7))),"")</calculatedColumnFormula>
    </tableColumn>
    <tableColumn id="5" xr3:uid="{24ECF668-81C4-425A-A962-BB6259417FFE}" name="Start Date" dataDxfId="88">
      <calculatedColumnFormula>IFERROR(IF(LEN(INDEX(Database!H$9:H$501,ROW(Calc!F8)-ROW(Calc!$B$7)))=0,$AD$3,INDEX(Database!H$9:H$501,ROW(Calc!F8)-ROW(Calc!$B$7))),"")</calculatedColumnFormula>
    </tableColumn>
    <tableColumn id="6" xr3:uid="{FE8621BF-3598-4207-8C87-AF11C6EC3EDF}" name="Finish Date" dataDxfId="87">
      <calculatedColumnFormula>IFERROR(IF(LEN(INDEX(Database!I$9:I$501,ROW(Calc!G8)-ROW(Calc!$B$7)))=0,$AD$3,INDEX(Database!I$9:I$501,ROW(Calc!G8)-ROW(Calc!$B$7))),"")</calculatedColumnFormula>
    </tableColumn>
    <tableColumn id="7" xr3:uid="{25E2F029-E20B-41B7-AE58-32481C448050}" name="Due Date" dataDxfId="86">
      <calculatedColumnFormula>IFERROR(IF(LEN(INDEX(Database!J$9:J$501,ROW(Calc!H8)-ROW(Calc!$B$7)))=0,$AD$3,INDEX(Database!J$9:J$501,ROW(Calc!H8)-ROW(Calc!$B$7))),"")</calculatedColumnFormula>
    </tableColumn>
    <tableColumn id="8" xr3:uid="{B12FC9BF-A561-4848-814F-6F8FC42FAADD}" name="Kanban Due Date to Display" dataDxfId="85">
      <calculatedColumnFormula>IFERROR(IF(I8=$AD$3,$AD$3,CONCATENATE(DAY(I8),".",MONTH(I8),".",YEAR(I8))),"")</calculatedColumnFormula>
    </tableColumn>
    <tableColumn id="9" xr3:uid="{AB670D9D-2191-4706-B236-F68470B82F07}" name="Status" dataDxfId="84">
      <calculatedColumnFormula>IFERROR(IF(LEN(INDEX(Database!E$9:E$501,ROW(Calc!I8)-ROW(Calc!$B$7)))=0,"",INDEX(Database!E$9:E$501,ROW(Calc!I8)-ROW(Calc!$B$7))),"")</calculatedColumnFormula>
    </tableColumn>
    <tableColumn id="10" xr3:uid="{23CE83EB-8938-4C05-BCA4-DEFB4ECFAD97}" name="Work Progress" dataDxfId="83">
      <calculatedColumnFormula>IFERROR(IF(LEN(INDEX(Database!K$9:K$501,ROW(Calc!K8)-ROW(Calc!$B$7)))=0,$AD$3,INDEX(Database!K$9:K$501,ROW(Calc!K8)-ROW(Calc!$B$7))),"")</calculatedColumnFormula>
    </tableColumn>
    <tableColumn id="11" xr3:uid="{C0716074-D990-4BA3-9359-AB19C62261AB}" name="Work (hrs)" dataDxfId="82">
      <calculatedColumnFormula>IFERROR(IF(LEN(INDEX(Database!L$9:L$501,ROW(Calc!L8)-ROW(Calc!$B$7)))=0,$AD$3,INDEX(Database!L$9:L$501,ROW(Calc!L8)-ROW(Calc!$B$7))),"")</calculatedColumnFormula>
    </tableColumn>
    <tableColumn id="12" xr3:uid="{A493B273-9604-4AF1-BDD9-C9605C973485}" name="Notes" dataDxfId="81">
      <calculatedColumnFormula>IFERROR(IF(LEN(INDEX(Database!M$9:M$501,ROW(Calc!M8)-ROW(Calc!$B$7)))=0,"",INDEX(Database!M$9:M$501,ROW(Calc!M8)-ROW(Calc!$B$7))),"")</calculatedColumnFormula>
    </tableColumn>
    <tableColumn id="13" xr3:uid="{DE5BCCB1-264B-4C10-9BE9-95EABE89FD2E}" name="Helper Row" dataDxfId="80">
      <calculatedColumnFormula>IFERROR(IF(LEN(D8)=0,"",ROW(D8)-ROW($D$7)),"")</calculatedColumnFormula>
    </tableColumn>
    <tableColumn id="14" xr3:uid="{F4211033-B648-4A00-A07E-1BE8F318D7E6}" name="Start Date Month" dataDxfId="79">
      <calculatedColumnFormula>IFERROR(IF(G8=$AD$3,$AD$3,MONTH(G8)),"")</calculatedColumnFormula>
    </tableColumn>
    <tableColumn id="15" xr3:uid="{21B851E7-05B4-4A60-9ACC-444173DBC62A}" name="Due Date Month" dataDxfId="78">
      <calculatedColumnFormula>IFERROR(IF(I8=$AD$3,$AD$3,MONTH(I8)),"")</calculatedColumnFormula>
    </tableColumn>
    <tableColumn id="16" xr3:uid="{CE23A8F4-0A4F-4D19-9645-61D4D8E9CB88}" name="Task Start Date" dataDxfId="77">
      <calculatedColumnFormula>IFERROR(IF(G8=$AD$3,$AD$3,INDEX(Kanban_Helper!$C$317:$C$328,MATCH(MONTH(G8),Kanban_Helper!$B$317:$B$328,0))&amp;" - "&amp;YEAR(G8)),"$AD$3")</calculatedColumnFormula>
    </tableColumn>
    <tableColumn id="17" xr3:uid="{29AAF625-AD3A-4D26-83F9-175E4380456E}" name="Task Due Date" dataDxfId="76">
      <calculatedColumnFormula>IFERROR(IF(I8=$AD$3,$AD$3,INDEX(Kanban_Helper!$C$317:$C$328,MATCH(MONTH(I8),Kanban_Helper!$B$317:$B$328,0))&amp;" - "&amp;YEAR(I8)),$AD$3)</calculatedColumnFormula>
    </tableColumn>
    <tableColumn id="18" xr3:uid="{634421FE-B88A-4290-883D-714BEAB8B298}" name="Duration" dataDxfId="75">
      <calculatedColumnFormula>IFERROR(IF(LEN(G8)=0,"",IF(LEN(H8)=0,TODAY()-G8,H8-G8)),"")</calculatedColumnFormula>
    </tableColumn>
    <tableColumn id="19" xr3:uid="{445FA8CD-3588-4C29-B089-AC346C4289C2}" name="Delayed days" dataDxfId="74">
      <calculatedColumnFormula>IFERROR(IF(LEN(I8)=0,"",IF(LEN(H8)=0,IF(TODAY()&gt;=I8,TODAY()-I8,""),IF(H8&gt;I8,H8-I8,""))),"")</calculatedColumnFormula>
    </tableColumn>
    <tableColumn id="20" xr3:uid="{02A1394B-A4C5-41C0-9B1B-D586A4EA5FD7}" name="Overdue" dataDxfId="73">
      <calculatedColumnFormula>IFERROR(IF(OR(G8=$AD$3,H8=$AD$3),$AD$3,IF(H8&lt;=I8,"No","Yes")),$AD$3)</calculatedColumnFormula>
    </tableColumn>
    <tableColumn id="21" xr3:uid="{EB2C9BD0-1D2D-4FE4-80DC-1D1465B9909C}" name="Work Done" dataDxfId="72">
      <calculatedColumnFormula>IFERROR(IF(OR(LEN(L8)=0,LEN(M8)=0),"",L8*M8),"")</calculatedColumnFormula>
    </tableColumn>
    <tableColumn id="22" xr3:uid="{CA4CA30A-926A-4C43-9720-3DFD6780793C}" name="Work Left" dataDxfId="71">
      <calculatedColumnFormula>IFERROR(IF(OR(LEN(W8)=0,LEN(M8)=0),"",M8-W8),"")</calculatedColumnFormula>
    </tableColumn>
    <tableColumn id="23" xr3:uid="{1E19F4C7-1426-4FEE-8F89-DEC7C8C2DC2F}" name="Helper" dataDxfId="70">
      <calculatedColumnFormula>IFERROR(IF(LEN(D8)=0,"",IF(SUBTOTAL(3,E8:E8)=0,MIN($Y$7:Y7)-1,SUBTOTAL(3,$E$8:E8))),"")</calculatedColumnFormula>
    </tableColumn>
  </tableColumns>
  <tableStyleInfo name="Table Style 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51" Type="http://schemas.openxmlformats.org/officeDocument/2006/relationships/ctrlProp" Target="../ctrlProps/ctrlProp48.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3987E0-7851-45EE-80CB-49B7FE910B96}">
  <dimension ref="A1:I54"/>
  <sheetViews>
    <sheetView showGridLines="0" zoomScaleNormal="100" workbookViewId="0">
      <selection activeCell="A8" sqref="A8"/>
    </sheetView>
  </sheetViews>
  <sheetFormatPr defaultRowHeight="13.5" x14ac:dyDescent="0.3"/>
  <cols>
    <col min="1" max="1" width="4.7265625" style="178" customWidth="1"/>
    <col min="2" max="2" width="12" style="178" customWidth="1"/>
    <col min="3" max="3" width="41.08984375" style="178" customWidth="1"/>
    <col min="4" max="4" width="13.54296875" style="178" customWidth="1"/>
    <col min="5" max="5" width="18.1796875" style="178" customWidth="1"/>
    <col min="6" max="6" width="5.1796875" style="178" hidden="1" customWidth="1"/>
    <col min="7" max="7" width="19.6328125" style="178" hidden="1" customWidth="1"/>
    <col min="8" max="8" width="12.54296875" style="178" hidden="1" customWidth="1"/>
    <col min="9" max="9" width="11.81640625" style="178" hidden="1" customWidth="1"/>
    <col min="10" max="16384" width="8.7265625" style="178"/>
  </cols>
  <sheetData>
    <row r="1" spans="1:9" ht="21.75" customHeight="1" x14ac:dyDescent="0.3">
      <c r="A1" s="175" t="s">
        <v>82</v>
      </c>
      <c r="B1" s="175"/>
      <c r="C1" s="176"/>
      <c r="D1" s="176"/>
      <c r="E1" s="177"/>
    </row>
    <row r="2" spans="1:9" ht="28.5" customHeight="1" x14ac:dyDescent="0.3">
      <c r="A2" s="179"/>
      <c r="B2" s="180"/>
      <c r="C2" s="180"/>
      <c r="D2" s="180"/>
      <c r="E2" s="181"/>
    </row>
    <row r="3" spans="1:9" ht="5.25" customHeight="1" x14ac:dyDescent="0.3"/>
    <row r="4" spans="1:9" ht="17.25" customHeight="1" thickBot="1" x14ac:dyDescent="0.35">
      <c r="A4" s="182" t="s">
        <v>83</v>
      </c>
      <c r="B4" s="182" t="s">
        <v>84</v>
      </c>
      <c r="C4" s="182" t="s">
        <v>85</v>
      </c>
      <c r="D4" s="182" t="s">
        <v>4</v>
      </c>
      <c r="E4" s="183" t="s">
        <v>86</v>
      </c>
      <c r="G4" s="184" t="s">
        <v>87</v>
      </c>
      <c r="H4" s="184" t="s">
        <v>4</v>
      </c>
      <c r="I4" s="185" t="s">
        <v>88</v>
      </c>
    </row>
    <row r="5" spans="1:9" ht="12.75" customHeight="1" thickTop="1" x14ac:dyDescent="0.3">
      <c r="A5" s="186">
        <v>1</v>
      </c>
      <c r="B5" s="187"/>
      <c r="C5" s="188"/>
      <c r="D5" s="189"/>
      <c r="E5" s="190" t="b">
        <v>0</v>
      </c>
      <c r="G5" s="191" t="s">
        <v>86</v>
      </c>
      <c r="H5" s="192" t="s">
        <v>10</v>
      </c>
      <c r="I5" s="193">
        <v>5</v>
      </c>
    </row>
    <row r="6" spans="1:9" ht="12.75" customHeight="1" x14ac:dyDescent="0.3">
      <c r="A6" s="194">
        <v>2</v>
      </c>
      <c r="B6" s="195"/>
      <c r="C6" s="189"/>
      <c r="D6" s="189"/>
      <c r="E6" s="196" t="b">
        <v>0</v>
      </c>
      <c r="G6" s="191" t="s">
        <v>44</v>
      </c>
      <c r="H6" s="192" t="s">
        <v>9</v>
      </c>
      <c r="I6" s="193">
        <v>3</v>
      </c>
    </row>
    <row r="7" spans="1:9" ht="12.75" customHeight="1" x14ac:dyDescent="0.3">
      <c r="A7" s="194">
        <v>3</v>
      </c>
      <c r="B7" s="195"/>
      <c r="C7" s="189"/>
      <c r="D7" s="189"/>
      <c r="E7" s="196" t="b">
        <v>0</v>
      </c>
      <c r="G7" s="191" t="s">
        <v>89</v>
      </c>
      <c r="H7" s="192" t="s">
        <v>8</v>
      </c>
      <c r="I7" s="193">
        <v>1</v>
      </c>
    </row>
    <row r="8" spans="1:9" ht="12.75" customHeight="1" x14ac:dyDescent="0.3">
      <c r="A8" s="194">
        <v>4</v>
      </c>
      <c r="B8" s="195"/>
      <c r="C8" s="189"/>
      <c r="D8" s="189"/>
      <c r="E8" s="196" t="b">
        <v>0</v>
      </c>
    </row>
    <row r="9" spans="1:9" ht="12.75" customHeight="1" x14ac:dyDescent="0.3">
      <c r="A9" s="194">
        <v>5</v>
      </c>
      <c r="B9" s="195"/>
      <c r="C9" s="189"/>
      <c r="D9" s="189"/>
      <c r="E9" s="196" t="b">
        <v>0</v>
      </c>
      <c r="G9" s="191" t="s">
        <v>90</v>
      </c>
      <c r="H9" s="197">
        <f>COUNTIF($C$5:$C$29,"&lt;&gt;")</f>
        <v>0</v>
      </c>
    </row>
    <row r="10" spans="1:9" ht="12.75" customHeight="1" x14ac:dyDescent="0.3">
      <c r="A10" s="194">
        <v>6</v>
      </c>
      <c r="B10" s="195"/>
      <c r="C10" s="189"/>
      <c r="D10" s="189"/>
      <c r="E10" s="196" t="b">
        <v>0</v>
      </c>
      <c r="G10" s="191" t="s">
        <v>91</v>
      </c>
      <c r="H10" s="197">
        <f>COUNTIFS($D$5:$D$29,$H$5,$E$5:$E$29,TRUE)*$I$5+COUNTIFS($D$5:$D$29,$H$6,$E$5:$E$29,TRUE)*$I$6+COUNTIFS($D$5:$D$29,$H$7,$E$5:$E$29,TRUE)*$I$7</f>
        <v>0</v>
      </c>
    </row>
    <row r="11" spans="1:9" ht="12.75" customHeight="1" x14ac:dyDescent="0.3">
      <c r="A11" s="194">
        <v>7</v>
      </c>
      <c r="B11" s="195"/>
      <c r="C11" s="189"/>
      <c r="D11" s="189"/>
      <c r="E11" s="196" t="b">
        <v>0</v>
      </c>
      <c r="G11" s="191" t="s">
        <v>92</v>
      </c>
      <c r="H11" s="197">
        <f>COUNTIF($D$5:$D$29,$H$5)*$I$5+COUNTIF($D$5:$D$29,$H$6)*$I$6+COUNTIF($D$5:$D$29,$H$7)*$I$7</f>
        <v>0</v>
      </c>
    </row>
    <row r="12" spans="1:9" ht="12.75" customHeight="1" x14ac:dyDescent="0.3">
      <c r="A12" s="194">
        <v>8</v>
      </c>
      <c r="B12" s="195"/>
      <c r="C12" s="189"/>
      <c r="D12" s="189"/>
      <c r="E12" s="196" t="b">
        <v>0</v>
      </c>
      <c r="G12" s="191" t="s">
        <v>93</v>
      </c>
      <c r="H12" s="198">
        <f>IFERROR(H10/H11,0)</f>
        <v>0</v>
      </c>
    </row>
    <row r="13" spans="1:9" ht="12.75" customHeight="1" x14ac:dyDescent="0.3">
      <c r="A13" s="194">
        <v>9</v>
      </c>
      <c r="B13" s="195"/>
      <c r="C13" s="189"/>
      <c r="D13" s="189"/>
      <c r="E13" s="196" t="b">
        <v>0</v>
      </c>
    </row>
    <row r="14" spans="1:9" ht="12.75" customHeight="1" x14ac:dyDescent="0.3">
      <c r="A14" s="194">
        <v>10</v>
      </c>
      <c r="B14" s="195"/>
      <c r="C14" s="189"/>
      <c r="D14" s="189"/>
      <c r="E14" s="196" t="b">
        <v>0</v>
      </c>
    </row>
    <row r="15" spans="1:9" ht="12.75" customHeight="1" x14ac:dyDescent="0.3">
      <c r="A15" s="194">
        <v>11</v>
      </c>
      <c r="B15" s="195"/>
      <c r="C15" s="189"/>
      <c r="D15" s="189"/>
      <c r="E15" s="196" t="b">
        <v>0</v>
      </c>
    </row>
    <row r="16" spans="1:9" ht="12.75" customHeight="1" x14ac:dyDescent="0.3">
      <c r="A16" s="194">
        <v>12</v>
      </c>
      <c r="B16" s="195"/>
      <c r="C16" s="189"/>
      <c r="D16" s="189"/>
      <c r="E16" s="196" t="b">
        <v>0</v>
      </c>
    </row>
    <row r="17" spans="1:5" ht="12.75" customHeight="1" x14ac:dyDescent="0.3">
      <c r="A17" s="194">
        <v>13</v>
      </c>
      <c r="B17" s="195"/>
      <c r="C17" s="189"/>
      <c r="D17" s="189"/>
      <c r="E17" s="196" t="b">
        <v>0</v>
      </c>
    </row>
    <row r="18" spans="1:5" ht="12.75" customHeight="1" x14ac:dyDescent="0.3">
      <c r="A18" s="194">
        <v>14</v>
      </c>
      <c r="B18" s="195"/>
      <c r="C18" s="189"/>
      <c r="D18" s="189"/>
      <c r="E18" s="196" t="b">
        <v>0</v>
      </c>
    </row>
    <row r="19" spans="1:5" ht="12.75" customHeight="1" x14ac:dyDescent="0.3">
      <c r="A19" s="194">
        <v>15</v>
      </c>
      <c r="B19" s="195"/>
      <c r="C19" s="189"/>
      <c r="D19" s="189"/>
      <c r="E19" s="196" t="b">
        <v>0</v>
      </c>
    </row>
    <row r="20" spans="1:5" ht="12.75" customHeight="1" x14ac:dyDescent="0.3">
      <c r="A20" s="194">
        <v>16</v>
      </c>
      <c r="B20" s="195"/>
      <c r="C20" s="189"/>
      <c r="D20" s="189"/>
      <c r="E20" s="196" t="b">
        <v>0</v>
      </c>
    </row>
    <row r="21" spans="1:5" ht="12.75" customHeight="1" x14ac:dyDescent="0.3">
      <c r="A21" s="194">
        <v>17</v>
      </c>
      <c r="B21" s="195"/>
      <c r="C21" s="189"/>
      <c r="D21" s="189"/>
      <c r="E21" s="196" t="b">
        <v>0</v>
      </c>
    </row>
    <row r="22" spans="1:5" ht="12.75" customHeight="1" x14ac:dyDescent="0.3">
      <c r="A22" s="194">
        <v>18</v>
      </c>
      <c r="B22" s="195"/>
      <c r="C22" s="189"/>
      <c r="D22" s="189"/>
      <c r="E22" s="196" t="b">
        <v>0</v>
      </c>
    </row>
    <row r="23" spans="1:5" ht="12.75" customHeight="1" x14ac:dyDescent="0.3">
      <c r="A23" s="194">
        <v>19</v>
      </c>
      <c r="B23" s="195"/>
      <c r="C23" s="189"/>
      <c r="D23" s="189"/>
      <c r="E23" s="196" t="b">
        <v>0</v>
      </c>
    </row>
    <row r="24" spans="1:5" ht="12.75" customHeight="1" x14ac:dyDescent="0.3">
      <c r="A24" s="194">
        <v>20</v>
      </c>
      <c r="B24" s="195"/>
      <c r="C24" s="189"/>
      <c r="D24" s="189"/>
      <c r="E24" s="196" t="b">
        <v>0</v>
      </c>
    </row>
    <row r="25" spans="1:5" ht="12.75" customHeight="1" x14ac:dyDescent="0.3">
      <c r="A25" s="194">
        <v>21</v>
      </c>
      <c r="B25" s="195"/>
      <c r="C25" s="189"/>
      <c r="D25" s="189"/>
      <c r="E25" s="196" t="b">
        <v>0</v>
      </c>
    </row>
    <row r="26" spans="1:5" ht="12.75" customHeight="1" x14ac:dyDescent="0.3">
      <c r="A26" s="194">
        <v>22</v>
      </c>
      <c r="B26" s="195"/>
      <c r="C26" s="189"/>
      <c r="D26" s="189"/>
      <c r="E26" s="196" t="b">
        <v>0</v>
      </c>
    </row>
    <row r="27" spans="1:5" ht="12.75" customHeight="1" x14ac:dyDescent="0.3">
      <c r="A27" s="194">
        <v>23</v>
      </c>
      <c r="B27" s="195"/>
      <c r="C27" s="189"/>
      <c r="D27" s="189"/>
      <c r="E27" s="196" t="b">
        <v>0</v>
      </c>
    </row>
    <row r="28" spans="1:5" ht="12.75" customHeight="1" x14ac:dyDescent="0.3">
      <c r="A28" s="194">
        <v>24</v>
      </c>
      <c r="B28" s="195"/>
      <c r="C28" s="189"/>
      <c r="D28" s="189"/>
      <c r="E28" s="196" t="b">
        <v>0</v>
      </c>
    </row>
    <row r="29" spans="1:5" ht="12.75" customHeight="1" x14ac:dyDescent="0.3">
      <c r="A29" s="194">
        <v>25</v>
      </c>
      <c r="B29" s="195"/>
      <c r="C29" s="189"/>
      <c r="D29" s="189"/>
      <c r="E29" s="196" t="b">
        <v>0</v>
      </c>
    </row>
    <row r="30" spans="1:5" ht="12.75" customHeight="1" x14ac:dyDescent="0.3">
      <c r="A30" s="194">
        <v>26</v>
      </c>
      <c r="B30" s="195"/>
      <c r="C30" s="189"/>
      <c r="D30" s="189"/>
      <c r="E30" s="196" t="b">
        <v>0</v>
      </c>
    </row>
    <row r="31" spans="1:5" ht="12.75" customHeight="1" x14ac:dyDescent="0.3">
      <c r="A31" s="194">
        <v>27</v>
      </c>
      <c r="B31" s="195"/>
      <c r="C31" s="189"/>
      <c r="D31" s="189"/>
      <c r="E31" s="196" t="b">
        <v>0</v>
      </c>
    </row>
    <row r="32" spans="1:5" ht="12.75" customHeight="1" x14ac:dyDescent="0.3">
      <c r="A32" s="194">
        <v>28</v>
      </c>
      <c r="B32" s="195"/>
      <c r="C32" s="189"/>
      <c r="D32" s="189"/>
      <c r="E32" s="196" t="b">
        <v>0</v>
      </c>
    </row>
    <row r="33" spans="1:5" ht="12.75" customHeight="1" x14ac:dyDescent="0.3">
      <c r="A33" s="194">
        <v>29</v>
      </c>
      <c r="B33" s="195"/>
      <c r="C33" s="189"/>
      <c r="D33" s="189"/>
      <c r="E33" s="196" t="b">
        <v>0</v>
      </c>
    </row>
    <row r="34" spans="1:5" ht="12.75" customHeight="1" x14ac:dyDescent="0.3">
      <c r="A34" s="194">
        <v>30</v>
      </c>
      <c r="B34" s="195"/>
      <c r="C34" s="189"/>
      <c r="D34" s="189"/>
      <c r="E34" s="196" t="b">
        <v>0</v>
      </c>
    </row>
    <row r="35" spans="1:5" ht="12.75" customHeight="1" x14ac:dyDescent="0.3">
      <c r="A35" s="194">
        <v>31</v>
      </c>
      <c r="B35" s="195"/>
      <c r="C35" s="189"/>
      <c r="D35" s="189"/>
      <c r="E35" s="196" t="b">
        <v>0</v>
      </c>
    </row>
    <row r="36" spans="1:5" ht="12.75" customHeight="1" x14ac:dyDescent="0.3">
      <c r="A36" s="194">
        <v>32</v>
      </c>
      <c r="B36" s="195"/>
      <c r="C36" s="189"/>
      <c r="D36" s="189"/>
      <c r="E36" s="196" t="b">
        <v>0</v>
      </c>
    </row>
    <row r="37" spans="1:5" ht="12.75" customHeight="1" x14ac:dyDescent="0.3">
      <c r="A37" s="194">
        <v>33</v>
      </c>
      <c r="B37" s="195"/>
      <c r="C37" s="189"/>
      <c r="D37" s="189"/>
      <c r="E37" s="196" t="b">
        <v>0</v>
      </c>
    </row>
    <row r="38" spans="1:5" ht="12.75" customHeight="1" x14ac:dyDescent="0.3">
      <c r="A38" s="194">
        <v>34</v>
      </c>
      <c r="B38" s="195"/>
      <c r="C38" s="189"/>
      <c r="D38" s="189"/>
      <c r="E38" s="196" t="b">
        <v>0</v>
      </c>
    </row>
    <row r="39" spans="1:5" ht="12.75" customHeight="1" x14ac:dyDescent="0.3">
      <c r="A39" s="194">
        <v>35</v>
      </c>
      <c r="B39" s="195"/>
      <c r="C39" s="189"/>
      <c r="D39" s="189"/>
      <c r="E39" s="196" t="b">
        <v>0</v>
      </c>
    </row>
    <row r="40" spans="1:5" ht="12.75" customHeight="1" x14ac:dyDescent="0.3">
      <c r="A40" s="194">
        <v>36</v>
      </c>
      <c r="B40" s="195"/>
      <c r="C40" s="189"/>
      <c r="D40" s="189"/>
      <c r="E40" s="196" t="b">
        <v>0</v>
      </c>
    </row>
    <row r="41" spans="1:5" ht="12.75" customHeight="1" x14ac:dyDescent="0.3">
      <c r="A41" s="194">
        <v>37</v>
      </c>
      <c r="B41" s="195"/>
      <c r="C41" s="189"/>
      <c r="D41" s="189"/>
      <c r="E41" s="196" t="b">
        <v>0</v>
      </c>
    </row>
    <row r="42" spans="1:5" ht="12.75" customHeight="1" x14ac:dyDescent="0.3">
      <c r="A42" s="194">
        <v>38</v>
      </c>
      <c r="B42" s="195"/>
      <c r="C42" s="189"/>
      <c r="D42" s="189"/>
      <c r="E42" s="196" t="b">
        <v>0</v>
      </c>
    </row>
    <row r="43" spans="1:5" ht="12.75" customHeight="1" x14ac:dyDescent="0.3">
      <c r="A43" s="194">
        <v>39</v>
      </c>
      <c r="B43" s="195"/>
      <c r="C43" s="189"/>
      <c r="D43" s="189"/>
      <c r="E43" s="196" t="b">
        <v>0</v>
      </c>
    </row>
    <row r="44" spans="1:5" ht="12.75" customHeight="1" x14ac:dyDescent="0.3">
      <c r="A44" s="194">
        <v>40</v>
      </c>
      <c r="B44" s="195"/>
      <c r="C44" s="189"/>
      <c r="D44" s="189"/>
      <c r="E44" s="196" t="b">
        <v>0</v>
      </c>
    </row>
    <row r="45" spans="1:5" ht="12.75" customHeight="1" x14ac:dyDescent="0.3">
      <c r="A45" s="194">
        <v>41</v>
      </c>
      <c r="B45" s="195"/>
      <c r="C45" s="189"/>
      <c r="D45" s="189"/>
      <c r="E45" s="196" t="b">
        <v>0</v>
      </c>
    </row>
    <row r="46" spans="1:5" ht="12.75" customHeight="1" x14ac:dyDescent="0.3">
      <c r="A46" s="194">
        <v>42</v>
      </c>
      <c r="B46" s="195"/>
      <c r="C46" s="189"/>
      <c r="D46" s="189"/>
      <c r="E46" s="196" t="b">
        <v>0</v>
      </c>
    </row>
    <row r="47" spans="1:5" ht="12.75" customHeight="1" x14ac:dyDescent="0.3">
      <c r="A47" s="194">
        <v>43</v>
      </c>
      <c r="B47" s="195"/>
      <c r="C47" s="189"/>
      <c r="D47" s="189"/>
      <c r="E47" s="196" t="b">
        <v>0</v>
      </c>
    </row>
    <row r="48" spans="1:5" ht="12.75" customHeight="1" x14ac:dyDescent="0.3">
      <c r="A48" s="194">
        <v>44</v>
      </c>
      <c r="B48" s="195"/>
      <c r="C48" s="189"/>
      <c r="D48" s="189"/>
      <c r="E48" s="196" t="b">
        <v>0</v>
      </c>
    </row>
    <row r="49" spans="1:5" ht="12.75" customHeight="1" x14ac:dyDescent="0.3">
      <c r="A49" s="194">
        <v>45</v>
      </c>
      <c r="B49" s="195"/>
      <c r="C49" s="189"/>
      <c r="D49" s="189"/>
      <c r="E49" s="196" t="b">
        <v>0</v>
      </c>
    </row>
    <row r="50" spans="1:5" ht="12.75" customHeight="1" x14ac:dyDescent="0.3">
      <c r="A50" s="194">
        <v>46</v>
      </c>
      <c r="B50" s="195"/>
      <c r="C50" s="189"/>
      <c r="D50" s="189"/>
      <c r="E50" s="196" t="b">
        <v>0</v>
      </c>
    </row>
    <row r="51" spans="1:5" ht="12.75" customHeight="1" x14ac:dyDescent="0.3">
      <c r="A51" s="194">
        <v>47</v>
      </c>
      <c r="B51" s="195"/>
      <c r="C51" s="189"/>
      <c r="D51" s="189"/>
      <c r="E51" s="196" t="b">
        <v>0</v>
      </c>
    </row>
    <row r="52" spans="1:5" ht="12.75" customHeight="1" x14ac:dyDescent="0.3">
      <c r="A52" s="194">
        <v>48</v>
      </c>
      <c r="B52" s="195"/>
      <c r="C52" s="189"/>
      <c r="D52" s="189"/>
      <c r="E52" s="196" t="b">
        <v>0</v>
      </c>
    </row>
    <row r="53" spans="1:5" ht="12.75" customHeight="1" x14ac:dyDescent="0.3">
      <c r="A53" s="194">
        <v>49</v>
      </c>
      <c r="B53" s="195"/>
      <c r="C53" s="189"/>
      <c r="D53" s="189"/>
      <c r="E53" s="196" t="b">
        <v>0</v>
      </c>
    </row>
    <row r="54" spans="1:5" ht="12.75" customHeight="1" x14ac:dyDescent="0.3">
      <c r="A54" s="194">
        <v>50</v>
      </c>
      <c r="B54" s="195"/>
      <c r="C54" s="189"/>
      <c r="D54" s="189"/>
      <c r="E54" s="196" t="b">
        <v>0</v>
      </c>
    </row>
  </sheetData>
  <conditionalFormatting sqref="C5:C29">
    <cfRule type="expression" dxfId="51" priority="52">
      <formula>$E5=TRUE</formula>
    </cfRule>
  </conditionalFormatting>
  <conditionalFormatting sqref="A5:E29">
    <cfRule type="expression" dxfId="50" priority="51">
      <formula>AND($E5=TRUE,$C5&lt;&gt;"")</formula>
    </cfRule>
  </conditionalFormatting>
  <conditionalFormatting sqref="C30">
    <cfRule type="expression" dxfId="49" priority="50">
      <formula>$E30=TRUE</formula>
    </cfRule>
  </conditionalFormatting>
  <conditionalFormatting sqref="A30:E30">
    <cfRule type="expression" dxfId="48" priority="49">
      <formula>AND($E30=TRUE,$C30&lt;&gt;"")</formula>
    </cfRule>
  </conditionalFormatting>
  <conditionalFormatting sqref="C31">
    <cfRule type="expression" dxfId="47" priority="48">
      <formula>$E31=TRUE</formula>
    </cfRule>
  </conditionalFormatting>
  <conditionalFormatting sqref="A31:E31">
    <cfRule type="expression" dxfId="46" priority="47">
      <formula>AND($E31=TRUE,$C31&lt;&gt;"")</formula>
    </cfRule>
  </conditionalFormatting>
  <conditionalFormatting sqref="C32">
    <cfRule type="expression" dxfId="45" priority="46">
      <formula>$E32=TRUE</formula>
    </cfRule>
  </conditionalFormatting>
  <conditionalFormatting sqref="A32:E32">
    <cfRule type="expression" dxfId="44" priority="45">
      <formula>AND($E32=TRUE,$C32&lt;&gt;"")</formula>
    </cfRule>
  </conditionalFormatting>
  <conditionalFormatting sqref="C33">
    <cfRule type="expression" dxfId="43" priority="44">
      <formula>$E33=TRUE</formula>
    </cfRule>
  </conditionalFormatting>
  <conditionalFormatting sqref="A33:E33">
    <cfRule type="expression" dxfId="42" priority="43">
      <formula>AND($E33=TRUE,$C33&lt;&gt;"")</formula>
    </cfRule>
  </conditionalFormatting>
  <conditionalFormatting sqref="C34">
    <cfRule type="expression" dxfId="41" priority="42">
      <formula>$E34=TRUE</formula>
    </cfRule>
  </conditionalFormatting>
  <conditionalFormatting sqref="A34:E34">
    <cfRule type="expression" dxfId="40" priority="41">
      <formula>AND($E34=TRUE,$C34&lt;&gt;"")</formula>
    </cfRule>
  </conditionalFormatting>
  <conditionalFormatting sqref="C35">
    <cfRule type="expression" dxfId="39" priority="40">
      <formula>$E35=TRUE</formula>
    </cfRule>
  </conditionalFormatting>
  <conditionalFormatting sqref="A35:E35">
    <cfRule type="expression" dxfId="38" priority="39">
      <formula>AND($E35=TRUE,$C35&lt;&gt;"")</formula>
    </cfRule>
  </conditionalFormatting>
  <conditionalFormatting sqref="C36">
    <cfRule type="expression" dxfId="37" priority="38">
      <formula>$E36=TRUE</formula>
    </cfRule>
  </conditionalFormatting>
  <conditionalFormatting sqref="A36:E36">
    <cfRule type="expression" dxfId="36" priority="37">
      <formula>AND($E36=TRUE,$C36&lt;&gt;"")</formula>
    </cfRule>
  </conditionalFormatting>
  <conditionalFormatting sqref="C37">
    <cfRule type="expression" dxfId="35" priority="36">
      <formula>$E37=TRUE</formula>
    </cfRule>
  </conditionalFormatting>
  <conditionalFormatting sqref="A37:E37">
    <cfRule type="expression" dxfId="34" priority="35">
      <formula>AND($E37=TRUE,$C37&lt;&gt;"")</formula>
    </cfRule>
  </conditionalFormatting>
  <conditionalFormatting sqref="C38">
    <cfRule type="expression" dxfId="33" priority="34">
      <formula>$E38=TRUE</formula>
    </cfRule>
  </conditionalFormatting>
  <conditionalFormatting sqref="A38:E38">
    <cfRule type="expression" dxfId="32" priority="33">
      <formula>AND($E38=TRUE,$C38&lt;&gt;"")</formula>
    </cfRule>
  </conditionalFormatting>
  <conditionalFormatting sqref="C39">
    <cfRule type="expression" dxfId="31" priority="32">
      <formula>$E39=TRUE</formula>
    </cfRule>
  </conditionalFormatting>
  <conditionalFormatting sqref="A39:E39">
    <cfRule type="expression" dxfId="30" priority="31">
      <formula>AND($E39=TRUE,$C39&lt;&gt;"")</formula>
    </cfRule>
  </conditionalFormatting>
  <conditionalFormatting sqref="C40">
    <cfRule type="expression" dxfId="29" priority="30">
      <formula>$E40=TRUE</formula>
    </cfRule>
  </conditionalFormatting>
  <conditionalFormatting sqref="A40:E40">
    <cfRule type="expression" dxfId="28" priority="29">
      <formula>AND($E40=TRUE,$C40&lt;&gt;"")</formula>
    </cfRule>
  </conditionalFormatting>
  <conditionalFormatting sqref="C41">
    <cfRule type="expression" dxfId="27" priority="28">
      <formula>$E41=TRUE</formula>
    </cfRule>
  </conditionalFormatting>
  <conditionalFormatting sqref="A41:E41">
    <cfRule type="expression" dxfId="26" priority="27">
      <formula>AND($E41=TRUE,$C41&lt;&gt;"")</formula>
    </cfRule>
  </conditionalFormatting>
  <conditionalFormatting sqref="C42">
    <cfRule type="expression" dxfId="25" priority="26">
      <formula>$E42=TRUE</formula>
    </cfRule>
  </conditionalFormatting>
  <conditionalFormatting sqref="A42:E42">
    <cfRule type="expression" dxfId="24" priority="25">
      <formula>AND($E42=TRUE,$C42&lt;&gt;"")</formula>
    </cfRule>
  </conditionalFormatting>
  <conditionalFormatting sqref="C43">
    <cfRule type="expression" dxfId="23" priority="24">
      <formula>$E43=TRUE</formula>
    </cfRule>
  </conditionalFormatting>
  <conditionalFormatting sqref="A43:E43">
    <cfRule type="expression" dxfId="22" priority="23">
      <formula>AND($E43=TRUE,$C43&lt;&gt;"")</formula>
    </cfRule>
  </conditionalFormatting>
  <conditionalFormatting sqref="C44">
    <cfRule type="expression" dxfId="21" priority="22">
      <formula>$E44=TRUE</formula>
    </cfRule>
  </conditionalFormatting>
  <conditionalFormatting sqref="A44:E44">
    <cfRule type="expression" dxfId="20" priority="21">
      <formula>AND($E44=TRUE,$C44&lt;&gt;"")</formula>
    </cfRule>
  </conditionalFormatting>
  <conditionalFormatting sqref="C45">
    <cfRule type="expression" dxfId="19" priority="20">
      <formula>$E45=TRUE</formula>
    </cfRule>
  </conditionalFormatting>
  <conditionalFormatting sqref="A45:E45">
    <cfRule type="expression" dxfId="18" priority="19">
      <formula>AND($E45=TRUE,$C45&lt;&gt;"")</formula>
    </cfRule>
  </conditionalFormatting>
  <conditionalFormatting sqref="C46">
    <cfRule type="expression" dxfId="17" priority="18">
      <formula>$E46=TRUE</formula>
    </cfRule>
  </conditionalFormatting>
  <conditionalFormatting sqref="A46:E46">
    <cfRule type="expression" dxfId="16" priority="17">
      <formula>AND($E46=TRUE,$C46&lt;&gt;"")</formula>
    </cfRule>
  </conditionalFormatting>
  <conditionalFormatting sqref="C47">
    <cfRule type="expression" dxfId="15" priority="16">
      <formula>$E47=TRUE</formula>
    </cfRule>
  </conditionalFormatting>
  <conditionalFormatting sqref="A47:E47">
    <cfRule type="expression" dxfId="14" priority="15">
      <formula>AND($E47=TRUE,$C47&lt;&gt;"")</formula>
    </cfRule>
  </conditionalFormatting>
  <conditionalFormatting sqref="C48">
    <cfRule type="expression" dxfId="13" priority="14">
      <formula>$E48=TRUE</formula>
    </cfRule>
  </conditionalFormatting>
  <conditionalFormatting sqref="A48:E48">
    <cfRule type="expression" dxfId="12" priority="13">
      <formula>AND($E48=TRUE,$C48&lt;&gt;"")</formula>
    </cfRule>
  </conditionalFormatting>
  <conditionalFormatting sqref="C49">
    <cfRule type="expression" dxfId="11" priority="12">
      <formula>$E49=TRUE</formula>
    </cfRule>
  </conditionalFormatting>
  <conditionalFormatting sqref="A49:E49">
    <cfRule type="expression" dxfId="10" priority="11">
      <formula>AND($E49=TRUE,$C49&lt;&gt;"")</formula>
    </cfRule>
  </conditionalFormatting>
  <conditionalFormatting sqref="C50">
    <cfRule type="expression" dxfId="9" priority="10">
      <formula>$E50=TRUE</formula>
    </cfRule>
  </conditionalFormatting>
  <conditionalFormatting sqref="A50:E50">
    <cfRule type="expression" dxfId="8" priority="9">
      <formula>AND($E50=TRUE,$C50&lt;&gt;"")</formula>
    </cfRule>
  </conditionalFormatting>
  <conditionalFormatting sqref="C51">
    <cfRule type="expression" dxfId="7" priority="8">
      <formula>$E51=TRUE</formula>
    </cfRule>
  </conditionalFormatting>
  <conditionalFormatting sqref="A51:E51">
    <cfRule type="expression" dxfId="6" priority="7">
      <formula>AND($E51=TRUE,$C51&lt;&gt;"")</formula>
    </cfRule>
  </conditionalFormatting>
  <conditionalFormatting sqref="C52">
    <cfRule type="expression" dxfId="5" priority="6">
      <formula>$E52=TRUE</formula>
    </cfRule>
  </conditionalFormatting>
  <conditionalFormatting sqref="A52:E52">
    <cfRule type="expression" dxfId="4" priority="5">
      <formula>AND($E52=TRUE,$C52&lt;&gt;"")</formula>
    </cfRule>
  </conditionalFormatting>
  <conditionalFormatting sqref="C53">
    <cfRule type="expression" dxfId="3" priority="4">
      <formula>$E53=TRUE</formula>
    </cfRule>
  </conditionalFormatting>
  <conditionalFormatting sqref="A53:E53">
    <cfRule type="expression" dxfId="2" priority="3">
      <formula>AND($E53=TRUE,$C53&lt;&gt;"")</formula>
    </cfRule>
  </conditionalFormatting>
  <conditionalFormatting sqref="C54">
    <cfRule type="expression" dxfId="1" priority="2">
      <formula>$E54=TRUE</formula>
    </cfRule>
  </conditionalFormatting>
  <conditionalFormatting sqref="A54:E54">
    <cfRule type="expression" dxfId="0" priority="1">
      <formula>AND($E54=TRUE,$C54&lt;&gt;"")</formula>
    </cfRule>
  </conditionalFormatting>
  <dataValidations count="1">
    <dataValidation type="list" allowBlank="1" showInputMessage="1" showErrorMessage="1" sqref="D5:D54" xr:uid="{75C64C77-A360-4D4B-A854-96077ED47765}">
      <formula1>$H$5:$H$7</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Check Box 1">
              <controlPr defaultSize="0" autoFill="0" autoLine="0" autoPict="0">
                <anchor moveWithCells="1">
                  <from>
                    <xdr:col>4</xdr:col>
                    <xdr:colOff>476250</xdr:colOff>
                    <xdr:row>3</xdr:row>
                    <xdr:rowOff>209550</xdr:rowOff>
                  </from>
                  <to>
                    <xdr:col>9</xdr:col>
                    <xdr:colOff>114300</xdr:colOff>
                    <xdr:row>5</xdr:row>
                    <xdr:rowOff>38100</xdr:rowOff>
                  </to>
                </anchor>
              </controlPr>
            </control>
          </mc:Choice>
        </mc:AlternateContent>
        <mc:AlternateContent xmlns:mc="http://schemas.openxmlformats.org/markup-compatibility/2006">
          <mc:Choice Requires="x14">
            <control shapeId="6146" r:id="rId5" name="Check Box 2">
              <controlPr defaultSize="0" autoFill="0" autoLine="0" autoPict="0">
                <anchor moveWithCells="1">
                  <from>
                    <xdr:col>4</xdr:col>
                    <xdr:colOff>476250</xdr:colOff>
                    <xdr:row>4</xdr:row>
                    <xdr:rowOff>152400</xdr:rowOff>
                  </from>
                  <to>
                    <xdr:col>9</xdr:col>
                    <xdr:colOff>114300</xdr:colOff>
                    <xdr:row>6</xdr:row>
                    <xdr:rowOff>38100</xdr:rowOff>
                  </to>
                </anchor>
              </controlPr>
            </control>
          </mc:Choice>
        </mc:AlternateContent>
        <mc:AlternateContent xmlns:mc="http://schemas.openxmlformats.org/markup-compatibility/2006">
          <mc:Choice Requires="x14">
            <control shapeId="6147" r:id="rId6" name="Check Box 3">
              <controlPr defaultSize="0" autoFill="0" autoLine="0" autoPict="0">
                <anchor moveWithCells="1">
                  <from>
                    <xdr:col>4</xdr:col>
                    <xdr:colOff>476250</xdr:colOff>
                    <xdr:row>5</xdr:row>
                    <xdr:rowOff>146050</xdr:rowOff>
                  </from>
                  <to>
                    <xdr:col>9</xdr:col>
                    <xdr:colOff>114300</xdr:colOff>
                    <xdr:row>7</xdr:row>
                    <xdr:rowOff>31750</xdr:rowOff>
                  </to>
                </anchor>
              </controlPr>
            </control>
          </mc:Choice>
        </mc:AlternateContent>
        <mc:AlternateContent xmlns:mc="http://schemas.openxmlformats.org/markup-compatibility/2006">
          <mc:Choice Requires="x14">
            <control shapeId="6148" r:id="rId7" name="Check Box 4">
              <controlPr defaultSize="0" autoFill="0" autoLine="0" autoPict="0">
                <anchor moveWithCells="1">
                  <from>
                    <xdr:col>4</xdr:col>
                    <xdr:colOff>476250</xdr:colOff>
                    <xdr:row>6</xdr:row>
                    <xdr:rowOff>146050</xdr:rowOff>
                  </from>
                  <to>
                    <xdr:col>9</xdr:col>
                    <xdr:colOff>114300</xdr:colOff>
                    <xdr:row>8</xdr:row>
                    <xdr:rowOff>31750</xdr:rowOff>
                  </to>
                </anchor>
              </controlPr>
            </control>
          </mc:Choice>
        </mc:AlternateContent>
        <mc:AlternateContent xmlns:mc="http://schemas.openxmlformats.org/markup-compatibility/2006">
          <mc:Choice Requires="x14">
            <control shapeId="6149" r:id="rId8" name="Check Box 5">
              <controlPr defaultSize="0" autoFill="0" autoLine="0" autoPict="0">
                <anchor moveWithCells="1">
                  <from>
                    <xdr:col>4</xdr:col>
                    <xdr:colOff>476250</xdr:colOff>
                    <xdr:row>7</xdr:row>
                    <xdr:rowOff>146050</xdr:rowOff>
                  </from>
                  <to>
                    <xdr:col>9</xdr:col>
                    <xdr:colOff>114300</xdr:colOff>
                    <xdr:row>9</xdr:row>
                    <xdr:rowOff>31750</xdr:rowOff>
                  </to>
                </anchor>
              </controlPr>
            </control>
          </mc:Choice>
        </mc:AlternateContent>
        <mc:AlternateContent xmlns:mc="http://schemas.openxmlformats.org/markup-compatibility/2006">
          <mc:Choice Requires="x14">
            <control shapeId="6150" r:id="rId9" name="Check Box 6">
              <controlPr defaultSize="0" autoFill="0" autoLine="0" autoPict="0">
                <anchor moveWithCells="1">
                  <from>
                    <xdr:col>4</xdr:col>
                    <xdr:colOff>476250</xdr:colOff>
                    <xdr:row>8</xdr:row>
                    <xdr:rowOff>146050</xdr:rowOff>
                  </from>
                  <to>
                    <xdr:col>9</xdr:col>
                    <xdr:colOff>114300</xdr:colOff>
                    <xdr:row>10</xdr:row>
                    <xdr:rowOff>31750</xdr:rowOff>
                  </to>
                </anchor>
              </controlPr>
            </control>
          </mc:Choice>
        </mc:AlternateContent>
        <mc:AlternateContent xmlns:mc="http://schemas.openxmlformats.org/markup-compatibility/2006">
          <mc:Choice Requires="x14">
            <control shapeId="6151" r:id="rId10" name="Check Box 7">
              <controlPr defaultSize="0" autoFill="0" autoLine="0" autoPict="0">
                <anchor moveWithCells="1">
                  <from>
                    <xdr:col>4</xdr:col>
                    <xdr:colOff>476250</xdr:colOff>
                    <xdr:row>9</xdr:row>
                    <xdr:rowOff>146050</xdr:rowOff>
                  </from>
                  <to>
                    <xdr:col>9</xdr:col>
                    <xdr:colOff>114300</xdr:colOff>
                    <xdr:row>11</xdr:row>
                    <xdr:rowOff>31750</xdr:rowOff>
                  </to>
                </anchor>
              </controlPr>
            </control>
          </mc:Choice>
        </mc:AlternateContent>
        <mc:AlternateContent xmlns:mc="http://schemas.openxmlformats.org/markup-compatibility/2006">
          <mc:Choice Requires="x14">
            <control shapeId="6152" r:id="rId11" name="Check Box 8">
              <controlPr defaultSize="0" autoFill="0" autoLine="0" autoPict="0">
                <anchor moveWithCells="1">
                  <from>
                    <xdr:col>4</xdr:col>
                    <xdr:colOff>476250</xdr:colOff>
                    <xdr:row>10</xdr:row>
                    <xdr:rowOff>146050</xdr:rowOff>
                  </from>
                  <to>
                    <xdr:col>9</xdr:col>
                    <xdr:colOff>114300</xdr:colOff>
                    <xdr:row>12</xdr:row>
                    <xdr:rowOff>31750</xdr:rowOff>
                  </to>
                </anchor>
              </controlPr>
            </control>
          </mc:Choice>
        </mc:AlternateContent>
        <mc:AlternateContent xmlns:mc="http://schemas.openxmlformats.org/markup-compatibility/2006">
          <mc:Choice Requires="x14">
            <control shapeId="6153" r:id="rId12" name="Check Box 9">
              <controlPr defaultSize="0" autoFill="0" autoLine="0" autoPict="0">
                <anchor moveWithCells="1">
                  <from>
                    <xdr:col>4</xdr:col>
                    <xdr:colOff>476250</xdr:colOff>
                    <xdr:row>11</xdr:row>
                    <xdr:rowOff>146050</xdr:rowOff>
                  </from>
                  <to>
                    <xdr:col>9</xdr:col>
                    <xdr:colOff>114300</xdr:colOff>
                    <xdr:row>13</xdr:row>
                    <xdr:rowOff>31750</xdr:rowOff>
                  </to>
                </anchor>
              </controlPr>
            </control>
          </mc:Choice>
        </mc:AlternateContent>
        <mc:AlternateContent xmlns:mc="http://schemas.openxmlformats.org/markup-compatibility/2006">
          <mc:Choice Requires="x14">
            <control shapeId="6154" r:id="rId13" name="Check Box 10">
              <controlPr defaultSize="0" autoFill="0" autoLine="0" autoPict="0">
                <anchor moveWithCells="1">
                  <from>
                    <xdr:col>4</xdr:col>
                    <xdr:colOff>476250</xdr:colOff>
                    <xdr:row>12</xdr:row>
                    <xdr:rowOff>146050</xdr:rowOff>
                  </from>
                  <to>
                    <xdr:col>9</xdr:col>
                    <xdr:colOff>114300</xdr:colOff>
                    <xdr:row>14</xdr:row>
                    <xdr:rowOff>31750</xdr:rowOff>
                  </to>
                </anchor>
              </controlPr>
            </control>
          </mc:Choice>
        </mc:AlternateContent>
        <mc:AlternateContent xmlns:mc="http://schemas.openxmlformats.org/markup-compatibility/2006">
          <mc:Choice Requires="x14">
            <control shapeId="6155" r:id="rId14" name="Check Box 11">
              <controlPr defaultSize="0" autoFill="0" autoLine="0" autoPict="0">
                <anchor moveWithCells="1">
                  <from>
                    <xdr:col>4</xdr:col>
                    <xdr:colOff>476250</xdr:colOff>
                    <xdr:row>13</xdr:row>
                    <xdr:rowOff>133350</xdr:rowOff>
                  </from>
                  <to>
                    <xdr:col>9</xdr:col>
                    <xdr:colOff>114300</xdr:colOff>
                    <xdr:row>15</xdr:row>
                    <xdr:rowOff>19050</xdr:rowOff>
                  </to>
                </anchor>
              </controlPr>
            </control>
          </mc:Choice>
        </mc:AlternateContent>
        <mc:AlternateContent xmlns:mc="http://schemas.openxmlformats.org/markup-compatibility/2006">
          <mc:Choice Requires="x14">
            <control shapeId="6156" r:id="rId15" name="Check Box 12">
              <controlPr defaultSize="0" autoFill="0" autoLine="0" autoPict="0">
                <anchor moveWithCells="1">
                  <from>
                    <xdr:col>4</xdr:col>
                    <xdr:colOff>476250</xdr:colOff>
                    <xdr:row>14</xdr:row>
                    <xdr:rowOff>133350</xdr:rowOff>
                  </from>
                  <to>
                    <xdr:col>9</xdr:col>
                    <xdr:colOff>114300</xdr:colOff>
                    <xdr:row>16</xdr:row>
                    <xdr:rowOff>19050</xdr:rowOff>
                  </to>
                </anchor>
              </controlPr>
            </control>
          </mc:Choice>
        </mc:AlternateContent>
        <mc:AlternateContent xmlns:mc="http://schemas.openxmlformats.org/markup-compatibility/2006">
          <mc:Choice Requires="x14">
            <control shapeId="6157" r:id="rId16" name="Check Box 13">
              <controlPr defaultSize="0" autoFill="0" autoLine="0" autoPict="0">
                <anchor moveWithCells="1">
                  <from>
                    <xdr:col>4</xdr:col>
                    <xdr:colOff>476250</xdr:colOff>
                    <xdr:row>15</xdr:row>
                    <xdr:rowOff>133350</xdr:rowOff>
                  </from>
                  <to>
                    <xdr:col>9</xdr:col>
                    <xdr:colOff>114300</xdr:colOff>
                    <xdr:row>17</xdr:row>
                    <xdr:rowOff>19050</xdr:rowOff>
                  </to>
                </anchor>
              </controlPr>
            </control>
          </mc:Choice>
        </mc:AlternateContent>
        <mc:AlternateContent xmlns:mc="http://schemas.openxmlformats.org/markup-compatibility/2006">
          <mc:Choice Requires="x14">
            <control shapeId="6158" r:id="rId17" name="Check Box 14">
              <controlPr defaultSize="0" autoFill="0" autoLine="0" autoPict="0">
                <anchor moveWithCells="1">
                  <from>
                    <xdr:col>4</xdr:col>
                    <xdr:colOff>476250</xdr:colOff>
                    <xdr:row>16</xdr:row>
                    <xdr:rowOff>133350</xdr:rowOff>
                  </from>
                  <to>
                    <xdr:col>9</xdr:col>
                    <xdr:colOff>114300</xdr:colOff>
                    <xdr:row>18</xdr:row>
                    <xdr:rowOff>19050</xdr:rowOff>
                  </to>
                </anchor>
              </controlPr>
            </control>
          </mc:Choice>
        </mc:AlternateContent>
        <mc:AlternateContent xmlns:mc="http://schemas.openxmlformats.org/markup-compatibility/2006">
          <mc:Choice Requires="x14">
            <control shapeId="6159" r:id="rId18" name="Check Box 15">
              <controlPr defaultSize="0" autoFill="0" autoLine="0" autoPict="0">
                <anchor moveWithCells="1">
                  <from>
                    <xdr:col>4</xdr:col>
                    <xdr:colOff>476250</xdr:colOff>
                    <xdr:row>17</xdr:row>
                    <xdr:rowOff>133350</xdr:rowOff>
                  </from>
                  <to>
                    <xdr:col>9</xdr:col>
                    <xdr:colOff>114300</xdr:colOff>
                    <xdr:row>19</xdr:row>
                    <xdr:rowOff>19050</xdr:rowOff>
                  </to>
                </anchor>
              </controlPr>
            </control>
          </mc:Choice>
        </mc:AlternateContent>
        <mc:AlternateContent xmlns:mc="http://schemas.openxmlformats.org/markup-compatibility/2006">
          <mc:Choice Requires="x14">
            <control shapeId="6160" r:id="rId19" name="Check Box 16">
              <controlPr defaultSize="0" autoFill="0" autoLine="0" autoPict="0">
                <anchor moveWithCells="1">
                  <from>
                    <xdr:col>4</xdr:col>
                    <xdr:colOff>476250</xdr:colOff>
                    <xdr:row>18</xdr:row>
                    <xdr:rowOff>133350</xdr:rowOff>
                  </from>
                  <to>
                    <xdr:col>9</xdr:col>
                    <xdr:colOff>114300</xdr:colOff>
                    <xdr:row>20</xdr:row>
                    <xdr:rowOff>19050</xdr:rowOff>
                  </to>
                </anchor>
              </controlPr>
            </control>
          </mc:Choice>
        </mc:AlternateContent>
        <mc:AlternateContent xmlns:mc="http://schemas.openxmlformats.org/markup-compatibility/2006">
          <mc:Choice Requires="x14">
            <control shapeId="6161" r:id="rId20" name="Check Box 17">
              <controlPr defaultSize="0" autoFill="0" autoLine="0" autoPict="0">
                <anchor moveWithCells="1">
                  <from>
                    <xdr:col>4</xdr:col>
                    <xdr:colOff>476250</xdr:colOff>
                    <xdr:row>19</xdr:row>
                    <xdr:rowOff>133350</xdr:rowOff>
                  </from>
                  <to>
                    <xdr:col>9</xdr:col>
                    <xdr:colOff>114300</xdr:colOff>
                    <xdr:row>21</xdr:row>
                    <xdr:rowOff>19050</xdr:rowOff>
                  </to>
                </anchor>
              </controlPr>
            </control>
          </mc:Choice>
        </mc:AlternateContent>
        <mc:AlternateContent xmlns:mc="http://schemas.openxmlformats.org/markup-compatibility/2006">
          <mc:Choice Requires="x14">
            <control shapeId="6162" r:id="rId21" name="Check Box 18">
              <controlPr defaultSize="0" autoFill="0" autoLine="0" autoPict="0">
                <anchor moveWithCells="1">
                  <from>
                    <xdr:col>4</xdr:col>
                    <xdr:colOff>476250</xdr:colOff>
                    <xdr:row>20</xdr:row>
                    <xdr:rowOff>133350</xdr:rowOff>
                  </from>
                  <to>
                    <xdr:col>9</xdr:col>
                    <xdr:colOff>114300</xdr:colOff>
                    <xdr:row>22</xdr:row>
                    <xdr:rowOff>19050</xdr:rowOff>
                  </to>
                </anchor>
              </controlPr>
            </control>
          </mc:Choice>
        </mc:AlternateContent>
        <mc:AlternateContent xmlns:mc="http://schemas.openxmlformats.org/markup-compatibility/2006">
          <mc:Choice Requires="x14">
            <control shapeId="6163" r:id="rId22" name="Check Box 19">
              <controlPr defaultSize="0" autoFill="0" autoLine="0" autoPict="0">
                <anchor moveWithCells="1">
                  <from>
                    <xdr:col>4</xdr:col>
                    <xdr:colOff>476250</xdr:colOff>
                    <xdr:row>21</xdr:row>
                    <xdr:rowOff>133350</xdr:rowOff>
                  </from>
                  <to>
                    <xdr:col>9</xdr:col>
                    <xdr:colOff>114300</xdr:colOff>
                    <xdr:row>23</xdr:row>
                    <xdr:rowOff>19050</xdr:rowOff>
                  </to>
                </anchor>
              </controlPr>
            </control>
          </mc:Choice>
        </mc:AlternateContent>
        <mc:AlternateContent xmlns:mc="http://schemas.openxmlformats.org/markup-compatibility/2006">
          <mc:Choice Requires="x14">
            <control shapeId="6164" r:id="rId23" name="Check Box 20">
              <controlPr defaultSize="0" autoFill="0" autoLine="0" autoPict="0">
                <anchor moveWithCells="1">
                  <from>
                    <xdr:col>4</xdr:col>
                    <xdr:colOff>476250</xdr:colOff>
                    <xdr:row>22</xdr:row>
                    <xdr:rowOff>133350</xdr:rowOff>
                  </from>
                  <to>
                    <xdr:col>9</xdr:col>
                    <xdr:colOff>114300</xdr:colOff>
                    <xdr:row>24</xdr:row>
                    <xdr:rowOff>19050</xdr:rowOff>
                  </to>
                </anchor>
              </controlPr>
            </control>
          </mc:Choice>
        </mc:AlternateContent>
        <mc:AlternateContent xmlns:mc="http://schemas.openxmlformats.org/markup-compatibility/2006">
          <mc:Choice Requires="x14">
            <control shapeId="6165" r:id="rId24" name="Check Box 21">
              <controlPr defaultSize="0" autoFill="0" autoLine="0" autoPict="0">
                <anchor moveWithCells="1">
                  <from>
                    <xdr:col>4</xdr:col>
                    <xdr:colOff>476250</xdr:colOff>
                    <xdr:row>23</xdr:row>
                    <xdr:rowOff>133350</xdr:rowOff>
                  </from>
                  <to>
                    <xdr:col>9</xdr:col>
                    <xdr:colOff>114300</xdr:colOff>
                    <xdr:row>25</xdr:row>
                    <xdr:rowOff>19050</xdr:rowOff>
                  </to>
                </anchor>
              </controlPr>
            </control>
          </mc:Choice>
        </mc:AlternateContent>
        <mc:AlternateContent xmlns:mc="http://schemas.openxmlformats.org/markup-compatibility/2006">
          <mc:Choice Requires="x14">
            <control shapeId="6166" r:id="rId25" name="Check Box 22">
              <controlPr defaultSize="0" autoFill="0" autoLine="0" autoPict="0">
                <anchor moveWithCells="1">
                  <from>
                    <xdr:col>4</xdr:col>
                    <xdr:colOff>476250</xdr:colOff>
                    <xdr:row>24</xdr:row>
                    <xdr:rowOff>133350</xdr:rowOff>
                  </from>
                  <to>
                    <xdr:col>9</xdr:col>
                    <xdr:colOff>114300</xdr:colOff>
                    <xdr:row>26</xdr:row>
                    <xdr:rowOff>19050</xdr:rowOff>
                  </to>
                </anchor>
              </controlPr>
            </control>
          </mc:Choice>
        </mc:AlternateContent>
        <mc:AlternateContent xmlns:mc="http://schemas.openxmlformats.org/markup-compatibility/2006">
          <mc:Choice Requires="x14">
            <control shapeId="6167" r:id="rId26" name="Check Box 23">
              <controlPr defaultSize="0" autoFill="0" autoLine="0" autoPict="0">
                <anchor moveWithCells="1">
                  <from>
                    <xdr:col>4</xdr:col>
                    <xdr:colOff>476250</xdr:colOff>
                    <xdr:row>25</xdr:row>
                    <xdr:rowOff>133350</xdr:rowOff>
                  </from>
                  <to>
                    <xdr:col>9</xdr:col>
                    <xdr:colOff>114300</xdr:colOff>
                    <xdr:row>27</xdr:row>
                    <xdr:rowOff>19050</xdr:rowOff>
                  </to>
                </anchor>
              </controlPr>
            </control>
          </mc:Choice>
        </mc:AlternateContent>
        <mc:AlternateContent xmlns:mc="http://schemas.openxmlformats.org/markup-compatibility/2006">
          <mc:Choice Requires="x14">
            <control shapeId="6168" r:id="rId27" name="Check Box 24">
              <controlPr defaultSize="0" autoFill="0" autoLine="0" autoPict="0">
                <anchor moveWithCells="1">
                  <from>
                    <xdr:col>4</xdr:col>
                    <xdr:colOff>476250</xdr:colOff>
                    <xdr:row>26</xdr:row>
                    <xdr:rowOff>146050</xdr:rowOff>
                  </from>
                  <to>
                    <xdr:col>9</xdr:col>
                    <xdr:colOff>114300</xdr:colOff>
                    <xdr:row>28</xdr:row>
                    <xdr:rowOff>31750</xdr:rowOff>
                  </to>
                </anchor>
              </controlPr>
            </control>
          </mc:Choice>
        </mc:AlternateContent>
        <mc:AlternateContent xmlns:mc="http://schemas.openxmlformats.org/markup-compatibility/2006">
          <mc:Choice Requires="x14">
            <control shapeId="6169" r:id="rId28" name="Check Box 25">
              <controlPr defaultSize="0" autoFill="0" autoLine="0" autoPict="0">
                <anchor moveWithCells="1">
                  <from>
                    <xdr:col>4</xdr:col>
                    <xdr:colOff>476250</xdr:colOff>
                    <xdr:row>27</xdr:row>
                    <xdr:rowOff>146050</xdr:rowOff>
                  </from>
                  <to>
                    <xdr:col>9</xdr:col>
                    <xdr:colOff>114300</xdr:colOff>
                    <xdr:row>29</xdr:row>
                    <xdr:rowOff>31750</xdr:rowOff>
                  </to>
                </anchor>
              </controlPr>
            </control>
          </mc:Choice>
        </mc:AlternateContent>
        <mc:AlternateContent xmlns:mc="http://schemas.openxmlformats.org/markup-compatibility/2006">
          <mc:Choice Requires="x14">
            <control shapeId="6170" r:id="rId29" name="Check Box 26">
              <controlPr defaultSize="0" autoFill="0" autoLine="0" autoPict="0">
                <anchor moveWithCells="1">
                  <from>
                    <xdr:col>4</xdr:col>
                    <xdr:colOff>476250</xdr:colOff>
                    <xdr:row>28</xdr:row>
                    <xdr:rowOff>146050</xdr:rowOff>
                  </from>
                  <to>
                    <xdr:col>9</xdr:col>
                    <xdr:colOff>114300</xdr:colOff>
                    <xdr:row>30</xdr:row>
                    <xdr:rowOff>31750</xdr:rowOff>
                  </to>
                </anchor>
              </controlPr>
            </control>
          </mc:Choice>
        </mc:AlternateContent>
        <mc:AlternateContent xmlns:mc="http://schemas.openxmlformats.org/markup-compatibility/2006">
          <mc:Choice Requires="x14">
            <control shapeId="6171" r:id="rId30" name="Check Box 27">
              <controlPr defaultSize="0" autoFill="0" autoLine="0" autoPict="0">
                <anchor moveWithCells="1">
                  <from>
                    <xdr:col>4</xdr:col>
                    <xdr:colOff>476250</xdr:colOff>
                    <xdr:row>29</xdr:row>
                    <xdr:rowOff>146050</xdr:rowOff>
                  </from>
                  <to>
                    <xdr:col>9</xdr:col>
                    <xdr:colOff>114300</xdr:colOff>
                    <xdr:row>31</xdr:row>
                    <xdr:rowOff>31750</xdr:rowOff>
                  </to>
                </anchor>
              </controlPr>
            </control>
          </mc:Choice>
        </mc:AlternateContent>
        <mc:AlternateContent xmlns:mc="http://schemas.openxmlformats.org/markup-compatibility/2006">
          <mc:Choice Requires="x14">
            <control shapeId="6172" r:id="rId31" name="Check Box 28">
              <controlPr defaultSize="0" autoFill="0" autoLine="0" autoPict="0">
                <anchor moveWithCells="1">
                  <from>
                    <xdr:col>4</xdr:col>
                    <xdr:colOff>476250</xdr:colOff>
                    <xdr:row>30</xdr:row>
                    <xdr:rowOff>146050</xdr:rowOff>
                  </from>
                  <to>
                    <xdr:col>9</xdr:col>
                    <xdr:colOff>114300</xdr:colOff>
                    <xdr:row>32</xdr:row>
                    <xdr:rowOff>31750</xdr:rowOff>
                  </to>
                </anchor>
              </controlPr>
            </control>
          </mc:Choice>
        </mc:AlternateContent>
        <mc:AlternateContent xmlns:mc="http://schemas.openxmlformats.org/markup-compatibility/2006">
          <mc:Choice Requires="x14">
            <control shapeId="6173" r:id="rId32" name="Check Box 29">
              <controlPr defaultSize="0" autoFill="0" autoLine="0" autoPict="0">
                <anchor moveWithCells="1">
                  <from>
                    <xdr:col>4</xdr:col>
                    <xdr:colOff>476250</xdr:colOff>
                    <xdr:row>31</xdr:row>
                    <xdr:rowOff>146050</xdr:rowOff>
                  </from>
                  <to>
                    <xdr:col>9</xdr:col>
                    <xdr:colOff>114300</xdr:colOff>
                    <xdr:row>33</xdr:row>
                    <xdr:rowOff>31750</xdr:rowOff>
                  </to>
                </anchor>
              </controlPr>
            </control>
          </mc:Choice>
        </mc:AlternateContent>
        <mc:AlternateContent xmlns:mc="http://schemas.openxmlformats.org/markup-compatibility/2006">
          <mc:Choice Requires="x14">
            <control shapeId="6174" r:id="rId33" name="Check Box 30">
              <controlPr defaultSize="0" autoFill="0" autoLine="0" autoPict="0">
                <anchor moveWithCells="1">
                  <from>
                    <xdr:col>4</xdr:col>
                    <xdr:colOff>476250</xdr:colOff>
                    <xdr:row>32</xdr:row>
                    <xdr:rowOff>146050</xdr:rowOff>
                  </from>
                  <to>
                    <xdr:col>9</xdr:col>
                    <xdr:colOff>114300</xdr:colOff>
                    <xdr:row>34</xdr:row>
                    <xdr:rowOff>31750</xdr:rowOff>
                  </to>
                </anchor>
              </controlPr>
            </control>
          </mc:Choice>
        </mc:AlternateContent>
        <mc:AlternateContent xmlns:mc="http://schemas.openxmlformats.org/markup-compatibility/2006">
          <mc:Choice Requires="x14">
            <control shapeId="6175" r:id="rId34" name="Check Box 31">
              <controlPr defaultSize="0" autoFill="0" autoLine="0" autoPict="0">
                <anchor moveWithCells="1">
                  <from>
                    <xdr:col>4</xdr:col>
                    <xdr:colOff>476250</xdr:colOff>
                    <xdr:row>33</xdr:row>
                    <xdr:rowOff>146050</xdr:rowOff>
                  </from>
                  <to>
                    <xdr:col>9</xdr:col>
                    <xdr:colOff>114300</xdr:colOff>
                    <xdr:row>35</xdr:row>
                    <xdr:rowOff>31750</xdr:rowOff>
                  </to>
                </anchor>
              </controlPr>
            </control>
          </mc:Choice>
        </mc:AlternateContent>
        <mc:AlternateContent xmlns:mc="http://schemas.openxmlformats.org/markup-compatibility/2006">
          <mc:Choice Requires="x14">
            <control shapeId="6176" r:id="rId35" name="Check Box 32">
              <controlPr defaultSize="0" autoFill="0" autoLine="0" autoPict="0">
                <anchor moveWithCells="1">
                  <from>
                    <xdr:col>4</xdr:col>
                    <xdr:colOff>476250</xdr:colOff>
                    <xdr:row>34</xdr:row>
                    <xdr:rowOff>146050</xdr:rowOff>
                  </from>
                  <to>
                    <xdr:col>9</xdr:col>
                    <xdr:colOff>114300</xdr:colOff>
                    <xdr:row>36</xdr:row>
                    <xdr:rowOff>31750</xdr:rowOff>
                  </to>
                </anchor>
              </controlPr>
            </control>
          </mc:Choice>
        </mc:AlternateContent>
        <mc:AlternateContent xmlns:mc="http://schemas.openxmlformats.org/markup-compatibility/2006">
          <mc:Choice Requires="x14">
            <control shapeId="6177" r:id="rId36" name="Check Box 33">
              <controlPr defaultSize="0" autoFill="0" autoLine="0" autoPict="0">
                <anchor moveWithCells="1">
                  <from>
                    <xdr:col>4</xdr:col>
                    <xdr:colOff>476250</xdr:colOff>
                    <xdr:row>35</xdr:row>
                    <xdr:rowOff>146050</xdr:rowOff>
                  </from>
                  <to>
                    <xdr:col>9</xdr:col>
                    <xdr:colOff>114300</xdr:colOff>
                    <xdr:row>37</xdr:row>
                    <xdr:rowOff>31750</xdr:rowOff>
                  </to>
                </anchor>
              </controlPr>
            </control>
          </mc:Choice>
        </mc:AlternateContent>
        <mc:AlternateContent xmlns:mc="http://schemas.openxmlformats.org/markup-compatibility/2006">
          <mc:Choice Requires="x14">
            <control shapeId="6178" r:id="rId37" name="Check Box 34">
              <controlPr defaultSize="0" autoFill="0" autoLine="0" autoPict="0">
                <anchor moveWithCells="1">
                  <from>
                    <xdr:col>4</xdr:col>
                    <xdr:colOff>476250</xdr:colOff>
                    <xdr:row>36</xdr:row>
                    <xdr:rowOff>146050</xdr:rowOff>
                  </from>
                  <to>
                    <xdr:col>9</xdr:col>
                    <xdr:colOff>114300</xdr:colOff>
                    <xdr:row>38</xdr:row>
                    <xdr:rowOff>31750</xdr:rowOff>
                  </to>
                </anchor>
              </controlPr>
            </control>
          </mc:Choice>
        </mc:AlternateContent>
        <mc:AlternateContent xmlns:mc="http://schemas.openxmlformats.org/markup-compatibility/2006">
          <mc:Choice Requires="x14">
            <control shapeId="6179" r:id="rId38" name="Check Box 35">
              <controlPr defaultSize="0" autoFill="0" autoLine="0" autoPict="0">
                <anchor moveWithCells="1">
                  <from>
                    <xdr:col>4</xdr:col>
                    <xdr:colOff>476250</xdr:colOff>
                    <xdr:row>37</xdr:row>
                    <xdr:rowOff>146050</xdr:rowOff>
                  </from>
                  <to>
                    <xdr:col>9</xdr:col>
                    <xdr:colOff>114300</xdr:colOff>
                    <xdr:row>39</xdr:row>
                    <xdr:rowOff>31750</xdr:rowOff>
                  </to>
                </anchor>
              </controlPr>
            </control>
          </mc:Choice>
        </mc:AlternateContent>
        <mc:AlternateContent xmlns:mc="http://schemas.openxmlformats.org/markup-compatibility/2006">
          <mc:Choice Requires="x14">
            <control shapeId="6180" r:id="rId39" name="Check Box 36">
              <controlPr defaultSize="0" autoFill="0" autoLine="0" autoPict="0">
                <anchor moveWithCells="1">
                  <from>
                    <xdr:col>4</xdr:col>
                    <xdr:colOff>476250</xdr:colOff>
                    <xdr:row>38</xdr:row>
                    <xdr:rowOff>146050</xdr:rowOff>
                  </from>
                  <to>
                    <xdr:col>9</xdr:col>
                    <xdr:colOff>114300</xdr:colOff>
                    <xdr:row>40</xdr:row>
                    <xdr:rowOff>31750</xdr:rowOff>
                  </to>
                </anchor>
              </controlPr>
            </control>
          </mc:Choice>
        </mc:AlternateContent>
        <mc:AlternateContent xmlns:mc="http://schemas.openxmlformats.org/markup-compatibility/2006">
          <mc:Choice Requires="x14">
            <control shapeId="6181" r:id="rId40" name="Check Box 37">
              <controlPr defaultSize="0" autoFill="0" autoLine="0" autoPict="0">
                <anchor moveWithCells="1">
                  <from>
                    <xdr:col>4</xdr:col>
                    <xdr:colOff>476250</xdr:colOff>
                    <xdr:row>39</xdr:row>
                    <xdr:rowOff>146050</xdr:rowOff>
                  </from>
                  <to>
                    <xdr:col>9</xdr:col>
                    <xdr:colOff>114300</xdr:colOff>
                    <xdr:row>41</xdr:row>
                    <xdr:rowOff>31750</xdr:rowOff>
                  </to>
                </anchor>
              </controlPr>
            </control>
          </mc:Choice>
        </mc:AlternateContent>
        <mc:AlternateContent xmlns:mc="http://schemas.openxmlformats.org/markup-compatibility/2006">
          <mc:Choice Requires="x14">
            <control shapeId="6182" r:id="rId41" name="Check Box 38">
              <controlPr defaultSize="0" autoFill="0" autoLine="0" autoPict="0">
                <anchor moveWithCells="1">
                  <from>
                    <xdr:col>4</xdr:col>
                    <xdr:colOff>476250</xdr:colOff>
                    <xdr:row>40</xdr:row>
                    <xdr:rowOff>146050</xdr:rowOff>
                  </from>
                  <to>
                    <xdr:col>9</xdr:col>
                    <xdr:colOff>114300</xdr:colOff>
                    <xdr:row>42</xdr:row>
                    <xdr:rowOff>31750</xdr:rowOff>
                  </to>
                </anchor>
              </controlPr>
            </control>
          </mc:Choice>
        </mc:AlternateContent>
        <mc:AlternateContent xmlns:mc="http://schemas.openxmlformats.org/markup-compatibility/2006">
          <mc:Choice Requires="x14">
            <control shapeId="6183" r:id="rId42" name="Check Box 39">
              <controlPr defaultSize="0" autoFill="0" autoLine="0" autoPict="0">
                <anchor moveWithCells="1">
                  <from>
                    <xdr:col>4</xdr:col>
                    <xdr:colOff>476250</xdr:colOff>
                    <xdr:row>41</xdr:row>
                    <xdr:rowOff>146050</xdr:rowOff>
                  </from>
                  <to>
                    <xdr:col>9</xdr:col>
                    <xdr:colOff>114300</xdr:colOff>
                    <xdr:row>43</xdr:row>
                    <xdr:rowOff>31750</xdr:rowOff>
                  </to>
                </anchor>
              </controlPr>
            </control>
          </mc:Choice>
        </mc:AlternateContent>
        <mc:AlternateContent xmlns:mc="http://schemas.openxmlformats.org/markup-compatibility/2006">
          <mc:Choice Requires="x14">
            <control shapeId="6184" r:id="rId43" name="Check Box 40">
              <controlPr defaultSize="0" autoFill="0" autoLine="0" autoPict="0">
                <anchor moveWithCells="1">
                  <from>
                    <xdr:col>4</xdr:col>
                    <xdr:colOff>476250</xdr:colOff>
                    <xdr:row>42</xdr:row>
                    <xdr:rowOff>146050</xdr:rowOff>
                  </from>
                  <to>
                    <xdr:col>9</xdr:col>
                    <xdr:colOff>114300</xdr:colOff>
                    <xdr:row>44</xdr:row>
                    <xdr:rowOff>31750</xdr:rowOff>
                  </to>
                </anchor>
              </controlPr>
            </control>
          </mc:Choice>
        </mc:AlternateContent>
        <mc:AlternateContent xmlns:mc="http://schemas.openxmlformats.org/markup-compatibility/2006">
          <mc:Choice Requires="x14">
            <control shapeId="6185" r:id="rId44" name="Check Box 41">
              <controlPr defaultSize="0" autoFill="0" autoLine="0" autoPict="0">
                <anchor moveWithCells="1">
                  <from>
                    <xdr:col>4</xdr:col>
                    <xdr:colOff>476250</xdr:colOff>
                    <xdr:row>43</xdr:row>
                    <xdr:rowOff>146050</xdr:rowOff>
                  </from>
                  <to>
                    <xdr:col>9</xdr:col>
                    <xdr:colOff>114300</xdr:colOff>
                    <xdr:row>45</xdr:row>
                    <xdr:rowOff>31750</xdr:rowOff>
                  </to>
                </anchor>
              </controlPr>
            </control>
          </mc:Choice>
        </mc:AlternateContent>
        <mc:AlternateContent xmlns:mc="http://schemas.openxmlformats.org/markup-compatibility/2006">
          <mc:Choice Requires="x14">
            <control shapeId="6186" r:id="rId45" name="Check Box 42">
              <controlPr defaultSize="0" autoFill="0" autoLine="0" autoPict="0">
                <anchor moveWithCells="1">
                  <from>
                    <xdr:col>4</xdr:col>
                    <xdr:colOff>476250</xdr:colOff>
                    <xdr:row>44</xdr:row>
                    <xdr:rowOff>146050</xdr:rowOff>
                  </from>
                  <to>
                    <xdr:col>9</xdr:col>
                    <xdr:colOff>114300</xdr:colOff>
                    <xdr:row>46</xdr:row>
                    <xdr:rowOff>31750</xdr:rowOff>
                  </to>
                </anchor>
              </controlPr>
            </control>
          </mc:Choice>
        </mc:AlternateContent>
        <mc:AlternateContent xmlns:mc="http://schemas.openxmlformats.org/markup-compatibility/2006">
          <mc:Choice Requires="x14">
            <control shapeId="6187" r:id="rId46" name="Check Box 43">
              <controlPr defaultSize="0" autoFill="0" autoLine="0" autoPict="0">
                <anchor moveWithCells="1">
                  <from>
                    <xdr:col>4</xdr:col>
                    <xdr:colOff>476250</xdr:colOff>
                    <xdr:row>45</xdr:row>
                    <xdr:rowOff>146050</xdr:rowOff>
                  </from>
                  <to>
                    <xdr:col>9</xdr:col>
                    <xdr:colOff>114300</xdr:colOff>
                    <xdr:row>47</xdr:row>
                    <xdr:rowOff>31750</xdr:rowOff>
                  </to>
                </anchor>
              </controlPr>
            </control>
          </mc:Choice>
        </mc:AlternateContent>
        <mc:AlternateContent xmlns:mc="http://schemas.openxmlformats.org/markup-compatibility/2006">
          <mc:Choice Requires="x14">
            <control shapeId="6188" r:id="rId47" name="Check Box 44">
              <controlPr defaultSize="0" autoFill="0" autoLine="0" autoPict="0">
                <anchor moveWithCells="1">
                  <from>
                    <xdr:col>4</xdr:col>
                    <xdr:colOff>476250</xdr:colOff>
                    <xdr:row>46</xdr:row>
                    <xdr:rowOff>146050</xdr:rowOff>
                  </from>
                  <to>
                    <xdr:col>9</xdr:col>
                    <xdr:colOff>114300</xdr:colOff>
                    <xdr:row>48</xdr:row>
                    <xdr:rowOff>31750</xdr:rowOff>
                  </to>
                </anchor>
              </controlPr>
            </control>
          </mc:Choice>
        </mc:AlternateContent>
        <mc:AlternateContent xmlns:mc="http://schemas.openxmlformats.org/markup-compatibility/2006">
          <mc:Choice Requires="x14">
            <control shapeId="6189" r:id="rId48" name="Check Box 45">
              <controlPr defaultSize="0" autoFill="0" autoLine="0" autoPict="0">
                <anchor moveWithCells="1">
                  <from>
                    <xdr:col>4</xdr:col>
                    <xdr:colOff>476250</xdr:colOff>
                    <xdr:row>47</xdr:row>
                    <xdr:rowOff>146050</xdr:rowOff>
                  </from>
                  <to>
                    <xdr:col>9</xdr:col>
                    <xdr:colOff>114300</xdr:colOff>
                    <xdr:row>49</xdr:row>
                    <xdr:rowOff>31750</xdr:rowOff>
                  </to>
                </anchor>
              </controlPr>
            </control>
          </mc:Choice>
        </mc:AlternateContent>
        <mc:AlternateContent xmlns:mc="http://schemas.openxmlformats.org/markup-compatibility/2006">
          <mc:Choice Requires="x14">
            <control shapeId="6190" r:id="rId49" name="Check Box 46">
              <controlPr defaultSize="0" autoFill="0" autoLine="0" autoPict="0">
                <anchor moveWithCells="1">
                  <from>
                    <xdr:col>4</xdr:col>
                    <xdr:colOff>476250</xdr:colOff>
                    <xdr:row>48</xdr:row>
                    <xdr:rowOff>146050</xdr:rowOff>
                  </from>
                  <to>
                    <xdr:col>9</xdr:col>
                    <xdr:colOff>114300</xdr:colOff>
                    <xdr:row>50</xdr:row>
                    <xdr:rowOff>31750</xdr:rowOff>
                  </to>
                </anchor>
              </controlPr>
            </control>
          </mc:Choice>
        </mc:AlternateContent>
        <mc:AlternateContent xmlns:mc="http://schemas.openxmlformats.org/markup-compatibility/2006">
          <mc:Choice Requires="x14">
            <control shapeId="6191" r:id="rId50" name="Check Box 47">
              <controlPr defaultSize="0" autoFill="0" autoLine="0" autoPict="0">
                <anchor moveWithCells="1">
                  <from>
                    <xdr:col>4</xdr:col>
                    <xdr:colOff>476250</xdr:colOff>
                    <xdr:row>49</xdr:row>
                    <xdr:rowOff>146050</xdr:rowOff>
                  </from>
                  <to>
                    <xdr:col>9</xdr:col>
                    <xdr:colOff>114300</xdr:colOff>
                    <xdr:row>51</xdr:row>
                    <xdr:rowOff>31750</xdr:rowOff>
                  </to>
                </anchor>
              </controlPr>
            </control>
          </mc:Choice>
        </mc:AlternateContent>
        <mc:AlternateContent xmlns:mc="http://schemas.openxmlformats.org/markup-compatibility/2006">
          <mc:Choice Requires="x14">
            <control shapeId="6192" r:id="rId51" name="Check Box 48">
              <controlPr defaultSize="0" autoFill="0" autoLine="0" autoPict="0">
                <anchor moveWithCells="1">
                  <from>
                    <xdr:col>4</xdr:col>
                    <xdr:colOff>476250</xdr:colOff>
                    <xdr:row>50</xdr:row>
                    <xdr:rowOff>146050</xdr:rowOff>
                  </from>
                  <to>
                    <xdr:col>9</xdr:col>
                    <xdr:colOff>114300</xdr:colOff>
                    <xdr:row>52</xdr:row>
                    <xdr:rowOff>31750</xdr:rowOff>
                  </to>
                </anchor>
              </controlPr>
            </control>
          </mc:Choice>
        </mc:AlternateContent>
        <mc:AlternateContent xmlns:mc="http://schemas.openxmlformats.org/markup-compatibility/2006">
          <mc:Choice Requires="x14">
            <control shapeId="6193" r:id="rId52" name="Check Box 49">
              <controlPr defaultSize="0" autoFill="0" autoLine="0" autoPict="0">
                <anchor moveWithCells="1">
                  <from>
                    <xdr:col>4</xdr:col>
                    <xdr:colOff>476250</xdr:colOff>
                    <xdr:row>51</xdr:row>
                    <xdr:rowOff>146050</xdr:rowOff>
                  </from>
                  <to>
                    <xdr:col>9</xdr:col>
                    <xdr:colOff>114300</xdr:colOff>
                    <xdr:row>53</xdr:row>
                    <xdr:rowOff>31750</xdr:rowOff>
                  </to>
                </anchor>
              </controlPr>
            </control>
          </mc:Choice>
        </mc:AlternateContent>
        <mc:AlternateContent xmlns:mc="http://schemas.openxmlformats.org/markup-compatibility/2006">
          <mc:Choice Requires="x14">
            <control shapeId="6194" r:id="rId53" name="Check Box 50">
              <controlPr defaultSize="0" autoFill="0" autoLine="0" autoPict="0">
                <anchor moveWithCells="1">
                  <from>
                    <xdr:col>4</xdr:col>
                    <xdr:colOff>476250</xdr:colOff>
                    <xdr:row>52</xdr:row>
                    <xdr:rowOff>146050</xdr:rowOff>
                  </from>
                  <to>
                    <xdr:col>9</xdr:col>
                    <xdr:colOff>114300</xdr:colOff>
                    <xdr:row>54</xdr:row>
                    <xdr:rowOff>31750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D59DD9-3AC0-44DC-A065-F941ED09F32C}">
  <sheetPr codeName="Sheet2">
    <pageSetUpPr autoPageBreaks="0" fitToPage="1"/>
  </sheetPr>
  <dimension ref="A1:L299"/>
  <sheetViews>
    <sheetView showGridLines="0" showRowColHeaders="0" tabSelected="1" zoomScale="90" zoomScaleNormal="90" zoomScaleSheetLayoutView="85" workbookViewId="0">
      <pane ySplit="11" topLeftCell="A12" activePane="bottomLeft" state="frozen"/>
      <selection pane="bottomLeft" activeCell="A12" sqref="A12"/>
    </sheetView>
  </sheetViews>
  <sheetFormatPr defaultColWidth="8.81640625" defaultRowHeight="14.5" x14ac:dyDescent="0.35"/>
  <cols>
    <col min="1" max="1" width="3.7265625" style="18" customWidth="1"/>
    <col min="2" max="2" width="4.1796875" style="18" customWidth="1"/>
    <col min="3" max="8" width="28.7265625" style="18" customWidth="1"/>
    <col min="9" max="9" width="4.1796875" style="18" customWidth="1"/>
    <col min="10" max="10" width="1.7265625" style="18" customWidth="1"/>
    <col min="11" max="16384" width="8.81640625" style="18"/>
  </cols>
  <sheetData>
    <row r="1" spans="1:10" s="1" customFormat="1" ht="6.75" customHeight="1" x14ac:dyDescent="0.35">
      <c r="B1" s="2"/>
      <c r="D1" s="3"/>
      <c r="E1" s="3"/>
      <c r="F1" s="3"/>
    </row>
    <row r="2" spans="1:10" s="30" customFormat="1" ht="20.149999999999999" customHeight="1" x14ac:dyDescent="0.35">
      <c r="B2" s="27"/>
      <c r="C2" s="151" t="s">
        <v>75</v>
      </c>
      <c r="D2" s="31"/>
      <c r="E2" s="31"/>
      <c r="F2" s="31"/>
      <c r="G2" s="31"/>
      <c r="H2" s="31"/>
      <c r="I2" s="31"/>
      <c r="J2" s="32"/>
    </row>
    <row r="3" spans="1:10" s="4" customFormat="1" ht="24" customHeight="1" x14ac:dyDescent="0.35">
      <c r="B3" s="5"/>
      <c r="C3" s="154" t="str">
        <f>CONCATENATE(UPPER(C6)," ",UPPER(C7))</f>
        <v>REPORTING  ALL</v>
      </c>
      <c r="D3" s="7"/>
      <c r="E3" s="7"/>
      <c r="F3" s="7"/>
      <c r="G3" s="7"/>
      <c r="H3" s="7"/>
      <c r="I3" s="7"/>
      <c r="J3" s="8"/>
    </row>
    <row r="4" spans="1:10" s="10" customFormat="1" ht="4.5" customHeight="1" x14ac:dyDescent="0.35">
      <c r="A4" s="11"/>
      <c r="B4" s="11"/>
      <c r="C4" s="11"/>
      <c r="D4" s="11"/>
      <c r="E4" s="11"/>
      <c r="F4" s="11"/>
      <c r="G4" s="11"/>
      <c r="H4" s="11"/>
      <c r="I4" s="11"/>
      <c r="J4" s="11"/>
    </row>
    <row r="5" spans="1:10" s="10" customFormat="1" ht="7" customHeight="1" x14ac:dyDescent="0.35">
      <c r="A5" s="9"/>
      <c r="B5" s="118"/>
      <c r="C5" s="119"/>
      <c r="D5" s="119"/>
      <c r="E5" s="119"/>
      <c r="F5" s="119"/>
      <c r="G5" s="119"/>
      <c r="H5" s="119"/>
      <c r="I5" s="120"/>
      <c r="J5" s="9"/>
    </row>
    <row r="6" spans="1:10" s="10" customFormat="1" ht="25" customHeight="1" x14ac:dyDescent="0.35">
      <c r="A6" s="9"/>
      <c r="B6" s="121"/>
      <c r="C6" s="149" t="s">
        <v>77</v>
      </c>
      <c r="D6" s="122"/>
      <c r="E6" s="122"/>
      <c r="F6" s="122"/>
      <c r="G6" s="122"/>
      <c r="H6" s="122"/>
      <c r="I6" s="123"/>
      <c r="J6" s="9"/>
    </row>
    <row r="7" spans="1:10" s="10" customFormat="1" ht="42" customHeight="1" x14ac:dyDescent="0.35">
      <c r="A7" s="9"/>
      <c r="B7" s="121"/>
      <c r="C7" s="117" t="s">
        <v>62</v>
      </c>
      <c r="D7" s="122"/>
      <c r="E7" s="122"/>
      <c r="F7" s="122"/>
      <c r="G7" s="122"/>
      <c r="H7" s="122"/>
      <c r="I7" s="123"/>
      <c r="J7" s="9"/>
    </row>
    <row r="8" spans="1:10" s="10" customFormat="1" ht="7" customHeight="1" x14ac:dyDescent="0.35">
      <c r="A8" s="9"/>
      <c r="B8" s="145"/>
      <c r="C8" s="148"/>
      <c r="D8" s="146"/>
      <c r="E8" s="146"/>
      <c r="F8" s="146"/>
      <c r="G8" s="146"/>
      <c r="H8" s="146"/>
      <c r="I8" s="147"/>
      <c r="J8" s="9"/>
    </row>
    <row r="9" spans="1:10" s="10" customFormat="1" ht="8.25" customHeight="1" x14ac:dyDescent="0.35">
      <c r="B9" s="41"/>
      <c r="C9" s="41"/>
      <c r="D9" s="41"/>
      <c r="E9" s="41"/>
      <c r="F9" s="140"/>
      <c r="G9" s="140"/>
      <c r="H9" s="140"/>
      <c r="I9" s="140"/>
    </row>
    <row r="10" spans="1:10" s="10" customFormat="1" ht="9.75" customHeight="1" x14ac:dyDescent="0.35">
      <c r="B10" s="37"/>
      <c r="C10" s="38"/>
      <c r="D10" s="38"/>
      <c r="E10" s="38"/>
      <c r="F10" s="38"/>
      <c r="G10" s="38"/>
      <c r="H10" s="38"/>
      <c r="I10" s="39"/>
    </row>
    <row r="11" spans="1:10" s="10" customFormat="1" ht="20.149999999999999" customHeight="1" thickBot="1" x14ac:dyDescent="0.4">
      <c r="B11" s="37"/>
      <c r="C11" s="55" t="s">
        <v>6</v>
      </c>
      <c r="D11" s="56" t="s">
        <v>17</v>
      </c>
      <c r="E11" s="56" t="s">
        <v>44</v>
      </c>
      <c r="F11" s="56" t="s">
        <v>21</v>
      </c>
      <c r="G11" s="56" t="s">
        <v>7</v>
      </c>
      <c r="H11" s="56" t="s">
        <v>76</v>
      </c>
      <c r="I11" s="39"/>
    </row>
    <row r="12" spans="1:10" s="10" customFormat="1" ht="15" thickTop="1" x14ac:dyDescent="0.35">
      <c r="B12" s="37"/>
      <c r="C12" s="170" t="str">
        <f t="array" ref="C12">IFERROR(IF(LEN(C$11)=0,"",IF($C$7&lt;&gt;"All",IF(INDEX(Calc!$V$8:$V$500,MATCH(INDEX(Calc!$D$8:$D$500,MATCH(SMALL(IF((Calc!$C$8:$C$500=Kanban!$C$7)*(Calc!$K$8:$K$500=Kanban!C$11)*(Calc!$Y$8:$Y$500&gt;0),Calc!$Y$8:$Y$500,99999),Kanban_Helper!$B5),Calc!$Y$8:$Y$500,0)),Calc!$D$8:$D$500,0))="Yes",CONCATENATE(INDEX(Calc!$D$8:$D$500,MATCH(SMALL(IF((Calc!$C$8:$C$500=Kanban!$C$7)*(Calc!$K$8:$K$500=Kanban!C$11)*(Calc!$Y$8:$Y$500&gt;0),Calc!$Y$8:$Y$500,99999),Kanban_Helper!$B5),Calc!$Y$8:$Y$500,0))," ",Calc!$V$7," ","!"),INDEX(Calc!$D$8:$D$500,MATCH(SMALL(IF((Calc!$C$8:$C$500=Kanban!$C$7)*(Calc!$K$8:$K$500=Kanban!C$11)*(Calc!$Y$8:$Y$500&gt;0),Calc!$Y$8:$Y$500,99999),Kanban_Helper!$B5),Calc!$Y$8:$Y$500,0))),IF(INDEX(Calc!$V$8:$V$500,MATCH(INDEX(Calc!$D$8:$D$500,MATCH(SMALL(IF((Calc!$K$8:$K$500=Kanban!C$11)*(Calc!$Y$8:$Y$500&gt;0),Calc!$Y$8:$Y$500,99999),Kanban_Helper!$B5),Calc!$Y$8:$Y$500,0)),Calc!$D$8:$D$500,0))="Yes",CONCATENATE(INDEX(Calc!$D$8:$D$500,MATCH(SMALL(IF((Calc!$K$8:$K$500=Kanban!C$11)*(Calc!$Y$8:$Y$500&gt;0),Calc!$Y$8:$Y$500,99999),Kanban_Helper!$B5),Calc!$Y$8:$Y$500,0))," ",Calc!$V$7," ","!"),INDEX(Calc!$D$8:$D$500,MATCH(SMALL(IF((Calc!$K$8:$K$500=Kanban!C$11)*(Calc!$Y$8:$Y$500&gt;0),Calc!$Y$8:$Y$500,99999),Kanban_Helper!$B5),Calc!$Y$8:$Y$500,0))))),"")</f>
        <v/>
      </c>
      <c r="D12" s="170" t="str">
        <f t="array" ref="D12">IFERROR(IF(LEN(D$11)=0,"",IF($C$7&lt;&gt;"All",IF(INDEX(Calc!$V$8:$V$500,MATCH(INDEX(Calc!$D$8:$D$500,MATCH(SMALL(IF((Calc!$C$8:$C$500=Kanban!$C$7)*(Calc!$K$8:$K$500=Kanban!D$11)*(Calc!$Y$8:$Y$500&gt;0),Calc!$Y$8:$Y$500,99999),Kanban_Helper!$B5),Calc!$Y$8:$Y$500,0)),Calc!$D$8:$D$500,0))="Yes",CONCATENATE(INDEX(Calc!$D$8:$D$500,MATCH(SMALL(IF((Calc!$C$8:$C$500=Kanban!$C$7)*(Calc!$K$8:$K$500=Kanban!D$11)*(Calc!$Y$8:$Y$500&gt;0),Calc!$Y$8:$Y$500,99999),Kanban_Helper!$B5),Calc!$Y$8:$Y$500,0))," ",Calc!$V$7," ","!"),INDEX(Calc!$D$8:$D$500,MATCH(SMALL(IF((Calc!$C$8:$C$500=Kanban!$C$7)*(Calc!$K$8:$K$500=Kanban!D$11)*(Calc!$Y$8:$Y$500&gt;0),Calc!$Y$8:$Y$500,99999),Kanban_Helper!$B5),Calc!$Y$8:$Y$500,0))),IF(INDEX(Calc!$V$8:$V$500,MATCH(INDEX(Calc!$D$8:$D$500,MATCH(SMALL(IF((Calc!$K$8:$K$500=Kanban!D$11)*(Calc!$Y$8:$Y$500&gt;0),Calc!$Y$8:$Y$500,99999),Kanban_Helper!$B5),Calc!$Y$8:$Y$500,0)),Calc!$D$8:$D$500,0))="Yes",CONCATENATE(INDEX(Calc!$D$8:$D$500,MATCH(SMALL(IF((Calc!$K$8:$K$500=Kanban!D$11)*(Calc!$Y$8:$Y$500&gt;0),Calc!$Y$8:$Y$500,99999),Kanban_Helper!$B5),Calc!$Y$8:$Y$500,0))," ",Calc!$V$7," ","!"),INDEX(Calc!$D$8:$D$500,MATCH(SMALL(IF((Calc!$K$8:$K$500=Kanban!D$11)*(Calc!$Y$8:$Y$500&gt;0),Calc!$Y$8:$Y$500,99999),Kanban_Helper!$B5),Calc!$Y$8:$Y$500,0))))),"")</f>
        <v/>
      </c>
      <c r="E12" s="170" t="str">
        <f t="array" ref="E12">IFERROR(IF(LEN(E$11)=0,"",IF($C$7&lt;&gt;"All",IF(INDEX(Calc!$V$8:$V$500,MATCH(INDEX(Calc!$D$8:$D$500,MATCH(SMALL(IF((Calc!$C$8:$C$500=Kanban!$C$7)*(Calc!$K$8:$K$500=Kanban!E$11)*(Calc!$Y$8:$Y$500&gt;0),Calc!$Y$8:$Y$500,99999),Kanban_Helper!$B5),Calc!$Y$8:$Y$500,0)),Calc!$D$8:$D$500,0))="Yes",CONCATENATE(INDEX(Calc!$D$8:$D$500,MATCH(SMALL(IF((Calc!$C$8:$C$500=Kanban!$C$7)*(Calc!$K$8:$K$500=Kanban!E$11)*(Calc!$Y$8:$Y$500&gt;0),Calc!$Y$8:$Y$500,99999),Kanban_Helper!$B5),Calc!$Y$8:$Y$500,0))," ",Calc!$V$7," ","!"),INDEX(Calc!$D$8:$D$500,MATCH(SMALL(IF((Calc!$C$8:$C$500=Kanban!$C$7)*(Calc!$K$8:$K$500=Kanban!E$11)*(Calc!$Y$8:$Y$500&gt;0),Calc!$Y$8:$Y$500,99999),Kanban_Helper!$B5),Calc!$Y$8:$Y$500,0))),IF(INDEX(Calc!$V$8:$V$500,MATCH(INDEX(Calc!$D$8:$D$500,MATCH(SMALL(IF((Calc!$K$8:$K$500=Kanban!E$11)*(Calc!$Y$8:$Y$500&gt;0),Calc!$Y$8:$Y$500,99999),Kanban_Helper!$B5),Calc!$Y$8:$Y$500,0)),Calc!$D$8:$D$500,0))="Yes",CONCATENATE(INDEX(Calc!$D$8:$D$500,MATCH(SMALL(IF((Calc!$K$8:$K$500=Kanban!E$11)*(Calc!$Y$8:$Y$500&gt;0),Calc!$Y$8:$Y$500,99999),Kanban_Helper!$B5),Calc!$Y$8:$Y$500,0))," ",Calc!$V$7," ","!"),INDEX(Calc!$D$8:$D$500,MATCH(SMALL(IF((Calc!$K$8:$K$500=Kanban!E$11)*(Calc!$Y$8:$Y$500&gt;0),Calc!$Y$8:$Y$500,99999),Kanban_Helper!$B5),Calc!$Y$8:$Y$500,0))))),"")</f>
        <v/>
      </c>
      <c r="F12" s="170" t="str">
        <f t="array" ref="F12">IFERROR(IF(LEN(F$11)=0,"",IF($C$7&lt;&gt;"All",IF(INDEX(Calc!$V$8:$V$500,MATCH(INDEX(Calc!$D$8:$D$500,MATCH(SMALL(IF((Calc!$C$8:$C$500=Kanban!$C$7)*(Calc!$K$8:$K$500=Kanban!F$11)*(Calc!$Y$8:$Y$500&gt;0),Calc!$Y$8:$Y$500,99999),Kanban_Helper!$B5),Calc!$Y$8:$Y$500,0)),Calc!$D$8:$D$500,0))="Yes",CONCATENATE(INDEX(Calc!$D$8:$D$500,MATCH(SMALL(IF((Calc!$C$8:$C$500=Kanban!$C$7)*(Calc!$K$8:$K$500=Kanban!F$11)*(Calc!$Y$8:$Y$500&gt;0),Calc!$Y$8:$Y$500,99999),Kanban_Helper!$B5),Calc!$Y$8:$Y$500,0))," ",Calc!$V$7," ","!"),INDEX(Calc!$D$8:$D$500,MATCH(SMALL(IF((Calc!$C$8:$C$500=Kanban!$C$7)*(Calc!$K$8:$K$500=Kanban!F$11)*(Calc!$Y$8:$Y$500&gt;0),Calc!$Y$8:$Y$500,99999),Kanban_Helper!$B5),Calc!$Y$8:$Y$500,0))),IF(INDEX(Calc!$V$8:$V$500,MATCH(INDEX(Calc!$D$8:$D$500,MATCH(SMALL(IF((Calc!$K$8:$K$500=Kanban!F$11)*(Calc!$Y$8:$Y$500&gt;0),Calc!$Y$8:$Y$500,99999),Kanban_Helper!$B5),Calc!$Y$8:$Y$500,0)),Calc!$D$8:$D$500,0))="Yes",CONCATENATE(INDEX(Calc!$D$8:$D$500,MATCH(SMALL(IF((Calc!$K$8:$K$500=Kanban!F$11)*(Calc!$Y$8:$Y$500&gt;0),Calc!$Y$8:$Y$500,99999),Kanban_Helper!$B5),Calc!$Y$8:$Y$500,0))," ",Calc!$V$7," ","!"),INDEX(Calc!$D$8:$D$500,MATCH(SMALL(IF((Calc!$K$8:$K$500=Kanban!F$11)*(Calc!$Y$8:$Y$500&gt;0),Calc!$Y$8:$Y$500,99999),Kanban_Helper!$B5),Calc!$Y$8:$Y$500,0))))),"")</f>
        <v/>
      </c>
      <c r="G12" s="170" t="str">
        <f t="array" ref="G12">IFERROR(IF(LEN(G$11)=0,"",IF($C$7&lt;&gt;"All",IF(INDEX(Calc!$V$8:$V$500,MATCH(INDEX(Calc!$D$8:$D$500,MATCH(SMALL(IF((Calc!$C$8:$C$500=Kanban!$C$7)*(Calc!$K$8:$K$500=Kanban!G$11)*(Calc!$Y$8:$Y$500&gt;0),Calc!$Y$8:$Y$500,99999),Kanban_Helper!$B5),Calc!$Y$8:$Y$500,0)),Calc!$D$8:$D$500,0))="Yes",CONCATENATE(INDEX(Calc!$D$8:$D$500,MATCH(SMALL(IF((Calc!$C$8:$C$500=Kanban!$C$7)*(Calc!$K$8:$K$500=Kanban!G$11)*(Calc!$Y$8:$Y$500&gt;0),Calc!$Y$8:$Y$500,99999),Kanban_Helper!$B5),Calc!$Y$8:$Y$500,0))," ",Calc!$V$7," ","!"),INDEX(Calc!$D$8:$D$500,MATCH(SMALL(IF((Calc!$C$8:$C$500=Kanban!$C$7)*(Calc!$K$8:$K$500=Kanban!G$11)*(Calc!$Y$8:$Y$500&gt;0),Calc!$Y$8:$Y$500,99999),Kanban_Helper!$B5),Calc!$Y$8:$Y$500,0))),IF(INDEX(Calc!$V$8:$V$500,MATCH(INDEX(Calc!$D$8:$D$500,MATCH(SMALL(IF((Calc!$K$8:$K$500=Kanban!G$11)*(Calc!$Y$8:$Y$500&gt;0),Calc!$Y$8:$Y$500,99999),Kanban_Helper!$B5),Calc!$Y$8:$Y$500,0)),Calc!$D$8:$D$500,0))="Yes",CONCATENATE(INDEX(Calc!$D$8:$D$500,MATCH(SMALL(IF((Calc!$K$8:$K$500=Kanban!G$11)*(Calc!$Y$8:$Y$500&gt;0),Calc!$Y$8:$Y$500,99999),Kanban_Helper!$B5),Calc!$Y$8:$Y$500,0))," ",Calc!$V$7," ","!"),INDEX(Calc!$D$8:$D$500,MATCH(SMALL(IF((Calc!$K$8:$K$500=Kanban!G$11)*(Calc!$Y$8:$Y$500&gt;0),Calc!$Y$8:$Y$500,99999),Kanban_Helper!$B5),Calc!$Y$8:$Y$500,0))))),"")</f>
        <v/>
      </c>
      <c r="H12" s="170" t="str">
        <f t="array" ref="H12">IFERROR(IF(LEN(H$11)=0,"",IF($C$7&lt;&gt;"All",IF(INDEX(Calc!$V$8:$V$500,MATCH(INDEX(Calc!$D$8:$D$500,MATCH(SMALL(IF((Calc!$C$8:$C$500=Kanban!$C$7)*(Calc!$K$8:$K$500=Kanban!H$11)*(Calc!$Y$8:$Y$500&gt;0),Calc!$Y$8:$Y$500,99999),Kanban_Helper!$B5),Calc!$Y$8:$Y$500,0)),Calc!$D$8:$D$500,0))="Yes",CONCATENATE(INDEX(Calc!$D$8:$D$500,MATCH(SMALL(IF((Calc!$C$8:$C$500=Kanban!$C$7)*(Calc!$K$8:$K$500=Kanban!H$11)*(Calc!$Y$8:$Y$500&gt;0),Calc!$Y$8:$Y$500,99999),Kanban_Helper!$B5),Calc!$Y$8:$Y$500,0))," ",Calc!$V$7," ","!"),INDEX(Calc!$D$8:$D$500,MATCH(SMALL(IF((Calc!$C$8:$C$500=Kanban!$C$7)*(Calc!$K$8:$K$500=Kanban!H$11)*(Calc!$Y$8:$Y$500&gt;0),Calc!$Y$8:$Y$500,99999),Kanban_Helper!$B5),Calc!$Y$8:$Y$500,0))),IF(INDEX(Calc!$V$8:$V$500,MATCH(INDEX(Calc!$D$8:$D$500,MATCH(SMALL(IF((Calc!$K$8:$K$500=Kanban!H$11)*(Calc!$Y$8:$Y$500&gt;0),Calc!$Y$8:$Y$500,99999),Kanban_Helper!$B5),Calc!$Y$8:$Y$500,0)),Calc!$D$8:$D$500,0))="Yes",CONCATENATE(INDEX(Calc!$D$8:$D$500,MATCH(SMALL(IF((Calc!$K$8:$K$500=Kanban!H$11)*(Calc!$Y$8:$Y$500&gt;0),Calc!$Y$8:$Y$500,99999),Kanban_Helper!$B5),Calc!$Y$8:$Y$500,0))," ",Calc!$V$7," ","!"),INDEX(Calc!$D$8:$D$500,MATCH(SMALL(IF((Calc!$K$8:$K$500=Kanban!H$11)*(Calc!$Y$8:$Y$500&gt;0),Calc!$Y$8:$Y$500,99999),Kanban_Helper!$B5),Calc!$Y$8:$Y$500,0))))),"")</f>
        <v/>
      </c>
      <c r="I12" s="39"/>
    </row>
    <row r="13" spans="1:10" s="10" customFormat="1" x14ac:dyDescent="0.35">
      <c r="B13" s="37"/>
      <c r="C13" s="171" t="str">
        <f t="array" ref="C13">IFERROR(IF(LEN(C$11)=0,"",IF($C$7&lt;&gt;"All",INDEX(Calc!$E$8:$E$500,MATCH(SMALL(IF((Calc!$C$8:$C$500=Kanban!$C$7)*(Calc!$K$8:$K$500=Kanban!C$11)*(Calc!$Y$8:$Y$500&gt;0),Calc!$Y$8:$Y$500,99999),Kanban_Helper!$B6),Calc!$Y$8:$Y$500,0)),INDEX(Calc!$E$8:$E$500,MATCH(SMALL(IF((Calc!$K$8:$K$500=Kanban!C$11)*(Calc!$Y$8:$Y$500&gt;0),Calc!$Y$8:$Y$500,99999),Kanban_Helper!$B6),Calc!$Y$8:$Y$500,0)))),"")</f>
        <v/>
      </c>
      <c r="D13" s="171" t="str">
        <f t="array" ref="D13">IFERROR(IF(LEN(D$11)=0,"",IF($C$7&lt;&gt;"All",INDEX(Calc!$E$8:$E$500,MATCH(SMALL(IF((Calc!$C$8:$C$500=Kanban!$C$7)*(Calc!$K$8:$K$500=Kanban!D$11)*(Calc!$Y$8:$Y$500&gt;0),Calc!$Y$8:$Y$500,99999),Kanban_Helper!$B6),Calc!$Y$8:$Y$500,0)),INDEX(Calc!$E$8:$E$500,MATCH(SMALL(IF((Calc!$K$8:$K$500=Kanban!D$11)*(Calc!$Y$8:$Y$500&gt;0),Calc!$Y$8:$Y$500,99999),Kanban_Helper!$B6),Calc!$Y$8:$Y$500,0)))),"")</f>
        <v/>
      </c>
      <c r="E13" s="171" t="str">
        <f t="array" ref="E13">IFERROR(IF(LEN(E$11)=0,"",IF($C$7&lt;&gt;"All",INDEX(Calc!$E$8:$E$500,MATCH(SMALL(IF((Calc!$C$8:$C$500=Kanban!$C$7)*(Calc!$K$8:$K$500=Kanban!E$11)*(Calc!$Y$8:$Y$500&gt;0),Calc!$Y$8:$Y$500,99999),Kanban_Helper!$B6),Calc!$Y$8:$Y$500,0)),INDEX(Calc!$E$8:$E$500,MATCH(SMALL(IF((Calc!$K$8:$K$500=Kanban!E$11)*(Calc!$Y$8:$Y$500&gt;0),Calc!$Y$8:$Y$500,99999),Kanban_Helper!$B6),Calc!$Y$8:$Y$500,0)))),"")</f>
        <v/>
      </c>
      <c r="F13" s="171" t="str">
        <f t="array" ref="F13">IFERROR(IF(LEN(F$11)=0,"",IF($C$7&lt;&gt;"All",INDEX(Calc!$E$8:$E$500,MATCH(SMALL(IF((Calc!$C$8:$C$500=Kanban!$C$7)*(Calc!$K$8:$K$500=Kanban!F$11)*(Calc!$Y$8:$Y$500&gt;0),Calc!$Y$8:$Y$500,99999),Kanban_Helper!$B6),Calc!$Y$8:$Y$500,0)),INDEX(Calc!$E$8:$E$500,MATCH(SMALL(IF((Calc!$K$8:$K$500=Kanban!F$11)*(Calc!$Y$8:$Y$500&gt;0),Calc!$Y$8:$Y$500,99999),Kanban_Helper!$B6),Calc!$Y$8:$Y$500,0)))),"")</f>
        <v/>
      </c>
      <c r="G13" s="171" t="str">
        <f t="array" ref="G13">IFERROR(IF(LEN(G$11)=0,"",IF($C$7&lt;&gt;"All",INDEX(Calc!$E$8:$E$500,MATCH(SMALL(IF((Calc!$C$8:$C$500=Kanban!$C$7)*(Calc!$K$8:$K$500=Kanban!G$11)*(Calc!$Y$8:$Y$500&gt;0),Calc!$Y$8:$Y$500,99999),Kanban_Helper!$B6),Calc!$Y$8:$Y$500,0)),INDEX(Calc!$E$8:$E$500,MATCH(SMALL(IF((Calc!$K$8:$K$500=Kanban!G$11)*(Calc!$Y$8:$Y$500&gt;0),Calc!$Y$8:$Y$500,99999),Kanban_Helper!$B6),Calc!$Y$8:$Y$500,0)))),"")</f>
        <v/>
      </c>
      <c r="H13" s="171" t="str">
        <f t="array" ref="H13">IFERROR(IF(LEN(H$11)=0,"",IF($C$7&lt;&gt;"All",INDEX(Calc!$E$8:$E$500,MATCH(SMALL(IF((Calc!$C$8:$C$500=Kanban!$C$7)*(Calc!$K$8:$K$500=Kanban!H$11)*(Calc!$Y$8:$Y$500&gt;0),Calc!$Y$8:$Y$500,99999),Kanban_Helper!$B6),Calc!$Y$8:$Y$500,0)),INDEX(Calc!$E$8:$E$500,MATCH(SMALL(IF((Calc!$K$8:$K$500=Kanban!H$11)*(Calc!$Y$8:$Y$500&gt;0),Calc!$Y$8:$Y$500,99999),Kanban_Helper!$B6),Calc!$Y$8:$Y$500,0)))),"")</f>
        <v/>
      </c>
      <c r="I13" s="39"/>
    </row>
    <row r="14" spans="1:10" s="10" customFormat="1" ht="15.75" customHeight="1" thickBot="1" x14ac:dyDescent="0.4">
      <c r="B14" s="37"/>
      <c r="C14" s="172" t="str">
        <f t="array" ref="C14">IFERROR(IF(LEN(C$11)=0,"",IF($C$7&lt;&gt;"All",IF(LEN(INDEX(Calc!$J$8:$J$500,MATCH(SMALL(IF((Calc!$C$8:$C$500=Kanban!$C$7)*(Calc!$K$8:$K$500=Kanban!C$11)*(Calc!$Y$8:$Y$500&gt;0),Calc!$Y$8:$Y$500,99999),Kanban_Helper!$B7),Calc!$Y$8:$Y$500,0)))=0,"",CONCATENATE(Calc!$AD$6,INDEX(Calc!$J$8:$J$500,MATCH(SMALL(IF((Calc!$C$8:$C$500=Kanban!$C$7)*(Calc!$K$8:$K$500=Kanban!C$11)*(Calc!$Y$8:$Y$500&gt;0),Calc!$Y$8:$Y$500,99999),Kanban_Helper!$B7),Calc!$Y$8:$Y$500,0)))),IF(LEN(INDEX(Calc!$J$8:$J$500,MATCH(SMALL(IF((Calc!$K$8:$K$500=Kanban!C$11)*(Calc!$Y$8:$Y$500&gt;0),Calc!$Y$8:$Y$500,99999),Kanban_Helper!$B7),Calc!$Y$8:$Y$500,0)))=0,"",CONCATENATE(Calc!$AD$6,INDEX(Calc!$J$8:$J$500,MATCH(SMALL(IF((Calc!$K$8:$K$500=Kanban!C$11)*(Calc!$Y$8:$Y$500&gt;0),Calc!$Y$8:$Y$500,99999),Kanban_Helper!$B7),Calc!$Y$8:$Y$500,0)))))),"")</f>
        <v/>
      </c>
      <c r="D14" s="172" t="str">
        <f t="array" ref="D14">IFERROR(IF(LEN(D$11)=0,"",IF($C$7&lt;&gt;"All",IF(LEN(INDEX(Calc!$J$8:$J$500,MATCH(SMALL(IF((Calc!$C$8:$C$500=Kanban!$C$7)*(Calc!$K$8:$K$500=Kanban!D$11)*(Calc!$Y$8:$Y$500&gt;0),Calc!$Y$8:$Y$500,99999),Kanban_Helper!$B7),Calc!$Y$8:$Y$500,0)))=0,"",CONCATENATE(Calc!$AD$6,INDEX(Calc!$J$8:$J$500,MATCH(SMALL(IF((Calc!$C$8:$C$500=Kanban!$C$7)*(Calc!$K$8:$K$500=Kanban!D$11)*(Calc!$Y$8:$Y$500&gt;0),Calc!$Y$8:$Y$500,99999),Kanban_Helper!$B7),Calc!$Y$8:$Y$500,0)))),IF(LEN(INDEX(Calc!$J$8:$J$500,MATCH(SMALL(IF((Calc!$K$8:$K$500=Kanban!D$11)*(Calc!$Y$8:$Y$500&gt;0),Calc!$Y$8:$Y$500,99999),Kanban_Helper!$B7),Calc!$Y$8:$Y$500,0)))=0,"",CONCATENATE(Calc!$AD$6,INDEX(Calc!$J$8:$J$500,MATCH(SMALL(IF((Calc!$K$8:$K$500=Kanban!D$11)*(Calc!$Y$8:$Y$500&gt;0),Calc!$Y$8:$Y$500,99999),Kanban_Helper!$B7),Calc!$Y$8:$Y$500,0)))))),"")</f>
        <v/>
      </c>
      <c r="E14" s="172" t="str">
        <f t="array" ref="E14">IFERROR(IF(LEN(E$11)=0,"",IF($C$7&lt;&gt;"All",IF(LEN(INDEX(Calc!$J$8:$J$500,MATCH(SMALL(IF((Calc!$C$8:$C$500=Kanban!$C$7)*(Calc!$K$8:$K$500=Kanban!E$11)*(Calc!$Y$8:$Y$500&gt;0),Calc!$Y$8:$Y$500,99999),Kanban_Helper!$B7),Calc!$Y$8:$Y$500,0)))=0,"",CONCATENATE(Calc!$AD$6,INDEX(Calc!$J$8:$J$500,MATCH(SMALL(IF((Calc!$C$8:$C$500=Kanban!$C$7)*(Calc!$K$8:$K$500=Kanban!E$11)*(Calc!$Y$8:$Y$500&gt;0),Calc!$Y$8:$Y$500,99999),Kanban_Helper!$B7),Calc!$Y$8:$Y$500,0)))),IF(LEN(INDEX(Calc!$J$8:$J$500,MATCH(SMALL(IF((Calc!$K$8:$K$500=Kanban!E$11)*(Calc!$Y$8:$Y$500&gt;0),Calc!$Y$8:$Y$500,99999),Kanban_Helper!$B7),Calc!$Y$8:$Y$500,0)))=0,"",CONCATENATE(Calc!$AD$6,INDEX(Calc!$J$8:$J$500,MATCH(SMALL(IF((Calc!$K$8:$K$500=Kanban!E$11)*(Calc!$Y$8:$Y$500&gt;0),Calc!$Y$8:$Y$500,99999),Kanban_Helper!$B7),Calc!$Y$8:$Y$500,0)))))),"")</f>
        <v/>
      </c>
      <c r="F14" s="172" t="str">
        <f t="array" ref="F14">IFERROR(IF(LEN(F$11)=0,"",IF($C$7&lt;&gt;"All",IF(LEN(INDEX(Calc!$J$8:$J$500,MATCH(SMALL(IF((Calc!$C$8:$C$500=Kanban!$C$7)*(Calc!$K$8:$K$500=Kanban!F$11)*(Calc!$Y$8:$Y$500&gt;0),Calc!$Y$8:$Y$500,99999),Kanban_Helper!$B7),Calc!$Y$8:$Y$500,0)))=0,"",CONCATENATE(Calc!$AD$6,INDEX(Calc!$J$8:$J$500,MATCH(SMALL(IF((Calc!$C$8:$C$500=Kanban!$C$7)*(Calc!$K$8:$K$500=Kanban!F$11)*(Calc!$Y$8:$Y$500&gt;0),Calc!$Y$8:$Y$500,99999),Kanban_Helper!$B7),Calc!$Y$8:$Y$500,0)))),IF(LEN(INDEX(Calc!$J$8:$J$500,MATCH(SMALL(IF((Calc!$K$8:$K$500=Kanban!F$11)*(Calc!$Y$8:$Y$500&gt;0),Calc!$Y$8:$Y$500,99999),Kanban_Helper!$B7),Calc!$Y$8:$Y$500,0)))=0,"",CONCATENATE(Calc!$AD$6,INDEX(Calc!$J$8:$J$500,MATCH(SMALL(IF((Calc!$K$8:$K$500=Kanban!F$11)*(Calc!$Y$8:$Y$500&gt;0),Calc!$Y$8:$Y$500,99999),Kanban_Helper!$B7),Calc!$Y$8:$Y$500,0)))))),"")</f>
        <v/>
      </c>
      <c r="G14" s="172" t="str">
        <f t="array" ref="G14">IFERROR(IF(LEN(G$11)=0,"",IF($C$7&lt;&gt;"All",IF(LEN(INDEX(Calc!$J$8:$J$500,MATCH(SMALL(IF((Calc!$C$8:$C$500=Kanban!$C$7)*(Calc!$K$8:$K$500=Kanban!G$11)*(Calc!$Y$8:$Y$500&gt;0),Calc!$Y$8:$Y$500,99999),Kanban_Helper!$B7),Calc!$Y$8:$Y$500,0)))=0,"",CONCATENATE(Calc!$AD$6,INDEX(Calc!$J$8:$J$500,MATCH(SMALL(IF((Calc!$C$8:$C$500=Kanban!$C$7)*(Calc!$K$8:$K$500=Kanban!G$11)*(Calc!$Y$8:$Y$500&gt;0),Calc!$Y$8:$Y$500,99999),Kanban_Helper!$B7),Calc!$Y$8:$Y$500,0)))),IF(LEN(INDEX(Calc!$J$8:$J$500,MATCH(SMALL(IF((Calc!$K$8:$K$500=Kanban!G$11)*(Calc!$Y$8:$Y$500&gt;0),Calc!$Y$8:$Y$500,99999),Kanban_Helper!$B7),Calc!$Y$8:$Y$500,0)))=0,"",CONCATENATE(Calc!$AD$6,INDEX(Calc!$J$8:$J$500,MATCH(SMALL(IF((Calc!$K$8:$K$500=Kanban!G$11)*(Calc!$Y$8:$Y$500&gt;0),Calc!$Y$8:$Y$500,99999),Kanban_Helper!$B7),Calc!$Y$8:$Y$500,0)))))),"")</f>
        <v/>
      </c>
      <c r="H14" s="172" t="str">
        <f t="array" ref="H14">IFERROR(IF(LEN(H$11)=0,"",IF($C$7&lt;&gt;"All",IF(LEN(INDEX(Calc!$J$8:$J$500,MATCH(SMALL(IF((Calc!$C$8:$C$500=Kanban!$C$7)*(Calc!$K$8:$K$500=Kanban!H$11)*(Calc!$Y$8:$Y$500&gt;0),Calc!$Y$8:$Y$500,99999),Kanban_Helper!$B7),Calc!$Y$8:$Y$500,0)))=0,"",CONCATENATE(Calc!$AD$6,INDEX(Calc!$J$8:$J$500,MATCH(SMALL(IF((Calc!$C$8:$C$500=Kanban!$C$7)*(Calc!$K$8:$K$500=Kanban!H$11)*(Calc!$Y$8:$Y$500&gt;0),Calc!$Y$8:$Y$500,99999),Kanban_Helper!$B7),Calc!$Y$8:$Y$500,0)))),IF(LEN(INDEX(Calc!$J$8:$J$500,MATCH(SMALL(IF((Calc!$K$8:$K$500=Kanban!H$11)*(Calc!$Y$8:$Y$500&gt;0),Calc!$Y$8:$Y$500,99999),Kanban_Helper!$B7),Calc!$Y$8:$Y$500,0)))=0,"",CONCATENATE(Calc!$AD$6,INDEX(Calc!$J$8:$J$500,MATCH(SMALL(IF((Calc!$K$8:$K$500=Kanban!H$11)*(Calc!$Y$8:$Y$500&gt;0),Calc!$Y$8:$Y$500,99999),Kanban_Helper!$B7),Calc!$Y$8:$Y$500,0)))))),"")</f>
        <v/>
      </c>
      <c r="I14" s="39"/>
    </row>
    <row r="15" spans="1:10" s="10" customFormat="1" ht="15" thickTop="1" x14ac:dyDescent="0.35">
      <c r="B15" s="37"/>
      <c r="C15" s="170" t="str">
        <f t="array" ref="C15">IFERROR(IF(LEN(C$11)=0,"",IF($C$7&lt;&gt;"All",IF(INDEX(Calc!$V$8:$V$500,MATCH(INDEX(Calc!$D$8:$D$500,MATCH(SMALL(IF((Calc!$C$8:$C$500=Kanban!$C$7)*(Calc!$K$8:$K$500=Kanban!C$11)*(Calc!$Y$8:$Y$500&gt;0),Calc!$Y$8:$Y$500,99999),Kanban_Helper!$B8),Calc!$Y$8:$Y$500,0)),Calc!$D$8:$D$500,0))="Yes",CONCATENATE(INDEX(Calc!$D$8:$D$500,MATCH(SMALL(IF((Calc!$C$8:$C$500=Kanban!$C$7)*(Calc!$K$8:$K$500=Kanban!C$11)*(Calc!$Y$8:$Y$500&gt;0),Calc!$Y$8:$Y$500,99999),Kanban_Helper!$B8),Calc!$Y$8:$Y$500,0))," ",Calc!$V$7," ","!"),INDEX(Calc!$D$8:$D$500,MATCH(SMALL(IF((Calc!$C$8:$C$500=Kanban!$C$7)*(Calc!$K$8:$K$500=Kanban!C$11)*(Calc!$Y$8:$Y$500&gt;0),Calc!$Y$8:$Y$500,99999),Kanban_Helper!$B8),Calc!$Y$8:$Y$500,0))),IF(INDEX(Calc!$V$8:$V$500,MATCH(INDEX(Calc!$D$8:$D$500,MATCH(SMALL(IF((Calc!$K$8:$K$500=Kanban!C$11)*(Calc!$Y$8:$Y$500&gt;0),Calc!$Y$8:$Y$500,99999),Kanban_Helper!$B8),Calc!$Y$8:$Y$500,0)),Calc!$D$8:$D$500,0))="Yes",CONCATENATE(INDEX(Calc!$D$8:$D$500,MATCH(SMALL(IF((Calc!$K$8:$K$500=Kanban!C$11)*(Calc!$Y$8:$Y$500&gt;0),Calc!$Y$8:$Y$500,99999),Kanban_Helper!$B8),Calc!$Y$8:$Y$500,0))," ",Calc!$V$7," ","!"),INDEX(Calc!$D$8:$D$500,MATCH(SMALL(IF((Calc!$K$8:$K$500=Kanban!C$11)*(Calc!$Y$8:$Y$500&gt;0),Calc!$Y$8:$Y$500,99999),Kanban_Helper!$B8),Calc!$Y$8:$Y$500,0))))),"")</f>
        <v/>
      </c>
      <c r="D15" s="170" t="str">
        <f t="array" ref="D15">IFERROR(IF(LEN(D$11)=0,"",IF($C$7&lt;&gt;"All",IF(INDEX(Calc!$V$8:$V$500,MATCH(INDEX(Calc!$D$8:$D$500,MATCH(SMALL(IF((Calc!$C$8:$C$500=Kanban!$C$7)*(Calc!$K$8:$K$500=Kanban!D$11)*(Calc!$Y$8:$Y$500&gt;0),Calc!$Y$8:$Y$500,99999),Kanban_Helper!$B8),Calc!$Y$8:$Y$500,0)),Calc!$D$8:$D$500,0))="Yes",CONCATENATE(INDEX(Calc!$D$8:$D$500,MATCH(SMALL(IF((Calc!$C$8:$C$500=Kanban!$C$7)*(Calc!$K$8:$K$500=Kanban!D$11)*(Calc!$Y$8:$Y$500&gt;0),Calc!$Y$8:$Y$500,99999),Kanban_Helper!$B8),Calc!$Y$8:$Y$500,0))," ",Calc!$V$7," ","!"),INDEX(Calc!$D$8:$D$500,MATCH(SMALL(IF((Calc!$C$8:$C$500=Kanban!$C$7)*(Calc!$K$8:$K$500=Kanban!D$11)*(Calc!$Y$8:$Y$500&gt;0),Calc!$Y$8:$Y$500,99999),Kanban_Helper!$B8),Calc!$Y$8:$Y$500,0))),IF(INDEX(Calc!$V$8:$V$500,MATCH(INDEX(Calc!$D$8:$D$500,MATCH(SMALL(IF((Calc!$K$8:$K$500=Kanban!D$11)*(Calc!$Y$8:$Y$500&gt;0),Calc!$Y$8:$Y$500,99999),Kanban_Helper!$B8),Calc!$Y$8:$Y$500,0)),Calc!$D$8:$D$500,0))="Yes",CONCATENATE(INDEX(Calc!$D$8:$D$500,MATCH(SMALL(IF((Calc!$K$8:$K$500=Kanban!D$11)*(Calc!$Y$8:$Y$500&gt;0),Calc!$Y$8:$Y$500,99999),Kanban_Helper!$B8),Calc!$Y$8:$Y$500,0))," ",Calc!$V$7," ","!"),INDEX(Calc!$D$8:$D$500,MATCH(SMALL(IF((Calc!$K$8:$K$500=Kanban!D$11)*(Calc!$Y$8:$Y$500&gt;0),Calc!$Y$8:$Y$500,99999),Kanban_Helper!$B8),Calc!$Y$8:$Y$500,0))))),"")</f>
        <v/>
      </c>
      <c r="E15" s="170" t="str">
        <f t="array" ref="E15">IFERROR(IF(LEN(E$11)=0,"",IF($C$7&lt;&gt;"All",IF(INDEX(Calc!$V$8:$V$500,MATCH(INDEX(Calc!$D$8:$D$500,MATCH(SMALL(IF((Calc!$C$8:$C$500=Kanban!$C$7)*(Calc!$K$8:$K$500=Kanban!E$11)*(Calc!$Y$8:$Y$500&gt;0),Calc!$Y$8:$Y$500,99999),Kanban_Helper!$B8),Calc!$Y$8:$Y$500,0)),Calc!$D$8:$D$500,0))="Yes",CONCATENATE(INDEX(Calc!$D$8:$D$500,MATCH(SMALL(IF((Calc!$C$8:$C$500=Kanban!$C$7)*(Calc!$K$8:$K$500=Kanban!E$11)*(Calc!$Y$8:$Y$500&gt;0),Calc!$Y$8:$Y$500,99999),Kanban_Helper!$B8),Calc!$Y$8:$Y$500,0))," ",Calc!$V$7," ","!"),INDEX(Calc!$D$8:$D$500,MATCH(SMALL(IF((Calc!$C$8:$C$500=Kanban!$C$7)*(Calc!$K$8:$K$500=Kanban!E$11)*(Calc!$Y$8:$Y$500&gt;0),Calc!$Y$8:$Y$500,99999),Kanban_Helper!$B8),Calc!$Y$8:$Y$500,0))),IF(INDEX(Calc!$V$8:$V$500,MATCH(INDEX(Calc!$D$8:$D$500,MATCH(SMALL(IF((Calc!$K$8:$K$500=Kanban!E$11)*(Calc!$Y$8:$Y$500&gt;0),Calc!$Y$8:$Y$500,99999),Kanban_Helper!$B8),Calc!$Y$8:$Y$500,0)),Calc!$D$8:$D$500,0))="Yes",CONCATENATE(INDEX(Calc!$D$8:$D$500,MATCH(SMALL(IF((Calc!$K$8:$K$500=Kanban!E$11)*(Calc!$Y$8:$Y$500&gt;0),Calc!$Y$8:$Y$500,99999),Kanban_Helper!$B8),Calc!$Y$8:$Y$500,0))," ",Calc!$V$7," ","!"),INDEX(Calc!$D$8:$D$500,MATCH(SMALL(IF((Calc!$K$8:$K$500=Kanban!E$11)*(Calc!$Y$8:$Y$500&gt;0),Calc!$Y$8:$Y$500,99999),Kanban_Helper!$B8),Calc!$Y$8:$Y$500,0))))),"")</f>
        <v/>
      </c>
      <c r="F15" s="170" t="str">
        <f t="array" ref="F15">IFERROR(IF(LEN(F$11)=0,"",IF($C$7&lt;&gt;"All",IF(INDEX(Calc!$V$8:$V$500,MATCH(INDEX(Calc!$D$8:$D$500,MATCH(SMALL(IF((Calc!$C$8:$C$500=Kanban!$C$7)*(Calc!$K$8:$K$500=Kanban!F$11)*(Calc!$Y$8:$Y$500&gt;0),Calc!$Y$8:$Y$500,99999),Kanban_Helper!$B8),Calc!$Y$8:$Y$500,0)),Calc!$D$8:$D$500,0))="Yes",CONCATENATE(INDEX(Calc!$D$8:$D$500,MATCH(SMALL(IF((Calc!$C$8:$C$500=Kanban!$C$7)*(Calc!$K$8:$K$500=Kanban!F$11)*(Calc!$Y$8:$Y$500&gt;0),Calc!$Y$8:$Y$500,99999),Kanban_Helper!$B8),Calc!$Y$8:$Y$500,0))," ",Calc!$V$7," ","!"),INDEX(Calc!$D$8:$D$500,MATCH(SMALL(IF((Calc!$C$8:$C$500=Kanban!$C$7)*(Calc!$K$8:$K$500=Kanban!F$11)*(Calc!$Y$8:$Y$500&gt;0),Calc!$Y$8:$Y$500,99999),Kanban_Helper!$B8),Calc!$Y$8:$Y$500,0))),IF(INDEX(Calc!$V$8:$V$500,MATCH(INDEX(Calc!$D$8:$D$500,MATCH(SMALL(IF((Calc!$K$8:$K$500=Kanban!F$11)*(Calc!$Y$8:$Y$500&gt;0),Calc!$Y$8:$Y$500,99999),Kanban_Helper!$B8),Calc!$Y$8:$Y$500,0)),Calc!$D$8:$D$500,0))="Yes",CONCATENATE(INDEX(Calc!$D$8:$D$500,MATCH(SMALL(IF((Calc!$K$8:$K$500=Kanban!F$11)*(Calc!$Y$8:$Y$500&gt;0),Calc!$Y$8:$Y$500,99999),Kanban_Helper!$B8),Calc!$Y$8:$Y$500,0))," ",Calc!$V$7," ","!"),INDEX(Calc!$D$8:$D$500,MATCH(SMALL(IF((Calc!$K$8:$K$500=Kanban!F$11)*(Calc!$Y$8:$Y$500&gt;0),Calc!$Y$8:$Y$500,99999),Kanban_Helper!$B8),Calc!$Y$8:$Y$500,0))))),"")</f>
        <v/>
      </c>
      <c r="G15" s="170" t="str">
        <f t="array" ref="G15">IFERROR(IF(LEN(G$11)=0,"",IF($C$7&lt;&gt;"All",IF(INDEX(Calc!$V$8:$V$500,MATCH(INDEX(Calc!$D$8:$D$500,MATCH(SMALL(IF((Calc!$C$8:$C$500=Kanban!$C$7)*(Calc!$K$8:$K$500=Kanban!G$11)*(Calc!$Y$8:$Y$500&gt;0),Calc!$Y$8:$Y$500,99999),Kanban_Helper!$B8),Calc!$Y$8:$Y$500,0)),Calc!$D$8:$D$500,0))="Yes",CONCATENATE(INDEX(Calc!$D$8:$D$500,MATCH(SMALL(IF((Calc!$C$8:$C$500=Kanban!$C$7)*(Calc!$K$8:$K$500=Kanban!G$11)*(Calc!$Y$8:$Y$500&gt;0),Calc!$Y$8:$Y$500,99999),Kanban_Helper!$B8),Calc!$Y$8:$Y$500,0))," ",Calc!$V$7," ","!"),INDEX(Calc!$D$8:$D$500,MATCH(SMALL(IF((Calc!$C$8:$C$500=Kanban!$C$7)*(Calc!$K$8:$K$500=Kanban!G$11)*(Calc!$Y$8:$Y$500&gt;0),Calc!$Y$8:$Y$500,99999),Kanban_Helper!$B8),Calc!$Y$8:$Y$500,0))),IF(INDEX(Calc!$V$8:$V$500,MATCH(INDEX(Calc!$D$8:$D$500,MATCH(SMALL(IF((Calc!$K$8:$K$500=Kanban!G$11)*(Calc!$Y$8:$Y$500&gt;0),Calc!$Y$8:$Y$500,99999),Kanban_Helper!$B8),Calc!$Y$8:$Y$500,0)),Calc!$D$8:$D$500,0))="Yes",CONCATENATE(INDEX(Calc!$D$8:$D$500,MATCH(SMALL(IF((Calc!$K$8:$K$500=Kanban!G$11)*(Calc!$Y$8:$Y$500&gt;0),Calc!$Y$8:$Y$500,99999),Kanban_Helper!$B8),Calc!$Y$8:$Y$500,0))," ",Calc!$V$7," ","!"),INDEX(Calc!$D$8:$D$500,MATCH(SMALL(IF((Calc!$K$8:$K$500=Kanban!G$11)*(Calc!$Y$8:$Y$500&gt;0),Calc!$Y$8:$Y$500,99999),Kanban_Helper!$B8),Calc!$Y$8:$Y$500,0))))),"")</f>
        <v/>
      </c>
      <c r="H15" s="170" t="str">
        <f t="array" ref="H15">IFERROR(IF(LEN(H$11)=0,"",IF($C$7&lt;&gt;"All",IF(INDEX(Calc!$V$8:$V$500,MATCH(INDEX(Calc!$D$8:$D$500,MATCH(SMALL(IF((Calc!$C$8:$C$500=Kanban!$C$7)*(Calc!$K$8:$K$500=Kanban!H$11)*(Calc!$Y$8:$Y$500&gt;0),Calc!$Y$8:$Y$500,99999),Kanban_Helper!$B8),Calc!$Y$8:$Y$500,0)),Calc!$D$8:$D$500,0))="Yes",CONCATENATE(INDEX(Calc!$D$8:$D$500,MATCH(SMALL(IF((Calc!$C$8:$C$500=Kanban!$C$7)*(Calc!$K$8:$K$500=Kanban!H$11)*(Calc!$Y$8:$Y$500&gt;0),Calc!$Y$8:$Y$500,99999),Kanban_Helper!$B8),Calc!$Y$8:$Y$500,0))," ",Calc!$V$7," ","!"),INDEX(Calc!$D$8:$D$500,MATCH(SMALL(IF((Calc!$C$8:$C$500=Kanban!$C$7)*(Calc!$K$8:$K$500=Kanban!H$11)*(Calc!$Y$8:$Y$500&gt;0),Calc!$Y$8:$Y$500,99999),Kanban_Helper!$B8),Calc!$Y$8:$Y$500,0))),IF(INDEX(Calc!$V$8:$V$500,MATCH(INDEX(Calc!$D$8:$D$500,MATCH(SMALL(IF((Calc!$K$8:$K$500=Kanban!H$11)*(Calc!$Y$8:$Y$500&gt;0),Calc!$Y$8:$Y$500,99999),Kanban_Helper!$B8),Calc!$Y$8:$Y$500,0)),Calc!$D$8:$D$500,0))="Yes",CONCATENATE(INDEX(Calc!$D$8:$D$500,MATCH(SMALL(IF((Calc!$K$8:$K$500=Kanban!H$11)*(Calc!$Y$8:$Y$500&gt;0),Calc!$Y$8:$Y$500,99999),Kanban_Helper!$B8),Calc!$Y$8:$Y$500,0))," ",Calc!$V$7," ","!"),INDEX(Calc!$D$8:$D$500,MATCH(SMALL(IF((Calc!$K$8:$K$500=Kanban!H$11)*(Calc!$Y$8:$Y$500&gt;0),Calc!$Y$8:$Y$500,99999),Kanban_Helper!$B8),Calc!$Y$8:$Y$500,0))))),"")</f>
        <v/>
      </c>
      <c r="I15" s="39"/>
    </row>
    <row r="16" spans="1:10" s="10" customFormat="1" x14ac:dyDescent="0.35">
      <c r="B16" s="37"/>
      <c r="C16" s="171" t="str">
        <f t="array" ref="C16">IFERROR(IF(LEN(C$11)=0,"",IF($C$7&lt;&gt;"All",INDEX(Calc!$E$8:$E$500,MATCH(SMALL(IF((Calc!$C$8:$C$500=Kanban!$C$7)*(Calc!$K$8:$K$500=Kanban!C$11)*(Calc!$Y$8:$Y$500&gt;0),Calc!$Y$8:$Y$500,99999),Kanban_Helper!$B9),Calc!$Y$8:$Y$500,0)),INDEX(Calc!$E$8:$E$500,MATCH(SMALL(IF((Calc!$K$8:$K$500=Kanban!C$11)*(Calc!$Y$8:$Y$500&gt;0),Calc!$Y$8:$Y$500,99999),Kanban_Helper!$B9),Calc!$Y$8:$Y$500,0)))),"")</f>
        <v/>
      </c>
      <c r="D16" s="171" t="str">
        <f t="array" ref="D16">IFERROR(IF(LEN(D$11)=0,"",IF($C$7&lt;&gt;"All",INDEX(Calc!$E$8:$E$500,MATCH(SMALL(IF((Calc!$C$8:$C$500=Kanban!$C$7)*(Calc!$K$8:$K$500=Kanban!D$11)*(Calc!$Y$8:$Y$500&gt;0),Calc!$Y$8:$Y$500,99999),Kanban_Helper!$B9),Calc!$Y$8:$Y$500,0)),INDEX(Calc!$E$8:$E$500,MATCH(SMALL(IF((Calc!$K$8:$K$500=Kanban!D$11)*(Calc!$Y$8:$Y$500&gt;0),Calc!$Y$8:$Y$500,99999),Kanban_Helper!$B9),Calc!$Y$8:$Y$500,0)))),"")</f>
        <v/>
      </c>
      <c r="E16" s="171" t="str">
        <f t="array" ref="E16">IFERROR(IF(LEN(E$11)=0,"",IF($C$7&lt;&gt;"All",INDEX(Calc!$E$8:$E$500,MATCH(SMALL(IF((Calc!$C$8:$C$500=Kanban!$C$7)*(Calc!$K$8:$K$500=Kanban!E$11)*(Calc!$Y$8:$Y$500&gt;0),Calc!$Y$8:$Y$500,99999),Kanban_Helper!$B9),Calc!$Y$8:$Y$500,0)),INDEX(Calc!$E$8:$E$500,MATCH(SMALL(IF((Calc!$K$8:$K$500=Kanban!E$11)*(Calc!$Y$8:$Y$500&gt;0),Calc!$Y$8:$Y$500,99999),Kanban_Helper!$B9),Calc!$Y$8:$Y$500,0)))),"")</f>
        <v/>
      </c>
      <c r="F16" s="171" t="str">
        <f t="array" ref="F16">IFERROR(IF(LEN(F$11)=0,"",IF($C$7&lt;&gt;"All",INDEX(Calc!$E$8:$E$500,MATCH(SMALL(IF((Calc!$C$8:$C$500=Kanban!$C$7)*(Calc!$K$8:$K$500=Kanban!F$11)*(Calc!$Y$8:$Y$500&gt;0),Calc!$Y$8:$Y$500,99999),Kanban_Helper!$B9),Calc!$Y$8:$Y$500,0)),INDEX(Calc!$E$8:$E$500,MATCH(SMALL(IF((Calc!$K$8:$K$500=Kanban!F$11)*(Calc!$Y$8:$Y$500&gt;0),Calc!$Y$8:$Y$500,99999),Kanban_Helper!$B9),Calc!$Y$8:$Y$500,0)))),"")</f>
        <v/>
      </c>
      <c r="G16" s="171" t="str">
        <f t="array" ref="G16">IFERROR(IF(LEN(G$11)=0,"",IF($C$7&lt;&gt;"All",INDEX(Calc!$E$8:$E$500,MATCH(SMALL(IF((Calc!$C$8:$C$500=Kanban!$C$7)*(Calc!$K$8:$K$500=Kanban!G$11)*(Calc!$Y$8:$Y$500&gt;0),Calc!$Y$8:$Y$500,99999),Kanban_Helper!$B9),Calc!$Y$8:$Y$500,0)),INDEX(Calc!$E$8:$E$500,MATCH(SMALL(IF((Calc!$K$8:$K$500=Kanban!G$11)*(Calc!$Y$8:$Y$500&gt;0),Calc!$Y$8:$Y$500,99999),Kanban_Helper!$B9),Calc!$Y$8:$Y$500,0)))),"")</f>
        <v/>
      </c>
      <c r="H16" s="171" t="str">
        <f t="array" ref="H16">IFERROR(IF(LEN(H$11)=0,"",IF($C$7&lt;&gt;"All",INDEX(Calc!$E$8:$E$500,MATCH(SMALL(IF((Calc!$C$8:$C$500=Kanban!$C$7)*(Calc!$K$8:$K$500=Kanban!H$11)*(Calc!$Y$8:$Y$500&gt;0),Calc!$Y$8:$Y$500,99999),Kanban_Helper!$B9),Calc!$Y$8:$Y$500,0)),INDEX(Calc!$E$8:$E$500,MATCH(SMALL(IF((Calc!$K$8:$K$500=Kanban!H$11)*(Calc!$Y$8:$Y$500&gt;0),Calc!$Y$8:$Y$500,99999),Kanban_Helper!$B9),Calc!$Y$8:$Y$500,0)))),"")</f>
        <v/>
      </c>
      <c r="I16" s="39"/>
    </row>
    <row r="17" spans="2:12" s="10" customFormat="1" ht="15" thickBot="1" x14ac:dyDescent="0.4">
      <c r="B17" s="37"/>
      <c r="C17" s="173" t="str">
        <f t="array" ref="C17">IFERROR(IF(LEN(C$11)=0,"",IF($C$7&lt;&gt;"All",IF(LEN(INDEX(Calc!$J$8:$J$500,MATCH(SMALL(IF((Calc!$C$8:$C$500=Kanban!$C$7)*(Calc!$K$8:$K$500=Kanban!C$11)*(Calc!$Y$8:$Y$500&gt;0),Calc!$Y$8:$Y$500,99999),Kanban_Helper!$B10),Calc!$Y$8:$Y$500,0)))=0,"",CONCATENATE(Calc!$AD$6,INDEX(Calc!$J$8:$J$500,MATCH(SMALL(IF((Calc!$C$8:$C$500=Kanban!$C$7)*(Calc!$K$8:$K$500=Kanban!C$11)*(Calc!$Y$8:$Y$500&gt;0),Calc!$Y$8:$Y$500,99999),Kanban_Helper!$B10),Calc!$Y$8:$Y$500,0)))),IF(LEN(INDEX(Calc!$J$8:$J$500,MATCH(SMALL(IF((Calc!$K$8:$K$500=Kanban!C$11)*(Calc!$Y$8:$Y$500&gt;0),Calc!$Y$8:$Y$500,99999),Kanban_Helper!$B10),Calc!$Y$8:$Y$500,0)))=0,"",CONCATENATE(Calc!$AD$6,INDEX(Calc!$J$8:$J$500,MATCH(SMALL(IF((Calc!$K$8:$K$500=Kanban!C$11)*(Calc!$Y$8:$Y$500&gt;0),Calc!$Y$8:$Y$500,99999),Kanban_Helper!$B10),Calc!$Y$8:$Y$500,0)))))),"")</f>
        <v/>
      </c>
      <c r="D17" s="173" t="str">
        <f t="array" ref="D17">IFERROR(IF(LEN(D$11)=0,"",IF($C$7&lt;&gt;"All",IF(LEN(INDEX(Calc!$J$8:$J$500,MATCH(SMALL(IF((Calc!$C$8:$C$500=Kanban!$C$7)*(Calc!$K$8:$K$500=Kanban!D$11)*(Calc!$Y$8:$Y$500&gt;0),Calc!$Y$8:$Y$500,99999),Kanban_Helper!$B10),Calc!$Y$8:$Y$500,0)))=0,"",CONCATENATE(Calc!$AD$6,INDEX(Calc!$J$8:$J$500,MATCH(SMALL(IF((Calc!$C$8:$C$500=Kanban!$C$7)*(Calc!$K$8:$K$500=Kanban!D$11)*(Calc!$Y$8:$Y$500&gt;0),Calc!$Y$8:$Y$500,99999),Kanban_Helper!$B10),Calc!$Y$8:$Y$500,0)))),IF(LEN(INDEX(Calc!$J$8:$J$500,MATCH(SMALL(IF((Calc!$K$8:$K$500=Kanban!D$11)*(Calc!$Y$8:$Y$500&gt;0),Calc!$Y$8:$Y$500,99999),Kanban_Helper!$B10),Calc!$Y$8:$Y$500,0)))=0,"",CONCATENATE(Calc!$AD$6,INDEX(Calc!$J$8:$J$500,MATCH(SMALL(IF((Calc!$K$8:$K$500=Kanban!D$11)*(Calc!$Y$8:$Y$500&gt;0),Calc!$Y$8:$Y$500,99999),Kanban_Helper!$B10),Calc!$Y$8:$Y$500,0)))))),"")</f>
        <v/>
      </c>
      <c r="E17" s="173" t="str">
        <f t="array" ref="E17">IFERROR(IF(LEN(E$11)=0,"",IF($C$7&lt;&gt;"All",IF(LEN(INDEX(Calc!$J$8:$J$500,MATCH(SMALL(IF((Calc!$C$8:$C$500=Kanban!$C$7)*(Calc!$K$8:$K$500=Kanban!E$11)*(Calc!$Y$8:$Y$500&gt;0),Calc!$Y$8:$Y$500,99999),Kanban_Helper!$B10),Calc!$Y$8:$Y$500,0)))=0,"",CONCATENATE(Calc!$AD$6,INDEX(Calc!$J$8:$J$500,MATCH(SMALL(IF((Calc!$C$8:$C$500=Kanban!$C$7)*(Calc!$K$8:$K$500=Kanban!E$11)*(Calc!$Y$8:$Y$500&gt;0),Calc!$Y$8:$Y$500,99999),Kanban_Helper!$B10),Calc!$Y$8:$Y$500,0)))),IF(LEN(INDEX(Calc!$J$8:$J$500,MATCH(SMALL(IF((Calc!$K$8:$K$500=Kanban!E$11)*(Calc!$Y$8:$Y$500&gt;0),Calc!$Y$8:$Y$500,99999),Kanban_Helper!$B10),Calc!$Y$8:$Y$500,0)))=0,"",CONCATENATE(Calc!$AD$6,INDEX(Calc!$J$8:$J$500,MATCH(SMALL(IF((Calc!$K$8:$K$500=Kanban!E$11)*(Calc!$Y$8:$Y$500&gt;0),Calc!$Y$8:$Y$500,99999),Kanban_Helper!$B10),Calc!$Y$8:$Y$500,0)))))),"")</f>
        <v/>
      </c>
      <c r="F17" s="173" t="str">
        <f t="array" ref="F17">IFERROR(IF(LEN(F$11)=0,"",IF($C$7&lt;&gt;"All",IF(LEN(INDEX(Calc!$J$8:$J$500,MATCH(SMALL(IF((Calc!$C$8:$C$500=Kanban!$C$7)*(Calc!$K$8:$K$500=Kanban!F$11)*(Calc!$Y$8:$Y$500&gt;0),Calc!$Y$8:$Y$500,99999),Kanban_Helper!$B10),Calc!$Y$8:$Y$500,0)))=0,"",CONCATENATE(Calc!$AD$6,INDEX(Calc!$J$8:$J$500,MATCH(SMALL(IF((Calc!$C$8:$C$500=Kanban!$C$7)*(Calc!$K$8:$K$500=Kanban!F$11)*(Calc!$Y$8:$Y$500&gt;0),Calc!$Y$8:$Y$500,99999),Kanban_Helper!$B10),Calc!$Y$8:$Y$500,0)))),IF(LEN(INDEX(Calc!$J$8:$J$500,MATCH(SMALL(IF((Calc!$K$8:$K$500=Kanban!F$11)*(Calc!$Y$8:$Y$500&gt;0),Calc!$Y$8:$Y$500,99999),Kanban_Helper!$B10),Calc!$Y$8:$Y$500,0)))=0,"",CONCATENATE(Calc!$AD$6,INDEX(Calc!$J$8:$J$500,MATCH(SMALL(IF((Calc!$K$8:$K$500=Kanban!F$11)*(Calc!$Y$8:$Y$500&gt;0),Calc!$Y$8:$Y$500,99999),Kanban_Helper!$B10),Calc!$Y$8:$Y$500,0)))))),"")</f>
        <v/>
      </c>
      <c r="G17" s="173" t="str">
        <f t="array" ref="G17">IFERROR(IF(LEN(G$11)=0,"",IF($C$7&lt;&gt;"All",IF(LEN(INDEX(Calc!$J$8:$J$500,MATCH(SMALL(IF((Calc!$C$8:$C$500=Kanban!$C$7)*(Calc!$K$8:$K$500=Kanban!G$11)*(Calc!$Y$8:$Y$500&gt;0),Calc!$Y$8:$Y$500,99999),Kanban_Helper!$B10),Calc!$Y$8:$Y$500,0)))=0,"",CONCATENATE(Calc!$AD$6,INDEX(Calc!$J$8:$J$500,MATCH(SMALL(IF((Calc!$C$8:$C$500=Kanban!$C$7)*(Calc!$K$8:$K$500=Kanban!G$11)*(Calc!$Y$8:$Y$500&gt;0),Calc!$Y$8:$Y$500,99999),Kanban_Helper!$B10),Calc!$Y$8:$Y$500,0)))),IF(LEN(INDEX(Calc!$J$8:$J$500,MATCH(SMALL(IF((Calc!$K$8:$K$500=Kanban!G$11)*(Calc!$Y$8:$Y$500&gt;0),Calc!$Y$8:$Y$500,99999),Kanban_Helper!$B10),Calc!$Y$8:$Y$500,0)))=0,"",CONCATENATE(Calc!$AD$6,INDEX(Calc!$J$8:$J$500,MATCH(SMALL(IF((Calc!$K$8:$K$500=Kanban!G$11)*(Calc!$Y$8:$Y$500&gt;0),Calc!$Y$8:$Y$500,99999),Kanban_Helper!$B10),Calc!$Y$8:$Y$500,0)))))),"")</f>
        <v/>
      </c>
      <c r="H17" s="173" t="str">
        <f t="array" ref="H17">IFERROR(IF(LEN(H$11)=0,"",IF($C$7&lt;&gt;"All",IF(LEN(INDEX(Calc!$J$8:$J$500,MATCH(SMALL(IF((Calc!$C$8:$C$500=Kanban!$C$7)*(Calc!$K$8:$K$500=Kanban!H$11)*(Calc!$Y$8:$Y$500&gt;0),Calc!$Y$8:$Y$500,99999),Kanban_Helper!$B10),Calc!$Y$8:$Y$500,0)))=0,"",CONCATENATE(Calc!$AD$6,INDEX(Calc!$J$8:$J$500,MATCH(SMALL(IF((Calc!$C$8:$C$500=Kanban!$C$7)*(Calc!$K$8:$K$500=Kanban!H$11)*(Calc!$Y$8:$Y$500&gt;0),Calc!$Y$8:$Y$500,99999),Kanban_Helper!$B10),Calc!$Y$8:$Y$500,0)))),IF(LEN(INDEX(Calc!$J$8:$J$500,MATCH(SMALL(IF((Calc!$K$8:$K$500=Kanban!H$11)*(Calc!$Y$8:$Y$500&gt;0),Calc!$Y$8:$Y$500,99999),Kanban_Helper!$B10),Calc!$Y$8:$Y$500,0)))=0,"",CONCATENATE(Calc!$AD$6,INDEX(Calc!$J$8:$J$500,MATCH(SMALL(IF((Calc!$K$8:$K$500=Kanban!H$11)*(Calc!$Y$8:$Y$500&gt;0),Calc!$Y$8:$Y$500,99999),Kanban_Helper!$B10),Calc!$Y$8:$Y$500,0)))))),"")</f>
        <v/>
      </c>
      <c r="I17" s="39"/>
    </row>
    <row r="18" spans="2:12" s="10" customFormat="1" ht="15" thickTop="1" x14ac:dyDescent="0.35">
      <c r="B18" s="37"/>
      <c r="C18" s="170" t="str">
        <f t="array" ref="C18">IFERROR(IF(LEN(C$11)=0,"",IF($C$7&lt;&gt;"All",IF(INDEX(Calc!$V$8:$V$500,MATCH(INDEX(Calc!$D$8:$D$500,MATCH(SMALL(IF((Calc!$C$8:$C$500=Kanban!$C$7)*(Calc!$K$8:$K$500=Kanban!C$11)*(Calc!$Y$8:$Y$500&gt;0),Calc!$Y$8:$Y$500,99999),Kanban_Helper!$B11),Calc!$Y$8:$Y$500,0)),Calc!$D$8:$D$500,0))="Yes",CONCATENATE(INDEX(Calc!$D$8:$D$500,MATCH(SMALL(IF((Calc!$C$8:$C$500=Kanban!$C$7)*(Calc!$K$8:$K$500=Kanban!C$11)*(Calc!$Y$8:$Y$500&gt;0),Calc!$Y$8:$Y$500,99999),Kanban_Helper!$B11),Calc!$Y$8:$Y$500,0))," ",Calc!$V$7," ","!"),INDEX(Calc!$D$8:$D$500,MATCH(SMALL(IF((Calc!$C$8:$C$500=Kanban!$C$7)*(Calc!$K$8:$K$500=Kanban!C$11)*(Calc!$Y$8:$Y$500&gt;0),Calc!$Y$8:$Y$500,99999),Kanban_Helper!$B11),Calc!$Y$8:$Y$500,0))),IF(INDEX(Calc!$V$8:$V$500,MATCH(INDEX(Calc!$D$8:$D$500,MATCH(SMALL(IF((Calc!$K$8:$K$500=Kanban!C$11)*(Calc!$Y$8:$Y$500&gt;0),Calc!$Y$8:$Y$500,99999),Kanban_Helper!$B11),Calc!$Y$8:$Y$500,0)),Calc!$D$8:$D$500,0))="Yes",CONCATENATE(INDEX(Calc!$D$8:$D$500,MATCH(SMALL(IF((Calc!$K$8:$K$500=Kanban!C$11)*(Calc!$Y$8:$Y$500&gt;0),Calc!$Y$8:$Y$500,99999),Kanban_Helper!$B11),Calc!$Y$8:$Y$500,0))," ",Calc!$V$7," ","!"),INDEX(Calc!$D$8:$D$500,MATCH(SMALL(IF((Calc!$K$8:$K$500=Kanban!C$11)*(Calc!$Y$8:$Y$500&gt;0),Calc!$Y$8:$Y$500,99999),Kanban_Helper!$B11),Calc!$Y$8:$Y$500,0))))),"")</f>
        <v/>
      </c>
      <c r="D18" s="170" t="str">
        <f t="array" ref="D18">IFERROR(IF(LEN(D$11)=0,"",IF($C$7&lt;&gt;"All",IF(INDEX(Calc!$V$8:$V$500,MATCH(INDEX(Calc!$D$8:$D$500,MATCH(SMALL(IF((Calc!$C$8:$C$500=Kanban!$C$7)*(Calc!$K$8:$K$500=Kanban!D$11)*(Calc!$Y$8:$Y$500&gt;0),Calc!$Y$8:$Y$500,99999),Kanban_Helper!$B11),Calc!$Y$8:$Y$500,0)),Calc!$D$8:$D$500,0))="Yes",CONCATENATE(INDEX(Calc!$D$8:$D$500,MATCH(SMALL(IF((Calc!$C$8:$C$500=Kanban!$C$7)*(Calc!$K$8:$K$500=Kanban!D$11)*(Calc!$Y$8:$Y$500&gt;0),Calc!$Y$8:$Y$500,99999),Kanban_Helper!$B11),Calc!$Y$8:$Y$500,0))," ",Calc!$V$7," ","!"),INDEX(Calc!$D$8:$D$500,MATCH(SMALL(IF((Calc!$C$8:$C$500=Kanban!$C$7)*(Calc!$K$8:$K$500=Kanban!D$11)*(Calc!$Y$8:$Y$500&gt;0),Calc!$Y$8:$Y$500,99999),Kanban_Helper!$B11),Calc!$Y$8:$Y$500,0))),IF(INDEX(Calc!$V$8:$V$500,MATCH(INDEX(Calc!$D$8:$D$500,MATCH(SMALL(IF((Calc!$K$8:$K$500=Kanban!D$11)*(Calc!$Y$8:$Y$500&gt;0),Calc!$Y$8:$Y$500,99999),Kanban_Helper!$B11),Calc!$Y$8:$Y$500,0)),Calc!$D$8:$D$500,0))="Yes",CONCATENATE(INDEX(Calc!$D$8:$D$500,MATCH(SMALL(IF((Calc!$K$8:$K$500=Kanban!D$11)*(Calc!$Y$8:$Y$500&gt;0),Calc!$Y$8:$Y$500,99999),Kanban_Helper!$B11),Calc!$Y$8:$Y$500,0))," ",Calc!$V$7," ","!"),INDEX(Calc!$D$8:$D$500,MATCH(SMALL(IF((Calc!$K$8:$K$500=Kanban!D$11)*(Calc!$Y$8:$Y$500&gt;0),Calc!$Y$8:$Y$500,99999),Kanban_Helper!$B11),Calc!$Y$8:$Y$500,0))))),"")</f>
        <v/>
      </c>
      <c r="E18" s="170" t="str">
        <f t="array" ref="E18">IFERROR(IF(LEN(E$11)=0,"",IF($C$7&lt;&gt;"All",IF(INDEX(Calc!$V$8:$V$500,MATCH(INDEX(Calc!$D$8:$D$500,MATCH(SMALL(IF((Calc!$C$8:$C$500=Kanban!$C$7)*(Calc!$K$8:$K$500=Kanban!E$11)*(Calc!$Y$8:$Y$500&gt;0),Calc!$Y$8:$Y$500,99999),Kanban_Helper!$B11),Calc!$Y$8:$Y$500,0)),Calc!$D$8:$D$500,0))="Yes",CONCATENATE(INDEX(Calc!$D$8:$D$500,MATCH(SMALL(IF((Calc!$C$8:$C$500=Kanban!$C$7)*(Calc!$K$8:$K$500=Kanban!E$11)*(Calc!$Y$8:$Y$500&gt;0),Calc!$Y$8:$Y$500,99999),Kanban_Helper!$B11),Calc!$Y$8:$Y$500,0))," ",Calc!$V$7," ","!"),INDEX(Calc!$D$8:$D$500,MATCH(SMALL(IF((Calc!$C$8:$C$500=Kanban!$C$7)*(Calc!$K$8:$K$500=Kanban!E$11)*(Calc!$Y$8:$Y$500&gt;0),Calc!$Y$8:$Y$500,99999),Kanban_Helper!$B11),Calc!$Y$8:$Y$500,0))),IF(INDEX(Calc!$V$8:$V$500,MATCH(INDEX(Calc!$D$8:$D$500,MATCH(SMALL(IF((Calc!$K$8:$K$500=Kanban!E$11)*(Calc!$Y$8:$Y$500&gt;0),Calc!$Y$8:$Y$500,99999),Kanban_Helper!$B11),Calc!$Y$8:$Y$500,0)),Calc!$D$8:$D$500,0))="Yes",CONCATENATE(INDEX(Calc!$D$8:$D$500,MATCH(SMALL(IF((Calc!$K$8:$K$500=Kanban!E$11)*(Calc!$Y$8:$Y$500&gt;0),Calc!$Y$8:$Y$500,99999),Kanban_Helper!$B11),Calc!$Y$8:$Y$500,0))," ",Calc!$V$7," ","!"),INDEX(Calc!$D$8:$D$500,MATCH(SMALL(IF((Calc!$K$8:$K$500=Kanban!E$11)*(Calc!$Y$8:$Y$500&gt;0),Calc!$Y$8:$Y$500,99999),Kanban_Helper!$B11),Calc!$Y$8:$Y$500,0))))),"")</f>
        <v/>
      </c>
      <c r="F18" s="170" t="str">
        <f t="array" ref="F18">IFERROR(IF(LEN(F$11)=0,"",IF($C$7&lt;&gt;"All",IF(INDEX(Calc!$V$8:$V$500,MATCH(INDEX(Calc!$D$8:$D$500,MATCH(SMALL(IF((Calc!$C$8:$C$500=Kanban!$C$7)*(Calc!$K$8:$K$500=Kanban!F$11)*(Calc!$Y$8:$Y$500&gt;0),Calc!$Y$8:$Y$500,99999),Kanban_Helper!$B11),Calc!$Y$8:$Y$500,0)),Calc!$D$8:$D$500,0))="Yes",CONCATENATE(INDEX(Calc!$D$8:$D$500,MATCH(SMALL(IF((Calc!$C$8:$C$500=Kanban!$C$7)*(Calc!$K$8:$K$500=Kanban!F$11)*(Calc!$Y$8:$Y$500&gt;0),Calc!$Y$8:$Y$500,99999),Kanban_Helper!$B11),Calc!$Y$8:$Y$500,0))," ",Calc!$V$7," ","!"),INDEX(Calc!$D$8:$D$500,MATCH(SMALL(IF((Calc!$C$8:$C$500=Kanban!$C$7)*(Calc!$K$8:$K$500=Kanban!F$11)*(Calc!$Y$8:$Y$500&gt;0),Calc!$Y$8:$Y$500,99999),Kanban_Helper!$B11),Calc!$Y$8:$Y$500,0))),IF(INDEX(Calc!$V$8:$V$500,MATCH(INDEX(Calc!$D$8:$D$500,MATCH(SMALL(IF((Calc!$K$8:$K$500=Kanban!F$11)*(Calc!$Y$8:$Y$500&gt;0),Calc!$Y$8:$Y$500,99999),Kanban_Helper!$B11),Calc!$Y$8:$Y$500,0)),Calc!$D$8:$D$500,0))="Yes",CONCATENATE(INDEX(Calc!$D$8:$D$500,MATCH(SMALL(IF((Calc!$K$8:$K$500=Kanban!F$11)*(Calc!$Y$8:$Y$500&gt;0),Calc!$Y$8:$Y$500,99999),Kanban_Helper!$B11),Calc!$Y$8:$Y$500,0))," ",Calc!$V$7," ","!"),INDEX(Calc!$D$8:$D$500,MATCH(SMALL(IF((Calc!$K$8:$K$500=Kanban!F$11)*(Calc!$Y$8:$Y$500&gt;0),Calc!$Y$8:$Y$500,99999),Kanban_Helper!$B11),Calc!$Y$8:$Y$500,0))))),"")</f>
        <v/>
      </c>
      <c r="G18" s="170" t="str">
        <f t="array" ref="G18">IFERROR(IF(LEN(G$11)=0,"",IF($C$7&lt;&gt;"All",IF(INDEX(Calc!$V$8:$V$500,MATCH(INDEX(Calc!$D$8:$D$500,MATCH(SMALL(IF((Calc!$C$8:$C$500=Kanban!$C$7)*(Calc!$K$8:$K$500=Kanban!G$11)*(Calc!$Y$8:$Y$500&gt;0),Calc!$Y$8:$Y$500,99999),Kanban_Helper!$B11),Calc!$Y$8:$Y$500,0)),Calc!$D$8:$D$500,0))="Yes",CONCATENATE(INDEX(Calc!$D$8:$D$500,MATCH(SMALL(IF((Calc!$C$8:$C$500=Kanban!$C$7)*(Calc!$K$8:$K$500=Kanban!G$11)*(Calc!$Y$8:$Y$500&gt;0),Calc!$Y$8:$Y$500,99999),Kanban_Helper!$B11),Calc!$Y$8:$Y$500,0))," ",Calc!$V$7," ","!"),INDEX(Calc!$D$8:$D$500,MATCH(SMALL(IF((Calc!$C$8:$C$500=Kanban!$C$7)*(Calc!$K$8:$K$500=Kanban!G$11)*(Calc!$Y$8:$Y$500&gt;0),Calc!$Y$8:$Y$500,99999),Kanban_Helper!$B11),Calc!$Y$8:$Y$500,0))),IF(INDEX(Calc!$V$8:$V$500,MATCH(INDEX(Calc!$D$8:$D$500,MATCH(SMALL(IF((Calc!$K$8:$K$500=Kanban!G$11)*(Calc!$Y$8:$Y$500&gt;0),Calc!$Y$8:$Y$500,99999),Kanban_Helper!$B11),Calc!$Y$8:$Y$500,0)),Calc!$D$8:$D$500,0))="Yes",CONCATENATE(INDEX(Calc!$D$8:$D$500,MATCH(SMALL(IF((Calc!$K$8:$K$500=Kanban!G$11)*(Calc!$Y$8:$Y$500&gt;0),Calc!$Y$8:$Y$500,99999),Kanban_Helper!$B11),Calc!$Y$8:$Y$500,0))," ",Calc!$V$7," ","!"),INDEX(Calc!$D$8:$D$500,MATCH(SMALL(IF((Calc!$K$8:$K$500=Kanban!G$11)*(Calc!$Y$8:$Y$500&gt;0),Calc!$Y$8:$Y$500,99999),Kanban_Helper!$B11),Calc!$Y$8:$Y$500,0))))),"")</f>
        <v/>
      </c>
      <c r="H18" s="170" t="str">
        <f t="array" ref="H18">IFERROR(IF(LEN(H$11)=0,"",IF($C$7&lt;&gt;"All",IF(INDEX(Calc!$V$8:$V$500,MATCH(INDEX(Calc!$D$8:$D$500,MATCH(SMALL(IF((Calc!$C$8:$C$500=Kanban!$C$7)*(Calc!$K$8:$K$500=Kanban!H$11)*(Calc!$Y$8:$Y$500&gt;0),Calc!$Y$8:$Y$500,99999),Kanban_Helper!$B11),Calc!$Y$8:$Y$500,0)),Calc!$D$8:$D$500,0))="Yes",CONCATENATE(INDEX(Calc!$D$8:$D$500,MATCH(SMALL(IF((Calc!$C$8:$C$500=Kanban!$C$7)*(Calc!$K$8:$K$500=Kanban!H$11)*(Calc!$Y$8:$Y$500&gt;0),Calc!$Y$8:$Y$500,99999),Kanban_Helper!$B11),Calc!$Y$8:$Y$500,0))," ",Calc!$V$7," ","!"),INDEX(Calc!$D$8:$D$500,MATCH(SMALL(IF((Calc!$C$8:$C$500=Kanban!$C$7)*(Calc!$K$8:$K$500=Kanban!H$11)*(Calc!$Y$8:$Y$500&gt;0),Calc!$Y$8:$Y$500,99999),Kanban_Helper!$B11),Calc!$Y$8:$Y$500,0))),IF(INDEX(Calc!$V$8:$V$500,MATCH(INDEX(Calc!$D$8:$D$500,MATCH(SMALL(IF((Calc!$K$8:$K$500=Kanban!H$11)*(Calc!$Y$8:$Y$500&gt;0),Calc!$Y$8:$Y$500,99999),Kanban_Helper!$B11),Calc!$Y$8:$Y$500,0)),Calc!$D$8:$D$500,0))="Yes",CONCATENATE(INDEX(Calc!$D$8:$D$500,MATCH(SMALL(IF((Calc!$K$8:$K$500=Kanban!H$11)*(Calc!$Y$8:$Y$500&gt;0),Calc!$Y$8:$Y$500,99999),Kanban_Helper!$B11),Calc!$Y$8:$Y$500,0))," ",Calc!$V$7," ","!"),INDEX(Calc!$D$8:$D$500,MATCH(SMALL(IF((Calc!$K$8:$K$500=Kanban!H$11)*(Calc!$Y$8:$Y$500&gt;0),Calc!$Y$8:$Y$500,99999),Kanban_Helper!$B11),Calc!$Y$8:$Y$500,0))))),"")</f>
        <v/>
      </c>
      <c r="I18" s="39"/>
    </row>
    <row r="19" spans="2:12" s="10" customFormat="1" x14ac:dyDescent="0.35">
      <c r="B19" s="37"/>
      <c r="C19" s="171" t="str">
        <f t="array" ref="C19">IFERROR(IF(LEN(C$11)=0,"",IF($C$7&lt;&gt;"All",INDEX(Calc!$E$8:$E$500,MATCH(SMALL(IF((Calc!$C$8:$C$500=Kanban!$C$7)*(Calc!$K$8:$K$500=Kanban!C$11)*(Calc!$Y$8:$Y$500&gt;0),Calc!$Y$8:$Y$500,99999),Kanban_Helper!$B12),Calc!$Y$8:$Y$500,0)),INDEX(Calc!$E$8:$E$500,MATCH(SMALL(IF((Calc!$K$8:$K$500=Kanban!C$11)*(Calc!$Y$8:$Y$500&gt;0),Calc!$Y$8:$Y$500,99999),Kanban_Helper!$B12),Calc!$Y$8:$Y$500,0)))),"")</f>
        <v/>
      </c>
      <c r="D19" s="171" t="str">
        <f t="array" ref="D19">IFERROR(IF(LEN(D$11)=0,"",IF($C$7&lt;&gt;"All",INDEX(Calc!$E$8:$E$500,MATCH(SMALL(IF((Calc!$C$8:$C$500=Kanban!$C$7)*(Calc!$K$8:$K$500=Kanban!D$11)*(Calc!$Y$8:$Y$500&gt;0),Calc!$Y$8:$Y$500,99999),Kanban_Helper!$B12),Calc!$Y$8:$Y$500,0)),INDEX(Calc!$E$8:$E$500,MATCH(SMALL(IF((Calc!$K$8:$K$500=Kanban!D$11)*(Calc!$Y$8:$Y$500&gt;0),Calc!$Y$8:$Y$500,99999),Kanban_Helper!$B12),Calc!$Y$8:$Y$500,0)))),"")</f>
        <v/>
      </c>
      <c r="E19" s="171" t="str">
        <f t="array" ref="E19">IFERROR(IF(LEN(E$11)=0,"",IF($C$7&lt;&gt;"All",INDEX(Calc!$E$8:$E$500,MATCH(SMALL(IF((Calc!$C$8:$C$500=Kanban!$C$7)*(Calc!$K$8:$K$500=Kanban!E$11)*(Calc!$Y$8:$Y$500&gt;0),Calc!$Y$8:$Y$500,99999),Kanban_Helper!$B12),Calc!$Y$8:$Y$500,0)),INDEX(Calc!$E$8:$E$500,MATCH(SMALL(IF((Calc!$K$8:$K$500=Kanban!E$11)*(Calc!$Y$8:$Y$500&gt;0),Calc!$Y$8:$Y$500,99999),Kanban_Helper!$B12),Calc!$Y$8:$Y$500,0)))),"")</f>
        <v/>
      </c>
      <c r="F19" s="171" t="str">
        <f t="array" ref="F19">IFERROR(IF(LEN(F$11)=0,"",IF($C$7&lt;&gt;"All",INDEX(Calc!$E$8:$E$500,MATCH(SMALL(IF((Calc!$C$8:$C$500=Kanban!$C$7)*(Calc!$K$8:$K$500=Kanban!F$11)*(Calc!$Y$8:$Y$500&gt;0),Calc!$Y$8:$Y$500,99999),Kanban_Helper!$B12),Calc!$Y$8:$Y$500,0)),INDEX(Calc!$E$8:$E$500,MATCH(SMALL(IF((Calc!$K$8:$K$500=Kanban!F$11)*(Calc!$Y$8:$Y$500&gt;0),Calc!$Y$8:$Y$500,99999),Kanban_Helper!$B12),Calc!$Y$8:$Y$500,0)))),"")</f>
        <v/>
      </c>
      <c r="G19" s="171" t="str">
        <f t="array" ref="G19">IFERROR(IF(LEN(G$11)=0,"",IF($C$7&lt;&gt;"All",INDEX(Calc!$E$8:$E$500,MATCH(SMALL(IF((Calc!$C$8:$C$500=Kanban!$C$7)*(Calc!$K$8:$K$500=Kanban!G$11)*(Calc!$Y$8:$Y$500&gt;0),Calc!$Y$8:$Y$500,99999),Kanban_Helper!$B12),Calc!$Y$8:$Y$500,0)),INDEX(Calc!$E$8:$E$500,MATCH(SMALL(IF((Calc!$K$8:$K$500=Kanban!G$11)*(Calc!$Y$8:$Y$500&gt;0),Calc!$Y$8:$Y$500,99999),Kanban_Helper!$B12),Calc!$Y$8:$Y$500,0)))),"")</f>
        <v/>
      </c>
      <c r="H19" s="171" t="str">
        <f t="array" ref="H19">IFERROR(IF(LEN(H$11)=0,"",IF($C$7&lt;&gt;"All",INDEX(Calc!$E$8:$E$500,MATCH(SMALL(IF((Calc!$C$8:$C$500=Kanban!$C$7)*(Calc!$K$8:$K$500=Kanban!H$11)*(Calc!$Y$8:$Y$500&gt;0),Calc!$Y$8:$Y$500,99999),Kanban_Helper!$B12),Calc!$Y$8:$Y$500,0)),INDEX(Calc!$E$8:$E$500,MATCH(SMALL(IF((Calc!$K$8:$K$500=Kanban!H$11)*(Calc!$Y$8:$Y$500&gt;0),Calc!$Y$8:$Y$500,99999),Kanban_Helper!$B12),Calc!$Y$8:$Y$500,0)))),"")</f>
        <v/>
      </c>
      <c r="I19" s="39"/>
    </row>
    <row r="20" spans="2:12" s="10" customFormat="1" ht="15" thickBot="1" x14ac:dyDescent="0.4">
      <c r="B20" s="37"/>
      <c r="C20" s="173" t="str">
        <f t="array" ref="C20">IFERROR(IF(LEN(C$11)=0,"",IF($C$7&lt;&gt;"All",IF(LEN(INDEX(Calc!$J$8:$J$500,MATCH(SMALL(IF((Calc!$C$8:$C$500=Kanban!$C$7)*(Calc!$K$8:$K$500=Kanban!C$11)*(Calc!$Y$8:$Y$500&gt;0),Calc!$Y$8:$Y$500,99999),Kanban_Helper!$B13),Calc!$Y$8:$Y$500,0)))=0,"",CONCATENATE(Calc!$AD$6,INDEX(Calc!$J$8:$J$500,MATCH(SMALL(IF((Calc!$C$8:$C$500=Kanban!$C$7)*(Calc!$K$8:$K$500=Kanban!C$11)*(Calc!$Y$8:$Y$500&gt;0),Calc!$Y$8:$Y$500,99999),Kanban_Helper!$B13),Calc!$Y$8:$Y$500,0)))),IF(LEN(INDEX(Calc!$J$8:$J$500,MATCH(SMALL(IF((Calc!$K$8:$K$500=Kanban!C$11)*(Calc!$Y$8:$Y$500&gt;0),Calc!$Y$8:$Y$500,99999),Kanban_Helper!$B13),Calc!$Y$8:$Y$500,0)))=0,"",CONCATENATE(Calc!$AD$6,INDEX(Calc!$J$8:$J$500,MATCH(SMALL(IF((Calc!$K$8:$K$500=Kanban!C$11)*(Calc!$Y$8:$Y$500&gt;0),Calc!$Y$8:$Y$500,99999),Kanban_Helper!$B13),Calc!$Y$8:$Y$500,0)))))),"")</f>
        <v/>
      </c>
      <c r="D20" s="173" t="str">
        <f t="array" ref="D20">IFERROR(IF(LEN(D$11)=0,"",IF($C$7&lt;&gt;"All",IF(LEN(INDEX(Calc!$J$8:$J$500,MATCH(SMALL(IF((Calc!$C$8:$C$500=Kanban!$C$7)*(Calc!$K$8:$K$500=Kanban!D$11)*(Calc!$Y$8:$Y$500&gt;0),Calc!$Y$8:$Y$500,99999),Kanban_Helper!$B13),Calc!$Y$8:$Y$500,0)))=0,"",CONCATENATE(Calc!$AD$6,INDEX(Calc!$J$8:$J$500,MATCH(SMALL(IF((Calc!$C$8:$C$500=Kanban!$C$7)*(Calc!$K$8:$K$500=Kanban!D$11)*(Calc!$Y$8:$Y$500&gt;0),Calc!$Y$8:$Y$500,99999),Kanban_Helper!$B13),Calc!$Y$8:$Y$500,0)))),IF(LEN(INDEX(Calc!$J$8:$J$500,MATCH(SMALL(IF((Calc!$K$8:$K$500=Kanban!D$11)*(Calc!$Y$8:$Y$500&gt;0),Calc!$Y$8:$Y$500,99999),Kanban_Helper!$B13),Calc!$Y$8:$Y$500,0)))=0,"",CONCATENATE(Calc!$AD$6,INDEX(Calc!$J$8:$J$500,MATCH(SMALL(IF((Calc!$K$8:$K$500=Kanban!D$11)*(Calc!$Y$8:$Y$500&gt;0),Calc!$Y$8:$Y$500,99999),Kanban_Helper!$B13),Calc!$Y$8:$Y$500,0)))))),"")</f>
        <v/>
      </c>
      <c r="E20" s="173" t="str">
        <f t="array" ref="E20">IFERROR(IF(LEN(E$11)=0,"",IF($C$7&lt;&gt;"All",IF(LEN(INDEX(Calc!$J$8:$J$500,MATCH(SMALL(IF((Calc!$C$8:$C$500=Kanban!$C$7)*(Calc!$K$8:$K$500=Kanban!E$11)*(Calc!$Y$8:$Y$500&gt;0),Calc!$Y$8:$Y$500,99999),Kanban_Helper!$B13),Calc!$Y$8:$Y$500,0)))=0,"",CONCATENATE(Calc!$AD$6,INDEX(Calc!$J$8:$J$500,MATCH(SMALL(IF((Calc!$C$8:$C$500=Kanban!$C$7)*(Calc!$K$8:$K$500=Kanban!E$11)*(Calc!$Y$8:$Y$500&gt;0),Calc!$Y$8:$Y$500,99999),Kanban_Helper!$B13),Calc!$Y$8:$Y$500,0)))),IF(LEN(INDEX(Calc!$J$8:$J$500,MATCH(SMALL(IF((Calc!$K$8:$K$500=Kanban!E$11)*(Calc!$Y$8:$Y$500&gt;0),Calc!$Y$8:$Y$500,99999),Kanban_Helper!$B13),Calc!$Y$8:$Y$500,0)))=0,"",CONCATENATE(Calc!$AD$6,INDEX(Calc!$J$8:$J$500,MATCH(SMALL(IF((Calc!$K$8:$K$500=Kanban!E$11)*(Calc!$Y$8:$Y$500&gt;0),Calc!$Y$8:$Y$500,99999),Kanban_Helper!$B13),Calc!$Y$8:$Y$500,0)))))),"")</f>
        <v/>
      </c>
      <c r="F20" s="173" t="str">
        <f t="array" ref="F20">IFERROR(IF(LEN(F$11)=0,"",IF($C$7&lt;&gt;"All",IF(LEN(INDEX(Calc!$J$8:$J$500,MATCH(SMALL(IF((Calc!$C$8:$C$500=Kanban!$C$7)*(Calc!$K$8:$K$500=Kanban!F$11)*(Calc!$Y$8:$Y$500&gt;0),Calc!$Y$8:$Y$500,99999),Kanban_Helper!$B13),Calc!$Y$8:$Y$500,0)))=0,"",CONCATENATE(Calc!$AD$6,INDEX(Calc!$J$8:$J$500,MATCH(SMALL(IF((Calc!$C$8:$C$500=Kanban!$C$7)*(Calc!$K$8:$K$500=Kanban!F$11)*(Calc!$Y$8:$Y$500&gt;0),Calc!$Y$8:$Y$500,99999),Kanban_Helper!$B13),Calc!$Y$8:$Y$500,0)))),IF(LEN(INDEX(Calc!$J$8:$J$500,MATCH(SMALL(IF((Calc!$K$8:$K$500=Kanban!F$11)*(Calc!$Y$8:$Y$500&gt;0),Calc!$Y$8:$Y$500,99999),Kanban_Helper!$B13),Calc!$Y$8:$Y$500,0)))=0,"",CONCATENATE(Calc!$AD$6,INDEX(Calc!$J$8:$J$500,MATCH(SMALL(IF((Calc!$K$8:$K$500=Kanban!F$11)*(Calc!$Y$8:$Y$500&gt;0),Calc!$Y$8:$Y$500,99999),Kanban_Helper!$B13),Calc!$Y$8:$Y$500,0)))))),"")</f>
        <v/>
      </c>
      <c r="G20" s="173" t="str">
        <f t="array" ref="G20">IFERROR(IF(LEN(G$11)=0,"",IF($C$7&lt;&gt;"All",IF(LEN(INDEX(Calc!$J$8:$J$500,MATCH(SMALL(IF((Calc!$C$8:$C$500=Kanban!$C$7)*(Calc!$K$8:$K$500=Kanban!G$11)*(Calc!$Y$8:$Y$500&gt;0),Calc!$Y$8:$Y$500,99999),Kanban_Helper!$B13),Calc!$Y$8:$Y$500,0)))=0,"",CONCATENATE(Calc!$AD$6,INDEX(Calc!$J$8:$J$500,MATCH(SMALL(IF((Calc!$C$8:$C$500=Kanban!$C$7)*(Calc!$K$8:$K$500=Kanban!G$11)*(Calc!$Y$8:$Y$500&gt;0),Calc!$Y$8:$Y$500,99999),Kanban_Helper!$B13),Calc!$Y$8:$Y$500,0)))),IF(LEN(INDEX(Calc!$J$8:$J$500,MATCH(SMALL(IF((Calc!$K$8:$K$500=Kanban!G$11)*(Calc!$Y$8:$Y$500&gt;0),Calc!$Y$8:$Y$500,99999),Kanban_Helper!$B13),Calc!$Y$8:$Y$500,0)))=0,"",CONCATENATE(Calc!$AD$6,INDEX(Calc!$J$8:$J$500,MATCH(SMALL(IF((Calc!$K$8:$K$500=Kanban!G$11)*(Calc!$Y$8:$Y$500&gt;0),Calc!$Y$8:$Y$500,99999),Kanban_Helper!$B13),Calc!$Y$8:$Y$500,0)))))),"")</f>
        <v/>
      </c>
      <c r="H20" s="173" t="str">
        <f t="array" ref="H20">IFERROR(IF(LEN(H$11)=0,"",IF($C$7&lt;&gt;"All",IF(LEN(INDEX(Calc!$J$8:$J$500,MATCH(SMALL(IF((Calc!$C$8:$C$500=Kanban!$C$7)*(Calc!$K$8:$K$500=Kanban!H$11)*(Calc!$Y$8:$Y$500&gt;0),Calc!$Y$8:$Y$500,99999),Kanban_Helper!$B13),Calc!$Y$8:$Y$500,0)))=0,"",CONCATENATE(Calc!$AD$6,INDEX(Calc!$J$8:$J$500,MATCH(SMALL(IF((Calc!$C$8:$C$500=Kanban!$C$7)*(Calc!$K$8:$K$500=Kanban!H$11)*(Calc!$Y$8:$Y$500&gt;0),Calc!$Y$8:$Y$500,99999),Kanban_Helper!$B13),Calc!$Y$8:$Y$500,0)))),IF(LEN(INDEX(Calc!$J$8:$J$500,MATCH(SMALL(IF((Calc!$K$8:$K$500=Kanban!H$11)*(Calc!$Y$8:$Y$500&gt;0),Calc!$Y$8:$Y$500,99999),Kanban_Helper!$B13),Calc!$Y$8:$Y$500,0)))=0,"",CONCATENATE(Calc!$AD$6,INDEX(Calc!$J$8:$J$500,MATCH(SMALL(IF((Calc!$K$8:$K$500=Kanban!H$11)*(Calc!$Y$8:$Y$500&gt;0),Calc!$Y$8:$Y$500,99999),Kanban_Helper!$B13),Calc!$Y$8:$Y$500,0)))))),"")</f>
        <v/>
      </c>
      <c r="I20" s="39"/>
    </row>
    <row r="21" spans="2:12" ht="15" thickTop="1" x14ac:dyDescent="0.35">
      <c r="B21" s="37"/>
      <c r="C21" s="170" t="str">
        <f t="array" ref="C21">IFERROR(IF(LEN(C$11)=0,"",IF($C$7&lt;&gt;"All",IF(INDEX(Calc!$V$8:$V$500,MATCH(INDEX(Calc!$D$8:$D$500,MATCH(SMALL(IF((Calc!$C$8:$C$500=Kanban!$C$7)*(Calc!$K$8:$K$500=Kanban!C$11)*(Calc!$Y$8:$Y$500&gt;0),Calc!$Y$8:$Y$500,99999),Kanban_Helper!$B14),Calc!$Y$8:$Y$500,0)),Calc!$D$8:$D$500,0))="Yes",CONCATENATE(INDEX(Calc!$D$8:$D$500,MATCH(SMALL(IF((Calc!$C$8:$C$500=Kanban!$C$7)*(Calc!$K$8:$K$500=Kanban!C$11)*(Calc!$Y$8:$Y$500&gt;0),Calc!$Y$8:$Y$500,99999),Kanban_Helper!$B14),Calc!$Y$8:$Y$500,0))," ",Calc!$V$7," ","!"),INDEX(Calc!$D$8:$D$500,MATCH(SMALL(IF((Calc!$C$8:$C$500=Kanban!$C$7)*(Calc!$K$8:$K$500=Kanban!C$11)*(Calc!$Y$8:$Y$500&gt;0),Calc!$Y$8:$Y$500,99999),Kanban_Helper!$B14),Calc!$Y$8:$Y$500,0))),IF(INDEX(Calc!$V$8:$V$500,MATCH(INDEX(Calc!$D$8:$D$500,MATCH(SMALL(IF((Calc!$K$8:$K$500=Kanban!C$11)*(Calc!$Y$8:$Y$500&gt;0),Calc!$Y$8:$Y$500,99999),Kanban_Helper!$B14),Calc!$Y$8:$Y$500,0)),Calc!$D$8:$D$500,0))="Yes",CONCATENATE(INDEX(Calc!$D$8:$D$500,MATCH(SMALL(IF((Calc!$K$8:$K$500=Kanban!C$11)*(Calc!$Y$8:$Y$500&gt;0),Calc!$Y$8:$Y$500,99999),Kanban_Helper!$B14),Calc!$Y$8:$Y$500,0))," ",Calc!$V$7," ","!"),INDEX(Calc!$D$8:$D$500,MATCH(SMALL(IF((Calc!$K$8:$K$500=Kanban!C$11)*(Calc!$Y$8:$Y$500&gt;0),Calc!$Y$8:$Y$500,99999),Kanban_Helper!$B14),Calc!$Y$8:$Y$500,0))))),"")</f>
        <v/>
      </c>
      <c r="D21" s="170" t="str">
        <f t="array" ref="D21">IFERROR(IF(LEN(D$11)=0,"",IF($C$7&lt;&gt;"All",IF(INDEX(Calc!$V$8:$V$500,MATCH(INDEX(Calc!$D$8:$D$500,MATCH(SMALL(IF((Calc!$C$8:$C$500=Kanban!$C$7)*(Calc!$K$8:$K$500=Kanban!D$11)*(Calc!$Y$8:$Y$500&gt;0),Calc!$Y$8:$Y$500,99999),Kanban_Helper!$B14),Calc!$Y$8:$Y$500,0)),Calc!$D$8:$D$500,0))="Yes",CONCATENATE(INDEX(Calc!$D$8:$D$500,MATCH(SMALL(IF((Calc!$C$8:$C$500=Kanban!$C$7)*(Calc!$K$8:$K$500=Kanban!D$11)*(Calc!$Y$8:$Y$500&gt;0),Calc!$Y$8:$Y$500,99999),Kanban_Helper!$B14),Calc!$Y$8:$Y$500,0))," ",Calc!$V$7," ","!"),INDEX(Calc!$D$8:$D$500,MATCH(SMALL(IF((Calc!$C$8:$C$500=Kanban!$C$7)*(Calc!$K$8:$K$500=Kanban!D$11)*(Calc!$Y$8:$Y$500&gt;0),Calc!$Y$8:$Y$500,99999),Kanban_Helper!$B14),Calc!$Y$8:$Y$500,0))),IF(INDEX(Calc!$V$8:$V$500,MATCH(INDEX(Calc!$D$8:$D$500,MATCH(SMALL(IF((Calc!$K$8:$K$500=Kanban!D$11)*(Calc!$Y$8:$Y$500&gt;0),Calc!$Y$8:$Y$500,99999),Kanban_Helper!$B14),Calc!$Y$8:$Y$500,0)),Calc!$D$8:$D$500,0))="Yes",CONCATENATE(INDEX(Calc!$D$8:$D$500,MATCH(SMALL(IF((Calc!$K$8:$K$500=Kanban!D$11)*(Calc!$Y$8:$Y$500&gt;0),Calc!$Y$8:$Y$500,99999),Kanban_Helper!$B14),Calc!$Y$8:$Y$500,0))," ",Calc!$V$7," ","!"),INDEX(Calc!$D$8:$D$500,MATCH(SMALL(IF((Calc!$K$8:$K$500=Kanban!D$11)*(Calc!$Y$8:$Y$500&gt;0),Calc!$Y$8:$Y$500,99999),Kanban_Helper!$B14),Calc!$Y$8:$Y$500,0))))),"")</f>
        <v/>
      </c>
      <c r="E21" s="170" t="str">
        <f t="array" ref="E21">IFERROR(IF(LEN(E$11)=0,"",IF($C$7&lt;&gt;"All",IF(INDEX(Calc!$V$8:$V$500,MATCH(INDEX(Calc!$D$8:$D$500,MATCH(SMALL(IF((Calc!$C$8:$C$500=Kanban!$C$7)*(Calc!$K$8:$K$500=Kanban!E$11)*(Calc!$Y$8:$Y$500&gt;0),Calc!$Y$8:$Y$500,99999),Kanban_Helper!$B14),Calc!$Y$8:$Y$500,0)),Calc!$D$8:$D$500,0))="Yes",CONCATENATE(INDEX(Calc!$D$8:$D$500,MATCH(SMALL(IF((Calc!$C$8:$C$500=Kanban!$C$7)*(Calc!$K$8:$K$500=Kanban!E$11)*(Calc!$Y$8:$Y$500&gt;0),Calc!$Y$8:$Y$500,99999),Kanban_Helper!$B14),Calc!$Y$8:$Y$500,0))," ",Calc!$V$7," ","!"),INDEX(Calc!$D$8:$D$500,MATCH(SMALL(IF((Calc!$C$8:$C$500=Kanban!$C$7)*(Calc!$K$8:$K$500=Kanban!E$11)*(Calc!$Y$8:$Y$500&gt;0),Calc!$Y$8:$Y$500,99999),Kanban_Helper!$B14),Calc!$Y$8:$Y$500,0))),IF(INDEX(Calc!$V$8:$V$500,MATCH(INDEX(Calc!$D$8:$D$500,MATCH(SMALL(IF((Calc!$K$8:$K$500=Kanban!E$11)*(Calc!$Y$8:$Y$500&gt;0),Calc!$Y$8:$Y$500,99999),Kanban_Helper!$B14),Calc!$Y$8:$Y$500,0)),Calc!$D$8:$D$500,0))="Yes",CONCATENATE(INDEX(Calc!$D$8:$D$500,MATCH(SMALL(IF((Calc!$K$8:$K$500=Kanban!E$11)*(Calc!$Y$8:$Y$500&gt;0),Calc!$Y$8:$Y$500,99999),Kanban_Helper!$B14),Calc!$Y$8:$Y$500,0))," ",Calc!$V$7," ","!"),INDEX(Calc!$D$8:$D$500,MATCH(SMALL(IF((Calc!$K$8:$K$500=Kanban!E$11)*(Calc!$Y$8:$Y$500&gt;0),Calc!$Y$8:$Y$500,99999),Kanban_Helper!$B14),Calc!$Y$8:$Y$500,0))))),"")</f>
        <v/>
      </c>
      <c r="F21" s="170" t="str">
        <f t="array" ref="F21">IFERROR(IF(LEN(F$11)=0,"",IF($C$7&lt;&gt;"All",IF(INDEX(Calc!$V$8:$V$500,MATCH(INDEX(Calc!$D$8:$D$500,MATCH(SMALL(IF((Calc!$C$8:$C$500=Kanban!$C$7)*(Calc!$K$8:$K$500=Kanban!F$11)*(Calc!$Y$8:$Y$500&gt;0),Calc!$Y$8:$Y$500,99999),Kanban_Helper!$B14),Calc!$Y$8:$Y$500,0)),Calc!$D$8:$D$500,0))="Yes",CONCATENATE(INDEX(Calc!$D$8:$D$500,MATCH(SMALL(IF((Calc!$C$8:$C$500=Kanban!$C$7)*(Calc!$K$8:$K$500=Kanban!F$11)*(Calc!$Y$8:$Y$500&gt;0),Calc!$Y$8:$Y$500,99999),Kanban_Helper!$B14),Calc!$Y$8:$Y$500,0))," ",Calc!$V$7," ","!"),INDEX(Calc!$D$8:$D$500,MATCH(SMALL(IF((Calc!$C$8:$C$500=Kanban!$C$7)*(Calc!$K$8:$K$500=Kanban!F$11)*(Calc!$Y$8:$Y$500&gt;0),Calc!$Y$8:$Y$500,99999),Kanban_Helper!$B14),Calc!$Y$8:$Y$500,0))),IF(INDEX(Calc!$V$8:$V$500,MATCH(INDEX(Calc!$D$8:$D$500,MATCH(SMALL(IF((Calc!$K$8:$K$500=Kanban!F$11)*(Calc!$Y$8:$Y$500&gt;0),Calc!$Y$8:$Y$500,99999),Kanban_Helper!$B14),Calc!$Y$8:$Y$500,0)),Calc!$D$8:$D$500,0))="Yes",CONCATENATE(INDEX(Calc!$D$8:$D$500,MATCH(SMALL(IF((Calc!$K$8:$K$500=Kanban!F$11)*(Calc!$Y$8:$Y$500&gt;0),Calc!$Y$8:$Y$500,99999),Kanban_Helper!$B14),Calc!$Y$8:$Y$500,0))," ",Calc!$V$7," ","!"),INDEX(Calc!$D$8:$D$500,MATCH(SMALL(IF((Calc!$K$8:$K$500=Kanban!F$11)*(Calc!$Y$8:$Y$500&gt;0),Calc!$Y$8:$Y$500,99999),Kanban_Helper!$B14),Calc!$Y$8:$Y$500,0))))),"")</f>
        <v/>
      </c>
      <c r="G21" s="170" t="str">
        <f t="array" ref="G21">IFERROR(IF(LEN(G$11)=0,"",IF($C$7&lt;&gt;"All",IF(INDEX(Calc!$V$8:$V$500,MATCH(INDEX(Calc!$D$8:$D$500,MATCH(SMALL(IF((Calc!$C$8:$C$500=Kanban!$C$7)*(Calc!$K$8:$K$500=Kanban!G$11)*(Calc!$Y$8:$Y$500&gt;0),Calc!$Y$8:$Y$500,99999),Kanban_Helper!$B14),Calc!$Y$8:$Y$500,0)),Calc!$D$8:$D$500,0))="Yes",CONCATENATE(INDEX(Calc!$D$8:$D$500,MATCH(SMALL(IF((Calc!$C$8:$C$500=Kanban!$C$7)*(Calc!$K$8:$K$500=Kanban!G$11)*(Calc!$Y$8:$Y$500&gt;0),Calc!$Y$8:$Y$500,99999),Kanban_Helper!$B14),Calc!$Y$8:$Y$500,0))," ",Calc!$V$7," ","!"),INDEX(Calc!$D$8:$D$500,MATCH(SMALL(IF((Calc!$C$8:$C$500=Kanban!$C$7)*(Calc!$K$8:$K$500=Kanban!G$11)*(Calc!$Y$8:$Y$500&gt;0),Calc!$Y$8:$Y$500,99999),Kanban_Helper!$B14),Calc!$Y$8:$Y$500,0))),IF(INDEX(Calc!$V$8:$V$500,MATCH(INDEX(Calc!$D$8:$D$500,MATCH(SMALL(IF((Calc!$K$8:$K$500=Kanban!G$11)*(Calc!$Y$8:$Y$500&gt;0),Calc!$Y$8:$Y$500,99999),Kanban_Helper!$B14),Calc!$Y$8:$Y$500,0)),Calc!$D$8:$D$500,0))="Yes",CONCATENATE(INDEX(Calc!$D$8:$D$500,MATCH(SMALL(IF((Calc!$K$8:$K$500=Kanban!G$11)*(Calc!$Y$8:$Y$500&gt;0),Calc!$Y$8:$Y$500,99999),Kanban_Helper!$B14),Calc!$Y$8:$Y$500,0))," ",Calc!$V$7," ","!"),INDEX(Calc!$D$8:$D$500,MATCH(SMALL(IF((Calc!$K$8:$K$500=Kanban!G$11)*(Calc!$Y$8:$Y$500&gt;0),Calc!$Y$8:$Y$500,99999),Kanban_Helper!$B14),Calc!$Y$8:$Y$500,0))))),"")</f>
        <v/>
      </c>
      <c r="H21" s="170" t="str">
        <f t="array" ref="H21">IFERROR(IF(LEN(H$11)=0,"",IF($C$7&lt;&gt;"All",IF(INDEX(Calc!$V$8:$V$500,MATCH(INDEX(Calc!$D$8:$D$500,MATCH(SMALL(IF((Calc!$C$8:$C$500=Kanban!$C$7)*(Calc!$K$8:$K$500=Kanban!H$11)*(Calc!$Y$8:$Y$500&gt;0),Calc!$Y$8:$Y$500,99999),Kanban_Helper!$B14),Calc!$Y$8:$Y$500,0)),Calc!$D$8:$D$500,0))="Yes",CONCATENATE(INDEX(Calc!$D$8:$D$500,MATCH(SMALL(IF((Calc!$C$8:$C$500=Kanban!$C$7)*(Calc!$K$8:$K$500=Kanban!H$11)*(Calc!$Y$8:$Y$500&gt;0),Calc!$Y$8:$Y$500,99999),Kanban_Helper!$B14),Calc!$Y$8:$Y$500,0))," ",Calc!$V$7," ","!"),INDEX(Calc!$D$8:$D$500,MATCH(SMALL(IF((Calc!$C$8:$C$500=Kanban!$C$7)*(Calc!$K$8:$K$500=Kanban!H$11)*(Calc!$Y$8:$Y$500&gt;0),Calc!$Y$8:$Y$500,99999),Kanban_Helper!$B14),Calc!$Y$8:$Y$500,0))),IF(INDEX(Calc!$V$8:$V$500,MATCH(INDEX(Calc!$D$8:$D$500,MATCH(SMALL(IF((Calc!$K$8:$K$500=Kanban!H$11)*(Calc!$Y$8:$Y$500&gt;0),Calc!$Y$8:$Y$500,99999),Kanban_Helper!$B14),Calc!$Y$8:$Y$500,0)),Calc!$D$8:$D$500,0))="Yes",CONCATENATE(INDEX(Calc!$D$8:$D$500,MATCH(SMALL(IF((Calc!$K$8:$K$500=Kanban!H$11)*(Calc!$Y$8:$Y$500&gt;0),Calc!$Y$8:$Y$500,99999),Kanban_Helper!$B14),Calc!$Y$8:$Y$500,0))," ",Calc!$V$7," ","!"),INDEX(Calc!$D$8:$D$500,MATCH(SMALL(IF((Calc!$K$8:$K$500=Kanban!H$11)*(Calc!$Y$8:$Y$500&gt;0),Calc!$Y$8:$Y$500,99999),Kanban_Helper!$B14),Calc!$Y$8:$Y$500,0))))),"")</f>
        <v/>
      </c>
      <c r="I21" s="39"/>
      <c r="J21" s="10"/>
      <c r="K21" s="10"/>
      <c r="L21" s="10"/>
    </row>
    <row r="22" spans="2:12" x14ac:dyDescent="0.35">
      <c r="B22" s="37"/>
      <c r="C22" s="171" t="str">
        <f t="array" ref="C22">IFERROR(IF(LEN(C$11)=0,"",IF($C$7&lt;&gt;"All",INDEX(Calc!$E$8:$E$500,MATCH(SMALL(IF((Calc!$C$8:$C$500=Kanban!$C$7)*(Calc!$K$8:$K$500=Kanban!C$11)*(Calc!$Y$8:$Y$500&gt;0),Calc!$Y$8:$Y$500,99999),Kanban_Helper!$B15),Calc!$Y$8:$Y$500,0)),INDEX(Calc!$E$8:$E$500,MATCH(SMALL(IF((Calc!$K$8:$K$500=Kanban!C$11)*(Calc!$Y$8:$Y$500&gt;0),Calc!$Y$8:$Y$500,99999),Kanban_Helper!$B15),Calc!$Y$8:$Y$500,0)))),"")</f>
        <v/>
      </c>
      <c r="D22" s="171" t="str">
        <f t="array" ref="D22">IFERROR(IF(LEN(D$11)=0,"",IF($C$7&lt;&gt;"All",INDEX(Calc!$E$8:$E$500,MATCH(SMALL(IF((Calc!$C$8:$C$500=Kanban!$C$7)*(Calc!$K$8:$K$500=Kanban!D$11)*(Calc!$Y$8:$Y$500&gt;0),Calc!$Y$8:$Y$500,99999),Kanban_Helper!$B15),Calc!$Y$8:$Y$500,0)),INDEX(Calc!$E$8:$E$500,MATCH(SMALL(IF((Calc!$K$8:$K$500=Kanban!D$11)*(Calc!$Y$8:$Y$500&gt;0),Calc!$Y$8:$Y$500,99999),Kanban_Helper!$B15),Calc!$Y$8:$Y$500,0)))),"")</f>
        <v/>
      </c>
      <c r="E22" s="171" t="str">
        <f t="array" ref="E22">IFERROR(IF(LEN(E$11)=0,"",IF($C$7&lt;&gt;"All",INDEX(Calc!$E$8:$E$500,MATCH(SMALL(IF((Calc!$C$8:$C$500=Kanban!$C$7)*(Calc!$K$8:$K$500=Kanban!E$11)*(Calc!$Y$8:$Y$500&gt;0),Calc!$Y$8:$Y$500,99999),Kanban_Helper!$B15),Calc!$Y$8:$Y$500,0)),INDEX(Calc!$E$8:$E$500,MATCH(SMALL(IF((Calc!$K$8:$K$500=Kanban!E$11)*(Calc!$Y$8:$Y$500&gt;0),Calc!$Y$8:$Y$500,99999),Kanban_Helper!$B15),Calc!$Y$8:$Y$500,0)))),"")</f>
        <v/>
      </c>
      <c r="F22" s="171" t="str">
        <f t="array" ref="F22">IFERROR(IF(LEN(F$11)=0,"",IF($C$7&lt;&gt;"All",INDEX(Calc!$E$8:$E$500,MATCH(SMALL(IF((Calc!$C$8:$C$500=Kanban!$C$7)*(Calc!$K$8:$K$500=Kanban!F$11)*(Calc!$Y$8:$Y$500&gt;0),Calc!$Y$8:$Y$500,99999),Kanban_Helper!$B15),Calc!$Y$8:$Y$500,0)),INDEX(Calc!$E$8:$E$500,MATCH(SMALL(IF((Calc!$K$8:$K$500=Kanban!F$11)*(Calc!$Y$8:$Y$500&gt;0),Calc!$Y$8:$Y$500,99999),Kanban_Helper!$B15),Calc!$Y$8:$Y$500,0)))),"")</f>
        <v/>
      </c>
      <c r="G22" s="171" t="str">
        <f t="array" ref="G22">IFERROR(IF(LEN(G$11)=0,"",IF($C$7&lt;&gt;"All",INDEX(Calc!$E$8:$E$500,MATCH(SMALL(IF((Calc!$C$8:$C$500=Kanban!$C$7)*(Calc!$K$8:$K$500=Kanban!G$11)*(Calc!$Y$8:$Y$500&gt;0),Calc!$Y$8:$Y$500,99999),Kanban_Helper!$B15),Calc!$Y$8:$Y$500,0)),INDEX(Calc!$E$8:$E$500,MATCH(SMALL(IF((Calc!$K$8:$K$500=Kanban!G$11)*(Calc!$Y$8:$Y$500&gt;0),Calc!$Y$8:$Y$500,99999),Kanban_Helper!$B15),Calc!$Y$8:$Y$500,0)))),"")</f>
        <v/>
      </c>
      <c r="H22" s="171" t="str">
        <f t="array" ref="H22">IFERROR(IF(LEN(H$11)=0,"",IF($C$7&lt;&gt;"All",INDEX(Calc!$E$8:$E$500,MATCH(SMALL(IF((Calc!$C$8:$C$500=Kanban!$C$7)*(Calc!$K$8:$K$500=Kanban!H$11)*(Calc!$Y$8:$Y$500&gt;0),Calc!$Y$8:$Y$500,99999),Kanban_Helper!$B15),Calc!$Y$8:$Y$500,0)),INDEX(Calc!$E$8:$E$500,MATCH(SMALL(IF((Calc!$K$8:$K$500=Kanban!H$11)*(Calc!$Y$8:$Y$500&gt;0),Calc!$Y$8:$Y$500,99999),Kanban_Helper!$B15),Calc!$Y$8:$Y$500,0)))),"")</f>
        <v/>
      </c>
      <c r="I22" s="39"/>
      <c r="J22" s="10"/>
      <c r="K22" s="10"/>
      <c r="L22" s="10"/>
    </row>
    <row r="23" spans="2:12" ht="15" thickBot="1" x14ac:dyDescent="0.4">
      <c r="B23" s="37"/>
      <c r="C23" s="173" t="str">
        <f t="array" ref="C23">IFERROR(IF(LEN(C$11)=0,"",IF($C$7&lt;&gt;"All",IF(LEN(INDEX(Calc!$J$8:$J$500,MATCH(SMALL(IF((Calc!$C$8:$C$500=Kanban!$C$7)*(Calc!$K$8:$K$500=Kanban!C$11)*(Calc!$Y$8:$Y$500&gt;0),Calc!$Y$8:$Y$500,99999),Kanban_Helper!$B16),Calc!$Y$8:$Y$500,0)))=0,"",CONCATENATE(Calc!$AD$6,INDEX(Calc!$J$8:$J$500,MATCH(SMALL(IF((Calc!$C$8:$C$500=Kanban!$C$7)*(Calc!$K$8:$K$500=Kanban!C$11)*(Calc!$Y$8:$Y$500&gt;0),Calc!$Y$8:$Y$500,99999),Kanban_Helper!$B16),Calc!$Y$8:$Y$500,0)))),IF(LEN(INDEX(Calc!$J$8:$J$500,MATCH(SMALL(IF((Calc!$K$8:$K$500=Kanban!C$11)*(Calc!$Y$8:$Y$500&gt;0),Calc!$Y$8:$Y$500,99999),Kanban_Helper!$B16),Calc!$Y$8:$Y$500,0)))=0,"",CONCATENATE(Calc!$AD$6,INDEX(Calc!$J$8:$J$500,MATCH(SMALL(IF((Calc!$K$8:$K$500=Kanban!C$11)*(Calc!$Y$8:$Y$500&gt;0),Calc!$Y$8:$Y$500,99999),Kanban_Helper!$B16),Calc!$Y$8:$Y$500,0)))))),"")</f>
        <v/>
      </c>
      <c r="D23" s="173" t="str">
        <f t="array" ref="D23">IFERROR(IF(LEN(D$11)=0,"",IF($C$7&lt;&gt;"All",IF(LEN(INDEX(Calc!$J$8:$J$500,MATCH(SMALL(IF((Calc!$C$8:$C$500=Kanban!$C$7)*(Calc!$K$8:$K$500=Kanban!D$11)*(Calc!$Y$8:$Y$500&gt;0),Calc!$Y$8:$Y$500,99999),Kanban_Helper!$B16),Calc!$Y$8:$Y$500,0)))=0,"",CONCATENATE(Calc!$AD$6,INDEX(Calc!$J$8:$J$500,MATCH(SMALL(IF((Calc!$C$8:$C$500=Kanban!$C$7)*(Calc!$K$8:$K$500=Kanban!D$11)*(Calc!$Y$8:$Y$500&gt;0),Calc!$Y$8:$Y$500,99999),Kanban_Helper!$B16),Calc!$Y$8:$Y$500,0)))),IF(LEN(INDEX(Calc!$J$8:$J$500,MATCH(SMALL(IF((Calc!$K$8:$K$500=Kanban!D$11)*(Calc!$Y$8:$Y$500&gt;0),Calc!$Y$8:$Y$500,99999),Kanban_Helper!$B16),Calc!$Y$8:$Y$500,0)))=0,"",CONCATENATE(Calc!$AD$6,INDEX(Calc!$J$8:$J$500,MATCH(SMALL(IF((Calc!$K$8:$K$500=Kanban!D$11)*(Calc!$Y$8:$Y$500&gt;0),Calc!$Y$8:$Y$500,99999),Kanban_Helper!$B16),Calc!$Y$8:$Y$500,0)))))),"")</f>
        <v/>
      </c>
      <c r="E23" s="173" t="str">
        <f t="array" ref="E23">IFERROR(IF(LEN(E$11)=0,"",IF($C$7&lt;&gt;"All",IF(LEN(INDEX(Calc!$J$8:$J$500,MATCH(SMALL(IF((Calc!$C$8:$C$500=Kanban!$C$7)*(Calc!$K$8:$K$500=Kanban!E$11)*(Calc!$Y$8:$Y$500&gt;0),Calc!$Y$8:$Y$500,99999),Kanban_Helper!$B16),Calc!$Y$8:$Y$500,0)))=0,"",CONCATENATE(Calc!$AD$6,INDEX(Calc!$J$8:$J$500,MATCH(SMALL(IF((Calc!$C$8:$C$500=Kanban!$C$7)*(Calc!$K$8:$K$500=Kanban!E$11)*(Calc!$Y$8:$Y$500&gt;0),Calc!$Y$8:$Y$500,99999),Kanban_Helper!$B16),Calc!$Y$8:$Y$500,0)))),IF(LEN(INDEX(Calc!$J$8:$J$500,MATCH(SMALL(IF((Calc!$K$8:$K$500=Kanban!E$11)*(Calc!$Y$8:$Y$500&gt;0),Calc!$Y$8:$Y$500,99999),Kanban_Helper!$B16),Calc!$Y$8:$Y$500,0)))=0,"",CONCATENATE(Calc!$AD$6,INDEX(Calc!$J$8:$J$500,MATCH(SMALL(IF((Calc!$K$8:$K$500=Kanban!E$11)*(Calc!$Y$8:$Y$500&gt;0),Calc!$Y$8:$Y$500,99999),Kanban_Helper!$B16),Calc!$Y$8:$Y$500,0)))))),"")</f>
        <v/>
      </c>
      <c r="F23" s="173" t="str">
        <f t="array" ref="F23">IFERROR(IF(LEN(F$11)=0,"",IF($C$7&lt;&gt;"All",IF(LEN(INDEX(Calc!$J$8:$J$500,MATCH(SMALL(IF((Calc!$C$8:$C$500=Kanban!$C$7)*(Calc!$K$8:$K$500=Kanban!F$11)*(Calc!$Y$8:$Y$500&gt;0),Calc!$Y$8:$Y$500,99999),Kanban_Helper!$B16),Calc!$Y$8:$Y$500,0)))=0,"",CONCATENATE(Calc!$AD$6,INDEX(Calc!$J$8:$J$500,MATCH(SMALL(IF((Calc!$C$8:$C$500=Kanban!$C$7)*(Calc!$K$8:$K$500=Kanban!F$11)*(Calc!$Y$8:$Y$500&gt;0),Calc!$Y$8:$Y$500,99999),Kanban_Helper!$B16),Calc!$Y$8:$Y$500,0)))),IF(LEN(INDEX(Calc!$J$8:$J$500,MATCH(SMALL(IF((Calc!$K$8:$K$500=Kanban!F$11)*(Calc!$Y$8:$Y$500&gt;0),Calc!$Y$8:$Y$500,99999),Kanban_Helper!$B16),Calc!$Y$8:$Y$500,0)))=0,"",CONCATENATE(Calc!$AD$6,INDEX(Calc!$J$8:$J$500,MATCH(SMALL(IF((Calc!$K$8:$K$500=Kanban!F$11)*(Calc!$Y$8:$Y$500&gt;0),Calc!$Y$8:$Y$500,99999),Kanban_Helper!$B16),Calc!$Y$8:$Y$500,0)))))),"")</f>
        <v/>
      </c>
      <c r="G23" s="173" t="str">
        <f t="array" ref="G23">IFERROR(IF(LEN(G$11)=0,"",IF($C$7&lt;&gt;"All",IF(LEN(INDEX(Calc!$J$8:$J$500,MATCH(SMALL(IF((Calc!$C$8:$C$500=Kanban!$C$7)*(Calc!$K$8:$K$500=Kanban!G$11)*(Calc!$Y$8:$Y$500&gt;0),Calc!$Y$8:$Y$500,99999),Kanban_Helper!$B16),Calc!$Y$8:$Y$500,0)))=0,"",CONCATENATE(Calc!$AD$6,INDEX(Calc!$J$8:$J$500,MATCH(SMALL(IF((Calc!$C$8:$C$500=Kanban!$C$7)*(Calc!$K$8:$K$500=Kanban!G$11)*(Calc!$Y$8:$Y$500&gt;0),Calc!$Y$8:$Y$500,99999),Kanban_Helper!$B16),Calc!$Y$8:$Y$500,0)))),IF(LEN(INDEX(Calc!$J$8:$J$500,MATCH(SMALL(IF((Calc!$K$8:$K$500=Kanban!G$11)*(Calc!$Y$8:$Y$500&gt;0),Calc!$Y$8:$Y$500,99999),Kanban_Helper!$B16),Calc!$Y$8:$Y$500,0)))=0,"",CONCATENATE(Calc!$AD$6,INDEX(Calc!$J$8:$J$500,MATCH(SMALL(IF((Calc!$K$8:$K$500=Kanban!G$11)*(Calc!$Y$8:$Y$500&gt;0),Calc!$Y$8:$Y$500,99999),Kanban_Helper!$B16),Calc!$Y$8:$Y$500,0)))))),"")</f>
        <v/>
      </c>
      <c r="H23" s="173" t="str">
        <f t="array" ref="H23">IFERROR(IF(LEN(H$11)=0,"",IF($C$7&lt;&gt;"All",IF(LEN(INDEX(Calc!$J$8:$J$500,MATCH(SMALL(IF((Calc!$C$8:$C$500=Kanban!$C$7)*(Calc!$K$8:$K$500=Kanban!H$11)*(Calc!$Y$8:$Y$500&gt;0),Calc!$Y$8:$Y$500,99999),Kanban_Helper!$B16),Calc!$Y$8:$Y$500,0)))=0,"",CONCATENATE(Calc!$AD$6,INDEX(Calc!$J$8:$J$500,MATCH(SMALL(IF((Calc!$C$8:$C$500=Kanban!$C$7)*(Calc!$K$8:$K$500=Kanban!H$11)*(Calc!$Y$8:$Y$500&gt;0),Calc!$Y$8:$Y$500,99999),Kanban_Helper!$B16),Calc!$Y$8:$Y$500,0)))),IF(LEN(INDEX(Calc!$J$8:$J$500,MATCH(SMALL(IF((Calc!$K$8:$K$500=Kanban!H$11)*(Calc!$Y$8:$Y$500&gt;0),Calc!$Y$8:$Y$500,99999),Kanban_Helper!$B16),Calc!$Y$8:$Y$500,0)))=0,"",CONCATENATE(Calc!$AD$6,INDEX(Calc!$J$8:$J$500,MATCH(SMALL(IF((Calc!$K$8:$K$500=Kanban!H$11)*(Calc!$Y$8:$Y$500&gt;0),Calc!$Y$8:$Y$500,99999),Kanban_Helper!$B16),Calc!$Y$8:$Y$500,0)))))),"")</f>
        <v/>
      </c>
      <c r="I23" s="39"/>
      <c r="J23" s="10"/>
      <c r="K23" s="10"/>
      <c r="L23" s="10"/>
    </row>
    <row r="24" spans="2:12" ht="15" thickTop="1" x14ac:dyDescent="0.35">
      <c r="B24" s="37"/>
      <c r="C24" s="170" t="str">
        <f t="array" ref="C24">IFERROR(IF(LEN(C$11)=0,"",IF($C$7&lt;&gt;"All",IF(INDEX(Calc!$V$8:$V$500,MATCH(INDEX(Calc!$D$8:$D$500,MATCH(SMALL(IF((Calc!$C$8:$C$500=Kanban!$C$7)*(Calc!$K$8:$K$500=Kanban!C$11)*(Calc!$Y$8:$Y$500&gt;0),Calc!$Y$8:$Y$500,99999),Kanban_Helper!$B17),Calc!$Y$8:$Y$500,0)),Calc!$D$8:$D$500,0))="Yes",CONCATENATE(INDEX(Calc!$D$8:$D$500,MATCH(SMALL(IF((Calc!$C$8:$C$500=Kanban!$C$7)*(Calc!$K$8:$K$500=Kanban!C$11)*(Calc!$Y$8:$Y$500&gt;0),Calc!$Y$8:$Y$500,99999),Kanban_Helper!$B17),Calc!$Y$8:$Y$500,0))," ",Calc!$V$7," ","!"),INDEX(Calc!$D$8:$D$500,MATCH(SMALL(IF((Calc!$C$8:$C$500=Kanban!$C$7)*(Calc!$K$8:$K$500=Kanban!C$11)*(Calc!$Y$8:$Y$500&gt;0),Calc!$Y$8:$Y$500,99999),Kanban_Helper!$B17),Calc!$Y$8:$Y$500,0))),IF(INDEX(Calc!$V$8:$V$500,MATCH(INDEX(Calc!$D$8:$D$500,MATCH(SMALL(IF((Calc!$K$8:$K$500=Kanban!C$11)*(Calc!$Y$8:$Y$500&gt;0),Calc!$Y$8:$Y$500,99999),Kanban_Helper!$B17),Calc!$Y$8:$Y$500,0)),Calc!$D$8:$D$500,0))="Yes",CONCATENATE(INDEX(Calc!$D$8:$D$500,MATCH(SMALL(IF((Calc!$K$8:$K$500=Kanban!C$11)*(Calc!$Y$8:$Y$500&gt;0),Calc!$Y$8:$Y$500,99999),Kanban_Helper!$B17),Calc!$Y$8:$Y$500,0))," ",Calc!$V$7," ","!"),INDEX(Calc!$D$8:$D$500,MATCH(SMALL(IF((Calc!$K$8:$K$500=Kanban!C$11)*(Calc!$Y$8:$Y$500&gt;0),Calc!$Y$8:$Y$500,99999),Kanban_Helper!$B17),Calc!$Y$8:$Y$500,0))))),"")</f>
        <v/>
      </c>
      <c r="D24" s="170" t="str">
        <f t="array" ref="D24">IFERROR(IF(LEN(D$11)=0,"",IF($C$7&lt;&gt;"All",IF(INDEX(Calc!$V$8:$V$500,MATCH(INDEX(Calc!$D$8:$D$500,MATCH(SMALL(IF((Calc!$C$8:$C$500=Kanban!$C$7)*(Calc!$K$8:$K$500=Kanban!D$11)*(Calc!$Y$8:$Y$500&gt;0),Calc!$Y$8:$Y$500,99999),Kanban_Helper!$B17),Calc!$Y$8:$Y$500,0)),Calc!$D$8:$D$500,0))="Yes",CONCATENATE(INDEX(Calc!$D$8:$D$500,MATCH(SMALL(IF((Calc!$C$8:$C$500=Kanban!$C$7)*(Calc!$K$8:$K$500=Kanban!D$11)*(Calc!$Y$8:$Y$500&gt;0),Calc!$Y$8:$Y$500,99999),Kanban_Helper!$B17),Calc!$Y$8:$Y$500,0))," ",Calc!$V$7," ","!"),INDEX(Calc!$D$8:$D$500,MATCH(SMALL(IF((Calc!$C$8:$C$500=Kanban!$C$7)*(Calc!$K$8:$K$500=Kanban!D$11)*(Calc!$Y$8:$Y$500&gt;0),Calc!$Y$8:$Y$500,99999),Kanban_Helper!$B17),Calc!$Y$8:$Y$500,0))),IF(INDEX(Calc!$V$8:$V$500,MATCH(INDEX(Calc!$D$8:$D$500,MATCH(SMALL(IF((Calc!$K$8:$K$500=Kanban!D$11)*(Calc!$Y$8:$Y$500&gt;0),Calc!$Y$8:$Y$500,99999),Kanban_Helper!$B17),Calc!$Y$8:$Y$500,0)),Calc!$D$8:$D$500,0))="Yes",CONCATENATE(INDEX(Calc!$D$8:$D$500,MATCH(SMALL(IF((Calc!$K$8:$K$500=Kanban!D$11)*(Calc!$Y$8:$Y$500&gt;0),Calc!$Y$8:$Y$500,99999),Kanban_Helper!$B17),Calc!$Y$8:$Y$500,0))," ",Calc!$V$7," ","!"),INDEX(Calc!$D$8:$D$500,MATCH(SMALL(IF((Calc!$K$8:$K$500=Kanban!D$11)*(Calc!$Y$8:$Y$500&gt;0),Calc!$Y$8:$Y$500,99999),Kanban_Helper!$B17),Calc!$Y$8:$Y$500,0))))),"")</f>
        <v/>
      </c>
      <c r="E24" s="170" t="str">
        <f t="array" ref="E24">IFERROR(IF(LEN(E$11)=0,"",IF($C$7&lt;&gt;"All",IF(INDEX(Calc!$V$8:$V$500,MATCH(INDEX(Calc!$D$8:$D$500,MATCH(SMALL(IF((Calc!$C$8:$C$500=Kanban!$C$7)*(Calc!$K$8:$K$500=Kanban!E$11)*(Calc!$Y$8:$Y$500&gt;0),Calc!$Y$8:$Y$500,99999),Kanban_Helper!$B17),Calc!$Y$8:$Y$500,0)),Calc!$D$8:$D$500,0))="Yes",CONCATENATE(INDEX(Calc!$D$8:$D$500,MATCH(SMALL(IF((Calc!$C$8:$C$500=Kanban!$C$7)*(Calc!$K$8:$K$500=Kanban!E$11)*(Calc!$Y$8:$Y$500&gt;0),Calc!$Y$8:$Y$500,99999),Kanban_Helper!$B17),Calc!$Y$8:$Y$500,0))," ",Calc!$V$7," ","!"),INDEX(Calc!$D$8:$D$500,MATCH(SMALL(IF((Calc!$C$8:$C$500=Kanban!$C$7)*(Calc!$K$8:$K$500=Kanban!E$11)*(Calc!$Y$8:$Y$500&gt;0),Calc!$Y$8:$Y$500,99999),Kanban_Helper!$B17),Calc!$Y$8:$Y$500,0))),IF(INDEX(Calc!$V$8:$V$500,MATCH(INDEX(Calc!$D$8:$D$500,MATCH(SMALL(IF((Calc!$K$8:$K$500=Kanban!E$11)*(Calc!$Y$8:$Y$500&gt;0),Calc!$Y$8:$Y$500,99999),Kanban_Helper!$B17),Calc!$Y$8:$Y$500,0)),Calc!$D$8:$D$500,0))="Yes",CONCATENATE(INDEX(Calc!$D$8:$D$500,MATCH(SMALL(IF((Calc!$K$8:$K$500=Kanban!E$11)*(Calc!$Y$8:$Y$500&gt;0),Calc!$Y$8:$Y$500,99999),Kanban_Helper!$B17),Calc!$Y$8:$Y$500,0))," ",Calc!$V$7," ","!"),INDEX(Calc!$D$8:$D$500,MATCH(SMALL(IF((Calc!$K$8:$K$500=Kanban!E$11)*(Calc!$Y$8:$Y$500&gt;0),Calc!$Y$8:$Y$500,99999),Kanban_Helper!$B17),Calc!$Y$8:$Y$500,0))))),"")</f>
        <v/>
      </c>
      <c r="F24" s="170" t="str">
        <f t="array" ref="F24">IFERROR(IF(LEN(F$11)=0,"",IF($C$7&lt;&gt;"All",IF(INDEX(Calc!$V$8:$V$500,MATCH(INDEX(Calc!$D$8:$D$500,MATCH(SMALL(IF((Calc!$C$8:$C$500=Kanban!$C$7)*(Calc!$K$8:$K$500=Kanban!F$11)*(Calc!$Y$8:$Y$500&gt;0),Calc!$Y$8:$Y$500,99999),Kanban_Helper!$B17),Calc!$Y$8:$Y$500,0)),Calc!$D$8:$D$500,0))="Yes",CONCATENATE(INDEX(Calc!$D$8:$D$500,MATCH(SMALL(IF((Calc!$C$8:$C$500=Kanban!$C$7)*(Calc!$K$8:$K$500=Kanban!F$11)*(Calc!$Y$8:$Y$500&gt;0),Calc!$Y$8:$Y$500,99999),Kanban_Helper!$B17),Calc!$Y$8:$Y$500,0))," ",Calc!$V$7," ","!"),INDEX(Calc!$D$8:$D$500,MATCH(SMALL(IF((Calc!$C$8:$C$500=Kanban!$C$7)*(Calc!$K$8:$K$500=Kanban!F$11)*(Calc!$Y$8:$Y$500&gt;0),Calc!$Y$8:$Y$500,99999),Kanban_Helper!$B17),Calc!$Y$8:$Y$500,0))),IF(INDEX(Calc!$V$8:$V$500,MATCH(INDEX(Calc!$D$8:$D$500,MATCH(SMALL(IF((Calc!$K$8:$K$500=Kanban!F$11)*(Calc!$Y$8:$Y$500&gt;0),Calc!$Y$8:$Y$500,99999),Kanban_Helper!$B17),Calc!$Y$8:$Y$500,0)),Calc!$D$8:$D$500,0))="Yes",CONCATENATE(INDEX(Calc!$D$8:$D$500,MATCH(SMALL(IF((Calc!$K$8:$K$500=Kanban!F$11)*(Calc!$Y$8:$Y$500&gt;0),Calc!$Y$8:$Y$500,99999),Kanban_Helper!$B17),Calc!$Y$8:$Y$500,0))," ",Calc!$V$7," ","!"),INDEX(Calc!$D$8:$D$500,MATCH(SMALL(IF((Calc!$K$8:$K$500=Kanban!F$11)*(Calc!$Y$8:$Y$500&gt;0),Calc!$Y$8:$Y$500,99999),Kanban_Helper!$B17),Calc!$Y$8:$Y$500,0))))),"")</f>
        <v/>
      </c>
      <c r="G24" s="170" t="str">
        <f t="array" ref="G24">IFERROR(IF(LEN(G$11)=0,"",IF($C$7&lt;&gt;"All",IF(INDEX(Calc!$V$8:$V$500,MATCH(INDEX(Calc!$D$8:$D$500,MATCH(SMALL(IF((Calc!$C$8:$C$500=Kanban!$C$7)*(Calc!$K$8:$K$500=Kanban!G$11)*(Calc!$Y$8:$Y$500&gt;0),Calc!$Y$8:$Y$500,99999),Kanban_Helper!$B17),Calc!$Y$8:$Y$500,0)),Calc!$D$8:$D$500,0))="Yes",CONCATENATE(INDEX(Calc!$D$8:$D$500,MATCH(SMALL(IF((Calc!$C$8:$C$500=Kanban!$C$7)*(Calc!$K$8:$K$500=Kanban!G$11)*(Calc!$Y$8:$Y$500&gt;0),Calc!$Y$8:$Y$500,99999),Kanban_Helper!$B17),Calc!$Y$8:$Y$500,0))," ",Calc!$V$7," ","!"),INDEX(Calc!$D$8:$D$500,MATCH(SMALL(IF((Calc!$C$8:$C$500=Kanban!$C$7)*(Calc!$K$8:$K$500=Kanban!G$11)*(Calc!$Y$8:$Y$500&gt;0),Calc!$Y$8:$Y$500,99999),Kanban_Helper!$B17),Calc!$Y$8:$Y$500,0))),IF(INDEX(Calc!$V$8:$V$500,MATCH(INDEX(Calc!$D$8:$D$500,MATCH(SMALL(IF((Calc!$K$8:$K$500=Kanban!G$11)*(Calc!$Y$8:$Y$500&gt;0),Calc!$Y$8:$Y$500,99999),Kanban_Helper!$B17),Calc!$Y$8:$Y$500,0)),Calc!$D$8:$D$500,0))="Yes",CONCATENATE(INDEX(Calc!$D$8:$D$500,MATCH(SMALL(IF((Calc!$K$8:$K$500=Kanban!G$11)*(Calc!$Y$8:$Y$500&gt;0),Calc!$Y$8:$Y$500,99999),Kanban_Helper!$B17),Calc!$Y$8:$Y$500,0))," ",Calc!$V$7," ","!"),INDEX(Calc!$D$8:$D$500,MATCH(SMALL(IF((Calc!$K$8:$K$500=Kanban!G$11)*(Calc!$Y$8:$Y$500&gt;0),Calc!$Y$8:$Y$500,99999),Kanban_Helper!$B17),Calc!$Y$8:$Y$500,0))))),"")</f>
        <v/>
      </c>
      <c r="H24" s="170" t="str">
        <f t="array" ref="H24">IFERROR(IF(LEN(H$11)=0,"",IF($C$7&lt;&gt;"All",IF(INDEX(Calc!$V$8:$V$500,MATCH(INDEX(Calc!$D$8:$D$500,MATCH(SMALL(IF((Calc!$C$8:$C$500=Kanban!$C$7)*(Calc!$K$8:$K$500=Kanban!H$11)*(Calc!$Y$8:$Y$500&gt;0),Calc!$Y$8:$Y$500,99999),Kanban_Helper!$B17),Calc!$Y$8:$Y$500,0)),Calc!$D$8:$D$500,0))="Yes",CONCATENATE(INDEX(Calc!$D$8:$D$500,MATCH(SMALL(IF((Calc!$C$8:$C$500=Kanban!$C$7)*(Calc!$K$8:$K$500=Kanban!H$11)*(Calc!$Y$8:$Y$500&gt;0),Calc!$Y$8:$Y$500,99999),Kanban_Helper!$B17),Calc!$Y$8:$Y$500,0))," ",Calc!$V$7," ","!"),INDEX(Calc!$D$8:$D$500,MATCH(SMALL(IF((Calc!$C$8:$C$500=Kanban!$C$7)*(Calc!$K$8:$K$500=Kanban!H$11)*(Calc!$Y$8:$Y$500&gt;0),Calc!$Y$8:$Y$500,99999),Kanban_Helper!$B17),Calc!$Y$8:$Y$500,0))),IF(INDEX(Calc!$V$8:$V$500,MATCH(INDEX(Calc!$D$8:$D$500,MATCH(SMALL(IF((Calc!$K$8:$K$500=Kanban!H$11)*(Calc!$Y$8:$Y$500&gt;0),Calc!$Y$8:$Y$500,99999),Kanban_Helper!$B17),Calc!$Y$8:$Y$500,0)),Calc!$D$8:$D$500,0))="Yes",CONCATENATE(INDEX(Calc!$D$8:$D$500,MATCH(SMALL(IF((Calc!$K$8:$K$500=Kanban!H$11)*(Calc!$Y$8:$Y$500&gt;0),Calc!$Y$8:$Y$500,99999),Kanban_Helper!$B17),Calc!$Y$8:$Y$500,0))," ",Calc!$V$7," ","!"),INDEX(Calc!$D$8:$D$500,MATCH(SMALL(IF((Calc!$K$8:$K$500=Kanban!H$11)*(Calc!$Y$8:$Y$500&gt;0),Calc!$Y$8:$Y$500,99999),Kanban_Helper!$B17),Calc!$Y$8:$Y$500,0))))),"")</f>
        <v/>
      </c>
      <c r="I24" s="39"/>
      <c r="J24" s="10"/>
      <c r="K24" s="10"/>
      <c r="L24" s="10"/>
    </row>
    <row r="25" spans="2:12" x14ac:dyDescent="0.35">
      <c r="B25" s="37"/>
      <c r="C25" s="171" t="str">
        <f t="array" ref="C25">IFERROR(IF(LEN(C$11)=0,"",IF($C$7&lt;&gt;"All",INDEX(Calc!$E$8:$E$500,MATCH(SMALL(IF((Calc!$C$8:$C$500=Kanban!$C$7)*(Calc!$K$8:$K$500=Kanban!C$11)*(Calc!$Y$8:$Y$500&gt;0),Calc!$Y$8:$Y$500,99999),Kanban_Helper!$B18),Calc!$Y$8:$Y$500,0)),INDEX(Calc!$E$8:$E$500,MATCH(SMALL(IF((Calc!$K$8:$K$500=Kanban!C$11)*(Calc!$Y$8:$Y$500&gt;0),Calc!$Y$8:$Y$500,99999),Kanban_Helper!$B18),Calc!$Y$8:$Y$500,0)))),"")</f>
        <v/>
      </c>
      <c r="D25" s="171" t="str">
        <f t="array" ref="D25">IFERROR(IF(LEN(D$11)=0,"",IF($C$7&lt;&gt;"All",INDEX(Calc!$E$8:$E$500,MATCH(SMALL(IF((Calc!$C$8:$C$500=Kanban!$C$7)*(Calc!$K$8:$K$500=Kanban!D$11)*(Calc!$Y$8:$Y$500&gt;0),Calc!$Y$8:$Y$500,99999),Kanban_Helper!$B18),Calc!$Y$8:$Y$500,0)),INDEX(Calc!$E$8:$E$500,MATCH(SMALL(IF((Calc!$K$8:$K$500=Kanban!D$11)*(Calc!$Y$8:$Y$500&gt;0),Calc!$Y$8:$Y$500,99999),Kanban_Helper!$B18),Calc!$Y$8:$Y$500,0)))),"")</f>
        <v/>
      </c>
      <c r="E25" s="171" t="str">
        <f t="array" ref="E25">IFERROR(IF(LEN(E$11)=0,"",IF($C$7&lt;&gt;"All",INDEX(Calc!$E$8:$E$500,MATCH(SMALL(IF((Calc!$C$8:$C$500=Kanban!$C$7)*(Calc!$K$8:$K$500=Kanban!E$11)*(Calc!$Y$8:$Y$500&gt;0),Calc!$Y$8:$Y$500,99999),Kanban_Helper!$B18),Calc!$Y$8:$Y$500,0)),INDEX(Calc!$E$8:$E$500,MATCH(SMALL(IF((Calc!$K$8:$K$500=Kanban!E$11)*(Calc!$Y$8:$Y$500&gt;0),Calc!$Y$8:$Y$500,99999),Kanban_Helper!$B18),Calc!$Y$8:$Y$500,0)))),"")</f>
        <v/>
      </c>
      <c r="F25" s="171" t="str">
        <f t="array" ref="F25">IFERROR(IF(LEN(F$11)=0,"",IF($C$7&lt;&gt;"All",INDEX(Calc!$E$8:$E$500,MATCH(SMALL(IF((Calc!$C$8:$C$500=Kanban!$C$7)*(Calc!$K$8:$K$500=Kanban!F$11)*(Calc!$Y$8:$Y$500&gt;0),Calc!$Y$8:$Y$500,99999),Kanban_Helper!$B18),Calc!$Y$8:$Y$500,0)),INDEX(Calc!$E$8:$E$500,MATCH(SMALL(IF((Calc!$K$8:$K$500=Kanban!F$11)*(Calc!$Y$8:$Y$500&gt;0),Calc!$Y$8:$Y$500,99999),Kanban_Helper!$B18),Calc!$Y$8:$Y$500,0)))),"")</f>
        <v/>
      </c>
      <c r="G25" s="171" t="str">
        <f t="array" ref="G25">IFERROR(IF(LEN(G$11)=0,"",IF($C$7&lt;&gt;"All",INDEX(Calc!$E$8:$E$500,MATCH(SMALL(IF((Calc!$C$8:$C$500=Kanban!$C$7)*(Calc!$K$8:$K$500=Kanban!G$11)*(Calc!$Y$8:$Y$500&gt;0),Calc!$Y$8:$Y$500,99999),Kanban_Helper!$B18),Calc!$Y$8:$Y$500,0)),INDEX(Calc!$E$8:$E$500,MATCH(SMALL(IF((Calc!$K$8:$K$500=Kanban!G$11)*(Calc!$Y$8:$Y$500&gt;0),Calc!$Y$8:$Y$500,99999),Kanban_Helper!$B18),Calc!$Y$8:$Y$500,0)))),"")</f>
        <v/>
      </c>
      <c r="H25" s="171" t="str">
        <f t="array" ref="H25">IFERROR(IF(LEN(H$11)=0,"",IF($C$7&lt;&gt;"All",INDEX(Calc!$E$8:$E$500,MATCH(SMALL(IF((Calc!$C$8:$C$500=Kanban!$C$7)*(Calc!$K$8:$K$500=Kanban!H$11)*(Calc!$Y$8:$Y$500&gt;0),Calc!$Y$8:$Y$500,99999),Kanban_Helper!$B18),Calc!$Y$8:$Y$500,0)),INDEX(Calc!$E$8:$E$500,MATCH(SMALL(IF((Calc!$K$8:$K$500=Kanban!H$11)*(Calc!$Y$8:$Y$500&gt;0),Calc!$Y$8:$Y$500,99999),Kanban_Helper!$B18),Calc!$Y$8:$Y$500,0)))),"")</f>
        <v/>
      </c>
      <c r="I25" s="39"/>
      <c r="J25" s="10"/>
      <c r="K25" s="10"/>
      <c r="L25" s="10"/>
    </row>
    <row r="26" spans="2:12" ht="15" thickBot="1" x14ac:dyDescent="0.4">
      <c r="B26" s="37"/>
      <c r="C26" s="173" t="str">
        <f t="array" ref="C26">IFERROR(IF(LEN(C$11)=0,"",IF($C$7&lt;&gt;"All",IF(LEN(INDEX(Calc!$J$8:$J$500,MATCH(SMALL(IF((Calc!$C$8:$C$500=Kanban!$C$7)*(Calc!$K$8:$K$500=Kanban!C$11)*(Calc!$Y$8:$Y$500&gt;0),Calc!$Y$8:$Y$500,99999),Kanban_Helper!$B19),Calc!$Y$8:$Y$500,0)))=0,"",CONCATENATE(Calc!$AD$6,INDEX(Calc!$J$8:$J$500,MATCH(SMALL(IF((Calc!$C$8:$C$500=Kanban!$C$7)*(Calc!$K$8:$K$500=Kanban!C$11)*(Calc!$Y$8:$Y$500&gt;0),Calc!$Y$8:$Y$500,99999),Kanban_Helper!$B19),Calc!$Y$8:$Y$500,0)))),IF(LEN(INDEX(Calc!$J$8:$J$500,MATCH(SMALL(IF((Calc!$K$8:$K$500=Kanban!C$11)*(Calc!$Y$8:$Y$500&gt;0),Calc!$Y$8:$Y$500,99999),Kanban_Helper!$B19),Calc!$Y$8:$Y$500,0)))=0,"",CONCATENATE(Calc!$AD$6,INDEX(Calc!$J$8:$J$500,MATCH(SMALL(IF((Calc!$K$8:$K$500=Kanban!C$11)*(Calc!$Y$8:$Y$500&gt;0),Calc!$Y$8:$Y$500,99999),Kanban_Helper!$B19),Calc!$Y$8:$Y$500,0)))))),"")</f>
        <v/>
      </c>
      <c r="D26" s="173" t="str">
        <f t="array" ref="D26">IFERROR(IF(LEN(D$11)=0,"",IF($C$7&lt;&gt;"All",IF(LEN(INDEX(Calc!$J$8:$J$500,MATCH(SMALL(IF((Calc!$C$8:$C$500=Kanban!$C$7)*(Calc!$K$8:$K$500=Kanban!D$11)*(Calc!$Y$8:$Y$500&gt;0),Calc!$Y$8:$Y$500,99999),Kanban_Helper!$B19),Calc!$Y$8:$Y$500,0)))=0,"",CONCATENATE(Calc!$AD$6,INDEX(Calc!$J$8:$J$500,MATCH(SMALL(IF((Calc!$C$8:$C$500=Kanban!$C$7)*(Calc!$K$8:$K$500=Kanban!D$11)*(Calc!$Y$8:$Y$500&gt;0),Calc!$Y$8:$Y$500,99999),Kanban_Helper!$B19),Calc!$Y$8:$Y$500,0)))),IF(LEN(INDEX(Calc!$J$8:$J$500,MATCH(SMALL(IF((Calc!$K$8:$K$500=Kanban!D$11)*(Calc!$Y$8:$Y$500&gt;0),Calc!$Y$8:$Y$500,99999),Kanban_Helper!$B19),Calc!$Y$8:$Y$500,0)))=0,"",CONCATENATE(Calc!$AD$6,INDEX(Calc!$J$8:$J$500,MATCH(SMALL(IF((Calc!$K$8:$K$500=Kanban!D$11)*(Calc!$Y$8:$Y$500&gt;0),Calc!$Y$8:$Y$500,99999),Kanban_Helper!$B19),Calc!$Y$8:$Y$500,0)))))),"")</f>
        <v/>
      </c>
      <c r="E26" s="173" t="str">
        <f t="array" ref="E26">IFERROR(IF(LEN(E$11)=0,"",IF($C$7&lt;&gt;"All",IF(LEN(INDEX(Calc!$J$8:$J$500,MATCH(SMALL(IF((Calc!$C$8:$C$500=Kanban!$C$7)*(Calc!$K$8:$K$500=Kanban!E$11)*(Calc!$Y$8:$Y$500&gt;0),Calc!$Y$8:$Y$500,99999),Kanban_Helper!$B19),Calc!$Y$8:$Y$500,0)))=0,"",CONCATENATE(Calc!$AD$6,INDEX(Calc!$J$8:$J$500,MATCH(SMALL(IF((Calc!$C$8:$C$500=Kanban!$C$7)*(Calc!$K$8:$K$500=Kanban!E$11)*(Calc!$Y$8:$Y$500&gt;0),Calc!$Y$8:$Y$500,99999),Kanban_Helper!$B19),Calc!$Y$8:$Y$500,0)))),IF(LEN(INDEX(Calc!$J$8:$J$500,MATCH(SMALL(IF((Calc!$K$8:$K$500=Kanban!E$11)*(Calc!$Y$8:$Y$500&gt;0),Calc!$Y$8:$Y$500,99999),Kanban_Helper!$B19),Calc!$Y$8:$Y$500,0)))=0,"",CONCATENATE(Calc!$AD$6,INDEX(Calc!$J$8:$J$500,MATCH(SMALL(IF((Calc!$K$8:$K$500=Kanban!E$11)*(Calc!$Y$8:$Y$500&gt;0),Calc!$Y$8:$Y$500,99999),Kanban_Helper!$B19),Calc!$Y$8:$Y$500,0)))))),"")</f>
        <v/>
      </c>
      <c r="F26" s="173" t="str">
        <f t="array" ref="F26">IFERROR(IF(LEN(F$11)=0,"",IF($C$7&lt;&gt;"All",IF(LEN(INDEX(Calc!$J$8:$J$500,MATCH(SMALL(IF((Calc!$C$8:$C$500=Kanban!$C$7)*(Calc!$K$8:$K$500=Kanban!F$11)*(Calc!$Y$8:$Y$500&gt;0),Calc!$Y$8:$Y$500,99999),Kanban_Helper!$B19),Calc!$Y$8:$Y$500,0)))=0,"",CONCATENATE(Calc!$AD$6,INDEX(Calc!$J$8:$J$500,MATCH(SMALL(IF((Calc!$C$8:$C$500=Kanban!$C$7)*(Calc!$K$8:$K$500=Kanban!F$11)*(Calc!$Y$8:$Y$500&gt;0),Calc!$Y$8:$Y$500,99999),Kanban_Helper!$B19),Calc!$Y$8:$Y$500,0)))),IF(LEN(INDEX(Calc!$J$8:$J$500,MATCH(SMALL(IF((Calc!$K$8:$K$500=Kanban!F$11)*(Calc!$Y$8:$Y$500&gt;0),Calc!$Y$8:$Y$500,99999),Kanban_Helper!$B19),Calc!$Y$8:$Y$500,0)))=0,"",CONCATENATE(Calc!$AD$6,INDEX(Calc!$J$8:$J$500,MATCH(SMALL(IF((Calc!$K$8:$K$500=Kanban!F$11)*(Calc!$Y$8:$Y$500&gt;0),Calc!$Y$8:$Y$500,99999),Kanban_Helper!$B19),Calc!$Y$8:$Y$500,0)))))),"")</f>
        <v/>
      </c>
      <c r="G26" s="173" t="str">
        <f t="array" ref="G26">IFERROR(IF(LEN(G$11)=0,"",IF($C$7&lt;&gt;"All",IF(LEN(INDEX(Calc!$J$8:$J$500,MATCH(SMALL(IF((Calc!$C$8:$C$500=Kanban!$C$7)*(Calc!$K$8:$K$500=Kanban!G$11)*(Calc!$Y$8:$Y$500&gt;0),Calc!$Y$8:$Y$500,99999),Kanban_Helper!$B19),Calc!$Y$8:$Y$500,0)))=0,"",CONCATENATE(Calc!$AD$6,INDEX(Calc!$J$8:$J$500,MATCH(SMALL(IF((Calc!$C$8:$C$500=Kanban!$C$7)*(Calc!$K$8:$K$500=Kanban!G$11)*(Calc!$Y$8:$Y$500&gt;0),Calc!$Y$8:$Y$500,99999),Kanban_Helper!$B19),Calc!$Y$8:$Y$500,0)))),IF(LEN(INDEX(Calc!$J$8:$J$500,MATCH(SMALL(IF((Calc!$K$8:$K$500=Kanban!G$11)*(Calc!$Y$8:$Y$500&gt;0),Calc!$Y$8:$Y$500,99999),Kanban_Helper!$B19),Calc!$Y$8:$Y$500,0)))=0,"",CONCATENATE(Calc!$AD$6,INDEX(Calc!$J$8:$J$500,MATCH(SMALL(IF((Calc!$K$8:$K$500=Kanban!G$11)*(Calc!$Y$8:$Y$500&gt;0),Calc!$Y$8:$Y$500,99999),Kanban_Helper!$B19),Calc!$Y$8:$Y$500,0)))))),"")</f>
        <v/>
      </c>
      <c r="H26" s="173" t="str">
        <f t="array" ref="H26">IFERROR(IF(LEN(H$11)=0,"",IF($C$7&lt;&gt;"All",IF(LEN(INDEX(Calc!$J$8:$J$500,MATCH(SMALL(IF((Calc!$C$8:$C$500=Kanban!$C$7)*(Calc!$K$8:$K$500=Kanban!H$11)*(Calc!$Y$8:$Y$500&gt;0),Calc!$Y$8:$Y$500,99999),Kanban_Helper!$B19),Calc!$Y$8:$Y$500,0)))=0,"",CONCATENATE(Calc!$AD$6,INDEX(Calc!$J$8:$J$500,MATCH(SMALL(IF((Calc!$C$8:$C$500=Kanban!$C$7)*(Calc!$K$8:$K$500=Kanban!H$11)*(Calc!$Y$8:$Y$500&gt;0),Calc!$Y$8:$Y$500,99999),Kanban_Helper!$B19),Calc!$Y$8:$Y$500,0)))),IF(LEN(INDEX(Calc!$J$8:$J$500,MATCH(SMALL(IF((Calc!$K$8:$K$500=Kanban!H$11)*(Calc!$Y$8:$Y$500&gt;0),Calc!$Y$8:$Y$500,99999),Kanban_Helper!$B19),Calc!$Y$8:$Y$500,0)))=0,"",CONCATENATE(Calc!$AD$6,INDEX(Calc!$J$8:$J$500,MATCH(SMALL(IF((Calc!$K$8:$K$500=Kanban!H$11)*(Calc!$Y$8:$Y$500&gt;0),Calc!$Y$8:$Y$500,99999),Kanban_Helper!$B19),Calc!$Y$8:$Y$500,0)))))),"")</f>
        <v/>
      </c>
      <c r="I26" s="39"/>
      <c r="J26" s="10"/>
      <c r="K26" s="10"/>
      <c r="L26" s="10"/>
    </row>
    <row r="27" spans="2:12" ht="15" thickTop="1" x14ac:dyDescent="0.35">
      <c r="B27" s="37"/>
      <c r="C27" s="170" t="str">
        <f t="array" ref="C27">IFERROR(IF(LEN(C$11)=0,"",IF($C$7&lt;&gt;"All",IF(INDEX(Calc!$V$8:$V$500,MATCH(INDEX(Calc!$D$8:$D$500,MATCH(SMALL(IF((Calc!$C$8:$C$500=Kanban!$C$7)*(Calc!$K$8:$K$500=Kanban!C$11)*(Calc!$Y$8:$Y$500&gt;0),Calc!$Y$8:$Y$500,99999),Kanban_Helper!$B20),Calc!$Y$8:$Y$500,0)),Calc!$D$8:$D$500,0))="Yes",CONCATENATE(INDEX(Calc!$D$8:$D$500,MATCH(SMALL(IF((Calc!$C$8:$C$500=Kanban!$C$7)*(Calc!$K$8:$K$500=Kanban!C$11)*(Calc!$Y$8:$Y$500&gt;0),Calc!$Y$8:$Y$500,99999),Kanban_Helper!$B20),Calc!$Y$8:$Y$500,0))," ",Calc!$V$7," ","!"),INDEX(Calc!$D$8:$D$500,MATCH(SMALL(IF((Calc!$C$8:$C$500=Kanban!$C$7)*(Calc!$K$8:$K$500=Kanban!C$11)*(Calc!$Y$8:$Y$500&gt;0),Calc!$Y$8:$Y$500,99999),Kanban_Helper!$B20),Calc!$Y$8:$Y$500,0))),IF(INDEX(Calc!$V$8:$V$500,MATCH(INDEX(Calc!$D$8:$D$500,MATCH(SMALL(IF((Calc!$K$8:$K$500=Kanban!C$11)*(Calc!$Y$8:$Y$500&gt;0),Calc!$Y$8:$Y$500,99999),Kanban_Helper!$B20),Calc!$Y$8:$Y$500,0)),Calc!$D$8:$D$500,0))="Yes",CONCATENATE(INDEX(Calc!$D$8:$D$500,MATCH(SMALL(IF((Calc!$K$8:$K$500=Kanban!C$11)*(Calc!$Y$8:$Y$500&gt;0),Calc!$Y$8:$Y$500,99999),Kanban_Helper!$B20),Calc!$Y$8:$Y$500,0))," ",Calc!$V$7," ","!"),INDEX(Calc!$D$8:$D$500,MATCH(SMALL(IF((Calc!$K$8:$K$500=Kanban!C$11)*(Calc!$Y$8:$Y$500&gt;0),Calc!$Y$8:$Y$500,99999),Kanban_Helper!$B20),Calc!$Y$8:$Y$500,0))))),"")</f>
        <v/>
      </c>
      <c r="D27" s="170" t="str">
        <f t="array" ref="D27">IFERROR(IF(LEN(D$11)=0,"",IF($C$7&lt;&gt;"All",IF(INDEX(Calc!$V$8:$V$500,MATCH(INDEX(Calc!$D$8:$D$500,MATCH(SMALL(IF((Calc!$C$8:$C$500=Kanban!$C$7)*(Calc!$K$8:$K$500=Kanban!D$11)*(Calc!$Y$8:$Y$500&gt;0),Calc!$Y$8:$Y$500,99999),Kanban_Helper!$B20),Calc!$Y$8:$Y$500,0)),Calc!$D$8:$D$500,0))="Yes",CONCATENATE(INDEX(Calc!$D$8:$D$500,MATCH(SMALL(IF((Calc!$C$8:$C$500=Kanban!$C$7)*(Calc!$K$8:$K$500=Kanban!D$11)*(Calc!$Y$8:$Y$500&gt;0),Calc!$Y$8:$Y$500,99999),Kanban_Helper!$B20),Calc!$Y$8:$Y$500,0))," ",Calc!$V$7," ","!"),INDEX(Calc!$D$8:$D$500,MATCH(SMALL(IF((Calc!$C$8:$C$500=Kanban!$C$7)*(Calc!$K$8:$K$500=Kanban!D$11)*(Calc!$Y$8:$Y$500&gt;0),Calc!$Y$8:$Y$500,99999),Kanban_Helper!$B20),Calc!$Y$8:$Y$500,0))),IF(INDEX(Calc!$V$8:$V$500,MATCH(INDEX(Calc!$D$8:$D$500,MATCH(SMALL(IF((Calc!$K$8:$K$500=Kanban!D$11)*(Calc!$Y$8:$Y$500&gt;0),Calc!$Y$8:$Y$500,99999),Kanban_Helper!$B20),Calc!$Y$8:$Y$500,0)),Calc!$D$8:$D$500,0))="Yes",CONCATENATE(INDEX(Calc!$D$8:$D$500,MATCH(SMALL(IF((Calc!$K$8:$K$500=Kanban!D$11)*(Calc!$Y$8:$Y$500&gt;0),Calc!$Y$8:$Y$500,99999),Kanban_Helper!$B20),Calc!$Y$8:$Y$500,0))," ",Calc!$V$7," ","!"),INDEX(Calc!$D$8:$D$500,MATCH(SMALL(IF((Calc!$K$8:$K$500=Kanban!D$11)*(Calc!$Y$8:$Y$500&gt;0),Calc!$Y$8:$Y$500,99999),Kanban_Helper!$B20),Calc!$Y$8:$Y$500,0))))),"")</f>
        <v/>
      </c>
      <c r="E27" s="170" t="str">
        <f t="array" ref="E27">IFERROR(IF(LEN(E$11)=0,"",IF($C$7&lt;&gt;"All",IF(INDEX(Calc!$V$8:$V$500,MATCH(INDEX(Calc!$D$8:$D$500,MATCH(SMALL(IF((Calc!$C$8:$C$500=Kanban!$C$7)*(Calc!$K$8:$K$500=Kanban!E$11)*(Calc!$Y$8:$Y$500&gt;0),Calc!$Y$8:$Y$500,99999),Kanban_Helper!$B20),Calc!$Y$8:$Y$500,0)),Calc!$D$8:$D$500,0))="Yes",CONCATENATE(INDEX(Calc!$D$8:$D$500,MATCH(SMALL(IF((Calc!$C$8:$C$500=Kanban!$C$7)*(Calc!$K$8:$K$500=Kanban!E$11)*(Calc!$Y$8:$Y$500&gt;0),Calc!$Y$8:$Y$500,99999),Kanban_Helper!$B20),Calc!$Y$8:$Y$500,0))," ",Calc!$V$7," ","!"),INDEX(Calc!$D$8:$D$500,MATCH(SMALL(IF((Calc!$C$8:$C$500=Kanban!$C$7)*(Calc!$K$8:$K$500=Kanban!E$11)*(Calc!$Y$8:$Y$500&gt;0),Calc!$Y$8:$Y$500,99999),Kanban_Helper!$B20),Calc!$Y$8:$Y$500,0))),IF(INDEX(Calc!$V$8:$V$500,MATCH(INDEX(Calc!$D$8:$D$500,MATCH(SMALL(IF((Calc!$K$8:$K$500=Kanban!E$11)*(Calc!$Y$8:$Y$500&gt;0),Calc!$Y$8:$Y$500,99999),Kanban_Helper!$B20),Calc!$Y$8:$Y$500,0)),Calc!$D$8:$D$500,0))="Yes",CONCATENATE(INDEX(Calc!$D$8:$D$500,MATCH(SMALL(IF((Calc!$K$8:$K$500=Kanban!E$11)*(Calc!$Y$8:$Y$500&gt;0),Calc!$Y$8:$Y$500,99999),Kanban_Helper!$B20),Calc!$Y$8:$Y$500,0))," ",Calc!$V$7," ","!"),INDEX(Calc!$D$8:$D$500,MATCH(SMALL(IF((Calc!$K$8:$K$500=Kanban!E$11)*(Calc!$Y$8:$Y$500&gt;0),Calc!$Y$8:$Y$500,99999),Kanban_Helper!$B20),Calc!$Y$8:$Y$500,0))))),"")</f>
        <v/>
      </c>
      <c r="F27" s="170" t="str">
        <f t="array" ref="F27">IFERROR(IF(LEN(F$11)=0,"",IF($C$7&lt;&gt;"All",IF(INDEX(Calc!$V$8:$V$500,MATCH(INDEX(Calc!$D$8:$D$500,MATCH(SMALL(IF((Calc!$C$8:$C$500=Kanban!$C$7)*(Calc!$K$8:$K$500=Kanban!F$11)*(Calc!$Y$8:$Y$500&gt;0),Calc!$Y$8:$Y$500,99999),Kanban_Helper!$B20),Calc!$Y$8:$Y$500,0)),Calc!$D$8:$D$500,0))="Yes",CONCATENATE(INDEX(Calc!$D$8:$D$500,MATCH(SMALL(IF((Calc!$C$8:$C$500=Kanban!$C$7)*(Calc!$K$8:$K$500=Kanban!F$11)*(Calc!$Y$8:$Y$500&gt;0),Calc!$Y$8:$Y$500,99999),Kanban_Helper!$B20),Calc!$Y$8:$Y$500,0))," ",Calc!$V$7," ","!"),INDEX(Calc!$D$8:$D$500,MATCH(SMALL(IF((Calc!$C$8:$C$500=Kanban!$C$7)*(Calc!$K$8:$K$500=Kanban!F$11)*(Calc!$Y$8:$Y$500&gt;0),Calc!$Y$8:$Y$500,99999),Kanban_Helper!$B20),Calc!$Y$8:$Y$500,0))),IF(INDEX(Calc!$V$8:$V$500,MATCH(INDEX(Calc!$D$8:$D$500,MATCH(SMALL(IF((Calc!$K$8:$K$500=Kanban!F$11)*(Calc!$Y$8:$Y$500&gt;0),Calc!$Y$8:$Y$500,99999),Kanban_Helper!$B20),Calc!$Y$8:$Y$500,0)),Calc!$D$8:$D$500,0))="Yes",CONCATENATE(INDEX(Calc!$D$8:$D$500,MATCH(SMALL(IF((Calc!$K$8:$K$500=Kanban!F$11)*(Calc!$Y$8:$Y$500&gt;0),Calc!$Y$8:$Y$500,99999),Kanban_Helper!$B20),Calc!$Y$8:$Y$500,0))," ",Calc!$V$7," ","!"),INDEX(Calc!$D$8:$D$500,MATCH(SMALL(IF((Calc!$K$8:$K$500=Kanban!F$11)*(Calc!$Y$8:$Y$500&gt;0),Calc!$Y$8:$Y$500,99999),Kanban_Helper!$B20),Calc!$Y$8:$Y$500,0))))),"")</f>
        <v/>
      </c>
      <c r="G27" s="170" t="str">
        <f t="array" ref="G27">IFERROR(IF(LEN(G$11)=0,"",IF($C$7&lt;&gt;"All",IF(INDEX(Calc!$V$8:$V$500,MATCH(INDEX(Calc!$D$8:$D$500,MATCH(SMALL(IF((Calc!$C$8:$C$500=Kanban!$C$7)*(Calc!$K$8:$K$500=Kanban!G$11)*(Calc!$Y$8:$Y$500&gt;0),Calc!$Y$8:$Y$500,99999),Kanban_Helper!$B20),Calc!$Y$8:$Y$500,0)),Calc!$D$8:$D$500,0))="Yes",CONCATENATE(INDEX(Calc!$D$8:$D$500,MATCH(SMALL(IF((Calc!$C$8:$C$500=Kanban!$C$7)*(Calc!$K$8:$K$500=Kanban!G$11)*(Calc!$Y$8:$Y$500&gt;0),Calc!$Y$8:$Y$500,99999),Kanban_Helper!$B20),Calc!$Y$8:$Y$500,0))," ",Calc!$V$7," ","!"),INDEX(Calc!$D$8:$D$500,MATCH(SMALL(IF((Calc!$C$8:$C$500=Kanban!$C$7)*(Calc!$K$8:$K$500=Kanban!G$11)*(Calc!$Y$8:$Y$500&gt;0),Calc!$Y$8:$Y$500,99999),Kanban_Helper!$B20),Calc!$Y$8:$Y$500,0))),IF(INDEX(Calc!$V$8:$V$500,MATCH(INDEX(Calc!$D$8:$D$500,MATCH(SMALL(IF((Calc!$K$8:$K$500=Kanban!G$11)*(Calc!$Y$8:$Y$500&gt;0),Calc!$Y$8:$Y$500,99999),Kanban_Helper!$B20),Calc!$Y$8:$Y$500,0)),Calc!$D$8:$D$500,0))="Yes",CONCATENATE(INDEX(Calc!$D$8:$D$500,MATCH(SMALL(IF((Calc!$K$8:$K$500=Kanban!G$11)*(Calc!$Y$8:$Y$500&gt;0),Calc!$Y$8:$Y$500,99999),Kanban_Helper!$B20),Calc!$Y$8:$Y$500,0))," ",Calc!$V$7," ","!"),INDEX(Calc!$D$8:$D$500,MATCH(SMALL(IF((Calc!$K$8:$K$500=Kanban!G$11)*(Calc!$Y$8:$Y$500&gt;0),Calc!$Y$8:$Y$500,99999),Kanban_Helper!$B20),Calc!$Y$8:$Y$500,0))))),"")</f>
        <v/>
      </c>
      <c r="H27" s="170" t="str">
        <f t="array" ref="H27">IFERROR(IF(LEN(H$11)=0,"",IF($C$7&lt;&gt;"All",IF(INDEX(Calc!$V$8:$V$500,MATCH(INDEX(Calc!$D$8:$D$500,MATCH(SMALL(IF((Calc!$C$8:$C$500=Kanban!$C$7)*(Calc!$K$8:$K$500=Kanban!H$11)*(Calc!$Y$8:$Y$500&gt;0),Calc!$Y$8:$Y$500,99999),Kanban_Helper!$B20),Calc!$Y$8:$Y$500,0)),Calc!$D$8:$D$500,0))="Yes",CONCATENATE(INDEX(Calc!$D$8:$D$500,MATCH(SMALL(IF((Calc!$C$8:$C$500=Kanban!$C$7)*(Calc!$K$8:$K$500=Kanban!H$11)*(Calc!$Y$8:$Y$500&gt;0),Calc!$Y$8:$Y$500,99999),Kanban_Helper!$B20),Calc!$Y$8:$Y$500,0))," ",Calc!$V$7," ","!"),INDEX(Calc!$D$8:$D$500,MATCH(SMALL(IF((Calc!$C$8:$C$500=Kanban!$C$7)*(Calc!$K$8:$K$500=Kanban!H$11)*(Calc!$Y$8:$Y$500&gt;0),Calc!$Y$8:$Y$500,99999),Kanban_Helper!$B20),Calc!$Y$8:$Y$500,0))),IF(INDEX(Calc!$V$8:$V$500,MATCH(INDEX(Calc!$D$8:$D$500,MATCH(SMALL(IF((Calc!$K$8:$K$500=Kanban!H$11)*(Calc!$Y$8:$Y$500&gt;0),Calc!$Y$8:$Y$500,99999),Kanban_Helper!$B20),Calc!$Y$8:$Y$500,0)),Calc!$D$8:$D$500,0))="Yes",CONCATENATE(INDEX(Calc!$D$8:$D$500,MATCH(SMALL(IF((Calc!$K$8:$K$500=Kanban!H$11)*(Calc!$Y$8:$Y$500&gt;0),Calc!$Y$8:$Y$500,99999),Kanban_Helper!$B20),Calc!$Y$8:$Y$500,0))," ",Calc!$V$7," ","!"),INDEX(Calc!$D$8:$D$500,MATCH(SMALL(IF((Calc!$K$8:$K$500=Kanban!H$11)*(Calc!$Y$8:$Y$500&gt;0),Calc!$Y$8:$Y$500,99999),Kanban_Helper!$B20),Calc!$Y$8:$Y$500,0))))),"")</f>
        <v/>
      </c>
      <c r="I27" s="39"/>
      <c r="J27" s="10"/>
      <c r="K27" s="10"/>
      <c r="L27" s="10"/>
    </row>
    <row r="28" spans="2:12" x14ac:dyDescent="0.35">
      <c r="B28" s="80"/>
      <c r="C28" s="171" t="str">
        <f t="array" ref="C28">IFERROR(IF(LEN(C$11)=0,"",IF($C$7&lt;&gt;"All",INDEX(Calc!$E$8:$E$500,MATCH(SMALL(IF((Calc!$C$8:$C$500=Kanban!$C$7)*(Calc!$K$8:$K$500=Kanban!C$11)*(Calc!$Y$8:$Y$500&gt;0),Calc!$Y$8:$Y$500,99999),Kanban_Helper!$B21),Calc!$Y$8:$Y$500,0)),INDEX(Calc!$E$8:$E$500,MATCH(SMALL(IF((Calc!$K$8:$K$500=Kanban!C$11)*(Calc!$Y$8:$Y$500&gt;0),Calc!$Y$8:$Y$500,99999),Kanban_Helper!$B21),Calc!$Y$8:$Y$500,0)))),"")</f>
        <v/>
      </c>
      <c r="D28" s="171" t="str">
        <f t="array" ref="D28">IFERROR(IF(LEN(D$11)=0,"",IF($C$7&lt;&gt;"All",INDEX(Calc!$E$8:$E$500,MATCH(SMALL(IF((Calc!$C$8:$C$500=Kanban!$C$7)*(Calc!$K$8:$K$500=Kanban!D$11)*(Calc!$Y$8:$Y$500&gt;0),Calc!$Y$8:$Y$500,99999),Kanban_Helper!$B21),Calc!$Y$8:$Y$500,0)),INDEX(Calc!$E$8:$E$500,MATCH(SMALL(IF((Calc!$K$8:$K$500=Kanban!D$11)*(Calc!$Y$8:$Y$500&gt;0),Calc!$Y$8:$Y$500,99999),Kanban_Helper!$B21),Calc!$Y$8:$Y$500,0)))),"")</f>
        <v/>
      </c>
      <c r="E28" s="171" t="str">
        <f t="array" ref="E28">IFERROR(IF(LEN(E$11)=0,"",IF($C$7&lt;&gt;"All",INDEX(Calc!$E$8:$E$500,MATCH(SMALL(IF((Calc!$C$8:$C$500=Kanban!$C$7)*(Calc!$K$8:$K$500=Kanban!E$11)*(Calc!$Y$8:$Y$500&gt;0),Calc!$Y$8:$Y$500,99999),Kanban_Helper!$B21),Calc!$Y$8:$Y$500,0)),INDEX(Calc!$E$8:$E$500,MATCH(SMALL(IF((Calc!$K$8:$K$500=Kanban!E$11)*(Calc!$Y$8:$Y$500&gt;0),Calc!$Y$8:$Y$500,99999),Kanban_Helper!$B21),Calc!$Y$8:$Y$500,0)))),"")</f>
        <v/>
      </c>
      <c r="F28" s="171" t="str">
        <f t="array" ref="F28">IFERROR(IF(LEN(F$11)=0,"",IF($C$7&lt;&gt;"All",INDEX(Calc!$E$8:$E$500,MATCH(SMALL(IF((Calc!$C$8:$C$500=Kanban!$C$7)*(Calc!$K$8:$K$500=Kanban!F$11)*(Calc!$Y$8:$Y$500&gt;0),Calc!$Y$8:$Y$500,99999),Kanban_Helper!$B21),Calc!$Y$8:$Y$500,0)),INDEX(Calc!$E$8:$E$500,MATCH(SMALL(IF((Calc!$K$8:$K$500=Kanban!F$11)*(Calc!$Y$8:$Y$500&gt;0),Calc!$Y$8:$Y$500,99999),Kanban_Helper!$B21),Calc!$Y$8:$Y$500,0)))),"")</f>
        <v/>
      </c>
      <c r="G28" s="171" t="str">
        <f t="array" ref="G28">IFERROR(IF(LEN(G$11)=0,"",IF($C$7&lt;&gt;"All",INDEX(Calc!$E$8:$E$500,MATCH(SMALL(IF((Calc!$C$8:$C$500=Kanban!$C$7)*(Calc!$K$8:$K$500=Kanban!G$11)*(Calc!$Y$8:$Y$500&gt;0),Calc!$Y$8:$Y$500,99999),Kanban_Helper!$B21),Calc!$Y$8:$Y$500,0)),INDEX(Calc!$E$8:$E$500,MATCH(SMALL(IF((Calc!$K$8:$K$500=Kanban!G$11)*(Calc!$Y$8:$Y$500&gt;0),Calc!$Y$8:$Y$500,99999),Kanban_Helper!$B21),Calc!$Y$8:$Y$500,0)))),"")</f>
        <v/>
      </c>
      <c r="H28" s="171" t="str">
        <f t="array" ref="H28">IFERROR(IF(LEN(H$11)=0,"",IF($C$7&lt;&gt;"All",INDEX(Calc!$E$8:$E$500,MATCH(SMALL(IF((Calc!$C$8:$C$500=Kanban!$C$7)*(Calc!$K$8:$K$500=Kanban!H$11)*(Calc!$Y$8:$Y$500&gt;0),Calc!$Y$8:$Y$500,99999),Kanban_Helper!$B21),Calc!$Y$8:$Y$500,0)),INDEX(Calc!$E$8:$E$500,MATCH(SMALL(IF((Calc!$K$8:$K$500=Kanban!H$11)*(Calc!$Y$8:$Y$500&gt;0),Calc!$Y$8:$Y$500,99999),Kanban_Helper!$B21),Calc!$Y$8:$Y$500,0)))),"")</f>
        <v/>
      </c>
      <c r="I28" s="39"/>
      <c r="J28" s="10"/>
      <c r="K28" s="10"/>
      <c r="L28" s="10"/>
    </row>
    <row r="29" spans="2:12" ht="15" thickBot="1" x14ac:dyDescent="0.4">
      <c r="B29" s="80"/>
      <c r="C29" s="173" t="str">
        <f t="array" ref="C29">IFERROR(IF(LEN(C$11)=0,"",IF($C$7&lt;&gt;"All",IF(LEN(INDEX(Calc!$J$8:$J$500,MATCH(SMALL(IF((Calc!$C$8:$C$500=Kanban!$C$7)*(Calc!$K$8:$K$500=Kanban!C$11)*(Calc!$Y$8:$Y$500&gt;0),Calc!$Y$8:$Y$500,99999),Kanban_Helper!$B22),Calc!$Y$8:$Y$500,0)))=0,"",CONCATENATE(Calc!$AD$6,INDEX(Calc!$J$8:$J$500,MATCH(SMALL(IF((Calc!$C$8:$C$500=Kanban!$C$7)*(Calc!$K$8:$K$500=Kanban!C$11)*(Calc!$Y$8:$Y$500&gt;0),Calc!$Y$8:$Y$500,99999),Kanban_Helper!$B22),Calc!$Y$8:$Y$500,0)))),IF(LEN(INDEX(Calc!$J$8:$J$500,MATCH(SMALL(IF((Calc!$K$8:$K$500=Kanban!C$11)*(Calc!$Y$8:$Y$500&gt;0),Calc!$Y$8:$Y$500,99999),Kanban_Helper!$B22),Calc!$Y$8:$Y$500,0)))=0,"",CONCATENATE(Calc!$AD$6,INDEX(Calc!$J$8:$J$500,MATCH(SMALL(IF((Calc!$K$8:$K$500=Kanban!C$11)*(Calc!$Y$8:$Y$500&gt;0),Calc!$Y$8:$Y$500,99999),Kanban_Helper!$B22),Calc!$Y$8:$Y$500,0)))))),"")</f>
        <v/>
      </c>
      <c r="D29" s="173" t="str">
        <f t="array" ref="D29">IFERROR(IF(LEN(D$11)=0,"",IF($C$7&lt;&gt;"All",IF(LEN(INDEX(Calc!$J$8:$J$500,MATCH(SMALL(IF((Calc!$C$8:$C$500=Kanban!$C$7)*(Calc!$K$8:$K$500=Kanban!D$11)*(Calc!$Y$8:$Y$500&gt;0),Calc!$Y$8:$Y$500,99999),Kanban_Helper!$B22),Calc!$Y$8:$Y$500,0)))=0,"",CONCATENATE(Calc!$AD$6,INDEX(Calc!$J$8:$J$500,MATCH(SMALL(IF((Calc!$C$8:$C$500=Kanban!$C$7)*(Calc!$K$8:$K$500=Kanban!D$11)*(Calc!$Y$8:$Y$500&gt;0),Calc!$Y$8:$Y$500,99999),Kanban_Helper!$B22),Calc!$Y$8:$Y$500,0)))),IF(LEN(INDEX(Calc!$J$8:$J$500,MATCH(SMALL(IF((Calc!$K$8:$K$500=Kanban!D$11)*(Calc!$Y$8:$Y$500&gt;0),Calc!$Y$8:$Y$500,99999),Kanban_Helper!$B22),Calc!$Y$8:$Y$500,0)))=0,"",CONCATENATE(Calc!$AD$6,INDEX(Calc!$J$8:$J$500,MATCH(SMALL(IF((Calc!$K$8:$K$500=Kanban!D$11)*(Calc!$Y$8:$Y$500&gt;0),Calc!$Y$8:$Y$500,99999),Kanban_Helper!$B22),Calc!$Y$8:$Y$500,0)))))),"")</f>
        <v/>
      </c>
      <c r="E29" s="173" t="str">
        <f t="array" ref="E29">IFERROR(IF(LEN(E$11)=0,"",IF($C$7&lt;&gt;"All",IF(LEN(INDEX(Calc!$J$8:$J$500,MATCH(SMALL(IF((Calc!$C$8:$C$500=Kanban!$C$7)*(Calc!$K$8:$K$500=Kanban!E$11)*(Calc!$Y$8:$Y$500&gt;0),Calc!$Y$8:$Y$500,99999),Kanban_Helper!$B22),Calc!$Y$8:$Y$500,0)))=0,"",CONCATENATE(Calc!$AD$6,INDEX(Calc!$J$8:$J$500,MATCH(SMALL(IF((Calc!$C$8:$C$500=Kanban!$C$7)*(Calc!$K$8:$K$500=Kanban!E$11)*(Calc!$Y$8:$Y$500&gt;0),Calc!$Y$8:$Y$500,99999),Kanban_Helper!$B22),Calc!$Y$8:$Y$500,0)))),IF(LEN(INDEX(Calc!$J$8:$J$500,MATCH(SMALL(IF((Calc!$K$8:$K$500=Kanban!E$11)*(Calc!$Y$8:$Y$500&gt;0),Calc!$Y$8:$Y$500,99999),Kanban_Helper!$B22),Calc!$Y$8:$Y$500,0)))=0,"",CONCATENATE(Calc!$AD$6,INDEX(Calc!$J$8:$J$500,MATCH(SMALL(IF((Calc!$K$8:$K$500=Kanban!E$11)*(Calc!$Y$8:$Y$500&gt;0),Calc!$Y$8:$Y$500,99999),Kanban_Helper!$B22),Calc!$Y$8:$Y$500,0)))))),"")</f>
        <v/>
      </c>
      <c r="F29" s="173" t="str">
        <f t="array" ref="F29">IFERROR(IF(LEN(F$11)=0,"",IF($C$7&lt;&gt;"All",IF(LEN(INDEX(Calc!$J$8:$J$500,MATCH(SMALL(IF((Calc!$C$8:$C$500=Kanban!$C$7)*(Calc!$K$8:$K$500=Kanban!F$11)*(Calc!$Y$8:$Y$500&gt;0),Calc!$Y$8:$Y$500,99999),Kanban_Helper!$B22),Calc!$Y$8:$Y$500,0)))=0,"",CONCATENATE(Calc!$AD$6,INDEX(Calc!$J$8:$J$500,MATCH(SMALL(IF((Calc!$C$8:$C$500=Kanban!$C$7)*(Calc!$K$8:$K$500=Kanban!F$11)*(Calc!$Y$8:$Y$500&gt;0),Calc!$Y$8:$Y$500,99999),Kanban_Helper!$B22),Calc!$Y$8:$Y$500,0)))),IF(LEN(INDEX(Calc!$J$8:$J$500,MATCH(SMALL(IF((Calc!$K$8:$K$500=Kanban!F$11)*(Calc!$Y$8:$Y$500&gt;0),Calc!$Y$8:$Y$500,99999),Kanban_Helper!$B22),Calc!$Y$8:$Y$500,0)))=0,"",CONCATENATE(Calc!$AD$6,INDEX(Calc!$J$8:$J$500,MATCH(SMALL(IF((Calc!$K$8:$K$500=Kanban!F$11)*(Calc!$Y$8:$Y$500&gt;0),Calc!$Y$8:$Y$500,99999),Kanban_Helper!$B22),Calc!$Y$8:$Y$500,0)))))),"")</f>
        <v/>
      </c>
      <c r="G29" s="173" t="str">
        <f t="array" ref="G29">IFERROR(IF(LEN(G$11)=0,"",IF($C$7&lt;&gt;"All",IF(LEN(INDEX(Calc!$J$8:$J$500,MATCH(SMALL(IF((Calc!$C$8:$C$500=Kanban!$C$7)*(Calc!$K$8:$K$500=Kanban!G$11)*(Calc!$Y$8:$Y$500&gt;0),Calc!$Y$8:$Y$500,99999),Kanban_Helper!$B22),Calc!$Y$8:$Y$500,0)))=0,"",CONCATENATE(Calc!$AD$6,INDEX(Calc!$J$8:$J$500,MATCH(SMALL(IF((Calc!$C$8:$C$500=Kanban!$C$7)*(Calc!$K$8:$K$500=Kanban!G$11)*(Calc!$Y$8:$Y$500&gt;0),Calc!$Y$8:$Y$500,99999),Kanban_Helper!$B22),Calc!$Y$8:$Y$500,0)))),IF(LEN(INDEX(Calc!$J$8:$J$500,MATCH(SMALL(IF((Calc!$K$8:$K$500=Kanban!G$11)*(Calc!$Y$8:$Y$500&gt;0),Calc!$Y$8:$Y$500,99999),Kanban_Helper!$B22),Calc!$Y$8:$Y$500,0)))=0,"",CONCATENATE(Calc!$AD$6,INDEX(Calc!$J$8:$J$500,MATCH(SMALL(IF((Calc!$K$8:$K$500=Kanban!G$11)*(Calc!$Y$8:$Y$500&gt;0),Calc!$Y$8:$Y$500,99999),Kanban_Helper!$B22),Calc!$Y$8:$Y$500,0)))))),"")</f>
        <v/>
      </c>
      <c r="H29" s="173" t="str">
        <f t="array" ref="H29">IFERROR(IF(LEN(H$11)=0,"",IF($C$7&lt;&gt;"All",IF(LEN(INDEX(Calc!$J$8:$J$500,MATCH(SMALL(IF((Calc!$C$8:$C$500=Kanban!$C$7)*(Calc!$K$8:$K$500=Kanban!H$11)*(Calc!$Y$8:$Y$500&gt;0),Calc!$Y$8:$Y$500,99999),Kanban_Helper!$B22),Calc!$Y$8:$Y$500,0)))=0,"",CONCATENATE(Calc!$AD$6,INDEX(Calc!$J$8:$J$500,MATCH(SMALL(IF((Calc!$C$8:$C$500=Kanban!$C$7)*(Calc!$K$8:$K$500=Kanban!H$11)*(Calc!$Y$8:$Y$500&gt;0),Calc!$Y$8:$Y$500,99999),Kanban_Helper!$B22),Calc!$Y$8:$Y$500,0)))),IF(LEN(INDEX(Calc!$J$8:$J$500,MATCH(SMALL(IF((Calc!$K$8:$K$500=Kanban!H$11)*(Calc!$Y$8:$Y$500&gt;0),Calc!$Y$8:$Y$500,99999),Kanban_Helper!$B22),Calc!$Y$8:$Y$500,0)))=0,"",CONCATENATE(Calc!$AD$6,INDEX(Calc!$J$8:$J$500,MATCH(SMALL(IF((Calc!$K$8:$K$500=Kanban!H$11)*(Calc!$Y$8:$Y$500&gt;0),Calc!$Y$8:$Y$500,99999),Kanban_Helper!$B22),Calc!$Y$8:$Y$500,0)))))),"")</f>
        <v/>
      </c>
      <c r="I29" s="39"/>
      <c r="J29" s="10"/>
      <c r="K29" s="10"/>
      <c r="L29" s="10"/>
    </row>
    <row r="30" spans="2:12" ht="15" thickTop="1" x14ac:dyDescent="0.35">
      <c r="B30" s="80"/>
      <c r="C30" s="170" t="str">
        <f t="array" ref="C30">IFERROR(IF(LEN(C$11)=0,"",IF($C$7&lt;&gt;"All",IF(INDEX(Calc!$V$8:$V$500,MATCH(INDEX(Calc!$D$8:$D$500,MATCH(SMALL(IF((Calc!$C$8:$C$500=Kanban!$C$7)*(Calc!$K$8:$K$500=Kanban!C$11)*(Calc!$Y$8:$Y$500&gt;0),Calc!$Y$8:$Y$500,99999),Kanban_Helper!$B23),Calc!$Y$8:$Y$500,0)),Calc!$D$8:$D$500,0))="Yes",CONCATENATE(INDEX(Calc!$D$8:$D$500,MATCH(SMALL(IF((Calc!$C$8:$C$500=Kanban!$C$7)*(Calc!$K$8:$K$500=Kanban!C$11)*(Calc!$Y$8:$Y$500&gt;0),Calc!$Y$8:$Y$500,99999),Kanban_Helper!$B23),Calc!$Y$8:$Y$500,0))," ",Calc!$V$7," ","!"),INDEX(Calc!$D$8:$D$500,MATCH(SMALL(IF((Calc!$C$8:$C$500=Kanban!$C$7)*(Calc!$K$8:$K$500=Kanban!C$11)*(Calc!$Y$8:$Y$500&gt;0),Calc!$Y$8:$Y$500,99999),Kanban_Helper!$B23),Calc!$Y$8:$Y$500,0))),IF(INDEX(Calc!$V$8:$V$500,MATCH(INDEX(Calc!$D$8:$D$500,MATCH(SMALL(IF((Calc!$K$8:$K$500=Kanban!C$11)*(Calc!$Y$8:$Y$500&gt;0),Calc!$Y$8:$Y$500,99999),Kanban_Helper!$B23),Calc!$Y$8:$Y$500,0)),Calc!$D$8:$D$500,0))="Yes",CONCATENATE(INDEX(Calc!$D$8:$D$500,MATCH(SMALL(IF((Calc!$K$8:$K$500=Kanban!C$11)*(Calc!$Y$8:$Y$500&gt;0),Calc!$Y$8:$Y$500,99999),Kanban_Helper!$B23),Calc!$Y$8:$Y$500,0))," ",Calc!$V$7," ","!"),INDEX(Calc!$D$8:$D$500,MATCH(SMALL(IF((Calc!$K$8:$K$500=Kanban!C$11)*(Calc!$Y$8:$Y$500&gt;0),Calc!$Y$8:$Y$500,99999),Kanban_Helper!$B23),Calc!$Y$8:$Y$500,0))))),"")</f>
        <v/>
      </c>
      <c r="D30" s="170" t="str">
        <f t="array" ref="D30">IFERROR(IF(LEN(D$11)=0,"",IF($C$7&lt;&gt;"All",IF(INDEX(Calc!$V$8:$V$500,MATCH(INDEX(Calc!$D$8:$D$500,MATCH(SMALL(IF((Calc!$C$8:$C$500=Kanban!$C$7)*(Calc!$K$8:$K$500=Kanban!D$11)*(Calc!$Y$8:$Y$500&gt;0),Calc!$Y$8:$Y$500,99999),Kanban_Helper!$B23),Calc!$Y$8:$Y$500,0)),Calc!$D$8:$D$500,0))="Yes",CONCATENATE(INDEX(Calc!$D$8:$D$500,MATCH(SMALL(IF((Calc!$C$8:$C$500=Kanban!$C$7)*(Calc!$K$8:$K$500=Kanban!D$11)*(Calc!$Y$8:$Y$500&gt;0),Calc!$Y$8:$Y$500,99999),Kanban_Helper!$B23),Calc!$Y$8:$Y$500,0))," ",Calc!$V$7," ","!"),INDEX(Calc!$D$8:$D$500,MATCH(SMALL(IF((Calc!$C$8:$C$500=Kanban!$C$7)*(Calc!$K$8:$K$500=Kanban!D$11)*(Calc!$Y$8:$Y$500&gt;0),Calc!$Y$8:$Y$500,99999),Kanban_Helper!$B23),Calc!$Y$8:$Y$500,0))),IF(INDEX(Calc!$V$8:$V$500,MATCH(INDEX(Calc!$D$8:$D$500,MATCH(SMALL(IF((Calc!$K$8:$K$500=Kanban!D$11)*(Calc!$Y$8:$Y$500&gt;0),Calc!$Y$8:$Y$500,99999),Kanban_Helper!$B23),Calc!$Y$8:$Y$500,0)),Calc!$D$8:$D$500,0))="Yes",CONCATENATE(INDEX(Calc!$D$8:$D$500,MATCH(SMALL(IF((Calc!$K$8:$K$500=Kanban!D$11)*(Calc!$Y$8:$Y$500&gt;0),Calc!$Y$8:$Y$500,99999),Kanban_Helper!$B23),Calc!$Y$8:$Y$500,0))," ",Calc!$V$7," ","!"),INDEX(Calc!$D$8:$D$500,MATCH(SMALL(IF((Calc!$K$8:$K$500=Kanban!D$11)*(Calc!$Y$8:$Y$500&gt;0),Calc!$Y$8:$Y$500,99999),Kanban_Helper!$B23),Calc!$Y$8:$Y$500,0))))),"")</f>
        <v/>
      </c>
      <c r="E30" s="170" t="str">
        <f t="array" ref="E30">IFERROR(IF(LEN(E$11)=0,"",IF($C$7&lt;&gt;"All",IF(INDEX(Calc!$V$8:$V$500,MATCH(INDEX(Calc!$D$8:$D$500,MATCH(SMALL(IF((Calc!$C$8:$C$500=Kanban!$C$7)*(Calc!$K$8:$K$500=Kanban!E$11)*(Calc!$Y$8:$Y$500&gt;0),Calc!$Y$8:$Y$500,99999),Kanban_Helper!$B23),Calc!$Y$8:$Y$500,0)),Calc!$D$8:$D$500,0))="Yes",CONCATENATE(INDEX(Calc!$D$8:$D$500,MATCH(SMALL(IF((Calc!$C$8:$C$500=Kanban!$C$7)*(Calc!$K$8:$K$500=Kanban!E$11)*(Calc!$Y$8:$Y$500&gt;0),Calc!$Y$8:$Y$500,99999),Kanban_Helper!$B23),Calc!$Y$8:$Y$500,0))," ",Calc!$V$7," ","!"),INDEX(Calc!$D$8:$D$500,MATCH(SMALL(IF((Calc!$C$8:$C$500=Kanban!$C$7)*(Calc!$K$8:$K$500=Kanban!E$11)*(Calc!$Y$8:$Y$500&gt;0),Calc!$Y$8:$Y$500,99999),Kanban_Helper!$B23),Calc!$Y$8:$Y$500,0))),IF(INDEX(Calc!$V$8:$V$500,MATCH(INDEX(Calc!$D$8:$D$500,MATCH(SMALL(IF((Calc!$K$8:$K$500=Kanban!E$11)*(Calc!$Y$8:$Y$500&gt;0),Calc!$Y$8:$Y$500,99999),Kanban_Helper!$B23),Calc!$Y$8:$Y$500,0)),Calc!$D$8:$D$500,0))="Yes",CONCATENATE(INDEX(Calc!$D$8:$D$500,MATCH(SMALL(IF((Calc!$K$8:$K$500=Kanban!E$11)*(Calc!$Y$8:$Y$500&gt;0),Calc!$Y$8:$Y$500,99999),Kanban_Helper!$B23),Calc!$Y$8:$Y$500,0))," ",Calc!$V$7," ","!"),INDEX(Calc!$D$8:$D$500,MATCH(SMALL(IF((Calc!$K$8:$K$500=Kanban!E$11)*(Calc!$Y$8:$Y$500&gt;0),Calc!$Y$8:$Y$500,99999),Kanban_Helper!$B23),Calc!$Y$8:$Y$500,0))))),"")</f>
        <v/>
      </c>
      <c r="F30" s="170" t="str">
        <f t="array" ref="F30">IFERROR(IF(LEN(F$11)=0,"",IF($C$7&lt;&gt;"All",IF(INDEX(Calc!$V$8:$V$500,MATCH(INDEX(Calc!$D$8:$D$500,MATCH(SMALL(IF((Calc!$C$8:$C$500=Kanban!$C$7)*(Calc!$K$8:$K$500=Kanban!F$11)*(Calc!$Y$8:$Y$500&gt;0),Calc!$Y$8:$Y$500,99999),Kanban_Helper!$B23),Calc!$Y$8:$Y$500,0)),Calc!$D$8:$D$500,0))="Yes",CONCATENATE(INDEX(Calc!$D$8:$D$500,MATCH(SMALL(IF((Calc!$C$8:$C$500=Kanban!$C$7)*(Calc!$K$8:$K$500=Kanban!F$11)*(Calc!$Y$8:$Y$500&gt;0),Calc!$Y$8:$Y$500,99999),Kanban_Helper!$B23),Calc!$Y$8:$Y$500,0))," ",Calc!$V$7," ","!"),INDEX(Calc!$D$8:$D$500,MATCH(SMALL(IF((Calc!$C$8:$C$500=Kanban!$C$7)*(Calc!$K$8:$K$500=Kanban!F$11)*(Calc!$Y$8:$Y$500&gt;0),Calc!$Y$8:$Y$500,99999),Kanban_Helper!$B23),Calc!$Y$8:$Y$500,0))),IF(INDEX(Calc!$V$8:$V$500,MATCH(INDEX(Calc!$D$8:$D$500,MATCH(SMALL(IF((Calc!$K$8:$K$500=Kanban!F$11)*(Calc!$Y$8:$Y$500&gt;0),Calc!$Y$8:$Y$500,99999),Kanban_Helper!$B23),Calc!$Y$8:$Y$500,0)),Calc!$D$8:$D$500,0))="Yes",CONCATENATE(INDEX(Calc!$D$8:$D$500,MATCH(SMALL(IF((Calc!$K$8:$K$500=Kanban!F$11)*(Calc!$Y$8:$Y$500&gt;0),Calc!$Y$8:$Y$500,99999),Kanban_Helper!$B23),Calc!$Y$8:$Y$500,0))," ",Calc!$V$7," ","!"),INDEX(Calc!$D$8:$D$500,MATCH(SMALL(IF((Calc!$K$8:$K$500=Kanban!F$11)*(Calc!$Y$8:$Y$500&gt;0),Calc!$Y$8:$Y$500,99999),Kanban_Helper!$B23),Calc!$Y$8:$Y$500,0))))),"")</f>
        <v/>
      </c>
      <c r="G30" s="170" t="str">
        <f t="array" ref="G30">IFERROR(IF(LEN(G$11)=0,"",IF($C$7&lt;&gt;"All",IF(INDEX(Calc!$V$8:$V$500,MATCH(INDEX(Calc!$D$8:$D$500,MATCH(SMALL(IF((Calc!$C$8:$C$500=Kanban!$C$7)*(Calc!$K$8:$K$500=Kanban!G$11)*(Calc!$Y$8:$Y$500&gt;0),Calc!$Y$8:$Y$500,99999),Kanban_Helper!$B23),Calc!$Y$8:$Y$500,0)),Calc!$D$8:$D$500,0))="Yes",CONCATENATE(INDEX(Calc!$D$8:$D$500,MATCH(SMALL(IF((Calc!$C$8:$C$500=Kanban!$C$7)*(Calc!$K$8:$K$500=Kanban!G$11)*(Calc!$Y$8:$Y$500&gt;0),Calc!$Y$8:$Y$500,99999),Kanban_Helper!$B23),Calc!$Y$8:$Y$500,0))," ",Calc!$V$7," ","!"),INDEX(Calc!$D$8:$D$500,MATCH(SMALL(IF((Calc!$C$8:$C$500=Kanban!$C$7)*(Calc!$K$8:$K$500=Kanban!G$11)*(Calc!$Y$8:$Y$500&gt;0),Calc!$Y$8:$Y$500,99999),Kanban_Helper!$B23),Calc!$Y$8:$Y$500,0))),IF(INDEX(Calc!$V$8:$V$500,MATCH(INDEX(Calc!$D$8:$D$500,MATCH(SMALL(IF((Calc!$K$8:$K$500=Kanban!G$11)*(Calc!$Y$8:$Y$500&gt;0),Calc!$Y$8:$Y$500,99999),Kanban_Helper!$B23),Calc!$Y$8:$Y$500,0)),Calc!$D$8:$D$500,0))="Yes",CONCATENATE(INDEX(Calc!$D$8:$D$500,MATCH(SMALL(IF((Calc!$K$8:$K$500=Kanban!G$11)*(Calc!$Y$8:$Y$500&gt;0),Calc!$Y$8:$Y$500,99999),Kanban_Helper!$B23),Calc!$Y$8:$Y$500,0))," ",Calc!$V$7," ","!"),INDEX(Calc!$D$8:$D$500,MATCH(SMALL(IF((Calc!$K$8:$K$500=Kanban!G$11)*(Calc!$Y$8:$Y$500&gt;0),Calc!$Y$8:$Y$500,99999),Kanban_Helper!$B23),Calc!$Y$8:$Y$500,0))))),"")</f>
        <v/>
      </c>
      <c r="H30" s="170" t="str">
        <f t="array" ref="H30">IFERROR(IF(LEN(H$11)=0,"",IF($C$7&lt;&gt;"All",IF(INDEX(Calc!$V$8:$V$500,MATCH(INDEX(Calc!$D$8:$D$500,MATCH(SMALL(IF((Calc!$C$8:$C$500=Kanban!$C$7)*(Calc!$K$8:$K$500=Kanban!H$11)*(Calc!$Y$8:$Y$500&gt;0),Calc!$Y$8:$Y$500,99999),Kanban_Helper!$B23),Calc!$Y$8:$Y$500,0)),Calc!$D$8:$D$500,0))="Yes",CONCATENATE(INDEX(Calc!$D$8:$D$500,MATCH(SMALL(IF((Calc!$C$8:$C$500=Kanban!$C$7)*(Calc!$K$8:$K$500=Kanban!H$11)*(Calc!$Y$8:$Y$500&gt;0),Calc!$Y$8:$Y$500,99999),Kanban_Helper!$B23),Calc!$Y$8:$Y$500,0))," ",Calc!$V$7," ","!"),INDEX(Calc!$D$8:$D$500,MATCH(SMALL(IF((Calc!$C$8:$C$500=Kanban!$C$7)*(Calc!$K$8:$K$500=Kanban!H$11)*(Calc!$Y$8:$Y$500&gt;0),Calc!$Y$8:$Y$500,99999),Kanban_Helper!$B23),Calc!$Y$8:$Y$500,0))),IF(INDEX(Calc!$V$8:$V$500,MATCH(INDEX(Calc!$D$8:$D$500,MATCH(SMALL(IF((Calc!$K$8:$K$500=Kanban!H$11)*(Calc!$Y$8:$Y$500&gt;0),Calc!$Y$8:$Y$500,99999),Kanban_Helper!$B23),Calc!$Y$8:$Y$500,0)),Calc!$D$8:$D$500,0))="Yes",CONCATENATE(INDEX(Calc!$D$8:$D$500,MATCH(SMALL(IF((Calc!$K$8:$K$500=Kanban!H$11)*(Calc!$Y$8:$Y$500&gt;0),Calc!$Y$8:$Y$500,99999),Kanban_Helper!$B23),Calc!$Y$8:$Y$500,0))," ",Calc!$V$7," ","!"),INDEX(Calc!$D$8:$D$500,MATCH(SMALL(IF((Calc!$K$8:$K$500=Kanban!H$11)*(Calc!$Y$8:$Y$500&gt;0),Calc!$Y$8:$Y$500,99999),Kanban_Helper!$B23),Calc!$Y$8:$Y$500,0))))),"")</f>
        <v/>
      </c>
      <c r="I30" s="39"/>
      <c r="J30" s="10"/>
      <c r="K30" s="10"/>
      <c r="L30" s="10"/>
    </row>
    <row r="31" spans="2:12" x14ac:dyDescent="0.35">
      <c r="B31" s="80"/>
      <c r="C31" s="171" t="str">
        <f t="array" ref="C31">IFERROR(IF(LEN(C$11)=0,"",IF($C$7&lt;&gt;"All",INDEX(Calc!$E$8:$E$500,MATCH(SMALL(IF((Calc!$C$8:$C$500=Kanban!$C$7)*(Calc!$K$8:$K$500=Kanban!C$11)*(Calc!$Y$8:$Y$500&gt;0),Calc!$Y$8:$Y$500,99999),Kanban_Helper!$B24),Calc!$Y$8:$Y$500,0)),INDEX(Calc!$E$8:$E$500,MATCH(SMALL(IF((Calc!$K$8:$K$500=Kanban!C$11)*(Calc!$Y$8:$Y$500&gt;0),Calc!$Y$8:$Y$500,99999),Kanban_Helper!$B24),Calc!$Y$8:$Y$500,0)))),"")</f>
        <v/>
      </c>
      <c r="D31" s="171" t="str">
        <f t="array" ref="D31">IFERROR(IF(LEN(D$11)=0,"",IF($C$7&lt;&gt;"All",INDEX(Calc!$E$8:$E$500,MATCH(SMALL(IF((Calc!$C$8:$C$500=Kanban!$C$7)*(Calc!$K$8:$K$500=Kanban!D$11)*(Calc!$Y$8:$Y$500&gt;0),Calc!$Y$8:$Y$500,99999),Kanban_Helper!$B24),Calc!$Y$8:$Y$500,0)),INDEX(Calc!$E$8:$E$500,MATCH(SMALL(IF((Calc!$K$8:$K$500=Kanban!D$11)*(Calc!$Y$8:$Y$500&gt;0),Calc!$Y$8:$Y$500,99999),Kanban_Helper!$B24),Calc!$Y$8:$Y$500,0)))),"")</f>
        <v/>
      </c>
      <c r="E31" s="171" t="str">
        <f t="array" ref="E31">IFERROR(IF(LEN(E$11)=0,"",IF($C$7&lt;&gt;"All",INDEX(Calc!$E$8:$E$500,MATCH(SMALL(IF((Calc!$C$8:$C$500=Kanban!$C$7)*(Calc!$K$8:$K$500=Kanban!E$11)*(Calc!$Y$8:$Y$500&gt;0),Calc!$Y$8:$Y$500,99999),Kanban_Helper!$B24),Calc!$Y$8:$Y$500,0)),INDEX(Calc!$E$8:$E$500,MATCH(SMALL(IF((Calc!$K$8:$K$500=Kanban!E$11)*(Calc!$Y$8:$Y$500&gt;0),Calc!$Y$8:$Y$500,99999),Kanban_Helper!$B24),Calc!$Y$8:$Y$500,0)))),"")</f>
        <v/>
      </c>
      <c r="F31" s="171" t="str">
        <f t="array" ref="F31">IFERROR(IF(LEN(F$11)=0,"",IF($C$7&lt;&gt;"All",INDEX(Calc!$E$8:$E$500,MATCH(SMALL(IF((Calc!$C$8:$C$500=Kanban!$C$7)*(Calc!$K$8:$K$500=Kanban!F$11)*(Calc!$Y$8:$Y$500&gt;0),Calc!$Y$8:$Y$500,99999),Kanban_Helper!$B24),Calc!$Y$8:$Y$500,0)),INDEX(Calc!$E$8:$E$500,MATCH(SMALL(IF((Calc!$K$8:$K$500=Kanban!F$11)*(Calc!$Y$8:$Y$500&gt;0),Calc!$Y$8:$Y$500,99999),Kanban_Helper!$B24),Calc!$Y$8:$Y$500,0)))),"")</f>
        <v/>
      </c>
      <c r="G31" s="171" t="str">
        <f t="array" ref="G31">IFERROR(IF(LEN(G$11)=0,"",IF($C$7&lt;&gt;"All",INDEX(Calc!$E$8:$E$500,MATCH(SMALL(IF((Calc!$C$8:$C$500=Kanban!$C$7)*(Calc!$K$8:$K$500=Kanban!G$11)*(Calc!$Y$8:$Y$500&gt;0),Calc!$Y$8:$Y$500,99999),Kanban_Helper!$B24),Calc!$Y$8:$Y$500,0)),INDEX(Calc!$E$8:$E$500,MATCH(SMALL(IF((Calc!$K$8:$K$500=Kanban!G$11)*(Calc!$Y$8:$Y$500&gt;0),Calc!$Y$8:$Y$500,99999),Kanban_Helper!$B24),Calc!$Y$8:$Y$500,0)))),"")</f>
        <v/>
      </c>
      <c r="H31" s="171" t="str">
        <f t="array" ref="H31">IFERROR(IF(LEN(H$11)=0,"",IF($C$7&lt;&gt;"All",INDEX(Calc!$E$8:$E$500,MATCH(SMALL(IF((Calc!$C$8:$C$500=Kanban!$C$7)*(Calc!$K$8:$K$500=Kanban!H$11)*(Calc!$Y$8:$Y$500&gt;0),Calc!$Y$8:$Y$500,99999),Kanban_Helper!$B24),Calc!$Y$8:$Y$500,0)),INDEX(Calc!$E$8:$E$500,MATCH(SMALL(IF((Calc!$K$8:$K$500=Kanban!H$11)*(Calc!$Y$8:$Y$500&gt;0),Calc!$Y$8:$Y$500,99999),Kanban_Helper!$B24),Calc!$Y$8:$Y$500,0)))),"")</f>
        <v/>
      </c>
      <c r="I31" s="39"/>
      <c r="J31" s="10"/>
      <c r="K31" s="10"/>
      <c r="L31" s="10"/>
    </row>
    <row r="32" spans="2:12" ht="15" thickBot="1" x14ac:dyDescent="0.4">
      <c r="B32" s="80"/>
      <c r="C32" s="173" t="str">
        <f t="array" ref="C32">IFERROR(IF(LEN(C$11)=0,"",IF($C$7&lt;&gt;"All",IF(LEN(INDEX(Calc!$J$8:$J$500,MATCH(SMALL(IF((Calc!$C$8:$C$500=Kanban!$C$7)*(Calc!$K$8:$K$500=Kanban!C$11)*(Calc!$Y$8:$Y$500&gt;0),Calc!$Y$8:$Y$500,99999),Kanban_Helper!$B25),Calc!$Y$8:$Y$500,0)))=0,"",CONCATENATE(Calc!$AD$6,INDEX(Calc!$J$8:$J$500,MATCH(SMALL(IF((Calc!$C$8:$C$500=Kanban!$C$7)*(Calc!$K$8:$K$500=Kanban!C$11)*(Calc!$Y$8:$Y$500&gt;0),Calc!$Y$8:$Y$500,99999),Kanban_Helper!$B25),Calc!$Y$8:$Y$500,0)))),IF(LEN(INDEX(Calc!$J$8:$J$500,MATCH(SMALL(IF((Calc!$K$8:$K$500=Kanban!C$11)*(Calc!$Y$8:$Y$500&gt;0),Calc!$Y$8:$Y$500,99999),Kanban_Helper!$B25),Calc!$Y$8:$Y$500,0)))=0,"",CONCATENATE(Calc!$AD$6,INDEX(Calc!$J$8:$J$500,MATCH(SMALL(IF((Calc!$K$8:$K$500=Kanban!C$11)*(Calc!$Y$8:$Y$500&gt;0),Calc!$Y$8:$Y$500,99999),Kanban_Helper!$B25),Calc!$Y$8:$Y$500,0)))))),"")</f>
        <v/>
      </c>
      <c r="D32" s="173" t="str">
        <f t="array" ref="D32">IFERROR(IF(LEN(D$11)=0,"",IF($C$7&lt;&gt;"All",IF(LEN(INDEX(Calc!$J$8:$J$500,MATCH(SMALL(IF((Calc!$C$8:$C$500=Kanban!$C$7)*(Calc!$K$8:$K$500=Kanban!D$11)*(Calc!$Y$8:$Y$500&gt;0),Calc!$Y$8:$Y$500,99999),Kanban_Helper!$B25),Calc!$Y$8:$Y$500,0)))=0,"",CONCATENATE(Calc!$AD$6,INDEX(Calc!$J$8:$J$500,MATCH(SMALL(IF((Calc!$C$8:$C$500=Kanban!$C$7)*(Calc!$K$8:$K$500=Kanban!D$11)*(Calc!$Y$8:$Y$500&gt;0),Calc!$Y$8:$Y$500,99999),Kanban_Helper!$B25),Calc!$Y$8:$Y$500,0)))),IF(LEN(INDEX(Calc!$J$8:$J$500,MATCH(SMALL(IF((Calc!$K$8:$K$500=Kanban!D$11)*(Calc!$Y$8:$Y$500&gt;0),Calc!$Y$8:$Y$500,99999),Kanban_Helper!$B25),Calc!$Y$8:$Y$500,0)))=0,"",CONCATENATE(Calc!$AD$6,INDEX(Calc!$J$8:$J$500,MATCH(SMALL(IF((Calc!$K$8:$K$500=Kanban!D$11)*(Calc!$Y$8:$Y$500&gt;0),Calc!$Y$8:$Y$500,99999),Kanban_Helper!$B25),Calc!$Y$8:$Y$500,0)))))),"")</f>
        <v/>
      </c>
      <c r="E32" s="173" t="str">
        <f t="array" ref="E32">IFERROR(IF(LEN(E$11)=0,"",IF($C$7&lt;&gt;"All",IF(LEN(INDEX(Calc!$J$8:$J$500,MATCH(SMALL(IF((Calc!$C$8:$C$500=Kanban!$C$7)*(Calc!$K$8:$K$500=Kanban!E$11)*(Calc!$Y$8:$Y$500&gt;0),Calc!$Y$8:$Y$500,99999),Kanban_Helper!$B25),Calc!$Y$8:$Y$500,0)))=0,"",CONCATENATE(Calc!$AD$6,INDEX(Calc!$J$8:$J$500,MATCH(SMALL(IF((Calc!$C$8:$C$500=Kanban!$C$7)*(Calc!$K$8:$K$500=Kanban!E$11)*(Calc!$Y$8:$Y$500&gt;0),Calc!$Y$8:$Y$500,99999),Kanban_Helper!$B25),Calc!$Y$8:$Y$500,0)))),IF(LEN(INDEX(Calc!$J$8:$J$500,MATCH(SMALL(IF((Calc!$K$8:$K$500=Kanban!E$11)*(Calc!$Y$8:$Y$500&gt;0),Calc!$Y$8:$Y$500,99999),Kanban_Helper!$B25),Calc!$Y$8:$Y$500,0)))=0,"",CONCATENATE(Calc!$AD$6,INDEX(Calc!$J$8:$J$500,MATCH(SMALL(IF((Calc!$K$8:$K$500=Kanban!E$11)*(Calc!$Y$8:$Y$500&gt;0),Calc!$Y$8:$Y$500,99999),Kanban_Helper!$B25),Calc!$Y$8:$Y$500,0)))))),"")</f>
        <v/>
      </c>
      <c r="F32" s="173" t="str">
        <f t="array" ref="F32">IFERROR(IF(LEN(F$11)=0,"",IF($C$7&lt;&gt;"All",IF(LEN(INDEX(Calc!$J$8:$J$500,MATCH(SMALL(IF((Calc!$C$8:$C$500=Kanban!$C$7)*(Calc!$K$8:$K$500=Kanban!F$11)*(Calc!$Y$8:$Y$500&gt;0),Calc!$Y$8:$Y$500,99999),Kanban_Helper!$B25),Calc!$Y$8:$Y$500,0)))=0,"",CONCATENATE(Calc!$AD$6,INDEX(Calc!$J$8:$J$500,MATCH(SMALL(IF((Calc!$C$8:$C$500=Kanban!$C$7)*(Calc!$K$8:$K$500=Kanban!F$11)*(Calc!$Y$8:$Y$500&gt;0),Calc!$Y$8:$Y$500,99999),Kanban_Helper!$B25),Calc!$Y$8:$Y$500,0)))),IF(LEN(INDEX(Calc!$J$8:$J$500,MATCH(SMALL(IF((Calc!$K$8:$K$500=Kanban!F$11)*(Calc!$Y$8:$Y$500&gt;0),Calc!$Y$8:$Y$500,99999),Kanban_Helper!$B25),Calc!$Y$8:$Y$500,0)))=0,"",CONCATENATE(Calc!$AD$6,INDEX(Calc!$J$8:$J$500,MATCH(SMALL(IF((Calc!$K$8:$K$500=Kanban!F$11)*(Calc!$Y$8:$Y$500&gt;0),Calc!$Y$8:$Y$500,99999),Kanban_Helper!$B25),Calc!$Y$8:$Y$500,0)))))),"")</f>
        <v/>
      </c>
      <c r="G32" s="173" t="str">
        <f t="array" ref="G32">IFERROR(IF(LEN(G$11)=0,"",IF($C$7&lt;&gt;"All",IF(LEN(INDEX(Calc!$J$8:$J$500,MATCH(SMALL(IF((Calc!$C$8:$C$500=Kanban!$C$7)*(Calc!$K$8:$K$500=Kanban!G$11)*(Calc!$Y$8:$Y$500&gt;0),Calc!$Y$8:$Y$500,99999),Kanban_Helper!$B25),Calc!$Y$8:$Y$500,0)))=0,"",CONCATENATE(Calc!$AD$6,INDEX(Calc!$J$8:$J$500,MATCH(SMALL(IF((Calc!$C$8:$C$500=Kanban!$C$7)*(Calc!$K$8:$K$500=Kanban!G$11)*(Calc!$Y$8:$Y$500&gt;0),Calc!$Y$8:$Y$500,99999),Kanban_Helper!$B25),Calc!$Y$8:$Y$500,0)))),IF(LEN(INDEX(Calc!$J$8:$J$500,MATCH(SMALL(IF((Calc!$K$8:$K$500=Kanban!G$11)*(Calc!$Y$8:$Y$500&gt;0),Calc!$Y$8:$Y$500,99999),Kanban_Helper!$B25),Calc!$Y$8:$Y$500,0)))=0,"",CONCATENATE(Calc!$AD$6,INDEX(Calc!$J$8:$J$500,MATCH(SMALL(IF((Calc!$K$8:$K$500=Kanban!G$11)*(Calc!$Y$8:$Y$500&gt;0),Calc!$Y$8:$Y$500,99999),Kanban_Helper!$B25),Calc!$Y$8:$Y$500,0)))))),"")</f>
        <v/>
      </c>
      <c r="H32" s="173" t="str">
        <f t="array" ref="H32">IFERROR(IF(LEN(H$11)=0,"",IF($C$7&lt;&gt;"All",IF(LEN(INDEX(Calc!$J$8:$J$500,MATCH(SMALL(IF((Calc!$C$8:$C$500=Kanban!$C$7)*(Calc!$K$8:$K$500=Kanban!H$11)*(Calc!$Y$8:$Y$500&gt;0),Calc!$Y$8:$Y$500,99999),Kanban_Helper!$B25),Calc!$Y$8:$Y$500,0)))=0,"",CONCATENATE(Calc!$AD$6,INDEX(Calc!$J$8:$J$500,MATCH(SMALL(IF((Calc!$C$8:$C$500=Kanban!$C$7)*(Calc!$K$8:$K$500=Kanban!H$11)*(Calc!$Y$8:$Y$500&gt;0),Calc!$Y$8:$Y$500,99999),Kanban_Helper!$B25),Calc!$Y$8:$Y$500,0)))),IF(LEN(INDEX(Calc!$J$8:$J$500,MATCH(SMALL(IF((Calc!$K$8:$K$500=Kanban!H$11)*(Calc!$Y$8:$Y$500&gt;0),Calc!$Y$8:$Y$500,99999),Kanban_Helper!$B25),Calc!$Y$8:$Y$500,0)))=0,"",CONCATENATE(Calc!$AD$6,INDEX(Calc!$J$8:$J$500,MATCH(SMALL(IF((Calc!$K$8:$K$500=Kanban!H$11)*(Calc!$Y$8:$Y$500&gt;0),Calc!$Y$8:$Y$500,99999),Kanban_Helper!$B25),Calc!$Y$8:$Y$500,0)))))),"")</f>
        <v/>
      </c>
      <c r="I32" s="39"/>
      <c r="J32" s="10"/>
      <c r="K32" s="10"/>
      <c r="L32" s="10"/>
    </row>
    <row r="33" spans="2:12" ht="15" thickTop="1" x14ac:dyDescent="0.35">
      <c r="B33" s="80"/>
      <c r="C33" s="170" t="str">
        <f t="array" ref="C33">IFERROR(IF(LEN(C$11)=0,"",IF($C$7&lt;&gt;"All",IF(INDEX(Calc!$V$8:$V$500,MATCH(INDEX(Calc!$D$8:$D$500,MATCH(SMALL(IF((Calc!$C$8:$C$500=Kanban!$C$7)*(Calc!$K$8:$K$500=Kanban!C$11)*(Calc!$Y$8:$Y$500&gt;0),Calc!$Y$8:$Y$500,99999),Kanban_Helper!$B26),Calc!$Y$8:$Y$500,0)),Calc!$D$8:$D$500,0))="Yes",CONCATENATE(INDEX(Calc!$D$8:$D$500,MATCH(SMALL(IF((Calc!$C$8:$C$500=Kanban!$C$7)*(Calc!$K$8:$K$500=Kanban!C$11)*(Calc!$Y$8:$Y$500&gt;0),Calc!$Y$8:$Y$500,99999),Kanban_Helper!$B26),Calc!$Y$8:$Y$500,0))," ",Calc!$V$7," ","!"),INDEX(Calc!$D$8:$D$500,MATCH(SMALL(IF((Calc!$C$8:$C$500=Kanban!$C$7)*(Calc!$K$8:$K$500=Kanban!C$11)*(Calc!$Y$8:$Y$500&gt;0),Calc!$Y$8:$Y$500,99999),Kanban_Helper!$B26),Calc!$Y$8:$Y$500,0))),IF(INDEX(Calc!$V$8:$V$500,MATCH(INDEX(Calc!$D$8:$D$500,MATCH(SMALL(IF((Calc!$K$8:$K$500=Kanban!C$11)*(Calc!$Y$8:$Y$500&gt;0),Calc!$Y$8:$Y$500,99999),Kanban_Helper!$B26),Calc!$Y$8:$Y$500,0)),Calc!$D$8:$D$500,0))="Yes",CONCATENATE(INDEX(Calc!$D$8:$D$500,MATCH(SMALL(IF((Calc!$K$8:$K$500=Kanban!C$11)*(Calc!$Y$8:$Y$500&gt;0),Calc!$Y$8:$Y$500,99999),Kanban_Helper!$B26),Calc!$Y$8:$Y$500,0))," ",Calc!$V$7," ","!"),INDEX(Calc!$D$8:$D$500,MATCH(SMALL(IF((Calc!$K$8:$K$500=Kanban!C$11)*(Calc!$Y$8:$Y$500&gt;0),Calc!$Y$8:$Y$500,99999),Kanban_Helper!$B26),Calc!$Y$8:$Y$500,0))))),"")</f>
        <v/>
      </c>
      <c r="D33" s="170" t="str">
        <f t="array" ref="D33">IFERROR(IF(LEN(D$11)=0,"",IF($C$7&lt;&gt;"All",IF(INDEX(Calc!$V$8:$V$500,MATCH(INDEX(Calc!$D$8:$D$500,MATCH(SMALL(IF((Calc!$C$8:$C$500=Kanban!$C$7)*(Calc!$K$8:$K$500=Kanban!D$11)*(Calc!$Y$8:$Y$500&gt;0),Calc!$Y$8:$Y$500,99999),Kanban_Helper!$B26),Calc!$Y$8:$Y$500,0)),Calc!$D$8:$D$500,0))="Yes",CONCATENATE(INDEX(Calc!$D$8:$D$500,MATCH(SMALL(IF((Calc!$C$8:$C$500=Kanban!$C$7)*(Calc!$K$8:$K$500=Kanban!D$11)*(Calc!$Y$8:$Y$500&gt;0),Calc!$Y$8:$Y$500,99999),Kanban_Helper!$B26),Calc!$Y$8:$Y$500,0))," ",Calc!$V$7," ","!"),INDEX(Calc!$D$8:$D$500,MATCH(SMALL(IF((Calc!$C$8:$C$500=Kanban!$C$7)*(Calc!$K$8:$K$500=Kanban!D$11)*(Calc!$Y$8:$Y$500&gt;0),Calc!$Y$8:$Y$500,99999),Kanban_Helper!$B26),Calc!$Y$8:$Y$500,0))),IF(INDEX(Calc!$V$8:$V$500,MATCH(INDEX(Calc!$D$8:$D$500,MATCH(SMALL(IF((Calc!$K$8:$K$500=Kanban!D$11)*(Calc!$Y$8:$Y$500&gt;0),Calc!$Y$8:$Y$500,99999),Kanban_Helper!$B26),Calc!$Y$8:$Y$500,0)),Calc!$D$8:$D$500,0))="Yes",CONCATENATE(INDEX(Calc!$D$8:$D$500,MATCH(SMALL(IF((Calc!$K$8:$K$500=Kanban!D$11)*(Calc!$Y$8:$Y$500&gt;0),Calc!$Y$8:$Y$500,99999),Kanban_Helper!$B26),Calc!$Y$8:$Y$500,0))," ",Calc!$V$7," ","!"),INDEX(Calc!$D$8:$D$500,MATCH(SMALL(IF((Calc!$K$8:$K$500=Kanban!D$11)*(Calc!$Y$8:$Y$500&gt;0),Calc!$Y$8:$Y$500,99999),Kanban_Helper!$B26),Calc!$Y$8:$Y$500,0))))),"")</f>
        <v/>
      </c>
      <c r="E33" s="170" t="str">
        <f t="array" ref="E33">IFERROR(IF(LEN(E$11)=0,"",IF($C$7&lt;&gt;"All",IF(INDEX(Calc!$V$8:$V$500,MATCH(INDEX(Calc!$D$8:$D$500,MATCH(SMALL(IF((Calc!$C$8:$C$500=Kanban!$C$7)*(Calc!$K$8:$K$500=Kanban!E$11)*(Calc!$Y$8:$Y$500&gt;0),Calc!$Y$8:$Y$500,99999),Kanban_Helper!$B26),Calc!$Y$8:$Y$500,0)),Calc!$D$8:$D$500,0))="Yes",CONCATENATE(INDEX(Calc!$D$8:$D$500,MATCH(SMALL(IF((Calc!$C$8:$C$500=Kanban!$C$7)*(Calc!$K$8:$K$500=Kanban!E$11)*(Calc!$Y$8:$Y$500&gt;0),Calc!$Y$8:$Y$500,99999),Kanban_Helper!$B26),Calc!$Y$8:$Y$500,0))," ",Calc!$V$7," ","!"),INDEX(Calc!$D$8:$D$500,MATCH(SMALL(IF((Calc!$C$8:$C$500=Kanban!$C$7)*(Calc!$K$8:$K$500=Kanban!E$11)*(Calc!$Y$8:$Y$500&gt;0),Calc!$Y$8:$Y$500,99999),Kanban_Helper!$B26),Calc!$Y$8:$Y$500,0))),IF(INDEX(Calc!$V$8:$V$500,MATCH(INDEX(Calc!$D$8:$D$500,MATCH(SMALL(IF((Calc!$K$8:$K$500=Kanban!E$11)*(Calc!$Y$8:$Y$500&gt;0),Calc!$Y$8:$Y$500,99999),Kanban_Helper!$B26),Calc!$Y$8:$Y$500,0)),Calc!$D$8:$D$500,0))="Yes",CONCATENATE(INDEX(Calc!$D$8:$D$500,MATCH(SMALL(IF((Calc!$K$8:$K$500=Kanban!E$11)*(Calc!$Y$8:$Y$500&gt;0),Calc!$Y$8:$Y$500,99999),Kanban_Helper!$B26),Calc!$Y$8:$Y$500,0))," ",Calc!$V$7," ","!"),INDEX(Calc!$D$8:$D$500,MATCH(SMALL(IF((Calc!$K$8:$K$500=Kanban!E$11)*(Calc!$Y$8:$Y$500&gt;0),Calc!$Y$8:$Y$500,99999),Kanban_Helper!$B26),Calc!$Y$8:$Y$500,0))))),"")</f>
        <v/>
      </c>
      <c r="F33" s="170" t="str">
        <f t="array" ref="F33">IFERROR(IF(LEN(F$11)=0,"",IF($C$7&lt;&gt;"All",IF(INDEX(Calc!$V$8:$V$500,MATCH(INDEX(Calc!$D$8:$D$500,MATCH(SMALL(IF((Calc!$C$8:$C$500=Kanban!$C$7)*(Calc!$K$8:$K$500=Kanban!F$11)*(Calc!$Y$8:$Y$500&gt;0),Calc!$Y$8:$Y$500,99999),Kanban_Helper!$B26),Calc!$Y$8:$Y$500,0)),Calc!$D$8:$D$500,0))="Yes",CONCATENATE(INDEX(Calc!$D$8:$D$500,MATCH(SMALL(IF((Calc!$C$8:$C$500=Kanban!$C$7)*(Calc!$K$8:$K$500=Kanban!F$11)*(Calc!$Y$8:$Y$500&gt;0),Calc!$Y$8:$Y$500,99999),Kanban_Helper!$B26),Calc!$Y$8:$Y$500,0))," ",Calc!$V$7," ","!"),INDEX(Calc!$D$8:$D$500,MATCH(SMALL(IF((Calc!$C$8:$C$500=Kanban!$C$7)*(Calc!$K$8:$K$500=Kanban!F$11)*(Calc!$Y$8:$Y$500&gt;0),Calc!$Y$8:$Y$500,99999),Kanban_Helper!$B26),Calc!$Y$8:$Y$500,0))),IF(INDEX(Calc!$V$8:$V$500,MATCH(INDEX(Calc!$D$8:$D$500,MATCH(SMALL(IF((Calc!$K$8:$K$500=Kanban!F$11)*(Calc!$Y$8:$Y$500&gt;0),Calc!$Y$8:$Y$500,99999),Kanban_Helper!$B26),Calc!$Y$8:$Y$500,0)),Calc!$D$8:$D$500,0))="Yes",CONCATENATE(INDEX(Calc!$D$8:$D$500,MATCH(SMALL(IF((Calc!$K$8:$K$500=Kanban!F$11)*(Calc!$Y$8:$Y$500&gt;0),Calc!$Y$8:$Y$500,99999),Kanban_Helper!$B26),Calc!$Y$8:$Y$500,0))," ",Calc!$V$7," ","!"),INDEX(Calc!$D$8:$D$500,MATCH(SMALL(IF((Calc!$K$8:$K$500=Kanban!F$11)*(Calc!$Y$8:$Y$500&gt;0),Calc!$Y$8:$Y$500,99999),Kanban_Helper!$B26),Calc!$Y$8:$Y$500,0))))),"")</f>
        <v/>
      </c>
      <c r="G33" s="170" t="str">
        <f t="array" ref="G33">IFERROR(IF(LEN(G$11)=0,"",IF($C$7&lt;&gt;"All",IF(INDEX(Calc!$V$8:$V$500,MATCH(INDEX(Calc!$D$8:$D$500,MATCH(SMALL(IF((Calc!$C$8:$C$500=Kanban!$C$7)*(Calc!$K$8:$K$500=Kanban!G$11)*(Calc!$Y$8:$Y$500&gt;0),Calc!$Y$8:$Y$500,99999),Kanban_Helper!$B26),Calc!$Y$8:$Y$500,0)),Calc!$D$8:$D$500,0))="Yes",CONCATENATE(INDEX(Calc!$D$8:$D$500,MATCH(SMALL(IF((Calc!$C$8:$C$500=Kanban!$C$7)*(Calc!$K$8:$K$500=Kanban!G$11)*(Calc!$Y$8:$Y$500&gt;0),Calc!$Y$8:$Y$500,99999),Kanban_Helper!$B26),Calc!$Y$8:$Y$500,0))," ",Calc!$V$7," ","!"),INDEX(Calc!$D$8:$D$500,MATCH(SMALL(IF((Calc!$C$8:$C$500=Kanban!$C$7)*(Calc!$K$8:$K$500=Kanban!G$11)*(Calc!$Y$8:$Y$500&gt;0),Calc!$Y$8:$Y$500,99999),Kanban_Helper!$B26),Calc!$Y$8:$Y$500,0))),IF(INDEX(Calc!$V$8:$V$500,MATCH(INDEX(Calc!$D$8:$D$500,MATCH(SMALL(IF((Calc!$K$8:$K$500=Kanban!G$11)*(Calc!$Y$8:$Y$500&gt;0),Calc!$Y$8:$Y$500,99999),Kanban_Helper!$B26),Calc!$Y$8:$Y$500,0)),Calc!$D$8:$D$500,0))="Yes",CONCATENATE(INDEX(Calc!$D$8:$D$500,MATCH(SMALL(IF((Calc!$K$8:$K$500=Kanban!G$11)*(Calc!$Y$8:$Y$500&gt;0),Calc!$Y$8:$Y$500,99999),Kanban_Helper!$B26),Calc!$Y$8:$Y$500,0))," ",Calc!$V$7," ","!"),INDEX(Calc!$D$8:$D$500,MATCH(SMALL(IF((Calc!$K$8:$K$500=Kanban!G$11)*(Calc!$Y$8:$Y$500&gt;0),Calc!$Y$8:$Y$500,99999),Kanban_Helper!$B26),Calc!$Y$8:$Y$500,0))))),"")</f>
        <v/>
      </c>
      <c r="H33" s="170" t="str">
        <f t="array" ref="H33">IFERROR(IF(LEN(H$11)=0,"",IF($C$7&lt;&gt;"All",IF(INDEX(Calc!$V$8:$V$500,MATCH(INDEX(Calc!$D$8:$D$500,MATCH(SMALL(IF((Calc!$C$8:$C$500=Kanban!$C$7)*(Calc!$K$8:$K$500=Kanban!H$11)*(Calc!$Y$8:$Y$500&gt;0),Calc!$Y$8:$Y$500,99999),Kanban_Helper!$B26),Calc!$Y$8:$Y$500,0)),Calc!$D$8:$D$500,0))="Yes",CONCATENATE(INDEX(Calc!$D$8:$D$500,MATCH(SMALL(IF((Calc!$C$8:$C$500=Kanban!$C$7)*(Calc!$K$8:$K$500=Kanban!H$11)*(Calc!$Y$8:$Y$500&gt;0),Calc!$Y$8:$Y$500,99999),Kanban_Helper!$B26),Calc!$Y$8:$Y$500,0))," ",Calc!$V$7," ","!"),INDEX(Calc!$D$8:$D$500,MATCH(SMALL(IF((Calc!$C$8:$C$500=Kanban!$C$7)*(Calc!$K$8:$K$500=Kanban!H$11)*(Calc!$Y$8:$Y$500&gt;0),Calc!$Y$8:$Y$500,99999),Kanban_Helper!$B26),Calc!$Y$8:$Y$500,0))),IF(INDEX(Calc!$V$8:$V$500,MATCH(INDEX(Calc!$D$8:$D$500,MATCH(SMALL(IF((Calc!$K$8:$K$500=Kanban!H$11)*(Calc!$Y$8:$Y$500&gt;0),Calc!$Y$8:$Y$500,99999),Kanban_Helper!$B26),Calc!$Y$8:$Y$500,0)),Calc!$D$8:$D$500,0))="Yes",CONCATENATE(INDEX(Calc!$D$8:$D$500,MATCH(SMALL(IF((Calc!$K$8:$K$500=Kanban!H$11)*(Calc!$Y$8:$Y$500&gt;0),Calc!$Y$8:$Y$500,99999),Kanban_Helper!$B26),Calc!$Y$8:$Y$500,0))," ",Calc!$V$7," ","!"),INDEX(Calc!$D$8:$D$500,MATCH(SMALL(IF((Calc!$K$8:$K$500=Kanban!H$11)*(Calc!$Y$8:$Y$500&gt;0),Calc!$Y$8:$Y$500,99999),Kanban_Helper!$B26),Calc!$Y$8:$Y$500,0))))),"")</f>
        <v/>
      </c>
      <c r="I33" s="39"/>
      <c r="J33" s="10"/>
      <c r="K33" s="10"/>
      <c r="L33" s="10"/>
    </row>
    <row r="34" spans="2:12" x14ac:dyDescent="0.35">
      <c r="B34" s="80"/>
      <c r="C34" s="171" t="str">
        <f t="array" ref="C34">IFERROR(IF(LEN(C$11)=0,"",IF($C$7&lt;&gt;"All",INDEX(Calc!$E$8:$E$500,MATCH(SMALL(IF((Calc!$C$8:$C$500=Kanban!$C$7)*(Calc!$K$8:$K$500=Kanban!C$11)*(Calc!$Y$8:$Y$500&gt;0),Calc!$Y$8:$Y$500,99999),Kanban_Helper!$B27),Calc!$Y$8:$Y$500,0)),INDEX(Calc!$E$8:$E$500,MATCH(SMALL(IF((Calc!$K$8:$K$500=Kanban!C$11)*(Calc!$Y$8:$Y$500&gt;0),Calc!$Y$8:$Y$500,99999),Kanban_Helper!$B27),Calc!$Y$8:$Y$500,0)))),"")</f>
        <v/>
      </c>
      <c r="D34" s="171" t="str">
        <f t="array" ref="D34">IFERROR(IF(LEN(D$11)=0,"",IF($C$7&lt;&gt;"All",INDEX(Calc!$E$8:$E$500,MATCH(SMALL(IF((Calc!$C$8:$C$500=Kanban!$C$7)*(Calc!$K$8:$K$500=Kanban!D$11)*(Calc!$Y$8:$Y$500&gt;0),Calc!$Y$8:$Y$500,99999),Kanban_Helper!$B27),Calc!$Y$8:$Y$500,0)),INDEX(Calc!$E$8:$E$500,MATCH(SMALL(IF((Calc!$K$8:$K$500=Kanban!D$11)*(Calc!$Y$8:$Y$500&gt;0),Calc!$Y$8:$Y$500,99999),Kanban_Helper!$B27),Calc!$Y$8:$Y$500,0)))),"")</f>
        <v/>
      </c>
      <c r="E34" s="171" t="str">
        <f t="array" ref="E34">IFERROR(IF(LEN(E$11)=0,"",IF($C$7&lt;&gt;"All",INDEX(Calc!$E$8:$E$500,MATCH(SMALL(IF((Calc!$C$8:$C$500=Kanban!$C$7)*(Calc!$K$8:$K$500=Kanban!E$11)*(Calc!$Y$8:$Y$500&gt;0),Calc!$Y$8:$Y$500,99999),Kanban_Helper!$B27),Calc!$Y$8:$Y$500,0)),INDEX(Calc!$E$8:$E$500,MATCH(SMALL(IF((Calc!$K$8:$K$500=Kanban!E$11)*(Calc!$Y$8:$Y$500&gt;0),Calc!$Y$8:$Y$500,99999),Kanban_Helper!$B27),Calc!$Y$8:$Y$500,0)))),"")</f>
        <v/>
      </c>
      <c r="F34" s="171" t="str">
        <f t="array" ref="F34">IFERROR(IF(LEN(F$11)=0,"",IF($C$7&lt;&gt;"All",INDEX(Calc!$E$8:$E$500,MATCH(SMALL(IF((Calc!$C$8:$C$500=Kanban!$C$7)*(Calc!$K$8:$K$500=Kanban!F$11)*(Calc!$Y$8:$Y$500&gt;0),Calc!$Y$8:$Y$500,99999),Kanban_Helper!$B27),Calc!$Y$8:$Y$500,0)),INDEX(Calc!$E$8:$E$500,MATCH(SMALL(IF((Calc!$K$8:$K$500=Kanban!F$11)*(Calc!$Y$8:$Y$500&gt;0),Calc!$Y$8:$Y$500,99999),Kanban_Helper!$B27),Calc!$Y$8:$Y$500,0)))),"")</f>
        <v/>
      </c>
      <c r="G34" s="171" t="str">
        <f t="array" ref="G34">IFERROR(IF(LEN(G$11)=0,"",IF($C$7&lt;&gt;"All",INDEX(Calc!$E$8:$E$500,MATCH(SMALL(IF((Calc!$C$8:$C$500=Kanban!$C$7)*(Calc!$K$8:$K$500=Kanban!G$11)*(Calc!$Y$8:$Y$500&gt;0),Calc!$Y$8:$Y$500,99999),Kanban_Helper!$B27),Calc!$Y$8:$Y$500,0)),INDEX(Calc!$E$8:$E$500,MATCH(SMALL(IF((Calc!$K$8:$K$500=Kanban!G$11)*(Calc!$Y$8:$Y$500&gt;0),Calc!$Y$8:$Y$500,99999),Kanban_Helper!$B27),Calc!$Y$8:$Y$500,0)))),"")</f>
        <v/>
      </c>
      <c r="H34" s="171" t="str">
        <f t="array" ref="H34">IFERROR(IF(LEN(H$11)=0,"",IF($C$7&lt;&gt;"All",INDEX(Calc!$E$8:$E$500,MATCH(SMALL(IF((Calc!$C$8:$C$500=Kanban!$C$7)*(Calc!$K$8:$K$500=Kanban!H$11)*(Calc!$Y$8:$Y$500&gt;0),Calc!$Y$8:$Y$500,99999),Kanban_Helper!$B27),Calc!$Y$8:$Y$500,0)),INDEX(Calc!$E$8:$E$500,MATCH(SMALL(IF((Calc!$K$8:$K$500=Kanban!H$11)*(Calc!$Y$8:$Y$500&gt;0),Calc!$Y$8:$Y$500,99999),Kanban_Helper!$B27),Calc!$Y$8:$Y$500,0)))),"")</f>
        <v/>
      </c>
      <c r="I34" s="39"/>
      <c r="J34" s="10"/>
      <c r="K34" s="10"/>
      <c r="L34" s="10"/>
    </row>
    <row r="35" spans="2:12" ht="15" thickBot="1" x14ac:dyDescent="0.4">
      <c r="B35" s="80"/>
      <c r="C35" s="173" t="str">
        <f t="array" ref="C35">IFERROR(IF(LEN(C$11)=0,"",IF($C$7&lt;&gt;"All",IF(LEN(INDEX(Calc!$J$8:$J$500,MATCH(SMALL(IF((Calc!$C$8:$C$500=Kanban!$C$7)*(Calc!$K$8:$K$500=Kanban!C$11)*(Calc!$Y$8:$Y$500&gt;0),Calc!$Y$8:$Y$500,99999),Kanban_Helper!$B28),Calc!$Y$8:$Y$500,0)))=0,"",CONCATENATE(Calc!$AD$6,INDEX(Calc!$J$8:$J$500,MATCH(SMALL(IF((Calc!$C$8:$C$500=Kanban!$C$7)*(Calc!$K$8:$K$500=Kanban!C$11)*(Calc!$Y$8:$Y$500&gt;0),Calc!$Y$8:$Y$500,99999),Kanban_Helper!$B28),Calc!$Y$8:$Y$500,0)))),IF(LEN(INDEX(Calc!$J$8:$J$500,MATCH(SMALL(IF((Calc!$K$8:$K$500=Kanban!C$11)*(Calc!$Y$8:$Y$500&gt;0),Calc!$Y$8:$Y$500,99999),Kanban_Helper!$B28),Calc!$Y$8:$Y$500,0)))=0,"",CONCATENATE(Calc!$AD$6,INDEX(Calc!$J$8:$J$500,MATCH(SMALL(IF((Calc!$K$8:$K$500=Kanban!C$11)*(Calc!$Y$8:$Y$500&gt;0),Calc!$Y$8:$Y$500,99999),Kanban_Helper!$B28),Calc!$Y$8:$Y$500,0)))))),"")</f>
        <v/>
      </c>
      <c r="D35" s="173" t="str">
        <f t="array" ref="D35">IFERROR(IF(LEN(D$11)=0,"",IF($C$7&lt;&gt;"All",IF(LEN(INDEX(Calc!$J$8:$J$500,MATCH(SMALL(IF((Calc!$C$8:$C$500=Kanban!$C$7)*(Calc!$K$8:$K$500=Kanban!D$11)*(Calc!$Y$8:$Y$500&gt;0),Calc!$Y$8:$Y$500,99999),Kanban_Helper!$B28),Calc!$Y$8:$Y$500,0)))=0,"",CONCATENATE(Calc!$AD$6,INDEX(Calc!$J$8:$J$500,MATCH(SMALL(IF((Calc!$C$8:$C$500=Kanban!$C$7)*(Calc!$K$8:$K$500=Kanban!D$11)*(Calc!$Y$8:$Y$500&gt;0),Calc!$Y$8:$Y$500,99999),Kanban_Helper!$B28),Calc!$Y$8:$Y$500,0)))),IF(LEN(INDEX(Calc!$J$8:$J$500,MATCH(SMALL(IF((Calc!$K$8:$K$500=Kanban!D$11)*(Calc!$Y$8:$Y$500&gt;0),Calc!$Y$8:$Y$500,99999),Kanban_Helper!$B28),Calc!$Y$8:$Y$500,0)))=0,"",CONCATENATE(Calc!$AD$6,INDEX(Calc!$J$8:$J$500,MATCH(SMALL(IF((Calc!$K$8:$K$500=Kanban!D$11)*(Calc!$Y$8:$Y$500&gt;0),Calc!$Y$8:$Y$500,99999),Kanban_Helper!$B28),Calc!$Y$8:$Y$500,0)))))),"")</f>
        <v/>
      </c>
      <c r="E35" s="173" t="str">
        <f t="array" ref="E35">IFERROR(IF(LEN(E$11)=0,"",IF($C$7&lt;&gt;"All",IF(LEN(INDEX(Calc!$J$8:$J$500,MATCH(SMALL(IF((Calc!$C$8:$C$500=Kanban!$C$7)*(Calc!$K$8:$K$500=Kanban!E$11)*(Calc!$Y$8:$Y$500&gt;0),Calc!$Y$8:$Y$500,99999),Kanban_Helper!$B28),Calc!$Y$8:$Y$500,0)))=0,"",CONCATENATE(Calc!$AD$6,INDEX(Calc!$J$8:$J$500,MATCH(SMALL(IF((Calc!$C$8:$C$500=Kanban!$C$7)*(Calc!$K$8:$K$500=Kanban!E$11)*(Calc!$Y$8:$Y$500&gt;0),Calc!$Y$8:$Y$500,99999),Kanban_Helper!$B28),Calc!$Y$8:$Y$500,0)))),IF(LEN(INDEX(Calc!$J$8:$J$500,MATCH(SMALL(IF((Calc!$K$8:$K$500=Kanban!E$11)*(Calc!$Y$8:$Y$500&gt;0),Calc!$Y$8:$Y$500,99999),Kanban_Helper!$B28),Calc!$Y$8:$Y$500,0)))=0,"",CONCATENATE(Calc!$AD$6,INDEX(Calc!$J$8:$J$500,MATCH(SMALL(IF((Calc!$K$8:$K$500=Kanban!E$11)*(Calc!$Y$8:$Y$500&gt;0),Calc!$Y$8:$Y$500,99999),Kanban_Helper!$B28),Calc!$Y$8:$Y$500,0)))))),"")</f>
        <v/>
      </c>
      <c r="F35" s="173" t="str">
        <f t="array" ref="F35">IFERROR(IF(LEN(F$11)=0,"",IF($C$7&lt;&gt;"All",IF(LEN(INDEX(Calc!$J$8:$J$500,MATCH(SMALL(IF((Calc!$C$8:$C$500=Kanban!$C$7)*(Calc!$K$8:$K$500=Kanban!F$11)*(Calc!$Y$8:$Y$500&gt;0),Calc!$Y$8:$Y$500,99999),Kanban_Helper!$B28),Calc!$Y$8:$Y$500,0)))=0,"",CONCATENATE(Calc!$AD$6,INDEX(Calc!$J$8:$J$500,MATCH(SMALL(IF((Calc!$C$8:$C$500=Kanban!$C$7)*(Calc!$K$8:$K$500=Kanban!F$11)*(Calc!$Y$8:$Y$500&gt;0),Calc!$Y$8:$Y$500,99999),Kanban_Helper!$B28),Calc!$Y$8:$Y$500,0)))),IF(LEN(INDEX(Calc!$J$8:$J$500,MATCH(SMALL(IF((Calc!$K$8:$K$500=Kanban!F$11)*(Calc!$Y$8:$Y$500&gt;0),Calc!$Y$8:$Y$500,99999),Kanban_Helper!$B28),Calc!$Y$8:$Y$500,0)))=0,"",CONCATENATE(Calc!$AD$6,INDEX(Calc!$J$8:$J$500,MATCH(SMALL(IF((Calc!$K$8:$K$500=Kanban!F$11)*(Calc!$Y$8:$Y$500&gt;0),Calc!$Y$8:$Y$500,99999),Kanban_Helper!$B28),Calc!$Y$8:$Y$500,0)))))),"")</f>
        <v/>
      </c>
      <c r="G35" s="173" t="str">
        <f t="array" ref="G35">IFERROR(IF(LEN(G$11)=0,"",IF($C$7&lt;&gt;"All",IF(LEN(INDEX(Calc!$J$8:$J$500,MATCH(SMALL(IF((Calc!$C$8:$C$500=Kanban!$C$7)*(Calc!$K$8:$K$500=Kanban!G$11)*(Calc!$Y$8:$Y$500&gt;0),Calc!$Y$8:$Y$500,99999),Kanban_Helper!$B28),Calc!$Y$8:$Y$500,0)))=0,"",CONCATENATE(Calc!$AD$6,INDEX(Calc!$J$8:$J$500,MATCH(SMALL(IF((Calc!$C$8:$C$500=Kanban!$C$7)*(Calc!$K$8:$K$500=Kanban!G$11)*(Calc!$Y$8:$Y$500&gt;0),Calc!$Y$8:$Y$500,99999),Kanban_Helper!$B28),Calc!$Y$8:$Y$500,0)))),IF(LEN(INDEX(Calc!$J$8:$J$500,MATCH(SMALL(IF((Calc!$K$8:$K$500=Kanban!G$11)*(Calc!$Y$8:$Y$500&gt;0),Calc!$Y$8:$Y$500,99999),Kanban_Helper!$B28),Calc!$Y$8:$Y$500,0)))=0,"",CONCATENATE(Calc!$AD$6,INDEX(Calc!$J$8:$J$500,MATCH(SMALL(IF((Calc!$K$8:$K$500=Kanban!G$11)*(Calc!$Y$8:$Y$500&gt;0),Calc!$Y$8:$Y$500,99999),Kanban_Helper!$B28),Calc!$Y$8:$Y$500,0)))))),"")</f>
        <v/>
      </c>
      <c r="H35" s="173" t="str">
        <f t="array" ref="H35">IFERROR(IF(LEN(H$11)=0,"",IF($C$7&lt;&gt;"All",IF(LEN(INDEX(Calc!$J$8:$J$500,MATCH(SMALL(IF((Calc!$C$8:$C$500=Kanban!$C$7)*(Calc!$K$8:$K$500=Kanban!H$11)*(Calc!$Y$8:$Y$500&gt;0),Calc!$Y$8:$Y$500,99999),Kanban_Helper!$B28),Calc!$Y$8:$Y$500,0)))=0,"",CONCATENATE(Calc!$AD$6,INDEX(Calc!$J$8:$J$500,MATCH(SMALL(IF((Calc!$C$8:$C$500=Kanban!$C$7)*(Calc!$K$8:$K$500=Kanban!H$11)*(Calc!$Y$8:$Y$500&gt;0),Calc!$Y$8:$Y$500,99999),Kanban_Helper!$B28),Calc!$Y$8:$Y$500,0)))),IF(LEN(INDEX(Calc!$J$8:$J$500,MATCH(SMALL(IF((Calc!$K$8:$K$500=Kanban!H$11)*(Calc!$Y$8:$Y$500&gt;0),Calc!$Y$8:$Y$500,99999),Kanban_Helper!$B28),Calc!$Y$8:$Y$500,0)))=0,"",CONCATENATE(Calc!$AD$6,INDEX(Calc!$J$8:$J$500,MATCH(SMALL(IF((Calc!$K$8:$K$500=Kanban!H$11)*(Calc!$Y$8:$Y$500&gt;0),Calc!$Y$8:$Y$500,99999),Kanban_Helper!$B28),Calc!$Y$8:$Y$500,0)))))),"")</f>
        <v/>
      </c>
      <c r="I35" s="39"/>
      <c r="J35" s="10"/>
      <c r="K35" s="10"/>
      <c r="L35" s="10"/>
    </row>
    <row r="36" spans="2:12" ht="15" thickTop="1" x14ac:dyDescent="0.35">
      <c r="B36" s="80"/>
      <c r="C36" s="170" t="str">
        <f t="array" ref="C36">IFERROR(IF(LEN(C$11)=0,"",IF($C$7&lt;&gt;"All",IF(INDEX(Calc!$V$8:$V$500,MATCH(INDEX(Calc!$D$8:$D$500,MATCH(SMALL(IF((Calc!$C$8:$C$500=Kanban!$C$7)*(Calc!$K$8:$K$500=Kanban!C$11)*(Calc!$Y$8:$Y$500&gt;0),Calc!$Y$8:$Y$500,99999),Kanban_Helper!$B29),Calc!$Y$8:$Y$500,0)),Calc!$D$8:$D$500,0))="Yes",CONCATENATE(INDEX(Calc!$D$8:$D$500,MATCH(SMALL(IF((Calc!$C$8:$C$500=Kanban!$C$7)*(Calc!$K$8:$K$500=Kanban!C$11)*(Calc!$Y$8:$Y$500&gt;0),Calc!$Y$8:$Y$500,99999),Kanban_Helper!$B29),Calc!$Y$8:$Y$500,0))," ",Calc!$V$7," ","!"),INDEX(Calc!$D$8:$D$500,MATCH(SMALL(IF((Calc!$C$8:$C$500=Kanban!$C$7)*(Calc!$K$8:$K$500=Kanban!C$11)*(Calc!$Y$8:$Y$500&gt;0),Calc!$Y$8:$Y$500,99999),Kanban_Helper!$B29),Calc!$Y$8:$Y$500,0))),IF(INDEX(Calc!$V$8:$V$500,MATCH(INDEX(Calc!$D$8:$D$500,MATCH(SMALL(IF((Calc!$K$8:$K$500=Kanban!C$11)*(Calc!$Y$8:$Y$500&gt;0),Calc!$Y$8:$Y$500,99999),Kanban_Helper!$B29),Calc!$Y$8:$Y$500,0)),Calc!$D$8:$D$500,0))="Yes",CONCATENATE(INDEX(Calc!$D$8:$D$500,MATCH(SMALL(IF((Calc!$K$8:$K$500=Kanban!C$11)*(Calc!$Y$8:$Y$500&gt;0),Calc!$Y$8:$Y$500,99999),Kanban_Helper!$B29),Calc!$Y$8:$Y$500,0))," ",Calc!$V$7," ","!"),INDEX(Calc!$D$8:$D$500,MATCH(SMALL(IF((Calc!$K$8:$K$500=Kanban!C$11)*(Calc!$Y$8:$Y$500&gt;0),Calc!$Y$8:$Y$500,99999),Kanban_Helper!$B29),Calc!$Y$8:$Y$500,0))))),"")</f>
        <v/>
      </c>
      <c r="D36" s="170" t="str">
        <f t="array" ref="D36">IFERROR(IF(LEN(D$11)=0,"",IF($C$7&lt;&gt;"All",IF(INDEX(Calc!$V$8:$V$500,MATCH(INDEX(Calc!$D$8:$D$500,MATCH(SMALL(IF((Calc!$C$8:$C$500=Kanban!$C$7)*(Calc!$K$8:$K$500=Kanban!D$11)*(Calc!$Y$8:$Y$500&gt;0),Calc!$Y$8:$Y$500,99999),Kanban_Helper!$B29),Calc!$Y$8:$Y$500,0)),Calc!$D$8:$D$500,0))="Yes",CONCATENATE(INDEX(Calc!$D$8:$D$500,MATCH(SMALL(IF((Calc!$C$8:$C$500=Kanban!$C$7)*(Calc!$K$8:$K$500=Kanban!D$11)*(Calc!$Y$8:$Y$500&gt;0),Calc!$Y$8:$Y$500,99999),Kanban_Helper!$B29),Calc!$Y$8:$Y$500,0))," ",Calc!$V$7," ","!"),INDEX(Calc!$D$8:$D$500,MATCH(SMALL(IF((Calc!$C$8:$C$500=Kanban!$C$7)*(Calc!$K$8:$K$500=Kanban!D$11)*(Calc!$Y$8:$Y$500&gt;0),Calc!$Y$8:$Y$500,99999),Kanban_Helper!$B29),Calc!$Y$8:$Y$500,0))),IF(INDEX(Calc!$V$8:$V$500,MATCH(INDEX(Calc!$D$8:$D$500,MATCH(SMALL(IF((Calc!$K$8:$K$500=Kanban!D$11)*(Calc!$Y$8:$Y$500&gt;0),Calc!$Y$8:$Y$500,99999),Kanban_Helper!$B29),Calc!$Y$8:$Y$500,0)),Calc!$D$8:$D$500,0))="Yes",CONCATENATE(INDEX(Calc!$D$8:$D$500,MATCH(SMALL(IF((Calc!$K$8:$K$500=Kanban!D$11)*(Calc!$Y$8:$Y$500&gt;0),Calc!$Y$8:$Y$500,99999),Kanban_Helper!$B29),Calc!$Y$8:$Y$500,0))," ",Calc!$V$7," ","!"),INDEX(Calc!$D$8:$D$500,MATCH(SMALL(IF((Calc!$K$8:$K$500=Kanban!D$11)*(Calc!$Y$8:$Y$500&gt;0),Calc!$Y$8:$Y$500,99999),Kanban_Helper!$B29),Calc!$Y$8:$Y$500,0))))),"")</f>
        <v/>
      </c>
      <c r="E36" s="170" t="str">
        <f t="array" ref="E36">IFERROR(IF(LEN(E$11)=0,"",IF($C$7&lt;&gt;"All",IF(INDEX(Calc!$V$8:$V$500,MATCH(INDEX(Calc!$D$8:$D$500,MATCH(SMALL(IF((Calc!$C$8:$C$500=Kanban!$C$7)*(Calc!$K$8:$K$500=Kanban!E$11)*(Calc!$Y$8:$Y$500&gt;0),Calc!$Y$8:$Y$500,99999),Kanban_Helper!$B29),Calc!$Y$8:$Y$500,0)),Calc!$D$8:$D$500,0))="Yes",CONCATENATE(INDEX(Calc!$D$8:$D$500,MATCH(SMALL(IF((Calc!$C$8:$C$500=Kanban!$C$7)*(Calc!$K$8:$K$500=Kanban!E$11)*(Calc!$Y$8:$Y$500&gt;0),Calc!$Y$8:$Y$500,99999),Kanban_Helper!$B29),Calc!$Y$8:$Y$500,0))," ",Calc!$V$7," ","!"),INDEX(Calc!$D$8:$D$500,MATCH(SMALL(IF((Calc!$C$8:$C$500=Kanban!$C$7)*(Calc!$K$8:$K$500=Kanban!E$11)*(Calc!$Y$8:$Y$500&gt;0),Calc!$Y$8:$Y$500,99999),Kanban_Helper!$B29),Calc!$Y$8:$Y$500,0))),IF(INDEX(Calc!$V$8:$V$500,MATCH(INDEX(Calc!$D$8:$D$500,MATCH(SMALL(IF((Calc!$K$8:$K$500=Kanban!E$11)*(Calc!$Y$8:$Y$500&gt;0),Calc!$Y$8:$Y$500,99999),Kanban_Helper!$B29),Calc!$Y$8:$Y$500,0)),Calc!$D$8:$D$500,0))="Yes",CONCATENATE(INDEX(Calc!$D$8:$D$500,MATCH(SMALL(IF((Calc!$K$8:$K$500=Kanban!E$11)*(Calc!$Y$8:$Y$500&gt;0),Calc!$Y$8:$Y$500,99999),Kanban_Helper!$B29),Calc!$Y$8:$Y$500,0))," ",Calc!$V$7," ","!"),INDEX(Calc!$D$8:$D$500,MATCH(SMALL(IF((Calc!$K$8:$K$500=Kanban!E$11)*(Calc!$Y$8:$Y$500&gt;0),Calc!$Y$8:$Y$500,99999),Kanban_Helper!$B29),Calc!$Y$8:$Y$500,0))))),"")</f>
        <v/>
      </c>
      <c r="F36" s="170" t="str">
        <f t="array" ref="F36">IFERROR(IF(LEN(F$11)=0,"",IF($C$7&lt;&gt;"All",IF(INDEX(Calc!$V$8:$V$500,MATCH(INDEX(Calc!$D$8:$D$500,MATCH(SMALL(IF((Calc!$C$8:$C$500=Kanban!$C$7)*(Calc!$K$8:$K$500=Kanban!F$11)*(Calc!$Y$8:$Y$500&gt;0),Calc!$Y$8:$Y$500,99999),Kanban_Helper!$B29),Calc!$Y$8:$Y$500,0)),Calc!$D$8:$D$500,0))="Yes",CONCATENATE(INDEX(Calc!$D$8:$D$500,MATCH(SMALL(IF((Calc!$C$8:$C$500=Kanban!$C$7)*(Calc!$K$8:$K$500=Kanban!F$11)*(Calc!$Y$8:$Y$500&gt;0),Calc!$Y$8:$Y$500,99999),Kanban_Helper!$B29),Calc!$Y$8:$Y$500,0))," ",Calc!$V$7," ","!"),INDEX(Calc!$D$8:$D$500,MATCH(SMALL(IF((Calc!$C$8:$C$500=Kanban!$C$7)*(Calc!$K$8:$K$500=Kanban!F$11)*(Calc!$Y$8:$Y$500&gt;0),Calc!$Y$8:$Y$500,99999),Kanban_Helper!$B29),Calc!$Y$8:$Y$500,0))),IF(INDEX(Calc!$V$8:$V$500,MATCH(INDEX(Calc!$D$8:$D$500,MATCH(SMALL(IF((Calc!$K$8:$K$500=Kanban!F$11)*(Calc!$Y$8:$Y$500&gt;0),Calc!$Y$8:$Y$500,99999),Kanban_Helper!$B29),Calc!$Y$8:$Y$500,0)),Calc!$D$8:$D$500,0))="Yes",CONCATENATE(INDEX(Calc!$D$8:$D$500,MATCH(SMALL(IF((Calc!$K$8:$K$500=Kanban!F$11)*(Calc!$Y$8:$Y$500&gt;0),Calc!$Y$8:$Y$500,99999),Kanban_Helper!$B29),Calc!$Y$8:$Y$500,0))," ",Calc!$V$7," ","!"),INDEX(Calc!$D$8:$D$500,MATCH(SMALL(IF((Calc!$K$8:$K$500=Kanban!F$11)*(Calc!$Y$8:$Y$500&gt;0),Calc!$Y$8:$Y$500,99999),Kanban_Helper!$B29),Calc!$Y$8:$Y$500,0))))),"")</f>
        <v/>
      </c>
      <c r="G36" s="170" t="str">
        <f t="array" ref="G36">IFERROR(IF(LEN(G$11)=0,"",IF($C$7&lt;&gt;"All",IF(INDEX(Calc!$V$8:$V$500,MATCH(INDEX(Calc!$D$8:$D$500,MATCH(SMALL(IF((Calc!$C$8:$C$500=Kanban!$C$7)*(Calc!$K$8:$K$500=Kanban!G$11)*(Calc!$Y$8:$Y$500&gt;0),Calc!$Y$8:$Y$500,99999),Kanban_Helper!$B29),Calc!$Y$8:$Y$500,0)),Calc!$D$8:$D$500,0))="Yes",CONCATENATE(INDEX(Calc!$D$8:$D$500,MATCH(SMALL(IF((Calc!$C$8:$C$500=Kanban!$C$7)*(Calc!$K$8:$K$500=Kanban!G$11)*(Calc!$Y$8:$Y$500&gt;0),Calc!$Y$8:$Y$500,99999),Kanban_Helper!$B29),Calc!$Y$8:$Y$500,0))," ",Calc!$V$7," ","!"),INDEX(Calc!$D$8:$D$500,MATCH(SMALL(IF((Calc!$C$8:$C$500=Kanban!$C$7)*(Calc!$K$8:$K$500=Kanban!G$11)*(Calc!$Y$8:$Y$500&gt;0),Calc!$Y$8:$Y$500,99999),Kanban_Helper!$B29),Calc!$Y$8:$Y$500,0))),IF(INDEX(Calc!$V$8:$V$500,MATCH(INDEX(Calc!$D$8:$D$500,MATCH(SMALL(IF((Calc!$K$8:$K$500=Kanban!G$11)*(Calc!$Y$8:$Y$500&gt;0),Calc!$Y$8:$Y$500,99999),Kanban_Helper!$B29),Calc!$Y$8:$Y$500,0)),Calc!$D$8:$D$500,0))="Yes",CONCATENATE(INDEX(Calc!$D$8:$D$500,MATCH(SMALL(IF((Calc!$K$8:$K$500=Kanban!G$11)*(Calc!$Y$8:$Y$500&gt;0),Calc!$Y$8:$Y$500,99999),Kanban_Helper!$B29),Calc!$Y$8:$Y$500,0))," ",Calc!$V$7," ","!"),INDEX(Calc!$D$8:$D$500,MATCH(SMALL(IF((Calc!$K$8:$K$500=Kanban!G$11)*(Calc!$Y$8:$Y$500&gt;0),Calc!$Y$8:$Y$500,99999),Kanban_Helper!$B29),Calc!$Y$8:$Y$500,0))))),"")</f>
        <v/>
      </c>
      <c r="H36" s="170" t="str">
        <f t="array" ref="H36">IFERROR(IF(LEN(H$11)=0,"",IF($C$7&lt;&gt;"All",IF(INDEX(Calc!$V$8:$V$500,MATCH(INDEX(Calc!$D$8:$D$500,MATCH(SMALL(IF((Calc!$C$8:$C$500=Kanban!$C$7)*(Calc!$K$8:$K$500=Kanban!H$11)*(Calc!$Y$8:$Y$500&gt;0),Calc!$Y$8:$Y$500,99999),Kanban_Helper!$B29),Calc!$Y$8:$Y$500,0)),Calc!$D$8:$D$500,0))="Yes",CONCATENATE(INDEX(Calc!$D$8:$D$500,MATCH(SMALL(IF((Calc!$C$8:$C$500=Kanban!$C$7)*(Calc!$K$8:$K$500=Kanban!H$11)*(Calc!$Y$8:$Y$500&gt;0),Calc!$Y$8:$Y$500,99999),Kanban_Helper!$B29),Calc!$Y$8:$Y$500,0))," ",Calc!$V$7," ","!"),INDEX(Calc!$D$8:$D$500,MATCH(SMALL(IF((Calc!$C$8:$C$500=Kanban!$C$7)*(Calc!$K$8:$K$500=Kanban!H$11)*(Calc!$Y$8:$Y$500&gt;0),Calc!$Y$8:$Y$500,99999),Kanban_Helper!$B29),Calc!$Y$8:$Y$500,0))),IF(INDEX(Calc!$V$8:$V$500,MATCH(INDEX(Calc!$D$8:$D$500,MATCH(SMALL(IF((Calc!$K$8:$K$500=Kanban!H$11)*(Calc!$Y$8:$Y$500&gt;0),Calc!$Y$8:$Y$500,99999),Kanban_Helper!$B29),Calc!$Y$8:$Y$500,0)),Calc!$D$8:$D$500,0))="Yes",CONCATENATE(INDEX(Calc!$D$8:$D$500,MATCH(SMALL(IF((Calc!$K$8:$K$500=Kanban!H$11)*(Calc!$Y$8:$Y$500&gt;0),Calc!$Y$8:$Y$500,99999),Kanban_Helper!$B29),Calc!$Y$8:$Y$500,0))," ",Calc!$V$7," ","!"),INDEX(Calc!$D$8:$D$500,MATCH(SMALL(IF((Calc!$K$8:$K$500=Kanban!H$11)*(Calc!$Y$8:$Y$500&gt;0),Calc!$Y$8:$Y$500,99999),Kanban_Helper!$B29),Calc!$Y$8:$Y$500,0))))),"")</f>
        <v/>
      </c>
      <c r="I36" s="39"/>
      <c r="J36" s="10"/>
      <c r="K36" s="10"/>
      <c r="L36" s="10"/>
    </row>
    <row r="37" spans="2:12" x14ac:dyDescent="0.35">
      <c r="B37" s="80"/>
      <c r="C37" s="171" t="str">
        <f t="array" ref="C37">IFERROR(IF(LEN(C$11)=0,"",IF($C$7&lt;&gt;"All",INDEX(Calc!$E$8:$E$500,MATCH(SMALL(IF((Calc!$C$8:$C$500=Kanban!$C$7)*(Calc!$K$8:$K$500=Kanban!C$11)*(Calc!$Y$8:$Y$500&gt;0),Calc!$Y$8:$Y$500,99999),Kanban_Helper!$B30),Calc!$Y$8:$Y$500,0)),INDEX(Calc!$E$8:$E$500,MATCH(SMALL(IF((Calc!$K$8:$K$500=Kanban!C$11)*(Calc!$Y$8:$Y$500&gt;0),Calc!$Y$8:$Y$500,99999),Kanban_Helper!$B30),Calc!$Y$8:$Y$500,0)))),"")</f>
        <v/>
      </c>
      <c r="D37" s="171" t="str">
        <f t="array" ref="D37">IFERROR(IF(LEN(D$11)=0,"",IF($C$7&lt;&gt;"All",INDEX(Calc!$E$8:$E$500,MATCH(SMALL(IF((Calc!$C$8:$C$500=Kanban!$C$7)*(Calc!$K$8:$K$500=Kanban!D$11)*(Calc!$Y$8:$Y$500&gt;0),Calc!$Y$8:$Y$500,99999),Kanban_Helper!$B30),Calc!$Y$8:$Y$500,0)),INDEX(Calc!$E$8:$E$500,MATCH(SMALL(IF((Calc!$K$8:$K$500=Kanban!D$11)*(Calc!$Y$8:$Y$500&gt;0),Calc!$Y$8:$Y$500,99999),Kanban_Helper!$B30),Calc!$Y$8:$Y$500,0)))),"")</f>
        <v/>
      </c>
      <c r="E37" s="171" t="str">
        <f t="array" ref="E37">IFERROR(IF(LEN(E$11)=0,"",IF($C$7&lt;&gt;"All",INDEX(Calc!$E$8:$E$500,MATCH(SMALL(IF((Calc!$C$8:$C$500=Kanban!$C$7)*(Calc!$K$8:$K$500=Kanban!E$11)*(Calc!$Y$8:$Y$500&gt;0),Calc!$Y$8:$Y$500,99999),Kanban_Helper!$B30),Calc!$Y$8:$Y$500,0)),INDEX(Calc!$E$8:$E$500,MATCH(SMALL(IF((Calc!$K$8:$K$500=Kanban!E$11)*(Calc!$Y$8:$Y$500&gt;0),Calc!$Y$8:$Y$500,99999),Kanban_Helper!$B30),Calc!$Y$8:$Y$500,0)))),"")</f>
        <v/>
      </c>
      <c r="F37" s="171" t="str">
        <f t="array" ref="F37">IFERROR(IF(LEN(F$11)=0,"",IF($C$7&lt;&gt;"All",INDEX(Calc!$E$8:$E$500,MATCH(SMALL(IF((Calc!$C$8:$C$500=Kanban!$C$7)*(Calc!$K$8:$K$500=Kanban!F$11)*(Calc!$Y$8:$Y$500&gt;0),Calc!$Y$8:$Y$500,99999),Kanban_Helper!$B30),Calc!$Y$8:$Y$500,0)),INDEX(Calc!$E$8:$E$500,MATCH(SMALL(IF((Calc!$K$8:$K$500=Kanban!F$11)*(Calc!$Y$8:$Y$500&gt;0),Calc!$Y$8:$Y$500,99999),Kanban_Helper!$B30),Calc!$Y$8:$Y$500,0)))),"")</f>
        <v/>
      </c>
      <c r="G37" s="171" t="str">
        <f t="array" ref="G37">IFERROR(IF(LEN(G$11)=0,"",IF($C$7&lt;&gt;"All",INDEX(Calc!$E$8:$E$500,MATCH(SMALL(IF((Calc!$C$8:$C$500=Kanban!$C$7)*(Calc!$K$8:$K$500=Kanban!G$11)*(Calc!$Y$8:$Y$500&gt;0),Calc!$Y$8:$Y$500,99999),Kanban_Helper!$B30),Calc!$Y$8:$Y$500,0)),INDEX(Calc!$E$8:$E$500,MATCH(SMALL(IF((Calc!$K$8:$K$500=Kanban!G$11)*(Calc!$Y$8:$Y$500&gt;0),Calc!$Y$8:$Y$500,99999),Kanban_Helper!$B30),Calc!$Y$8:$Y$500,0)))),"")</f>
        <v/>
      </c>
      <c r="H37" s="171" t="str">
        <f t="array" ref="H37">IFERROR(IF(LEN(H$11)=0,"",IF($C$7&lt;&gt;"All",INDEX(Calc!$E$8:$E$500,MATCH(SMALL(IF((Calc!$C$8:$C$500=Kanban!$C$7)*(Calc!$K$8:$K$500=Kanban!H$11)*(Calc!$Y$8:$Y$500&gt;0),Calc!$Y$8:$Y$500,99999),Kanban_Helper!$B30),Calc!$Y$8:$Y$500,0)),INDEX(Calc!$E$8:$E$500,MATCH(SMALL(IF((Calc!$K$8:$K$500=Kanban!H$11)*(Calc!$Y$8:$Y$500&gt;0),Calc!$Y$8:$Y$500,99999),Kanban_Helper!$B30),Calc!$Y$8:$Y$500,0)))),"")</f>
        <v/>
      </c>
      <c r="I37" s="39"/>
      <c r="J37" s="10"/>
      <c r="K37" s="10"/>
      <c r="L37" s="10"/>
    </row>
    <row r="38" spans="2:12" ht="15" thickBot="1" x14ac:dyDescent="0.4">
      <c r="B38" s="80"/>
      <c r="C38" s="173" t="str">
        <f t="array" ref="C38">IFERROR(IF(LEN(C$11)=0,"",IF($C$7&lt;&gt;"All",IF(LEN(INDEX(Calc!$J$8:$J$500,MATCH(SMALL(IF((Calc!$C$8:$C$500=Kanban!$C$7)*(Calc!$K$8:$K$500=Kanban!C$11)*(Calc!$Y$8:$Y$500&gt;0),Calc!$Y$8:$Y$500,99999),Kanban_Helper!$B31),Calc!$Y$8:$Y$500,0)))=0,"",CONCATENATE(Calc!$AD$6,INDEX(Calc!$J$8:$J$500,MATCH(SMALL(IF((Calc!$C$8:$C$500=Kanban!$C$7)*(Calc!$K$8:$K$500=Kanban!C$11)*(Calc!$Y$8:$Y$500&gt;0),Calc!$Y$8:$Y$500,99999),Kanban_Helper!$B31),Calc!$Y$8:$Y$500,0)))),IF(LEN(INDEX(Calc!$J$8:$J$500,MATCH(SMALL(IF((Calc!$K$8:$K$500=Kanban!C$11)*(Calc!$Y$8:$Y$500&gt;0),Calc!$Y$8:$Y$500,99999),Kanban_Helper!$B31),Calc!$Y$8:$Y$500,0)))=0,"",CONCATENATE(Calc!$AD$6,INDEX(Calc!$J$8:$J$500,MATCH(SMALL(IF((Calc!$K$8:$K$500=Kanban!C$11)*(Calc!$Y$8:$Y$500&gt;0),Calc!$Y$8:$Y$500,99999),Kanban_Helper!$B31),Calc!$Y$8:$Y$500,0)))))),"")</f>
        <v/>
      </c>
      <c r="D38" s="173" t="str">
        <f t="array" ref="D38">IFERROR(IF(LEN(D$11)=0,"",IF($C$7&lt;&gt;"All",IF(LEN(INDEX(Calc!$J$8:$J$500,MATCH(SMALL(IF((Calc!$C$8:$C$500=Kanban!$C$7)*(Calc!$K$8:$K$500=Kanban!D$11)*(Calc!$Y$8:$Y$500&gt;0),Calc!$Y$8:$Y$500,99999),Kanban_Helper!$B31),Calc!$Y$8:$Y$500,0)))=0,"",CONCATENATE(Calc!$AD$6,INDEX(Calc!$J$8:$J$500,MATCH(SMALL(IF((Calc!$C$8:$C$500=Kanban!$C$7)*(Calc!$K$8:$K$500=Kanban!D$11)*(Calc!$Y$8:$Y$500&gt;0),Calc!$Y$8:$Y$500,99999),Kanban_Helper!$B31),Calc!$Y$8:$Y$500,0)))),IF(LEN(INDEX(Calc!$J$8:$J$500,MATCH(SMALL(IF((Calc!$K$8:$K$500=Kanban!D$11)*(Calc!$Y$8:$Y$500&gt;0),Calc!$Y$8:$Y$500,99999),Kanban_Helper!$B31),Calc!$Y$8:$Y$500,0)))=0,"",CONCATENATE(Calc!$AD$6,INDEX(Calc!$J$8:$J$500,MATCH(SMALL(IF((Calc!$K$8:$K$500=Kanban!D$11)*(Calc!$Y$8:$Y$500&gt;0),Calc!$Y$8:$Y$500,99999),Kanban_Helper!$B31),Calc!$Y$8:$Y$500,0)))))),"")</f>
        <v/>
      </c>
      <c r="E38" s="173" t="str">
        <f t="array" ref="E38">IFERROR(IF(LEN(E$11)=0,"",IF($C$7&lt;&gt;"All",IF(LEN(INDEX(Calc!$J$8:$J$500,MATCH(SMALL(IF((Calc!$C$8:$C$500=Kanban!$C$7)*(Calc!$K$8:$K$500=Kanban!E$11)*(Calc!$Y$8:$Y$500&gt;0),Calc!$Y$8:$Y$500,99999),Kanban_Helper!$B31),Calc!$Y$8:$Y$500,0)))=0,"",CONCATENATE(Calc!$AD$6,INDEX(Calc!$J$8:$J$500,MATCH(SMALL(IF((Calc!$C$8:$C$500=Kanban!$C$7)*(Calc!$K$8:$K$500=Kanban!E$11)*(Calc!$Y$8:$Y$500&gt;0),Calc!$Y$8:$Y$500,99999),Kanban_Helper!$B31),Calc!$Y$8:$Y$500,0)))),IF(LEN(INDEX(Calc!$J$8:$J$500,MATCH(SMALL(IF((Calc!$K$8:$K$500=Kanban!E$11)*(Calc!$Y$8:$Y$500&gt;0),Calc!$Y$8:$Y$500,99999),Kanban_Helper!$B31),Calc!$Y$8:$Y$500,0)))=0,"",CONCATENATE(Calc!$AD$6,INDEX(Calc!$J$8:$J$500,MATCH(SMALL(IF((Calc!$K$8:$K$500=Kanban!E$11)*(Calc!$Y$8:$Y$500&gt;0),Calc!$Y$8:$Y$500,99999),Kanban_Helper!$B31),Calc!$Y$8:$Y$500,0)))))),"")</f>
        <v/>
      </c>
      <c r="F38" s="173" t="str">
        <f t="array" ref="F38">IFERROR(IF(LEN(F$11)=0,"",IF($C$7&lt;&gt;"All",IF(LEN(INDEX(Calc!$J$8:$J$500,MATCH(SMALL(IF((Calc!$C$8:$C$500=Kanban!$C$7)*(Calc!$K$8:$K$500=Kanban!F$11)*(Calc!$Y$8:$Y$500&gt;0),Calc!$Y$8:$Y$500,99999),Kanban_Helper!$B31),Calc!$Y$8:$Y$500,0)))=0,"",CONCATENATE(Calc!$AD$6,INDEX(Calc!$J$8:$J$500,MATCH(SMALL(IF((Calc!$C$8:$C$500=Kanban!$C$7)*(Calc!$K$8:$K$500=Kanban!F$11)*(Calc!$Y$8:$Y$500&gt;0),Calc!$Y$8:$Y$500,99999),Kanban_Helper!$B31),Calc!$Y$8:$Y$500,0)))),IF(LEN(INDEX(Calc!$J$8:$J$500,MATCH(SMALL(IF((Calc!$K$8:$K$500=Kanban!F$11)*(Calc!$Y$8:$Y$500&gt;0),Calc!$Y$8:$Y$500,99999),Kanban_Helper!$B31),Calc!$Y$8:$Y$500,0)))=0,"",CONCATENATE(Calc!$AD$6,INDEX(Calc!$J$8:$J$500,MATCH(SMALL(IF((Calc!$K$8:$K$500=Kanban!F$11)*(Calc!$Y$8:$Y$500&gt;0),Calc!$Y$8:$Y$500,99999),Kanban_Helper!$B31),Calc!$Y$8:$Y$500,0)))))),"")</f>
        <v/>
      </c>
      <c r="G38" s="173" t="str">
        <f t="array" ref="G38">IFERROR(IF(LEN(G$11)=0,"",IF($C$7&lt;&gt;"All",IF(LEN(INDEX(Calc!$J$8:$J$500,MATCH(SMALL(IF((Calc!$C$8:$C$500=Kanban!$C$7)*(Calc!$K$8:$K$500=Kanban!G$11)*(Calc!$Y$8:$Y$500&gt;0),Calc!$Y$8:$Y$500,99999),Kanban_Helper!$B31),Calc!$Y$8:$Y$500,0)))=0,"",CONCATENATE(Calc!$AD$6,INDEX(Calc!$J$8:$J$500,MATCH(SMALL(IF((Calc!$C$8:$C$500=Kanban!$C$7)*(Calc!$K$8:$K$500=Kanban!G$11)*(Calc!$Y$8:$Y$500&gt;0),Calc!$Y$8:$Y$500,99999),Kanban_Helper!$B31),Calc!$Y$8:$Y$500,0)))),IF(LEN(INDEX(Calc!$J$8:$J$500,MATCH(SMALL(IF((Calc!$K$8:$K$500=Kanban!G$11)*(Calc!$Y$8:$Y$500&gt;0),Calc!$Y$8:$Y$500,99999),Kanban_Helper!$B31),Calc!$Y$8:$Y$500,0)))=0,"",CONCATENATE(Calc!$AD$6,INDEX(Calc!$J$8:$J$500,MATCH(SMALL(IF((Calc!$K$8:$K$500=Kanban!G$11)*(Calc!$Y$8:$Y$500&gt;0),Calc!$Y$8:$Y$500,99999),Kanban_Helper!$B31),Calc!$Y$8:$Y$500,0)))))),"")</f>
        <v/>
      </c>
      <c r="H38" s="173" t="str">
        <f t="array" ref="H38">IFERROR(IF(LEN(H$11)=0,"",IF($C$7&lt;&gt;"All",IF(LEN(INDEX(Calc!$J$8:$J$500,MATCH(SMALL(IF((Calc!$C$8:$C$500=Kanban!$C$7)*(Calc!$K$8:$K$500=Kanban!H$11)*(Calc!$Y$8:$Y$500&gt;0),Calc!$Y$8:$Y$500,99999),Kanban_Helper!$B31),Calc!$Y$8:$Y$500,0)))=0,"",CONCATENATE(Calc!$AD$6,INDEX(Calc!$J$8:$J$500,MATCH(SMALL(IF((Calc!$C$8:$C$500=Kanban!$C$7)*(Calc!$K$8:$K$500=Kanban!H$11)*(Calc!$Y$8:$Y$500&gt;0),Calc!$Y$8:$Y$500,99999),Kanban_Helper!$B31),Calc!$Y$8:$Y$500,0)))),IF(LEN(INDEX(Calc!$J$8:$J$500,MATCH(SMALL(IF((Calc!$K$8:$K$500=Kanban!H$11)*(Calc!$Y$8:$Y$500&gt;0),Calc!$Y$8:$Y$500,99999),Kanban_Helper!$B31),Calc!$Y$8:$Y$500,0)))=0,"",CONCATENATE(Calc!$AD$6,INDEX(Calc!$J$8:$J$500,MATCH(SMALL(IF((Calc!$K$8:$K$500=Kanban!H$11)*(Calc!$Y$8:$Y$500&gt;0),Calc!$Y$8:$Y$500,99999),Kanban_Helper!$B31),Calc!$Y$8:$Y$500,0)))))),"")</f>
        <v/>
      </c>
      <c r="I38" s="39"/>
      <c r="J38" s="10"/>
      <c r="K38" s="10"/>
      <c r="L38" s="10"/>
    </row>
    <row r="39" spans="2:12" ht="15" thickTop="1" x14ac:dyDescent="0.35">
      <c r="B39" s="80"/>
      <c r="C39" s="170" t="str">
        <f t="array" ref="C39">IFERROR(IF(LEN(C$11)=0,"",IF($C$7&lt;&gt;"All",IF(INDEX(Calc!$V$8:$V$500,MATCH(INDEX(Calc!$D$8:$D$500,MATCH(SMALL(IF((Calc!$C$8:$C$500=Kanban!$C$7)*(Calc!$K$8:$K$500=Kanban!C$11)*(Calc!$Y$8:$Y$500&gt;0),Calc!$Y$8:$Y$500,99999),Kanban_Helper!$B32),Calc!$Y$8:$Y$500,0)),Calc!$D$8:$D$500,0))="Yes",CONCATENATE(INDEX(Calc!$D$8:$D$500,MATCH(SMALL(IF((Calc!$C$8:$C$500=Kanban!$C$7)*(Calc!$K$8:$K$500=Kanban!C$11)*(Calc!$Y$8:$Y$500&gt;0),Calc!$Y$8:$Y$500,99999),Kanban_Helper!$B32),Calc!$Y$8:$Y$500,0))," ",Calc!$V$7," ","!"),INDEX(Calc!$D$8:$D$500,MATCH(SMALL(IF((Calc!$C$8:$C$500=Kanban!$C$7)*(Calc!$K$8:$K$500=Kanban!C$11)*(Calc!$Y$8:$Y$500&gt;0),Calc!$Y$8:$Y$500,99999),Kanban_Helper!$B32),Calc!$Y$8:$Y$500,0))),IF(INDEX(Calc!$V$8:$V$500,MATCH(INDEX(Calc!$D$8:$D$500,MATCH(SMALL(IF((Calc!$K$8:$K$500=Kanban!C$11)*(Calc!$Y$8:$Y$500&gt;0),Calc!$Y$8:$Y$500,99999),Kanban_Helper!$B32),Calc!$Y$8:$Y$500,0)),Calc!$D$8:$D$500,0))="Yes",CONCATENATE(INDEX(Calc!$D$8:$D$500,MATCH(SMALL(IF((Calc!$K$8:$K$500=Kanban!C$11)*(Calc!$Y$8:$Y$500&gt;0),Calc!$Y$8:$Y$500,99999),Kanban_Helper!$B32),Calc!$Y$8:$Y$500,0))," ",Calc!$V$7," ","!"),INDEX(Calc!$D$8:$D$500,MATCH(SMALL(IF((Calc!$K$8:$K$500=Kanban!C$11)*(Calc!$Y$8:$Y$500&gt;0),Calc!$Y$8:$Y$500,99999),Kanban_Helper!$B32),Calc!$Y$8:$Y$500,0))))),"")</f>
        <v/>
      </c>
      <c r="D39" s="170" t="str">
        <f t="array" ref="D39">IFERROR(IF(LEN(D$11)=0,"",IF($C$7&lt;&gt;"All",IF(INDEX(Calc!$V$8:$V$500,MATCH(INDEX(Calc!$D$8:$D$500,MATCH(SMALL(IF((Calc!$C$8:$C$500=Kanban!$C$7)*(Calc!$K$8:$K$500=Kanban!D$11)*(Calc!$Y$8:$Y$500&gt;0),Calc!$Y$8:$Y$500,99999),Kanban_Helper!$B32),Calc!$Y$8:$Y$500,0)),Calc!$D$8:$D$500,0))="Yes",CONCATENATE(INDEX(Calc!$D$8:$D$500,MATCH(SMALL(IF((Calc!$C$8:$C$500=Kanban!$C$7)*(Calc!$K$8:$K$500=Kanban!D$11)*(Calc!$Y$8:$Y$500&gt;0),Calc!$Y$8:$Y$500,99999),Kanban_Helper!$B32),Calc!$Y$8:$Y$500,0))," ",Calc!$V$7," ","!"),INDEX(Calc!$D$8:$D$500,MATCH(SMALL(IF((Calc!$C$8:$C$500=Kanban!$C$7)*(Calc!$K$8:$K$500=Kanban!D$11)*(Calc!$Y$8:$Y$500&gt;0),Calc!$Y$8:$Y$500,99999),Kanban_Helper!$B32),Calc!$Y$8:$Y$500,0))),IF(INDEX(Calc!$V$8:$V$500,MATCH(INDEX(Calc!$D$8:$D$500,MATCH(SMALL(IF((Calc!$K$8:$K$500=Kanban!D$11)*(Calc!$Y$8:$Y$500&gt;0),Calc!$Y$8:$Y$500,99999),Kanban_Helper!$B32),Calc!$Y$8:$Y$500,0)),Calc!$D$8:$D$500,0))="Yes",CONCATENATE(INDEX(Calc!$D$8:$D$500,MATCH(SMALL(IF((Calc!$K$8:$K$500=Kanban!D$11)*(Calc!$Y$8:$Y$500&gt;0),Calc!$Y$8:$Y$500,99999),Kanban_Helper!$B32),Calc!$Y$8:$Y$500,0))," ",Calc!$V$7," ","!"),INDEX(Calc!$D$8:$D$500,MATCH(SMALL(IF((Calc!$K$8:$K$500=Kanban!D$11)*(Calc!$Y$8:$Y$500&gt;0),Calc!$Y$8:$Y$500,99999),Kanban_Helper!$B32),Calc!$Y$8:$Y$500,0))))),"")</f>
        <v/>
      </c>
      <c r="E39" s="170" t="str">
        <f t="array" ref="E39">IFERROR(IF(LEN(E$11)=0,"",IF($C$7&lt;&gt;"All",IF(INDEX(Calc!$V$8:$V$500,MATCH(INDEX(Calc!$D$8:$D$500,MATCH(SMALL(IF((Calc!$C$8:$C$500=Kanban!$C$7)*(Calc!$K$8:$K$500=Kanban!E$11)*(Calc!$Y$8:$Y$500&gt;0),Calc!$Y$8:$Y$500,99999),Kanban_Helper!$B32),Calc!$Y$8:$Y$500,0)),Calc!$D$8:$D$500,0))="Yes",CONCATENATE(INDEX(Calc!$D$8:$D$500,MATCH(SMALL(IF((Calc!$C$8:$C$500=Kanban!$C$7)*(Calc!$K$8:$K$500=Kanban!E$11)*(Calc!$Y$8:$Y$500&gt;0),Calc!$Y$8:$Y$500,99999),Kanban_Helper!$B32),Calc!$Y$8:$Y$500,0))," ",Calc!$V$7," ","!"),INDEX(Calc!$D$8:$D$500,MATCH(SMALL(IF((Calc!$C$8:$C$500=Kanban!$C$7)*(Calc!$K$8:$K$500=Kanban!E$11)*(Calc!$Y$8:$Y$500&gt;0),Calc!$Y$8:$Y$500,99999),Kanban_Helper!$B32),Calc!$Y$8:$Y$500,0))),IF(INDEX(Calc!$V$8:$V$500,MATCH(INDEX(Calc!$D$8:$D$500,MATCH(SMALL(IF((Calc!$K$8:$K$500=Kanban!E$11)*(Calc!$Y$8:$Y$500&gt;0),Calc!$Y$8:$Y$500,99999),Kanban_Helper!$B32),Calc!$Y$8:$Y$500,0)),Calc!$D$8:$D$500,0))="Yes",CONCATENATE(INDEX(Calc!$D$8:$D$500,MATCH(SMALL(IF((Calc!$K$8:$K$500=Kanban!E$11)*(Calc!$Y$8:$Y$500&gt;0),Calc!$Y$8:$Y$500,99999),Kanban_Helper!$B32),Calc!$Y$8:$Y$500,0))," ",Calc!$V$7," ","!"),INDEX(Calc!$D$8:$D$500,MATCH(SMALL(IF((Calc!$K$8:$K$500=Kanban!E$11)*(Calc!$Y$8:$Y$500&gt;0),Calc!$Y$8:$Y$500,99999),Kanban_Helper!$B32),Calc!$Y$8:$Y$500,0))))),"")</f>
        <v/>
      </c>
      <c r="F39" s="170" t="str">
        <f t="array" ref="F39">IFERROR(IF(LEN(F$11)=0,"",IF($C$7&lt;&gt;"All",IF(INDEX(Calc!$V$8:$V$500,MATCH(INDEX(Calc!$D$8:$D$500,MATCH(SMALL(IF((Calc!$C$8:$C$500=Kanban!$C$7)*(Calc!$K$8:$K$500=Kanban!F$11)*(Calc!$Y$8:$Y$500&gt;0),Calc!$Y$8:$Y$500,99999),Kanban_Helper!$B32),Calc!$Y$8:$Y$500,0)),Calc!$D$8:$D$500,0))="Yes",CONCATENATE(INDEX(Calc!$D$8:$D$500,MATCH(SMALL(IF((Calc!$C$8:$C$500=Kanban!$C$7)*(Calc!$K$8:$K$500=Kanban!F$11)*(Calc!$Y$8:$Y$500&gt;0),Calc!$Y$8:$Y$500,99999),Kanban_Helper!$B32),Calc!$Y$8:$Y$500,0))," ",Calc!$V$7," ","!"),INDEX(Calc!$D$8:$D$500,MATCH(SMALL(IF((Calc!$C$8:$C$500=Kanban!$C$7)*(Calc!$K$8:$K$500=Kanban!F$11)*(Calc!$Y$8:$Y$500&gt;0),Calc!$Y$8:$Y$500,99999),Kanban_Helper!$B32),Calc!$Y$8:$Y$500,0))),IF(INDEX(Calc!$V$8:$V$500,MATCH(INDEX(Calc!$D$8:$D$500,MATCH(SMALL(IF((Calc!$K$8:$K$500=Kanban!F$11)*(Calc!$Y$8:$Y$500&gt;0),Calc!$Y$8:$Y$500,99999),Kanban_Helper!$B32),Calc!$Y$8:$Y$500,0)),Calc!$D$8:$D$500,0))="Yes",CONCATENATE(INDEX(Calc!$D$8:$D$500,MATCH(SMALL(IF((Calc!$K$8:$K$500=Kanban!F$11)*(Calc!$Y$8:$Y$500&gt;0),Calc!$Y$8:$Y$500,99999),Kanban_Helper!$B32),Calc!$Y$8:$Y$500,0))," ",Calc!$V$7," ","!"),INDEX(Calc!$D$8:$D$500,MATCH(SMALL(IF((Calc!$K$8:$K$500=Kanban!F$11)*(Calc!$Y$8:$Y$500&gt;0),Calc!$Y$8:$Y$500,99999),Kanban_Helper!$B32),Calc!$Y$8:$Y$500,0))))),"")</f>
        <v/>
      </c>
      <c r="G39" s="170" t="str">
        <f t="array" ref="G39">IFERROR(IF(LEN(G$11)=0,"",IF($C$7&lt;&gt;"All",IF(INDEX(Calc!$V$8:$V$500,MATCH(INDEX(Calc!$D$8:$D$500,MATCH(SMALL(IF((Calc!$C$8:$C$500=Kanban!$C$7)*(Calc!$K$8:$K$500=Kanban!G$11)*(Calc!$Y$8:$Y$500&gt;0),Calc!$Y$8:$Y$500,99999),Kanban_Helper!$B32),Calc!$Y$8:$Y$500,0)),Calc!$D$8:$D$500,0))="Yes",CONCATENATE(INDEX(Calc!$D$8:$D$500,MATCH(SMALL(IF((Calc!$C$8:$C$500=Kanban!$C$7)*(Calc!$K$8:$K$500=Kanban!G$11)*(Calc!$Y$8:$Y$500&gt;0),Calc!$Y$8:$Y$500,99999),Kanban_Helper!$B32),Calc!$Y$8:$Y$500,0))," ",Calc!$V$7," ","!"),INDEX(Calc!$D$8:$D$500,MATCH(SMALL(IF((Calc!$C$8:$C$500=Kanban!$C$7)*(Calc!$K$8:$K$500=Kanban!G$11)*(Calc!$Y$8:$Y$500&gt;0),Calc!$Y$8:$Y$500,99999),Kanban_Helper!$B32),Calc!$Y$8:$Y$500,0))),IF(INDEX(Calc!$V$8:$V$500,MATCH(INDEX(Calc!$D$8:$D$500,MATCH(SMALL(IF((Calc!$K$8:$K$500=Kanban!G$11)*(Calc!$Y$8:$Y$500&gt;0),Calc!$Y$8:$Y$500,99999),Kanban_Helper!$B32),Calc!$Y$8:$Y$500,0)),Calc!$D$8:$D$500,0))="Yes",CONCATENATE(INDEX(Calc!$D$8:$D$500,MATCH(SMALL(IF((Calc!$K$8:$K$500=Kanban!G$11)*(Calc!$Y$8:$Y$500&gt;0),Calc!$Y$8:$Y$500,99999),Kanban_Helper!$B32),Calc!$Y$8:$Y$500,0))," ",Calc!$V$7," ","!"),INDEX(Calc!$D$8:$D$500,MATCH(SMALL(IF((Calc!$K$8:$K$500=Kanban!G$11)*(Calc!$Y$8:$Y$500&gt;0),Calc!$Y$8:$Y$500,99999),Kanban_Helper!$B32),Calc!$Y$8:$Y$500,0))))),"")</f>
        <v/>
      </c>
      <c r="H39" s="170" t="str">
        <f t="array" ref="H39">IFERROR(IF(LEN(H$11)=0,"",IF($C$7&lt;&gt;"All",IF(INDEX(Calc!$V$8:$V$500,MATCH(INDEX(Calc!$D$8:$D$500,MATCH(SMALL(IF((Calc!$C$8:$C$500=Kanban!$C$7)*(Calc!$K$8:$K$500=Kanban!H$11)*(Calc!$Y$8:$Y$500&gt;0),Calc!$Y$8:$Y$500,99999),Kanban_Helper!$B32),Calc!$Y$8:$Y$500,0)),Calc!$D$8:$D$500,0))="Yes",CONCATENATE(INDEX(Calc!$D$8:$D$500,MATCH(SMALL(IF((Calc!$C$8:$C$500=Kanban!$C$7)*(Calc!$K$8:$K$500=Kanban!H$11)*(Calc!$Y$8:$Y$500&gt;0),Calc!$Y$8:$Y$500,99999),Kanban_Helper!$B32),Calc!$Y$8:$Y$500,0))," ",Calc!$V$7," ","!"),INDEX(Calc!$D$8:$D$500,MATCH(SMALL(IF((Calc!$C$8:$C$500=Kanban!$C$7)*(Calc!$K$8:$K$500=Kanban!H$11)*(Calc!$Y$8:$Y$500&gt;0),Calc!$Y$8:$Y$500,99999),Kanban_Helper!$B32),Calc!$Y$8:$Y$500,0))),IF(INDEX(Calc!$V$8:$V$500,MATCH(INDEX(Calc!$D$8:$D$500,MATCH(SMALL(IF((Calc!$K$8:$K$500=Kanban!H$11)*(Calc!$Y$8:$Y$500&gt;0),Calc!$Y$8:$Y$500,99999),Kanban_Helper!$B32),Calc!$Y$8:$Y$500,0)),Calc!$D$8:$D$500,0))="Yes",CONCATENATE(INDEX(Calc!$D$8:$D$500,MATCH(SMALL(IF((Calc!$K$8:$K$500=Kanban!H$11)*(Calc!$Y$8:$Y$500&gt;0),Calc!$Y$8:$Y$500,99999),Kanban_Helper!$B32),Calc!$Y$8:$Y$500,0))," ",Calc!$V$7," ","!"),INDEX(Calc!$D$8:$D$500,MATCH(SMALL(IF((Calc!$K$8:$K$500=Kanban!H$11)*(Calc!$Y$8:$Y$500&gt;0),Calc!$Y$8:$Y$500,99999),Kanban_Helper!$B32),Calc!$Y$8:$Y$500,0))))),"")</f>
        <v/>
      </c>
      <c r="I39" s="39"/>
      <c r="J39" s="10"/>
      <c r="K39" s="10"/>
      <c r="L39" s="10"/>
    </row>
    <row r="40" spans="2:12" x14ac:dyDescent="0.35">
      <c r="B40" s="80"/>
      <c r="C40" s="171" t="str">
        <f t="array" ref="C40">IFERROR(IF(LEN(C$11)=0,"",IF($C$7&lt;&gt;"All",INDEX(Calc!$E$8:$E$500,MATCH(SMALL(IF((Calc!$C$8:$C$500=Kanban!$C$7)*(Calc!$K$8:$K$500=Kanban!C$11)*(Calc!$Y$8:$Y$500&gt;0),Calc!$Y$8:$Y$500,99999),Kanban_Helper!$B33),Calc!$Y$8:$Y$500,0)),INDEX(Calc!$E$8:$E$500,MATCH(SMALL(IF((Calc!$K$8:$K$500=Kanban!C$11)*(Calc!$Y$8:$Y$500&gt;0),Calc!$Y$8:$Y$500,99999),Kanban_Helper!$B33),Calc!$Y$8:$Y$500,0)))),"")</f>
        <v/>
      </c>
      <c r="D40" s="171" t="str">
        <f t="array" ref="D40">IFERROR(IF(LEN(D$11)=0,"",IF($C$7&lt;&gt;"All",INDEX(Calc!$E$8:$E$500,MATCH(SMALL(IF((Calc!$C$8:$C$500=Kanban!$C$7)*(Calc!$K$8:$K$500=Kanban!D$11)*(Calc!$Y$8:$Y$500&gt;0),Calc!$Y$8:$Y$500,99999),Kanban_Helper!$B33),Calc!$Y$8:$Y$500,0)),INDEX(Calc!$E$8:$E$500,MATCH(SMALL(IF((Calc!$K$8:$K$500=Kanban!D$11)*(Calc!$Y$8:$Y$500&gt;0),Calc!$Y$8:$Y$500,99999),Kanban_Helper!$B33),Calc!$Y$8:$Y$500,0)))),"")</f>
        <v/>
      </c>
      <c r="E40" s="171" t="str">
        <f t="array" ref="E40">IFERROR(IF(LEN(E$11)=0,"",IF($C$7&lt;&gt;"All",INDEX(Calc!$E$8:$E$500,MATCH(SMALL(IF((Calc!$C$8:$C$500=Kanban!$C$7)*(Calc!$K$8:$K$500=Kanban!E$11)*(Calc!$Y$8:$Y$500&gt;0),Calc!$Y$8:$Y$500,99999),Kanban_Helper!$B33),Calc!$Y$8:$Y$500,0)),INDEX(Calc!$E$8:$E$500,MATCH(SMALL(IF((Calc!$K$8:$K$500=Kanban!E$11)*(Calc!$Y$8:$Y$500&gt;0),Calc!$Y$8:$Y$500,99999),Kanban_Helper!$B33),Calc!$Y$8:$Y$500,0)))),"")</f>
        <v/>
      </c>
      <c r="F40" s="171" t="str">
        <f t="array" ref="F40">IFERROR(IF(LEN(F$11)=0,"",IF($C$7&lt;&gt;"All",INDEX(Calc!$E$8:$E$500,MATCH(SMALL(IF((Calc!$C$8:$C$500=Kanban!$C$7)*(Calc!$K$8:$K$500=Kanban!F$11)*(Calc!$Y$8:$Y$500&gt;0),Calc!$Y$8:$Y$500,99999),Kanban_Helper!$B33),Calc!$Y$8:$Y$500,0)),INDEX(Calc!$E$8:$E$500,MATCH(SMALL(IF((Calc!$K$8:$K$500=Kanban!F$11)*(Calc!$Y$8:$Y$500&gt;0),Calc!$Y$8:$Y$500,99999),Kanban_Helper!$B33),Calc!$Y$8:$Y$500,0)))),"")</f>
        <v/>
      </c>
      <c r="G40" s="171" t="str">
        <f t="array" ref="G40">IFERROR(IF(LEN(G$11)=0,"",IF($C$7&lt;&gt;"All",INDEX(Calc!$E$8:$E$500,MATCH(SMALL(IF((Calc!$C$8:$C$500=Kanban!$C$7)*(Calc!$K$8:$K$500=Kanban!G$11)*(Calc!$Y$8:$Y$500&gt;0),Calc!$Y$8:$Y$500,99999),Kanban_Helper!$B33),Calc!$Y$8:$Y$500,0)),INDEX(Calc!$E$8:$E$500,MATCH(SMALL(IF((Calc!$K$8:$K$500=Kanban!G$11)*(Calc!$Y$8:$Y$500&gt;0),Calc!$Y$8:$Y$500,99999),Kanban_Helper!$B33),Calc!$Y$8:$Y$500,0)))),"")</f>
        <v/>
      </c>
      <c r="H40" s="171" t="str">
        <f t="array" ref="H40">IFERROR(IF(LEN(H$11)=0,"",IF($C$7&lt;&gt;"All",INDEX(Calc!$E$8:$E$500,MATCH(SMALL(IF((Calc!$C$8:$C$500=Kanban!$C$7)*(Calc!$K$8:$K$500=Kanban!H$11)*(Calc!$Y$8:$Y$500&gt;0),Calc!$Y$8:$Y$500,99999),Kanban_Helper!$B33),Calc!$Y$8:$Y$500,0)),INDEX(Calc!$E$8:$E$500,MATCH(SMALL(IF((Calc!$K$8:$K$500=Kanban!H$11)*(Calc!$Y$8:$Y$500&gt;0),Calc!$Y$8:$Y$500,99999),Kanban_Helper!$B33),Calc!$Y$8:$Y$500,0)))),"")</f>
        <v/>
      </c>
      <c r="I40" s="39"/>
      <c r="J40" s="10"/>
      <c r="K40" s="10"/>
      <c r="L40" s="10"/>
    </row>
    <row r="41" spans="2:12" ht="15" thickBot="1" x14ac:dyDescent="0.4">
      <c r="B41" s="80"/>
      <c r="C41" s="173" t="str">
        <f t="array" ref="C41">IFERROR(IF(LEN(C$11)=0,"",IF($C$7&lt;&gt;"All",IF(LEN(INDEX(Calc!$J$8:$J$500,MATCH(SMALL(IF((Calc!$C$8:$C$500=Kanban!$C$7)*(Calc!$K$8:$K$500=Kanban!C$11)*(Calc!$Y$8:$Y$500&gt;0),Calc!$Y$8:$Y$500,99999),Kanban_Helper!$B34),Calc!$Y$8:$Y$500,0)))=0,"",CONCATENATE(Calc!$AD$6,INDEX(Calc!$J$8:$J$500,MATCH(SMALL(IF((Calc!$C$8:$C$500=Kanban!$C$7)*(Calc!$K$8:$K$500=Kanban!C$11)*(Calc!$Y$8:$Y$500&gt;0),Calc!$Y$8:$Y$500,99999),Kanban_Helper!$B34),Calc!$Y$8:$Y$500,0)))),IF(LEN(INDEX(Calc!$J$8:$J$500,MATCH(SMALL(IF((Calc!$K$8:$K$500=Kanban!C$11)*(Calc!$Y$8:$Y$500&gt;0),Calc!$Y$8:$Y$500,99999),Kanban_Helper!$B34),Calc!$Y$8:$Y$500,0)))=0,"",CONCATENATE(Calc!$AD$6,INDEX(Calc!$J$8:$J$500,MATCH(SMALL(IF((Calc!$K$8:$K$500=Kanban!C$11)*(Calc!$Y$8:$Y$500&gt;0),Calc!$Y$8:$Y$500,99999),Kanban_Helper!$B34),Calc!$Y$8:$Y$500,0)))))),"")</f>
        <v/>
      </c>
      <c r="D41" s="173" t="str">
        <f t="array" ref="D41">IFERROR(IF(LEN(D$11)=0,"",IF($C$7&lt;&gt;"All",IF(LEN(INDEX(Calc!$J$8:$J$500,MATCH(SMALL(IF((Calc!$C$8:$C$500=Kanban!$C$7)*(Calc!$K$8:$K$500=Kanban!D$11)*(Calc!$Y$8:$Y$500&gt;0),Calc!$Y$8:$Y$500,99999),Kanban_Helper!$B34),Calc!$Y$8:$Y$500,0)))=0,"",CONCATENATE(Calc!$AD$6,INDEX(Calc!$J$8:$J$500,MATCH(SMALL(IF((Calc!$C$8:$C$500=Kanban!$C$7)*(Calc!$K$8:$K$500=Kanban!D$11)*(Calc!$Y$8:$Y$500&gt;0),Calc!$Y$8:$Y$500,99999),Kanban_Helper!$B34),Calc!$Y$8:$Y$500,0)))),IF(LEN(INDEX(Calc!$J$8:$J$500,MATCH(SMALL(IF((Calc!$K$8:$K$500=Kanban!D$11)*(Calc!$Y$8:$Y$500&gt;0),Calc!$Y$8:$Y$500,99999),Kanban_Helper!$B34),Calc!$Y$8:$Y$500,0)))=0,"",CONCATENATE(Calc!$AD$6,INDEX(Calc!$J$8:$J$500,MATCH(SMALL(IF((Calc!$K$8:$K$500=Kanban!D$11)*(Calc!$Y$8:$Y$500&gt;0),Calc!$Y$8:$Y$500,99999),Kanban_Helper!$B34),Calc!$Y$8:$Y$500,0)))))),"")</f>
        <v/>
      </c>
      <c r="E41" s="173" t="str">
        <f t="array" ref="E41">IFERROR(IF(LEN(E$11)=0,"",IF($C$7&lt;&gt;"All",IF(LEN(INDEX(Calc!$J$8:$J$500,MATCH(SMALL(IF((Calc!$C$8:$C$500=Kanban!$C$7)*(Calc!$K$8:$K$500=Kanban!E$11)*(Calc!$Y$8:$Y$500&gt;0),Calc!$Y$8:$Y$500,99999),Kanban_Helper!$B34),Calc!$Y$8:$Y$500,0)))=0,"",CONCATENATE(Calc!$AD$6,INDEX(Calc!$J$8:$J$500,MATCH(SMALL(IF((Calc!$C$8:$C$500=Kanban!$C$7)*(Calc!$K$8:$K$500=Kanban!E$11)*(Calc!$Y$8:$Y$500&gt;0),Calc!$Y$8:$Y$500,99999),Kanban_Helper!$B34),Calc!$Y$8:$Y$500,0)))),IF(LEN(INDEX(Calc!$J$8:$J$500,MATCH(SMALL(IF((Calc!$K$8:$K$500=Kanban!E$11)*(Calc!$Y$8:$Y$500&gt;0),Calc!$Y$8:$Y$500,99999),Kanban_Helper!$B34),Calc!$Y$8:$Y$500,0)))=0,"",CONCATENATE(Calc!$AD$6,INDEX(Calc!$J$8:$J$500,MATCH(SMALL(IF((Calc!$K$8:$K$500=Kanban!E$11)*(Calc!$Y$8:$Y$500&gt;0),Calc!$Y$8:$Y$500,99999),Kanban_Helper!$B34),Calc!$Y$8:$Y$500,0)))))),"")</f>
        <v/>
      </c>
      <c r="F41" s="173" t="str">
        <f t="array" ref="F41">IFERROR(IF(LEN(F$11)=0,"",IF($C$7&lt;&gt;"All",IF(LEN(INDEX(Calc!$J$8:$J$500,MATCH(SMALL(IF((Calc!$C$8:$C$500=Kanban!$C$7)*(Calc!$K$8:$K$500=Kanban!F$11)*(Calc!$Y$8:$Y$500&gt;0),Calc!$Y$8:$Y$500,99999),Kanban_Helper!$B34),Calc!$Y$8:$Y$500,0)))=0,"",CONCATENATE(Calc!$AD$6,INDEX(Calc!$J$8:$J$500,MATCH(SMALL(IF((Calc!$C$8:$C$500=Kanban!$C$7)*(Calc!$K$8:$K$500=Kanban!F$11)*(Calc!$Y$8:$Y$500&gt;0),Calc!$Y$8:$Y$500,99999),Kanban_Helper!$B34),Calc!$Y$8:$Y$500,0)))),IF(LEN(INDEX(Calc!$J$8:$J$500,MATCH(SMALL(IF((Calc!$K$8:$K$500=Kanban!F$11)*(Calc!$Y$8:$Y$500&gt;0),Calc!$Y$8:$Y$500,99999),Kanban_Helper!$B34),Calc!$Y$8:$Y$500,0)))=0,"",CONCATENATE(Calc!$AD$6,INDEX(Calc!$J$8:$J$500,MATCH(SMALL(IF((Calc!$K$8:$K$500=Kanban!F$11)*(Calc!$Y$8:$Y$500&gt;0),Calc!$Y$8:$Y$500,99999),Kanban_Helper!$B34),Calc!$Y$8:$Y$500,0)))))),"")</f>
        <v/>
      </c>
      <c r="G41" s="173" t="str">
        <f t="array" ref="G41">IFERROR(IF(LEN(G$11)=0,"",IF($C$7&lt;&gt;"All",IF(LEN(INDEX(Calc!$J$8:$J$500,MATCH(SMALL(IF((Calc!$C$8:$C$500=Kanban!$C$7)*(Calc!$K$8:$K$500=Kanban!G$11)*(Calc!$Y$8:$Y$500&gt;0),Calc!$Y$8:$Y$500,99999),Kanban_Helper!$B34),Calc!$Y$8:$Y$500,0)))=0,"",CONCATENATE(Calc!$AD$6,INDEX(Calc!$J$8:$J$500,MATCH(SMALL(IF((Calc!$C$8:$C$500=Kanban!$C$7)*(Calc!$K$8:$K$500=Kanban!G$11)*(Calc!$Y$8:$Y$500&gt;0),Calc!$Y$8:$Y$500,99999),Kanban_Helper!$B34),Calc!$Y$8:$Y$500,0)))),IF(LEN(INDEX(Calc!$J$8:$J$500,MATCH(SMALL(IF((Calc!$K$8:$K$500=Kanban!G$11)*(Calc!$Y$8:$Y$500&gt;0),Calc!$Y$8:$Y$500,99999),Kanban_Helper!$B34),Calc!$Y$8:$Y$500,0)))=0,"",CONCATENATE(Calc!$AD$6,INDEX(Calc!$J$8:$J$500,MATCH(SMALL(IF((Calc!$K$8:$K$500=Kanban!G$11)*(Calc!$Y$8:$Y$500&gt;0),Calc!$Y$8:$Y$500,99999),Kanban_Helper!$B34),Calc!$Y$8:$Y$500,0)))))),"")</f>
        <v/>
      </c>
      <c r="H41" s="173" t="str">
        <f t="array" ref="H41">IFERROR(IF(LEN(H$11)=0,"",IF($C$7&lt;&gt;"All",IF(LEN(INDEX(Calc!$J$8:$J$500,MATCH(SMALL(IF((Calc!$C$8:$C$500=Kanban!$C$7)*(Calc!$K$8:$K$500=Kanban!H$11)*(Calc!$Y$8:$Y$500&gt;0),Calc!$Y$8:$Y$500,99999),Kanban_Helper!$B34),Calc!$Y$8:$Y$500,0)))=0,"",CONCATENATE(Calc!$AD$6,INDEX(Calc!$J$8:$J$500,MATCH(SMALL(IF((Calc!$C$8:$C$500=Kanban!$C$7)*(Calc!$K$8:$K$500=Kanban!H$11)*(Calc!$Y$8:$Y$500&gt;0),Calc!$Y$8:$Y$500,99999),Kanban_Helper!$B34),Calc!$Y$8:$Y$500,0)))),IF(LEN(INDEX(Calc!$J$8:$J$500,MATCH(SMALL(IF((Calc!$K$8:$K$500=Kanban!H$11)*(Calc!$Y$8:$Y$500&gt;0),Calc!$Y$8:$Y$500,99999),Kanban_Helper!$B34),Calc!$Y$8:$Y$500,0)))=0,"",CONCATENATE(Calc!$AD$6,INDEX(Calc!$J$8:$J$500,MATCH(SMALL(IF((Calc!$K$8:$K$500=Kanban!H$11)*(Calc!$Y$8:$Y$500&gt;0),Calc!$Y$8:$Y$500,99999),Kanban_Helper!$B34),Calc!$Y$8:$Y$500,0)))))),"")</f>
        <v/>
      </c>
      <c r="I41" s="39"/>
      <c r="J41" s="10"/>
      <c r="K41" s="10"/>
      <c r="L41" s="10"/>
    </row>
    <row r="42" spans="2:12" ht="15" thickTop="1" x14ac:dyDescent="0.35">
      <c r="B42" s="80"/>
      <c r="C42" s="170" t="str">
        <f t="array" ref="C42">IFERROR(IF(LEN(C$11)=0,"",IF($C$7&lt;&gt;"All",IF(INDEX(Calc!$V$8:$V$500,MATCH(INDEX(Calc!$D$8:$D$500,MATCH(SMALL(IF((Calc!$C$8:$C$500=Kanban!$C$7)*(Calc!$K$8:$K$500=Kanban!C$11)*(Calc!$Y$8:$Y$500&gt;0),Calc!$Y$8:$Y$500,99999),Kanban_Helper!$B35),Calc!$Y$8:$Y$500,0)),Calc!$D$8:$D$500,0))="Yes",CONCATENATE(INDEX(Calc!$D$8:$D$500,MATCH(SMALL(IF((Calc!$C$8:$C$500=Kanban!$C$7)*(Calc!$K$8:$K$500=Kanban!C$11)*(Calc!$Y$8:$Y$500&gt;0),Calc!$Y$8:$Y$500,99999),Kanban_Helper!$B35),Calc!$Y$8:$Y$500,0))," ",Calc!$V$7," ","!"),INDEX(Calc!$D$8:$D$500,MATCH(SMALL(IF((Calc!$C$8:$C$500=Kanban!$C$7)*(Calc!$K$8:$K$500=Kanban!C$11)*(Calc!$Y$8:$Y$500&gt;0),Calc!$Y$8:$Y$500,99999),Kanban_Helper!$B35),Calc!$Y$8:$Y$500,0))),IF(INDEX(Calc!$V$8:$V$500,MATCH(INDEX(Calc!$D$8:$D$500,MATCH(SMALL(IF((Calc!$K$8:$K$500=Kanban!C$11)*(Calc!$Y$8:$Y$500&gt;0),Calc!$Y$8:$Y$500,99999),Kanban_Helper!$B35),Calc!$Y$8:$Y$500,0)),Calc!$D$8:$D$500,0))="Yes",CONCATENATE(INDEX(Calc!$D$8:$D$500,MATCH(SMALL(IF((Calc!$K$8:$K$500=Kanban!C$11)*(Calc!$Y$8:$Y$500&gt;0),Calc!$Y$8:$Y$500,99999),Kanban_Helper!$B35),Calc!$Y$8:$Y$500,0))," ",Calc!$V$7," ","!"),INDEX(Calc!$D$8:$D$500,MATCH(SMALL(IF((Calc!$K$8:$K$500=Kanban!C$11)*(Calc!$Y$8:$Y$500&gt;0),Calc!$Y$8:$Y$500,99999),Kanban_Helper!$B35),Calc!$Y$8:$Y$500,0))))),"")</f>
        <v/>
      </c>
      <c r="D42" s="170" t="str">
        <f t="array" ref="D42">IFERROR(IF(LEN(D$11)=0,"",IF($C$7&lt;&gt;"All",IF(INDEX(Calc!$V$8:$V$500,MATCH(INDEX(Calc!$D$8:$D$500,MATCH(SMALL(IF((Calc!$C$8:$C$500=Kanban!$C$7)*(Calc!$K$8:$K$500=Kanban!D$11)*(Calc!$Y$8:$Y$500&gt;0),Calc!$Y$8:$Y$500,99999),Kanban_Helper!$B35),Calc!$Y$8:$Y$500,0)),Calc!$D$8:$D$500,0))="Yes",CONCATENATE(INDEX(Calc!$D$8:$D$500,MATCH(SMALL(IF((Calc!$C$8:$C$500=Kanban!$C$7)*(Calc!$K$8:$K$500=Kanban!D$11)*(Calc!$Y$8:$Y$500&gt;0),Calc!$Y$8:$Y$500,99999),Kanban_Helper!$B35),Calc!$Y$8:$Y$500,0))," ",Calc!$V$7," ","!"),INDEX(Calc!$D$8:$D$500,MATCH(SMALL(IF((Calc!$C$8:$C$500=Kanban!$C$7)*(Calc!$K$8:$K$500=Kanban!D$11)*(Calc!$Y$8:$Y$500&gt;0),Calc!$Y$8:$Y$500,99999),Kanban_Helper!$B35),Calc!$Y$8:$Y$500,0))),IF(INDEX(Calc!$V$8:$V$500,MATCH(INDEX(Calc!$D$8:$D$500,MATCH(SMALL(IF((Calc!$K$8:$K$500=Kanban!D$11)*(Calc!$Y$8:$Y$500&gt;0),Calc!$Y$8:$Y$500,99999),Kanban_Helper!$B35),Calc!$Y$8:$Y$500,0)),Calc!$D$8:$D$500,0))="Yes",CONCATENATE(INDEX(Calc!$D$8:$D$500,MATCH(SMALL(IF((Calc!$K$8:$K$500=Kanban!D$11)*(Calc!$Y$8:$Y$500&gt;0),Calc!$Y$8:$Y$500,99999),Kanban_Helper!$B35),Calc!$Y$8:$Y$500,0))," ",Calc!$V$7," ","!"),INDEX(Calc!$D$8:$D$500,MATCH(SMALL(IF((Calc!$K$8:$K$500=Kanban!D$11)*(Calc!$Y$8:$Y$500&gt;0),Calc!$Y$8:$Y$500,99999),Kanban_Helper!$B35),Calc!$Y$8:$Y$500,0))))),"")</f>
        <v/>
      </c>
      <c r="E42" s="170" t="str">
        <f t="array" ref="E42">IFERROR(IF(LEN(E$11)=0,"",IF($C$7&lt;&gt;"All",IF(INDEX(Calc!$V$8:$V$500,MATCH(INDEX(Calc!$D$8:$D$500,MATCH(SMALL(IF((Calc!$C$8:$C$500=Kanban!$C$7)*(Calc!$K$8:$K$500=Kanban!E$11)*(Calc!$Y$8:$Y$500&gt;0),Calc!$Y$8:$Y$500,99999),Kanban_Helper!$B35),Calc!$Y$8:$Y$500,0)),Calc!$D$8:$D$500,0))="Yes",CONCATENATE(INDEX(Calc!$D$8:$D$500,MATCH(SMALL(IF((Calc!$C$8:$C$500=Kanban!$C$7)*(Calc!$K$8:$K$500=Kanban!E$11)*(Calc!$Y$8:$Y$500&gt;0),Calc!$Y$8:$Y$500,99999),Kanban_Helper!$B35),Calc!$Y$8:$Y$500,0))," ",Calc!$V$7," ","!"),INDEX(Calc!$D$8:$D$500,MATCH(SMALL(IF((Calc!$C$8:$C$500=Kanban!$C$7)*(Calc!$K$8:$K$500=Kanban!E$11)*(Calc!$Y$8:$Y$500&gt;0),Calc!$Y$8:$Y$500,99999),Kanban_Helper!$B35),Calc!$Y$8:$Y$500,0))),IF(INDEX(Calc!$V$8:$V$500,MATCH(INDEX(Calc!$D$8:$D$500,MATCH(SMALL(IF((Calc!$K$8:$K$500=Kanban!E$11)*(Calc!$Y$8:$Y$500&gt;0),Calc!$Y$8:$Y$500,99999),Kanban_Helper!$B35),Calc!$Y$8:$Y$500,0)),Calc!$D$8:$D$500,0))="Yes",CONCATENATE(INDEX(Calc!$D$8:$D$500,MATCH(SMALL(IF((Calc!$K$8:$K$500=Kanban!E$11)*(Calc!$Y$8:$Y$500&gt;0),Calc!$Y$8:$Y$500,99999),Kanban_Helper!$B35),Calc!$Y$8:$Y$500,0))," ",Calc!$V$7," ","!"),INDEX(Calc!$D$8:$D$500,MATCH(SMALL(IF((Calc!$K$8:$K$500=Kanban!E$11)*(Calc!$Y$8:$Y$500&gt;0),Calc!$Y$8:$Y$500,99999),Kanban_Helper!$B35),Calc!$Y$8:$Y$500,0))))),"")</f>
        <v/>
      </c>
      <c r="F42" s="170" t="str">
        <f t="array" ref="F42">IFERROR(IF(LEN(F$11)=0,"",IF($C$7&lt;&gt;"All",IF(INDEX(Calc!$V$8:$V$500,MATCH(INDEX(Calc!$D$8:$D$500,MATCH(SMALL(IF((Calc!$C$8:$C$500=Kanban!$C$7)*(Calc!$K$8:$K$500=Kanban!F$11)*(Calc!$Y$8:$Y$500&gt;0),Calc!$Y$8:$Y$500,99999),Kanban_Helper!$B35),Calc!$Y$8:$Y$500,0)),Calc!$D$8:$D$500,0))="Yes",CONCATENATE(INDEX(Calc!$D$8:$D$500,MATCH(SMALL(IF((Calc!$C$8:$C$500=Kanban!$C$7)*(Calc!$K$8:$K$500=Kanban!F$11)*(Calc!$Y$8:$Y$500&gt;0),Calc!$Y$8:$Y$500,99999),Kanban_Helper!$B35),Calc!$Y$8:$Y$500,0))," ",Calc!$V$7," ","!"),INDEX(Calc!$D$8:$D$500,MATCH(SMALL(IF((Calc!$C$8:$C$500=Kanban!$C$7)*(Calc!$K$8:$K$500=Kanban!F$11)*(Calc!$Y$8:$Y$500&gt;0),Calc!$Y$8:$Y$500,99999),Kanban_Helper!$B35),Calc!$Y$8:$Y$500,0))),IF(INDEX(Calc!$V$8:$V$500,MATCH(INDEX(Calc!$D$8:$D$500,MATCH(SMALL(IF((Calc!$K$8:$K$500=Kanban!F$11)*(Calc!$Y$8:$Y$500&gt;0),Calc!$Y$8:$Y$500,99999),Kanban_Helper!$B35),Calc!$Y$8:$Y$500,0)),Calc!$D$8:$D$500,0))="Yes",CONCATENATE(INDEX(Calc!$D$8:$D$500,MATCH(SMALL(IF((Calc!$K$8:$K$500=Kanban!F$11)*(Calc!$Y$8:$Y$500&gt;0),Calc!$Y$8:$Y$500,99999),Kanban_Helper!$B35),Calc!$Y$8:$Y$500,0))," ",Calc!$V$7," ","!"),INDEX(Calc!$D$8:$D$500,MATCH(SMALL(IF((Calc!$K$8:$K$500=Kanban!F$11)*(Calc!$Y$8:$Y$500&gt;0),Calc!$Y$8:$Y$500,99999),Kanban_Helper!$B35),Calc!$Y$8:$Y$500,0))))),"")</f>
        <v/>
      </c>
      <c r="G42" s="170" t="str">
        <f t="array" ref="G42">IFERROR(IF(LEN(G$11)=0,"",IF($C$7&lt;&gt;"All",IF(INDEX(Calc!$V$8:$V$500,MATCH(INDEX(Calc!$D$8:$D$500,MATCH(SMALL(IF((Calc!$C$8:$C$500=Kanban!$C$7)*(Calc!$K$8:$K$500=Kanban!G$11)*(Calc!$Y$8:$Y$500&gt;0),Calc!$Y$8:$Y$500,99999),Kanban_Helper!$B35),Calc!$Y$8:$Y$500,0)),Calc!$D$8:$D$500,0))="Yes",CONCATENATE(INDEX(Calc!$D$8:$D$500,MATCH(SMALL(IF((Calc!$C$8:$C$500=Kanban!$C$7)*(Calc!$K$8:$K$500=Kanban!G$11)*(Calc!$Y$8:$Y$500&gt;0),Calc!$Y$8:$Y$500,99999),Kanban_Helper!$B35),Calc!$Y$8:$Y$500,0))," ",Calc!$V$7," ","!"),INDEX(Calc!$D$8:$D$500,MATCH(SMALL(IF((Calc!$C$8:$C$500=Kanban!$C$7)*(Calc!$K$8:$K$500=Kanban!G$11)*(Calc!$Y$8:$Y$500&gt;0),Calc!$Y$8:$Y$500,99999),Kanban_Helper!$B35),Calc!$Y$8:$Y$500,0))),IF(INDEX(Calc!$V$8:$V$500,MATCH(INDEX(Calc!$D$8:$D$500,MATCH(SMALL(IF((Calc!$K$8:$K$500=Kanban!G$11)*(Calc!$Y$8:$Y$500&gt;0),Calc!$Y$8:$Y$500,99999),Kanban_Helper!$B35),Calc!$Y$8:$Y$500,0)),Calc!$D$8:$D$500,0))="Yes",CONCATENATE(INDEX(Calc!$D$8:$D$500,MATCH(SMALL(IF((Calc!$K$8:$K$500=Kanban!G$11)*(Calc!$Y$8:$Y$500&gt;0),Calc!$Y$8:$Y$500,99999),Kanban_Helper!$B35),Calc!$Y$8:$Y$500,0))," ",Calc!$V$7," ","!"),INDEX(Calc!$D$8:$D$500,MATCH(SMALL(IF((Calc!$K$8:$K$500=Kanban!G$11)*(Calc!$Y$8:$Y$500&gt;0),Calc!$Y$8:$Y$500,99999),Kanban_Helper!$B35),Calc!$Y$8:$Y$500,0))))),"")</f>
        <v/>
      </c>
      <c r="H42" s="170" t="str">
        <f t="array" ref="H42">IFERROR(IF(LEN(H$11)=0,"",IF($C$7&lt;&gt;"All",IF(INDEX(Calc!$V$8:$V$500,MATCH(INDEX(Calc!$D$8:$D$500,MATCH(SMALL(IF((Calc!$C$8:$C$500=Kanban!$C$7)*(Calc!$K$8:$K$500=Kanban!H$11)*(Calc!$Y$8:$Y$500&gt;0),Calc!$Y$8:$Y$500,99999),Kanban_Helper!$B35),Calc!$Y$8:$Y$500,0)),Calc!$D$8:$D$500,0))="Yes",CONCATENATE(INDEX(Calc!$D$8:$D$500,MATCH(SMALL(IF((Calc!$C$8:$C$500=Kanban!$C$7)*(Calc!$K$8:$K$500=Kanban!H$11)*(Calc!$Y$8:$Y$500&gt;0),Calc!$Y$8:$Y$500,99999),Kanban_Helper!$B35),Calc!$Y$8:$Y$500,0))," ",Calc!$V$7," ","!"),INDEX(Calc!$D$8:$D$500,MATCH(SMALL(IF((Calc!$C$8:$C$500=Kanban!$C$7)*(Calc!$K$8:$K$500=Kanban!H$11)*(Calc!$Y$8:$Y$500&gt;0),Calc!$Y$8:$Y$500,99999),Kanban_Helper!$B35),Calc!$Y$8:$Y$500,0))),IF(INDEX(Calc!$V$8:$V$500,MATCH(INDEX(Calc!$D$8:$D$500,MATCH(SMALL(IF((Calc!$K$8:$K$500=Kanban!H$11)*(Calc!$Y$8:$Y$500&gt;0),Calc!$Y$8:$Y$500,99999),Kanban_Helper!$B35),Calc!$Y$8:$Y$500,0)),Calc!$D$8:$D$500,0))="Yes",CONCATENATE(INDEX(Calc!$D$8:$D$500,MATCH(SMALL(IF((Calc!$K$8:$K$500=Kanban!H$11)*(Calc!$Y$8:$Y$500&gt;0),Calc!$Y$8:$Y$500,99999),Kanban_Helper!$B35),Calc!$Y$8:$Y$500,0))," ",Calc!$V$7," ","!"),INDEX(Calc!$D$8:$D$500,MATCH(SMALL(IF((Calc!$K$8:$K$500=Kanban!H$11)*(Calc!$Y$8:$Y$500&gt;0),Calc!$Y$8:$Y$500,99999),Kanban_Helper!$B35),Calc!$Y$8:$Y$500,0))))),"")</f>
        <v/>
      </c>
      <c r="I42" s="39"/>
      <c r="J42" s="10"/>
      <c r="K42" s="10"/>
      <c r="L42" s="10"/>
    </row>
    <row r="43" spans="2:12" x14ac:dyDescent="0.35">
      <c r="B43" s="80"/>
      <c r="C43" s="171" t="str">
        <f t="array" ref="C43">IFERROR(IF(LEN(C$11)=0,"",IF($C$7&lt;&gt;"All",INDEX(Calc!$E$8:$E$500,MATCH(SMALL(IF((Calc!$C$8:$C$500=Kanban!$C$7)*(Calc!$K$8:$K$500=Kanban!C$11)*(Calc!$Y$8:$Y$500&gt;0),Calc!$Y$8:$Y$500,99999),Kanban_Helper!$B36),Calc!$Y$8:$Y$500,0)),INDEX(Calc!$E$8:$E$500,MATCH(SMALL(IF((Calc!$K$8:$K$500=Kanban!C$11)*(Calc!$Y$8:$Y$500&gt;0),Calc!$Y$8:$Y$500,99999),Kanban_Helper!$B36),Calc!$Y$8:$Y$500,0)))),"")</f>
        <v/>
      </c>
      <c r="D43" s="171" t="str">
        <f t="array" ref="D43">IFERROR(IF(LEN(D$11)=0,"",IF($C$7&lt;&gt;"All",INDEX(Calc!$E$8:$E$500,MATCH(SMALL(IF((Calc!$C$8:$C$500=Kanban!$C$7)*(Calc!$K$8:$K$500=Kanban!D$11)*(Calc!$Y$8:$Y$500&gt;0),Calc!$Y$8:$Y$500,99999),Kanban_Helper!$B36),Calc!$Y$8:$Y$500,0)),INDEX(Calc!$E$8:$E$500,MATCH(SMALL(IF((Calc!$K$8:$K$500=Kanban!D$11)*(Calc!$Y$8:$Y$500&gt;0),Calc!$Y$8:$Y$500,99999),Kanban_Helper!$B36),Calc!$Y$8:$Y$500,0)))),"")</f>
        <v/>
      </c>
      <c r="E43" s="171" t="str">
        <f t="array" ref="E43">IFERROR(IF(LEN(E$11)=0,"",IF($C$7&lt;&gt;"All",INDEX(Calc!$E$8:$E$500,MATCH(SMALL(IF((Calc!$C$8:$C$500=Kanban!$C$7)*(Calc!$K$8:$K$500=Kanban!E$11)*(Calc!$Y$8:$Y$500&gt;0),Calc!$Y$8:$Y$500,99999),Kanban_Helper!$B36),Calc!$Y$8:$Y$500,0)),INDEX(Calc!$E$8:$E$500,MATCH(SMALL(IF((Calc!$K$8:$K$500=Kanban!E$11)*(Calc!$Y$8:$Y$500&gt;0),Calc!$Y$8:$Y$500,99999),Kanban_Helper!$B36),Calc!$Y$8:$Y$500,0)))),"")</f>
        <v/>
      </c>
      <c r="F43" s="171" t="str">
        <f t="array" ref="F43">IFERROR(IF(LEN(F$11)=0,"",IF($C$7&lt;&gt;"All",INDEX(Calc!$E$8:$E$500,MATCH(SMALL(IF((Calc!$C$8:$C$500=Kanban!$C$7)*(Calc!$K$8:$K$500=Kanban!F$11)*(Calc!$Y$8:$Y$500&gt;0),Calc!$Y$8:$Y$500,99999),Kanban_Helper!$B36),Calc!$Y$8:$Y$500,0)),INDEX(Calc!$E$8:$E$500,MATCH(SMALL(IF((Calc!$K$8:$K$500=Kanban!F$11)*(Calc!$Y$8:$Y$500&gt;0),Calc!$Y$8:$Y$500,99999),Kanban_Helper!$B36),Calc!$Y$8:$Y$500,0)))),"")</f>
        <v/>
      </c>
      <c r="G43" s="171" t="str">
        <f t="array" ref="G43">IFERROR(IF(LEN(G$11)=0,"",IF($C$7&lt;&gt;"All",INDEX(Calc!$E$8:$E$500,MATCH(SMALL(IF((Calc!$C$8:$C$500=Kanban!$C$7)*(Calc!$K$8:$K$500=Kanban!G$11)*(Calc!$Y$8:$Y$500&gt;0),Calc!$Y$8:$Y$500,99999),Kanban_Helper!$B36),Calc!$Y$8:$Y$500,0)),INDEX(Calc!$E$8:$E$500,MATCH(SMALL(IF((Calc!$K$8:$K$500=Kanban!G$11)*(Calc!$Y$8:$Y$500&gt;0),Calc!$Y$8:$Y$500,99999),Kanban_Helper!$B36),Calc!$Y$8:$Y$500,0)))),"")</f>
        <v/>
      </c>
      <c r="H43" s="171" t="str">
        <f t="array" ref="H43">IFERROR(IF(LEN(H$11)=0,"",IF($C$7&lt;&gt;"All",INDEX(Calc!$E$8:$E$500,MATCH(SMALL(IF((Calc!$C$8:$C$500=Kanban!$C$7)*(Calc!$K$8:$K$500=Kanban!H$11)*(Calc!$Y$8:$Y$500&gt;0),Calc!$Y$8:$Y$500,99999),Kanban_Helper!$B36),Calc!$Y$8:$Y$500,0)),INDEX(Calc!$E$8:$E$500,MATCH(SMALL(IF((Calc!$K$8:$K$500=Kanban!H$11)*(Calc!$Y$8:$Y$500&gt;0),Calc!$Y$8:$Y$500,99999),Kanban_Helper!$B36),Calc!$Y$8:$Y$500,0)))),"")</f>
        <v/>
      </c>
      <c r="I43" s="39"/>
      <c r="J43" s="10"/>
      <c r="K43" s="10"/>
      <c r="L43" s="10"/>
    </row>
    <row r="44" spans="2:12" ht="15" thickBot="1" x14ac:dyDescent="0.4">
      <c r="B44" s="80"/>
      <c r="C44" s="173" t="str">
        <f t="array" ref="C44">IFERROR(IF(LEN(C$11)=0,"",IF($C$7&lt;&gt;"All",IF(LEN(INDEX(Calc!$J$8:$J$500,MATCH(SMALL(IF((Calc!$C$8:$C$500=Kanban!$C$7)*(Calc!$K$8:$K$500=Kanban!C$11)*(Calc!$Y$8:$Y$500&gt;0),Calc!$Y$8:$Y$500,99999),Kanban_Helper!$B37),Calc!$Y$8:$Y$500,0)))=0,"",CONCATENATE(Calc!$AD$6,INDEX(Calc!$J$8:$J$500,MATCH(SMALL(IF((Calc!$C$8:$C$500=Kanban!$C$7)*(Calc!$K$8:$K$500=Kanban!C$11)*(Calc!$Y$8:$Y$500&gt;0),Calc!$Y$8:$Y$500,99999),Kanban_Helper!$B37),Calc!$Y$8:$Y$500,0)))),IF(LEN(INDEX(Calc!$J$8:$J$500,MATCH(SMALL(IF((Calc!$K$8:$K$500=Kanban!C$11)*(Calc!$Y$8:$Y$500&gt;0),Calc!$Y$8:$Y$500,99999),Kanban_Helper!$B37),Calc!$Y$8:$Y$500,0)))=0,"",CONCATENATE(Calc!$AD$6,INDEX(Calc!$J$8:$J$500,MATCH(SMALL(IF((Calc!$K$8:$K$500=Kanban!C$11)*(Calc!$Y$8:$Y$500&gt;0),Calc!$Y$8:$Y$500,99999),Kanban_Helper!$B37),Calc!$Y$8:$Y$500,0)))))),"")</f>
        <v/>
      </c>
      <c r="D44" s="173" t="str">
        <f t="array" ref="D44">IFERROR(IF(LEN(D$11)=0,"",IF($C$7&lt;&gt;"All",IF(LEN(INDEX(Calc!$J$8:$J$500,MATCH(SMALL(IF((Calc!$C$8:$C$500=Kanban!$C$7)*(Calc!$K$8:$K$500=Kanban!D$11)*(Calc!$Y$8:$Y$500&gt;0),Calc!$Y$8:$Y$500,99999),Kanban_Helper!$B37),Calc!$Y$8:$Y$500,0)))=0,"",CONCATENATE(Calc!$AD$6,INDEX(Calc!$J$8:$J$500,MATCH(SMALL(IF((Calc!$C$8:$C$500=Kanban!$C$7)*(Calc!$K$8:$K$500=Kanban!D$11)*(Calc!$Y$8:$Y$500&gt;0),Calc!$Y$8:$Y$500,99999),Kanban_Helper!$B37),Calc!$Y$8:$Y$500,0)))),IF(LEN(INDEX(Calc!$J$8:$J$500,MATCH(SMALL(IF((Calc!$K$8:$K$500=Kanban!D$11)*(Calc!$Y$8:$Y$500&gt;0),Calc!$Y$8:$Y$500,99999),Kanban_Helper!$B37),Calc!$Y$8:$Y$500,0)))=0,"",CONCATENATE(Calc!$AD$6,INDEX(Calc!$J$8:$J$500,MATCH(SMALL(IF((Calc!$K$8:$K$500=Kanban!D$11)*(Calc!$Y$8:$Y$500&gt;0),Calc!$Y$8:$Y$500,99999),Kanban_Helper!$B37),Calc!$Y$8:$Y$500,0)))))),"")</f>
        <v/>
      </c>
      <c r="E44" s="173" t="str">
        <f t="array" ref="E44">IFERROR(IF(LEN(E$11)=0,"",IF($C$7&lt;&gt;"All",IF(LEN(INDEX(Calc!$J$8:$J$500,MATCH(SMALL(IF((Calc!$C$8:$C$500=Kanban!$C$7)*(Calc!$K$8:$K$500=Kanban!E$11)*(Calc!$Y$8:$Y$500&gt;0),Calc!$Y$8:$Y$500,99999),Kanban_Helper!$B37),Calc!$Y$8:$Y$500,0)))=0,"",CONCATENATE(Calc!$AD$6,INDEX(Calc!$J$8:$J$500,MATCH(SMALL(IF((Calc!$C$8:$C$500=Kanban!$C$7)*(Calc!$K$8:$K$500=Kanban!E$11)*(Calc!$Y$8:$Y$500&gt;0),Calc!$Y$8:$Y$500,99999),Kanban_Helper!$B37),Calc!$Y$8:$Y$500,0)))),IF(LEN(INDEX(Calc!$J$8:$J$500,MATCH(SMALL(IF((Calc!$K$8:$K$500=Kanban!E$11)*(Calc!$Y$8:$Y$500&gt;0),Calc!$Y$8:$Y$500,99999),Kanban_Helper!$B37),Calc!$Y$8:$Y$500,0)))=0,"",CONCATENATE(Calc!$AD$6,INDEX(Calc!$J$8:$J$500,MATCH(SMALL(IF((Calc!$K$8:$K$500=Kanban!E$11)*(Calc!$Y$8:$Y$500&gt;0),Calc!$Y$8:$Y$500,99999),Kanban_Helper!$B37),Calc!$Y$8:$Y$500,0)))))),"")</f>
        <v/>
      </c>
      <c r="F44" s="173" t="str">
        <f t="array" ref="F44">IFERROR(IF(LEN(F$11)=0,"",IF($C$7&lt;&gt;"All",IF(LEN(INDEX(Calc!$J$8:$J$500,MATCH(SMALL(IF((Calc!$C$8:$C$500=Kanban!$C$7)*(Calc!$K$8:$K$500=Kanban!F$11)*(Calc!$Y$8:$Y$500&gt;0),Calc!$Y$8:$Y$500,99999),Kanban_Helper!$B37),Calc!$Y$8:$Y$500,0)))=0,"",CONCATENATE(Calc!$AD$6,INDEX(Calc!$J$8:$J$500,MATCH(SMALL(IF((Calc!$C$8:$C$500=Kanban!$C$7)*(Calc!$K$8:$K$500=Kanban!F$11)*(Calc!$Y$8:$Y$500&gt;0),Calc!$Y$8:$Y$500,99999),Kanban_Helper!$B37),Calc!$Y$8:$Y$500,0)))),IF(LEN(INDEX(Calc!$J$8:$J$500,MATCH(SMALL(IF((Calc!$K$8:$K$500=Kanban!F$11)*(Calc!$Y$8:$Y$500&gt;0),Calc!$Y$8:$Y$500,99999),Kanban_Helper!$B37),Calc!$Y$8:$Y$500,0)))=0,"",CONCATENATE(Calc!$AD$6,INDEX(Calc!$J$8:$J$500,MATCH(SMALL(IF((Calc!$K$8:$K$500=Kanban!F$11)*(Calc!$Y$8:$Y$500&gt;0),Calc!$Y$8:$Y$500,99999),Kanban_Helper!$B37),Calc!$Y$8:$Y$500,0)))))),"")</f>
        <v/>
      </c>
      <c r="G44" s="173" t="str">
        <f t="array" ref="G44">IFERROR(IF(LEN(G$11)=0,"",IF($C$7&lt;&gt;"All",IF(LEN(INDEX(Calc!$J$8:$J$500,MATCH(SMALL(IF((Calc!$C$8:$C$500=Kanban!$C$7)*(Calc!$K$8:$K$500=Kanban!G$11)*(Calc!$Y$8:$Y$500&gt;0),Calc!$Y$8:$Y$500,99999),Kanban_Helper!$B37),Calc!$Y$8:$Y$500,0)))=0,"",CONCATENATE(Calc!$AD$6,INDEX(Calc!$J$8:$J$500,MATCH(SMALL(IF((Calc!$C$8:$C$500=Kanban!$C$7)*(Calc!$K$8:$K$500=Kanban!G$11)*(Calc!$Y$8:$Y$500&gt;0),Calc!$Y$8:$Y$500,99999),Kanban_Helper!$B37),Calc!$Y$8:$Y$500,0)))),IF(LEN(INDEX(Calc!$J$8:$J$500,MATCH(SMALL(IF((Calc!$K$8:$K$500=Kanban!G$11)*(Calc!$Y$8:$Y$500&gt;0),Calc!$Y$8:$Y$500,99999),Kanban_Helper!$B37),Calc!$Y$8:$Y$500,0)))=0,"",CONCATENATE(Calc!$AD$6,INDEX(Calc!$J$8:$J$500,MATCH(SMALL(IF((Calc!$K$8:$K$500=Kanban!G$11)*(Calc!$Y$8:$Y$500&gt;0),Calc!$Y$8:$Y$500,99999),Kanban_Helper!$B37),Calc!$Y$8:$Y$500,0)))))),"")</f>
        <v/>
      </c>
      <c r="H44" s="173" t="str">
        <f t="array" ref="H44">IFERROR(IF(LEN(H$11)=0,"",IF($C$7&lt;&gt;"All",IF(LEN(INDEX(Calc!$J$8:$J$500,MATCH(SMALL(IF((Calc!$C$8:$C$500=Kanban!$C$7)*(Calc!$K$8:$K$500=Kanban!H$11)*(Calc!$Y$8:$Y$500&gt;0),Calc!$Y$8:$Y$500,99999),Kanban_Helper!$B37),Calc!$Y$8:$Y$500,0)))=0,"",CONCATENATE(Calc!$AD$6,INDEX(Calc!$J$8:$J$500,MATCH(SMALL(IF((Calc!$C$8:$C$500=Kanban!$C$7)*(Calc!$K$8:$K$500=Kanban!H$11)*(Calc!$Y$8:$Y$500&gt;0),Calc!$Y$8:$Y$500,99999),Kanban_Helper!$B37),Calc!$Y$8:$Y$500,0)))),IF(LEN(INDEX(Calc!$J$8:$J$500,MATCH(SMALL(IF((Calc!$K$8:$K$500=Kanban!H$11)*(Calc!$Y$8:$Y$500&gt;0),Calc!$Y$8:$Y$500,99999),Kanban_Helper!$B37),Calc!$Y$8:$Y$500,0)))=0,"",CONCATENATE(Calc!$AD$6,INDEX(Calc!$J$8:$J$500,MATCH(SMALL(IF((Calc!$K$8:$K$500=Kanban!H$11)*(Calc!$Y$8:$Y$500&gt;0),Calc!$Y$8:$Y$500,99999),Kanban_Helper!$B37),Calc!$Y$8:$Y$500,0)))))),"")</f>
        <v/>
      </c>
      <c r="I44" s="39"/>
      <c r="J44" s="10"/>
      <c r="K44" s="10"/>
      <c r="L44" s="10"/>
    </row>
    <row r="45" spans="2:12" ht="15" thickTop="1" x14ac:dyDescent="0.35">
      <c r="B45" s="80"/>
      <c r="C45" s="170" t="str">
        <f t="array" ref="C45">IFERROR(IF(LEN(C$11)=0,"",IF($C$7&lt;&gt;"All",IF(INDEX(Calc!$V$8:$V$500,MATCH(INDEX(Calc!$D$8:$D$500,MATCH(SMALL(IF((Calc!$C$8:$C$500=Kanban!$C$7)*(Calc!$K$8:$K$500=Kanban!C$11)*(Calc!$Y$8:$Y$500&gt;0),Calc!$Y$8:$Y$500,99999),Kanban_Helper!$B38),Calc!$Y$8:$Y$500,0)),Calc!$D$8:$D$500,0))="Yes",CONCATENATE(INDEX(Calc!$D$8:$D$500,MATCH(SMALL(IF((Calc!$C$8:$C$500=Kanban!$C$7)*(Calc!$K$8:$K$500=Kanban!C$11)*(Calc!$Y$8:$Y$500&gt;0),Calc!$Y$8:$Y$500,99999),Kanban_Helper!$B38),Calc!$Y$8:$Y$500,0))," ",Calc!$V$7," ","!"),INDEX(Calc!$D$8:$D$500,MATCH(SMALL(IF((Calc!$C$8:$C$500=Kanban!$C$7)*(Calc!$K$8:$K$500=Kanban!C$11)*(Calc!$Y$8:$Y$500&gt;0),Calc!$Y$8:$Y$500,99999),Kanban_Helper!$B38),Calc!$Y$8:$Y$500,0))),IF(INDEX(Calc!$V$8:$V$500,MATCH(INDEX(Calc!$D$8:$D$500,MATCH(SMALL(IF((Calc!$K$8:$K$500=Kanban!C$11)*(Calc!$Y$8:$Y$500&gt;0),Calc!$Y$8:$Y$500,99999),Kanban_Helper!$B38),Calc!$Y$8:$Y$500,0)),Calc!$D$8:$D$500,0))="Yes",CONCATENATE(INDEX(Calc!$D$8:$D$500,MATCH(SMALL(IF((Calc!$K$8:$K$500=Kanban!C$11)*(Calc!$Y$8:$Y$500&gt;0),Calc!$Y$8:$Y$500,99999),Kanban_Helper!$B38),Calc!$Y$8:$Y$500,0))," ",Calc!$V$7," ","!"),INDEX(Calc!$D$8:$D$500,MATCH(SMALL(IF((Calc!$K$8:$K$500=Kanban!C$11)*(Calc!$Y$8:$Y$500&gt;0),Calc!$Y$8:$Y$500,99999),Kanban_Helper!$B38),Calc!$Y$8:$Y$500,0))))),"")</f>
        <v/>
      </c>
      <c r="D45" s="170" t="str">
        <f t="array" ref="D45">IFERROR(IF(LEN(D$11)=0,"",IF($C$7&lt;&gt;"All",IF(INDEX(Calc!$V$8:$V$500,MATCH(INDEX(Calc!$D$8:$D$500,MATCH(SMALL(IF((Calc!$C$8:$C$500=Kanban!$C$7)*(Calc!$K$8:$K$500=Kanban!D$11)*(Calc!$Y$8:$Y$500&gt;0),Calc!$Y$8:$Y$500,99999),Kanban_Helper!$B38),Calc!$Y$8:$Y$500,0)),Calc!$D$8:$D$500,0))="Yes",CONCATENATE(INDEX(Calc!$D$8:$D$500,MATCH(SMALL(IF((Calc!$C$8:$C$500=Kanban!$C$7)*(Calc!$K$8:$K$500=Kanban!D$11)*(Calc!$Y$8:$Y$500&gt;0),Calc!$Y$8:$Y$500,99999),Kanban_Helper!$B38),Calc!$Y$8:$Y$500,0))," ",Calc!$V$7," ","!"),INDEX(Calc!$D$8:$D$500,MATCH(SMALL(IF((Calc!$C$8:$C$500=Kanban!$C$7)*(Calc!$K$8:$K$500=Kanban!D$11)*(Calc!$Y$8:$Y$500&gt;0),Calc!$Y$8:$Y$500,99999),Kanban_Helper!$B38),Calc!$Y$8:$Y$500,0))),IF(INDEX(Calc!$V$8:$V$500,MATCH(INDEX(Calc!$D$8:$D$500,MATCH(SMALL(IF((Calc!$K$8:$K$500=Kanban!D$11)*(Calc!$Y$8:$Y$500&gt;0),Calc!$Y$8:$Y$500,99999),Kanban_Helper!$B38),Calc!$Y$8:$Y$500,0)),Calc!$D$8:$D$500,0))="Yes",CONCATENATE(INDEX(Calc!$D$8:$D$500,MATCH(SMALL(IF((Calc!$K$8:$K$500=Kanban!D$11)*(Calc!$Y$8:$Y$500&gt;0),Calc!$Y$8:$Y$500,99999),Kanban_Helper!$B38),Calc!$Y$8:$Y$500,0))," ",Calc!$V$7," ","!"),INDEX(Calc!$D$8:$D$500,MATCH(SMALL(IF((Calc!$K$8:$K$500=Kanban!D$11)*(Calc!$Y$8:$Y$500&gt;0),Calc!$Y$8:$Y$500,99999),Kanban_Helper!$B38),Calc!$Y$8:$Y$500,0))))),"")</f>
        <v/>
      </c>
      <c r="E45" s="170" t="str">
        <f t="array" ref="E45">IFERROR(IF(LEN(E$11)=0,"",IF($C$7&lt;&gt;"All",IF(INDEX(Calc!$V$8:$V$500,MATCH(INDEX(Calc!$D$8:$D$500,MATCH(SMALL(IF((Calc!$C$8:$C$500=Kanban!$C$7)*(Calc!$K$8:$K$500=Kanban!E$11)*(Calc!$Y$8:$Y$500&gt;0),Calc!$Y$8:$Y$500,99999),Kanban_Helper!$B38),Calc!$Y$8:$Y$500,0)),Calc!$D$8:$D$500,0))="Yes",CONCATENATE(INDEX(Calc!$D$8:$D$500,MATCH(SMALL(IF((Calc!$C$8:$C$500=Kanban!$C$7)*(Calc!$K$8:$K$500=Kanban!E$11)*(Calc!$Y$8:$Y$500&gt;0),Calc!$Y$8:$Y$500,99999),Kanban_Helper!$B38),Calc!$Y$8:$Y$500,0))," ",Calc!$V$7," ","!"),INDEX(Calc!$D$8:$D$500,MATCH(SMALL(IF((Calc!$C$8:$C$500=Kanban!$C$7)*(Calc!$K$8:$K$500=Kanban!E$11)*(Calc!$Y$8:$Y$500&gt;0),Calc!$Y$8:$Y$500,99999),Kanban_Helper!$B38),Calc!$Y$8:$Y$500,0))),IF(INDEX(Calc!$V$8:$V$500,MATCH(INDEX(Calc!$D$8:$D$500,MATCH(SMALL(IF((Calc!$K$8:$K$500=Kanban!E$11)*(Calc!$Y$8:$Y$500&gt;0),Calc!$Y$8:$Y$500,99999),Kanban_Helper!$B38),Calc!$Y$8:$Y$500,0)),Calc!$D$8:$D$500,0))="Yes",CONCATENATE(INDEX(Calc!$D$8:$D$500,MATCH(SMALL(IF((Calc!$K$8:$K$500=Kanban!E$11)*(Calc!$Y$8:$Y$500&gt;0),Calc!$Y$8:$Y$500,99999),Kanban_Helper!$B38),Calc!$Y$8:$Y$500,0))," ",Calc!$V$7," ","!"),INDEX(Calc!$D$8:$D$500,MATCH(SMALL(IF((Calc!$K$8:$K$500=Kanban!E$11)*(Calc!$Y$8:$Y$500&gt;0),Calc!$Y$8:$Y$500,99999),Kanban_Helper!$B38),Calc!$Y$8:$Y$500,0))))),"")</f>
        <v/>
      </c>
      <c r="F45" s="170" t="str">
        <f t="array" ref="F45">IFERROR(IF(LEN(F$11)=0,"",IF($C$7&lt;&gt;"All",IF(INDEX(Calc!$V$8:$V$500,MATCH(INDEX(Calc!$D$8:$D$500,MATCH(SMALL(IF((Calc!$C$8:$C$500=Kanban!$C$7)*(Calc!$K$8:$K$500=Kanban!F$11)*(Calc!$Y$8:$Y$500&gt;0),Calc!$Y$8:$Y$500,99999),Kanban_Helper!$B38),Calc!$Y$8:$Y$500,0)),Calc!$D$8:$D$500,0))="Yes",CONCATENATE(INDEX(Calc!$D$8:$D$500,MATCH(SMALL(IF((Calc!$C$8:$C$500=Kanban!$C$7)*(Calc!$K$8:$K$500=Kanban!F$11)*(Calc!$Y$8:$Y$500&gt;0),Calc!$Y$8:$Y$500,99999),Kanban_Helper!$B38),Calc!$Y$8:$Y$500,0))," ",Calc!$V$7," ","!"),INDEX(Calc!$D$8:$D$500,MATCH(SMALL(IF((Calc!$C$8:$C$500=Kanban!$C$7)*(Calc!$K$8:$K$500=Kanban!F$11)*(Calc!$Y$8:$Y$500&gt;0),Calc!$Y$8:$Y$500,99999),Kanban_Helper!$B38),Calc!$Y$8:$Y$500,0))),IF(INDEX(Calc!$V$8:$V$500,MATCH(INDEX(Calc!$D$8:$D$500,MATCH(SMALL(IF((Calc!$K$8:$K$500=Kanban!F$11)*(Calc!$Y$8:$Y$500&gt;0),Calc!$Y$8:$Y$500,99999),Kanban_Helper!$B38),Calc!$Y$8:$Y$500,0)),Calc!$D$8:$D$500,0))="Yes",CONCATENATE(INDEX(Calc!$D$8:$D$500,MATCH(SMALL(IF((Calc!$K$8:$K$500=Kanban!F$11)*(Calc!$Y$8:$Y$500&gt;0),Calc!$Y$8:$Y$500,99999),Kanban_Helper!$B38),Calc!$Y$8:$Y$500,0))," ",Calc!$V$7," ","!"),INDEX(Calc!$D$8:$D$500,MATCH(SMALL(IF((Calc!$K$8:$K$500=Kanban!F$11)*(Calc!$Y$8:$Y$500&gt;0),Calc!$Y$8:$Y$500,99999),Kanban_Helper!$B38),Calc!$Y$8:$Y$500,0))))),"")</f>
        <v/>
      </c>
      <c r="G45" s="170" t="str">
        <f t="array" ref="G45">IFERROR(IF(LEN(G$11)=0,"",IF($C$7&lt;&gt;"All",IF(INDEX(Calc!$V$8:$V$500,MATCH(INDEX(Calc!$D$8:$D$500,MATCH(SMALL(IF((Calc!$C$8:$C$500=Kanban!$C$7)*(Calc!$K$8:$K$500=Kanban!G$11)*(Calc!$Y$8:$Y$500&gt;0),Calc!$Y$8:$Y$500,99999),Kanban_Helper!$B38),Calc!$Y$8:$Y$500,0)),Calc!$D$8:$D$500,0))="Yes",CONCATENATE(INDEX(Calc!$D$8:$D$500,MATCH(SMALL(IF((Calc!$C$8:$C$500=Kanban!$C$7)*(Calc!$K$8:$K$500=Kanban!G$11)*(Calc!$Y$8:$Y$500&gt;0),Calc!$Y$8:$Y$500,99999),Kanban_Helper!$B38),Calc!$Y$8:$Y$500,0))," ",Calc!$V$7," ","!"),INDEX(Calc!$D$8:$D$500,MATCH(SMALL(IF((Calc!$C$8:$C$500=Kanban!$C$7)*(Calc!$K$8:$K$500=Kanban!G$11)*(Calc!$Y$8:$Y$500&gt;0),Calc!$Y$8:$Y$500,99999),Kanban_Helper!$B38),Calc!$Y$8:$Y$500,0))),IF(INDEX(Calc!$V$8:$V$500,MATCH(INDEX(Calc!$D$8:$D$500,MATCH(SMALL(IF((Calc!$K$8:$K$500=Kanban!G$11)*(Calc!$Y$8:$Y$500&gt;0),Calc!$Y$8:$Y$500,99999),Kanban_Helper!$B38),Calc!$Y$8:$Y$500,0)),Calc!$D$8:$D$500,0))="Yes",CONCATENATE(INDEX(Calc!$D$8:$D$500,MATCH(SMALL(IF((Calc!$K$8:$K$500=Kanban!G$11)*(Calc!$Y$8:$Y$500&gt;0),Calc!$Y$8:$Y$500,99999),Kanban_Helper!$B38),Calc!$Y$8:$Y$500,0))," ",Calc!$V$7," ","!"),INDEX(Calc!$D$8:$D$500,MATCH(SMALL(IF((Calc!$K$8:$K$500=Kanban!G$11)*(Calc!$Y$8:$Y$500&gt;0),Calc!$Y$8:$Y$500,99999),Kanban_Helper!$B38),Calc!$Y$8:$Y$500,0))))),"")</f>
        <v/>
      </c>
      <c r="H45" s="170" t="str">
        <f t="array" ref="H45">IFERROR(IF(LEN(H$11)=0,"",IF($C$7&lt;&gt;"All",IF(INDEX(Calc!$V$8:$V$500,MATCH(INDEX(Calc!$D$8:$D$500,MATCH(SMALL(IF((Calc!$C$8:$C$500=Kanban!$C$7)*(Calc!$K$8:$K$500=Kanban!H$11)*(Calc!$Y$8:$Y$500&gt;0),Calc!$Y$8:$Y$500,99999),Kanban_Helper!$B38),Calc!$Y$8:$Y$500,0)),Calc!$D$8:$D$500,0))="Yes",CONCATENATE(INDEX(Calc!$D$8:$D$500,MATCH(SMALL(IF((Calc!$C$8:$C$500=Kanban!$C$7)*(Calc!$K$8:$K$500=Kanban!H$11)*(Calc!$Y$8:$Y$500&gt;0),Calc!$Y$8:$Y$500,99999),Kanban_Helper!$B38),Calc!$Y$8:$Y$500,0))," ",Calc!$V$7," ","!"),INDEX(Calc!$D$8:$D$500,MATCH(SMALL(IF((Calc!$C$8:$C$500=Kanban!$C$7)*(Calc!$K$8:$K$500=Kanban!H$11)*(Calc!$Y$8:$Y$500&gt;0),Calc!$Y$8:$Y$500,99999),Kanban_Helper!$B38),Calc!$Y$8:$Y$500,0))),IF(INDEX(Calc!$V$8:$V$500,MATCH(INDEX(Calc!$D$8:$D$500,MATCH(SMALL(IF((Calc!$K$8:$K$500=Kanban!H$11)*(Calc!$Y$8:$Y$500&gt;0),Calc!$Y$8:$Y$500,99999),Kanban_Helper!$B38),Calc!$Y$8:$Y$500,0)),Calc!$D$8:$D$500,0))="Yes",CONCATENATE(INDEX(Calc!$D$8:$D$500,MATCH(SMALL(IF((Calc!$K$8:$K$500=Kanban!H$11)*(Calc!$Y$8:$Y$500&gt;0),Calc!$Y$8:$Y$500,99999),Kanban_Helper!$B38),Calc!$Y$8:$Y$500,0))," ",Calc!$V$7," ","!"),INDEX(Calc!$D$8:$D$500,MATCH(SMALL(IF((Calc!$K$8:$K$500=Kanban!H$11)*(Calc!$Y$8:$Y$500&gt;0),Calc!$Y$8:$Y$500,99999),Kanban_Helper!$B38),Calc!$Y$8:$Y$500,0))))),"")</f>
        <v/>
      </c>
      <c r="I45" s="39"/>
      <c r="J45" s="10"/>
      <c r="K45" s="10"/>
      <c r="L45" s="10"/>
    </row>
    <row r="46" spans="2:12" x14ac:dyDescent="0.35">
      <c r="B46" s="80"/>
      <c r="C46" s="171" t="str">
        <f t="array" ref="C46">IFERROR(IF(LEN(C$11)=0,"",IF($C$7&lt;&gt;"All",INDEX(Calc!$E$8:$E$500,MATCH(SMALL(IF((Calc!$C$8:$C$500=Kanban!$C$7)*(Calc!$K$8:$K$500=Kanban!C$11)*(Calc!$Y$8:$Y$500&gt;0),Calc!$Y$8:$Y$500,99999),Kanban_Helper!$B39),Calc!$Y$8:$Y$500,0)),INDEX(Calc!$E$8:$E$500,MATCH(SMALL(IF((Calc!$K$8:$K$500=Kanban!C$11)*(Calc!$Y$8:$Y$500&gt;0),Calc!$Y$8:$Y$500,99999),Kanban_Helper!$B39),Calc!$Y$8:$Y$500,0)))),"")</f>
        <v/>
      </c>
      <c r="D46" s="171" t="str">
        <f t="array" ref="D46">IFERROR(IF(LEN(D$11)=0,"",IF($C$7&lt;&gt;"All",INDEX(Calc!$E$8:$E$500,MATCH(SMALL(IF((Calc!$C$8:$C$500=Kanban!$C$7)*(Calc!$K$8:$K$500=Kanban!D$11)*(Calc!$Y$8:$Y$500&gt;0),Calc!$Y$8:$Y$500,99999),Kanban_Helper!$B39),Calc!$Y$8:$Y$500,0)),INDEX(Calc!$E$8:$E$500,MATCH(SMALL(IF((Calc!$K$8:$K$500=Kanban!D$11)*(Calc!$Y$8:$Y$500&gt;0),Calc!$Y$8:$Y$500,99999),Kanban_Helper!$B39),Calc!$Y$8:$Y$500,0)))),"")</f>
        <v/>
      </c>
      <c r="E46" s="171" t="str">
        <f t="array" ref="E46">IFERROR(IF(LEN(E$11)=0,"",IF($C$7&lt;&gt;"All",INDEX(Calc!$E$8:$E$500,MATCH(SMALL(IF((Calc!$C$8:$C$500=Kanban!$C$7)*(Calc!$K$8:$K$500=Kanban!E$11)*(Calc!$Y$8:$Y$500&gt;0),Calc!$Y$8:$Y$500,99999),Kanban_Helper!$B39),Calc!$Y$8:$Y$500,0)),INDEX(Calc!$E$8:$E$500,MATCH(SMALL(IF((Calc!$K$8:$K$500=Kanban!E$11)*(Calc!$Y$8:$Y$500&gt;0),Calc!$Y$8:$Y$500,99999),Kanban_Helper!$B39),Calc!$Y$8:$Y$500,0)))),"")</f>
        <v/>
      </c>
      <c r="F46" s="171" t="str">
        <f t="array" ref="F46">IFERROR(IF(LEN(F$11)=0,"",IF($C$7&lt;&gt;"All",INDEX(Calc!$E$8:$E$500,MATCH(SMALL(IF((Calc!$C$8:$C$500=Kanban!$C$7)*(Calc!$K$8:$K$500=Kanban!F$11)*(Calc!$Y$8:$Y$500&gt;0),Calc!$Y$8:$Y$500,99999),Kanban_Helper!$B39),Calc!$Y$8:$Y$500,0)),INDEX(Calc!$E$8:$E$500,MATCH(SMALL(IF((Calc!$K$8:$K$500=Kanban!F$11)*(Calc!$Y$8:$Y$500&gt;0),Calc!$Y$8:$Y$500,99999),Kanban_Helper!$B39),Calc!$Y$8:$Y$500,0)))),"")</f>
        <v/>
      </c>
      <c r="G46" s="171" t="str">
        <f t="array" ref="G46">IFERROR(IF(LEN(G$11)=0,"",IF($C$7&lt;&gt;"All",INDEX(Calc!$E$8:$E$500,MATCH(SMALL(IF((Calc!$C$8:$C$500=Kanban!$C$7)*(Calc!$K$8:$K$500=Kanban!G$11)*(Calc!$Y$8:$Y$500&gt;0),Calc!$Y$8:$Y$500,99999),Kanban_Helper!$B39),Calc!$Y$8:$Y$500,0)),INDEX(Calc!$E$8:$E$500,MATCH(SMALL(IF((Calc!$K$8:$K$500=Kanban!G$11)*(Calc!$Y$8:$Y$500&gt;0),Calc!$Y$8:$Y$500,99999),Kanban_Helper!$B39),Calc!$Y$8:$Y$500,0)))),"")</f>
        <v/>
      </c>
      <c r="H46" s="171" t="str">
        <f t="array" ref="H46">IFERROR(IF(LEN(H$11)=0,"",IF($C$7&lt;&gt;"All",INDEX(Calc!$E$8:$E$500,MATCH(SMALL(IF((Calc!$C$8:$C$500=Kanban!$C$7)*(Calc!$K$8:$K$500=Kanban!H$11)*(Calc!$Y$8:$Y$500&gt;0),Calc!$Y$8:$Y$500,99999),Kanban_Helper!$B39),Calc!$Y$8:$Y$500,0)),INDEX(Calc!$E$8:$E$500,MATCH(SMALL(IF((Calc!$K$8:$K$500=Kanban!H$11)*(Calc!$Y$8:$Y$500&gt;0),Calc!$Y$8:$Y$500,99999),Kanban_Helper!$B39),Calc!$Y$8:$Y$500,0)))),"")</f>
        <v/>
      </c>
      <c r="I46" s="39"/>
      <c r="J46" s="10"/>
      <c r="K46" s="10"/>
      <c r="L46" s="10"/>
    </row>
    <row r="47" spans="2:12" ht="15" thickBot="1" x14ac:dyDescent="0.4">
      <c r="B47" s="80"/>
      <c r="C47" s="173" t="str">
        <f t="array" ref="C47">IFERROR(IF(LEN(C$11)=0,"",IF($C$7&lt;&gt;"All",IF(LEN(INDEX(Calc!$J$8:$J$500,MATCH(SMALL(IF((Calc!$C$8:$C$500=Kanban!$C$7)*(Calc!$K$8:$K$500=Kanban!C$11)*(Calc!$Y$8:$Y$500&gt;0),Calc!$Y$8:$Y$500,99999),Kanban_Helper!$B40),Calc!$Y$8:$Y$500,0)))=0,"",CONCATENATE(Calc!$AD$6,INDEX(Calc!$J$8:$J$500,MATCH(SMALL(IF((Calc!$C$8:$C$500=Kanban!$C$7)*(Calc!$K$8:$K$500=Kanban!C$11)*(Calc!$Y$8:$Y$500&gt;0),Calc!$Y$8:$Y$500,99999),Kanban_Helper!$B40),Calc!$Y$8:$Y$500,0)))),IF(LEN(INDEX(Calc!$J$8:$J$500,MATCH(SMALL(IF((Calc!$K$8:$K$500=Kanban!C$11)*(Calc!$Y$8:$Y$500&gt;0),Calc!$Y$8:$Y$500,99999),Kanban_Helper!$B40),Calc!$Y$8:$Y$500,0)))=0,"",CONCATENATE(Calc!$AD$6,INDEX(Calc!$J$8:$J$500,MATCH(SMALL(IF((Calc!$K$8:$K$500=Kanban!C$11)*(Calc!$Y$8:$Y$500&gt;0),Calc!$Y$8:$Y$500,99999),Kanban_Helper!$B40),Calc!$Y$8:$Y$500,0)))))),"")</f>
        <v/>
      </c>
      <c r="D47" s="173" t="str">
        <f t="array" ref="D47">IFERROR(IF(LEN(D$11)=0,"",IF($C$7&lt;&gt;"All",IF(LEN(INDEX(Calc!$J$8:$J$500,MATCH(SMALL(IF((Calc!$C$8:$C$500=Kanban!$C$7)*(Calc!$K$8:$K$500=Kanban!D$11)*(Calc!$Y$8:$Y$500&gt;0),Calc!$Y$8:$Y$500,99999),Kanban_Helper!$B40),Calc!$Y$8:$Y$500,0)))=0,"",CONCATENATE(Calc!$AD$6,INDEX(Calc!$J$8:$J$500,MATCH(SMALL(IF((Calc!$C$8:$C$500=Kanban!$C$7)*(Calc!$K$8:$K$500=Kanban!D$11)*(Calc!$Y$8:$Y$500&gt;0),Calc!$Y$8:$Y$500,99999),Kanban_Helper!$B40),Calc!$Y$8:$Y$500,0)))),IF(LEN(INDEX(Calc!$J$8:$J$500,MATCH(SMALL(IF((Calc!$K$8:$K$500=Kanban!D$11)*(Calc!$Y$8:$Y$500&gt;0),Calc!$Y$8:$Y$500,99999),Kanban_Helper!$B40),Calc!$Y$8:$Y$500,0)))=0,"",CONCATENATE(Calc!$AD$6,INDEX(Calc!$J$8:$J$500,MATCH(SMALL(IF((Calc!$K$8:$K$500=Kanban!D$11)*(Calc!$Y$8:$Y$500&gt;0),Calc!$Y$8:$Y$500,99999),Kanban_Helper!$B40),Calc!$Y$8:$Y$500,0)))))),"")</f>
        <v/>
      </c>
      <c r="E47" s="173" t="str">
        <f t="array" ref="E47">IFERROR(IF(LEN(E$11)=0,"",IF($C$7&lt;&gt;"All",IF(LEN(INDEX(Calc!$J$8:$J$500,MATCH(SMALL(IF((Calc!$C$8:$C$500=Kanban!$C$7)*(Calc!$K$8:$K$500=Kanban!E$11)*(Calc!$Y$8:$Y$500&gt;0),Calc!$Y$8:$Y$500,99999),Kanban_Helper!$B40),Calc!$Y$8:$Y$500,0)))=0,"",CONCATENATE(Calc!$AD$6,INDEX(Calc!$J$8:$J$500,MATCH(SMALL(IF((Calc!$C$8:$C$500=Kanban!$C$7)*(Calc!$K$8:$K$500=Kanban!E$11)*(Calc!$Y$8:$Y$500&gt;0),Calc!$Y$8:$Y$500,99999),Kanban_Helper!$B40),Calc!$Y$8:$Y$500,0)))),IF(LEN(INDEX(Calc!$J$8:$J$500,MATCH(SMALL(IF((Calc!$K$8:$K$500=Kanban!E$11)*(Calc!$Y$8:$Y$500&gt;0),Calc!$Y$8:$Y$500,99999),Kanban_Helper!$B40),Calc!$Y$8:$Y$500,0)))=0,"",CONCATENATE(Calc!$AD$6,INDEX(Calc!$J$8:$J$500,MATCH(SMALL(IF((Calc!$K$8:$K$500=Kanban!E$11)*(Calc!$Y$8:$Y$500&gt;0),Calc!$Y$8:$Y$500,99999),Kanban_Helper!$B40),Calc!$Y$8:$Y$500,0)))))),"")</f>
        <v/>
      </c>
      <c r="F47" s="173" t="str">
        <f t="array" ref="F47">IFERROR(IF(LEN(F$11)=0,"",IF($C$7&lt;&gt;"All",IF(LEN(INDEX(Calc!$J$8:$J$500,MATCH(SMALL(IF((Calc!$C$8:$C$500=Kanban!$C$7)*(Calc!$K$8:$K$500=Kanban!F$11)*(Calc!$Y$8:$Y$500&gt;0),Calc!$Y$8:$Y$500,99999),Kanban_Helper!$B40),Calc!$Y$8:$Y$500,0)))=0,"",CONCATENATE(Calc!$AD$6,INDEX(Calc!$J$8:$J$500,MATCH(SMALL(IF((Calc!$C$8:$C$500=Kanban!$C$7)*(Calc!$K$8:$K$500=Kanban!F$11)*(Calc!$Y$8:$Y$500&gt;0),Calc!$Y$8:$Y$500,99999),Kanban_Helper!$B40),Calc!$Y$8:$Y$500,0)))),IF(LEN(INDEX(Calc!$J$8:$J$500,MATCH(SMALL(IF((Calc!$K$8:$K$500=Kanban!F$11)*(Calc!$Y$8:$Y$500&gt;0),Calc!$Y$8:$Y$500,99999),Kanban_Helper!$B40),Calc!$Y$8:$Y$500,0)))=0,"",CONCATENATE(Calc!$AD$6,INDEX(Calc!$J$8:$J$500,MATCH(SMALL(IF((Calc!$K$8:$K$500=Kanban!F$11)*(Calc!$Y$8:$Y$500&gt;0),Calc!$Y$8:$Y$500,99999),Kanban_Helper!$B40),Calc!$Y$8:$Y$500,0)))))),"")</f>
        <v/>
      </c>
      <c r="G47" s="173" t="str">
        <f t="array" ref="G47">IFERROR(IF(LEN(G$11)=0,"",IF($C$7&lt;&gt;"All",IF(LEN(INDEX(Calc!$J$8:$J$500,MATCH(SMALL(IF((Calc!$C$8:$C$500=Kanban!$C$7)*(Calc!$K$8:$K$500=Kanban!G$11)*(Calc!$Y$8:$Y$500&gt;0),Calc!$Y$8:$Y$500,99999),Kanban_Helper!$B40),Calc!$Y$8:$Y$500,0)))=0,"",CONCATENATE(Calc!$AD$6,INDEX(Calc!$J$8:$J$500,MATCH(SMALL(IF((Calc!$C$8:$C$500=Kanban!$C$7)*(Calc!$K$8:$K$500=Kanban!G$11)*(Calc!$Y$8:$Y$500&gt;0),Calc!$Y$8:$Y$500,99999),Kanban_Helper!$B40),Calc!$Y$8:$Y$500,0)))),IF(LEN(INDEX(Calc!$J$8:$J$500,MATCH(SMALL(IF((Calc!$K$8:$K$500=Kanban!G$11)*(Calc!$Y$8:$Y$500&gt;0),Calc!$Y$8:$Y$500,99999),Kanban_Helper!$B40),Calc!$Y$8:$Y$500,0)))=0,"",CONCATENATE(Calc!$AD$6,INDEX(Calc!$J$8:$J$500,MATCH(SMALL(IF((Calc!$K$8:$K$500=Kanban!G$11)*(Calc!$Y$8:$Y$500&gt;0),Calc!$Y$8:$Y$500,99999),Kanban_Helper!$B40),Calc!$Y$8:$Y$500,0)))))),"")</f>
        <v/>
      </c>
      <c r="H47" s="173" t="str">
        <f t="array" ref="H47">IFERROR(IF(LEN(H$11)=0,"",IF($C$7&lt;&gt;"All",IF(LEN(INDEX(Calc!$J$8:$J$500,MATCH(SMALL(IF((Calc!$C$8:$C$500=Kanban!$C$7)*(Calc!$K$8:$K$500=Kanban!H$11)*(Calc!$Y$8:$Y$500&gt;0),Calc!$Y$8:$Y$500,99999),Kanban_Helper!$B40),Calc!$Y$8:$Y$500,0)))=0,"",CONCATENATE(Calc!$AD$6,INDEX(Calc!$J$8:$J$500,MATCH(SMALL(IF((Calc!$C$8:$C$500=Kanban!$C$7)*(Calc!$K$8:$K$500=Kanban!H$11)*(Calc!$Y$8:$Y$500&gt;0),Calc!$Y$8:$Y$500,99999),Kanban_Helper!$B40),Calc!$Y$8:$Y$500,0)))),IF(LEN(INDEX(Calc!$J$8:$J$500,MATCH(SMALL(IF((Calc!$K$8:$K$500=Kanban!H$11)*(Calc!$Y$8:$Y$500&gt;0),Calc!$Y$8:$Y$500,99999),Kanban_Helper!$B40),Calc!$Y$8:$Y$500,0)))=0,"",CONCATENATE(Calc!$AD$6,INDEX(Calc!$J$8:$J$500,MATCH(SMALL(IF((Calc!$K$8:$K$500=Kanban!H$11)*(Calc!$Y$8:$Y$500&gt;0),Calc!$Y$8:$Y$500,99999),Kanban_Helper!$B40),Calc!$Y$8:$Y$500,0)))))),"")</f>
        <v/>
      </c>
      <c r="I47" s="39"/>
      <c r="J47" s="10"/>
      <c r="K47" s="10"/>
      <c r="L47" s="10"/>
    </row>
    <row r="48" spans="2:12" ht="15" thickTop="1" x14ac:dyDescent="0.35">
      <c r="B48" s="80"/>
      <c r="C48" s="170" t="str">
        <f t="array" ref="C48">IFERROR(IF(LEN(C$11)=0,"",IF($C$7&lt;&gt;"All",IF(INDEX(Calc!$V$8:$V$500,MATCH(INDEX(Calc!$D$8:$D$500,MATCH(SMALL(IF((Calc!$C$8:$C$500=Kanban!$C$7)*(Calc!$K$8:$K$500=Kanban!C$11)*(Calc!$Y$8:$Y$500&gt;0),Calc!$Y$8:$Y$500,99999),Kanban_Helper!$B41),Calc!$Y$8:$Y$500,0)),Calc!$D$8:$D$500,0))="Yes",CONCATENATE(INDEX(Calc!$D$8:$D$500,MATCH(SMALL(IF((Calc!$C$8:$C$500=Kanban!$C$7)*(Calc!$K$8:$K$500=Kanban!C$11)*(Calc!$Y$8:$Y$500&gt;0),Calc!$Y$8:$Y$500,99999),Kanban_Helper!$B41),Calc!$Y$8:$Y$500,0))," ",Calc!$V$7," ","!"),INDEX(Calc!$D$8:$D$500,MATCH(SMALL(IF((Calc!$C$8:$C$500=Kanban!$C$7)*(Calc!$K$8:$K$500=Kanban!C$11)*(Calc!$Y$8:$Y$500&gt;0),Calc!$Y$8:$Y$500,99999),Kanban_Helper!$B41),Calc!$Y$8:$Y$500,0))),IF(INDEX(Calc!$V$8:$V$500,MATCH(INDEX(Calc!$D$8:$D$500,MATCH(SMALL(IF((Calc!$K$8:$K$500=Kanban!C$11)*(Calc!$Y$8:$Y$500&gt;0),Calc!$Y$8:$Y$500,99999),Kanban_Helper!$B41),Calc!$Y$8:$Y$500,0)),Calc!$D$8:$D$500,0))="Yes",CONCATENATE(INDEX(Calc!$D$8:$D$500,MATCH(SMALL(IF((Calc!$K$8:$K$500=Kanban!C$11)*(Calc!$Y$8:$Y$500&gt;0),Calc!$Y$8:$Y$500,99999),Kanban_Helper!$B41),Calc!$Y$8:$Y$500,0))," ",Calc!$V$7," ","!"),INDEX(Calc!$D$8:$D$500,MATCH(SMALL(IF((Calc!$K$8:$K$500=Kanban!C$11)*(Calc!$Y$8:$Y$500&gt;0),Calc!$Y$8:$Y$500,99999),Kanban_Helper!$B41),Calc!$Y$8:$Y$500,0))))),"")</f>
        <v/>
      </c>
      <c r="D48" s="170" t="str">
        <f t="array" ref="D48">IFERROR(IF(LEN(D$11)=0,"",IF($C$7&lt;&gt;"All",IF(INDEX(Calc!$V$8:$V$500,MATCH(INDEX(Calc!$D$8:$D$500,MATCH(SMALL(IF((Calc!$C$8:$C$500=Kanban!$C$7)*(Calc!$K$8:$K$500=Kanban!D$11)*(Calc!$Y$8:$Y$500&gt;0),Calc!$Y$8:$Y$500,99999),Kanban_Helper!$B41),Calc!$Y$8:$Y$500,0)),Calc!$D$8:$D$500,0))="Yes",CONCATENATE(INDEX(Calc!$D$8:$D$500,MATCH(SMALL(IF((Calc!$C$8:$C$500=Kanban!$C$7)*(Calc!$K$8:$K$500=Kanban!D$11)*(Calc!$Y$8:$Y$500&gt;0),Calc!$Y$8:$Y$500,99999),Kanban_Helper!$B41),Calc!$Y$8:$Y$500,0))," ",Calc!$V$7," ","!"),INDEX(Calc!$D$8:$D$500,MATCH(SMALL(IF((Calc!$C$8:$C$500=Kanban!$C$7)*(Calc!$K$8:$K$500=Kanban!D$11)*(Calc!$Y$8:$Y$500&gt;0),Calc!$Y$8:$Y$500,99999),Kanban_Helper!$B41),Calc!$Y$8:$Y$500,0))),IF(INDEX(Calc!$V$8:$V$500,MATCH(INDEX(Calc!$D$8:$D$500,MATCH(SMALL(IF((Calc!$K$8:$K$500=Kanban!D$11)*(Calc!$Y$8:$Y$500&gt;0),Calc!$Y$8:$Y$500,99999),Kanban_Helper!$B41),Calc!$Y$8:$Y$500,0)),Calc!$D$8:$D$500,0))="Yes",CONCATENATE(INDEX(Calc!$D$8:$D$500,MATCH(SMALL(IF((Calc!$K$8:$K$500=Kanban!D$11)*(Calc!$Y$8:$Y$500&gt;0),Calc!$Y$8:$Y$500,99999),Kanban_Helper!$B41),Calc!$Y$8:$Y$500,0))," ",Calc!$V$7," ","!"),INDEX(Calc!$D$8:$D$500,MATCH(SMALL(IF((Calc!$K$8:$K$500=Kanban!D$11)*(Calc!$Y$8:$Y$500&gt;0),Calc!$Y$8:$Y$500,99999),Kanban_Helper!$B41),Calc!$Y$8:$Y$500,0))))),"")</f>
        <v/>
      </c>
      <c r="E48" s="170" t="str">
        <f t="array" ref="E48">IFERROR(IF(LEN(E$11)=0,"",IF($C$7&lt;&gt;"All",IF(INDEX(Calc!$V$8:$V$500,MATCH(INDEX(Calc!$D$8:$D$500,MATCH(SMALL(IF((Calc!$C$8:$C$500=Kanban!$C$7)*(Calc!$K$8:$K$500=Kanban!E$11)*(Calc!$Y$8:$Y$500&gt;0),Calc!$Y$8:$Y$500,99999),Kanban_Helper!$B41),Calc!$Y$8:$Y$500,0)),Calc!$D$8:$D$500,0))="Yes",CONCATENATE(INDEX(Calc!$D$8:$D$500,MATCH(SMALL(IF((Calc!$C$8:$C$500=Kanban!$C$7)*(Calc!$K$8:$K$500=Kanban!E$11)*(Calc!$Y$8:$Y$500&gt;0),Calc!$Y$8:$Y$500,99999),Kanban_Helper!$B41),Calc!$Y$8:$Y$500,0))," ",Calc!$V$7," ","!"),INDEX(Calc!$D$8:$D$500,MATCH(SMALL(IF((Calc!$C$8:$C$500=Kanban!$C$7)*(Calc!$K$8:$K$500=Kanban!E$11)*(Calc!$Y$8:$Y$500&gt;0),Calc!$Y$8:$Y$500,99999),Kanban_Helper!$B41),Calc!$Y$8:$Y$500,0))),IF(INDEX(Calc!$V$8:$V$500,MATCH(INDEX(Calc!$D$8:$D$500,MATCH(SMALL(IF((Calc!$K$8:$K$500=Kanban!E$11)*(Calc!$Y$8:$Y$500&gt;0),Calc!$Y$8:$Y$500,99999),Kanban_Helper!$B41),Calc!$Y$8:$Y$500,0)),Calc!$D$8:$D$500,0))="Yes",CONCATENATE(INDEX(Calc!$D$8:$D$500,MATCH(SMALL(IF((Calc!$K$8:$K$500=Kanban!E$11)*(Calc!$Y$8:$Y$500&gt;0),Calc!$Y$8:$Y$500,99999),Kanban_Helper!$B41),Calc!$Y$8:$Y$500,0))," ",Calc!$V$7," ","!"),INDEX(Calc!$D$8:$D$500,MATCH(SMALL(IF((Calc!$K$8:$K$500=Kanban!E$11)*(Calc!$Y$8:$Y$500&gt;0),Calc!$Y$8:$Y$500,99999),Kanban_Helper!$B41),Calc!$Y$8:$Y$500,0))))),"")</f>
        <v/>
      </c>
      <c r="F48" s="170" t="str">
        <f t="array" ref="F48">IFERROR(IF(LEN(F$11)=0,"",IF($C$7&lt;&gt;"All",IF(INDEX(Calc!$V$8:$V$500,MATCH(INDEX(Calc!$D$8:$D$500,MATCH(SMALL(IF((Calc!$C$8:$C$500=Kanban!$C$7)*(Calc!$K$8:$K$500=Kanban!F$11)*(Calc!$Y$8:$Y$500&gt;0),Calc!$Y$8:$Y$500,99999),Kanban_Helper!$B41),Calc!$Y$8:$Y$500,0)),Calc!$D$8:$D$500,0))="Yes",CONCATENATE(INDEX(Calc!$D$8:$D$500,MATCH(SMALL(IF((Calc!$C$8:$C$500=Kanban!$C$7)*(Calc!$K$8:$K$500=Kanban!F$11)*(Calc!$Y$8:$Y$500&gt;0),Calc!$Y$8:$Y$500,99999),Kanban_Helper!$B41),Calc!$Y$8:$Y$500,0))," ",Calc!$V$7," ","!"),INDEX(Calc!$D$8:$D$500,MATCH(SMALL(IF((Calc!$C$8:$C$500=Kanban!$C$7)*(Calc!$K$8:$K$500=Kanban!F$11)*(Calc!$Y$8:$Y$500&gt;0),Calc!$Y$8:$Y$500,99999),Kanban_Helper!$B41),Calc!$Y$8:$Y$500,0))),IF(INDEX(Calc!$V$8:$V$500,MATCH(INDEX(Calc!$D$8:$D$500,MATCH(SMALL(IF((Calc!$K$8:$K$500=Kanban!F$11)*(Calc!$Y$8:$Y$500&gt;0),Calc!$Y$8:$Y$500,99999),Kanban_Helper!$B41),Calc!$Y$8:$Y$500,0)),Calc!$D$8:$D$500,0))="Yes",CONCATENATE(INDEX(Calc!$D$8:$D$500,MATCH(SMALL(IF((Calc!$K$8:$K$500=Kanban!F$11)*(Calc!$Y$8:$Y$500&gt;0),Calc!$Y$8:$Y$500,99999),Kanban_Helper!$B41),Calc!$Y$8:$Y$500,0))," ",Calc!$V$7," ","!"),INDEX(Calc!$D$8:$D$500,MATCH(SMALL(IF((Calc!$K$8:$K$500=Kanban!F$11)*(Calc!$Y$8:$Y$500&gt;0),Calc!$Y$8:$Y$500,99999),Kanban_Helper!$B41),Calc!$Y$8:$Y$500,0))))),"")</f>
        <v/>
      </c>
      <c r="G48" s="170" t="str">
        <f t="array" ref="G48">IFERROR(IF(LEN(G$11)=0,"",IF($C$7&lt;&gt;"All",IF(INDEX(Calc!$V$8:$V$500,MATCH(INDEX(Calc!$D$8:$D$500,MATCH(SMALL(IF((Calc!$C$8:$C$500=Kanban!$C$7)*(Calc!$K$8:$K$500=Kanban!G$11)*(Calc!$Y$8:$Y$500&gt;0),Calc!$Y$8:$Y$500,99999),Kanban_Helper!$B41),Calc!$Y$8:$Y$500,0)),Calc!$D$8:$D$500,0))="Yes",CONCATENATE(INDEX(Calc!$D$8:$D$500,MATCH(SMALL(IF((Calc!$C$8:$C$500=Kanban!$C$7)*(Calc!$K$8:$K$500=Kanban!G$11)*(Calc!$Y$8:$Y$500&gt;0),Calc!$Y$8:$Y$500,99999),Kanban_Helper!$B41),Calc!$Y$8:$Y$500,0))," ",Calc!$V$7," ","!"),INDEX(Calc!$D$8:$D$500,MATCH(SMALL(IF((Calc!$C$8:$C$500=Kanban!$C$7)*(Calc!$K$8:$K$500=Kanban!G$11)*(Calc!$Y$8:$Y$500&gt;0),Calc!$Y$8:$Y$500,99999),Kanban_Helper!$B41),Calc!$Y$8:$Y$500,0))),IF(INDEX(Calc!$V$8:$V$500,MATCH(INDEX(Calc!$D$8:$D$500,MATCH(SMALL(IF((Calc!$K$8:$K$500=Kanban!G$11)*(Calc!$Y$8:$Y$500&gt;0),Calc!$Y$8:$Y$500,99999),Kanban_Helper!$B41),Calc!$Y$8:$Y$500,0)),Calc!$D$8:$D$500,0))="Yes",CONCATENATE(INDEX(Calc!$D$8:$D$500,MATCH(SMALL(IF((Calc!$K$8:$K$500=Kanban!G$11)*(Calc!$Y$8:$Y$500&gt;0),Calc!$Y$8:$Y$500,99999),Kanban_Helper!$B41),Calc!$Y$8:$Y$500,0))," ",Calc!$V$7," ","!"),INDEX(Calc!$D$8:$D$500,MATCH(SMALL(IF((Calc!$K$8:$K$500=Kanban!G$11)*(Calc!$Y$8:$Y$500&gt;0),Calc!$Y$8:$Y$500,99999),Kanban_Helper!$B41),Calc!$Y$8:$Y$500,0))))),"")</f>
        <v/>
      </c>
      <c r="H48" s="170" t="str">
        <f t="array" ref="H48">IFERROR(IF(LEN(H$11)=0,"",IF($C$7&lt;&gt;"All",IF(INDEX(Calc!$V$8:$V$500,MATCH(INDEX(Calc!$D$8:$D$500,MATCH(SMALL(IF((Calc!$C$8:$C$500=Kanban!$C$7)*(Calc!$K$8:$K$500=Kanban!H$11)*(Calc!$Y$8:$Y$500&gt;0),Calc!$Y$8:$Y$500,99999),Kanban_Helper!$B41),Calc!$Y$8:$Y$500,0)),Calc!$D$8:$D$500,0))="Yes",CONCATENATE(INDEX(Calc!$D$8:$D$500,MATCH(SMALL(IF((Calc!$C$8:$C$500=Kanban!$C$7)*(Calc!$K$8:$K$500=Kanban!H$11)*(Calc!$Y$8:$Y$500&gt;0),Calc!$Y$8:$Y$500,99999),Kanban_Helper!$B41),Calc!$Y$8:$Y$500,0))," ",Calc!$V$7," ","!"),INDEX(Calc!$D$8:$D$500,MATCH(SMALL(IF((Calc!$C$8:$C$500=Kanban!$C$7)*(Calc!$K$8:$K$500=Kanban!H$11)*(Calc!$Y$8:$Y$500&gt;0),Calc!$Y$8:$Y$500,99999),Kanban_Helper!$B41),Calc!$Y$8:$Y$500,0))),IF(INDEX(Calc!$V$8:$V$500,MATCH(INDEX(Calc!$D$8:$D$500,MATCH(SMALL(IF((Calc!$K$8:$K$500=Kanban!H$11)*(Calc!$Y$8:$Y$500&gt;0),Calc!$Y$8:$Y$500,99999),Kanban_Helper!$B41),Calc!$Y$8:$Y$500,0)),Calc!$D$8:$D$500,0))="Yes",CONCATENATE(INDEX(Calc!$D$8:$D$500,MATCH(SMALL(IF((Calc!$K$8:$K$500=Kanban!H$11)*(Calc!$Y$8:$Y$500&gt;0),Calc!$Y$8:$Y$500,99999),Kanban_Helper!$B41),Calc!$Y$8:$Y$500,0))," ",Calc!$V$7," ","!"),INDEX(Calc!$D$8:$D$500,MATCH(SMALL(IF((Calc!$K$8:$K$500=Kanban!H$11)*(Calc!$Y$8:$Y$500&gt;0),Calc!$Y$8:$Y$500,99999),Kanban_Helper!$B41),Calc!$Y$8:$Y$500,0))))),"")</f>
        <v/>
      </c>
      <c r="I48" s="39"/>
      <c r="J48" s="10"/>
      <c r="K48" s="10"/>
      <c r="L48" s="10"/>
    </row>
    <row r="49" spans="2:12" x14ac:dyDescent="0.35">
      <c r="B49" s="80"/>
      <c r="C49" s="171" t="str">
        <f t="array" ref="C49">IFERROR(IF(LEN(C$11)=0,"",IF($C$7&lt;&gt;"All",INDEX(Calc!$E$8:$E$500,MATCH(SMALL(IF((Calc!$C$8:$C$500=Kanban!$C$7)*(Calc!$K$8:$K$500=Kanban!C$11)*(Calc!$Y$8:$Y$500&gt;0),Calc!$Y$8:$Y$500,99999),Kanban_Helper!$B42),Calc!$Y$8:$Y$500,0)),INDEX(Calc!$E$8:$E$500,MATCH(SMALL(IF((Calc!$K$8:$K$500=Kanban!C$11)*(Calc!$Y$8:$Y$500&gt;0),Calc!$Y$8:$Y$500,99999),Kanban_Helper!$B42),Calc!$Y$8:$Y$500,0)))),"")</f>
        <v/>
      </c>
      <c r="D49" s="171" t="str">
        <f t="array" ref="D49">IFERROR(IF(LEN(D$11)=0,"",IF($C$7&lt;&gt;"All",INDEX(Calc!$E$8:$E$500,MATCH(SMALL(IF((Calc!$C$8:$C$500=Kanban!$C$7)*(Calc!$K$8:$K$500=Kanban!D$11)*(Calc!$Y$8:$Y$500&gt;0),Calc!$Y$8:$Y$500,99999),Kanban_Helper!$B42),Calc!$Y$8:$Y$500,0)),INDEX(Calc!$E$8:$E$500,MATCH(SMALL(IF((Calc!$K$8:$K$500=Kanban!D$11)*(Calc!$Y$8:$Y$500&gt;0),Calc!$Y$8:$Y$500,99999),Kanban_Helper!$B42),Calc!$Y$8:$Y$500,0)))),"")</f>
        <v/>
      </c>
      <c r="E49" s="171" t="str">
        <f t="array" ref="E49">IFERROR(IF(LEN(E$11)=0,"",IF($C$7&lt;&gt;"All",INDEX(Calc!$E$8:$E$500,MATCH(SMALL(IF((Calc!$C$8:$C$500=Kanban!$C$7)*(Calc!$K$8:$K$500=Kanban!E$11)*(Calc!$Y$8:$Y$500&gt;0),Calc!$Y$8:$Y$500,99999),Kanban_Helper!$B42),Calc!$Y$8:$Y$500,0)),INDEX(Calc!$E$8:$E$500,MATCH(SMALL(IF((Calc!$K$8:$K$500=Kanban!E$11)*(Calc!$Y$8:$Y$500&gt;0),Calc!$Y$8:$Y$500,99999),Kanban_Helper!$B42),Calc!$Y$8:$Y$500,0)))),"")</f>
        <v/>
      </c>
      <c r="F49" s="171" t="str">
        <f t="array" ref="F49">IFERROR(IF(LEN(F$11)=0,"",IF($C$7&lt;&gt;"All",INDEX(Calc!$E$8:$E$500,MATCH(SMALL(IF((Calc!$C$8:$C$500=Kanban!$C$7)*(Calc!$K$8:$K$500=Kanban!F$11)*(Calc!$Y$8:$Y$500&gt;0),Calc!$Y$8:$Y$500,99999),Kanban_Helper!$B42),Calc!$Y$8:$Y$500,0)),INDEX(Calc!$E$8:$E$500,MATCH(SMALL(IF((Calc!$K$8:$K$500=Kanban!F$11)*(Calc!$Y$8:$Y$500&gt;0),Calc!$Y$8:$Y$500,99999),Kanban_Helper!$B42),Calc!$Y$8:$Y$500,0)))),"")</f>
        <v/>
      </c>
      <c r="G49" s="171" t="str">
        <f t="array" ref="G49">IFERROR(IF(LEN(G$11)=0,"",IF($C$7&lt;&gt;"All",INDEX(Calc!$E$8:$E$500,MATCH(SMALL(IF((Calc!$C$8:$C$500=Kanban!$C$7)*(Calc!$K$8:$K$500=Kanban!G$11)*(Calc!$Y$8:$Y$500&gt;0),Calc!$Y$8:$Y$500,99999),Kanban_Helper!$B42),Calc!$Y$8:$Y$500,0)),INDEX(Calc!$E$8:$E$500,MATCH(SMALL(IF((Calc!$K$8:$K$500=Kanban!G$11)*(Calc!$Y$8:$Y$500&gt;0),Calc!$Y$8:$Y$500,99999),Kanban_Helper!$B42),Calc!$Y$8:$Y$500,0)))),"")</f>
        <v/>
      </c>
      <c r="H49" s="171" t="str">
        <f t="array" ref="H49">IFERROR(IF(LEN(H$11)=0,"",IF($C$7&lt;&gt;"All",INDEX(Calc!$E$8:$E$500,MATCH(SMALL(IF((Calc!$C$8:$C$500=Kanban!$C$7)*(Calc!$K$8:$K$500=Kanban!H$11)*(Calc!$Y$8:$Y$500&gt;0),Calc!$Y$8:$Y$500,99999),Kanban_Helper!$B42),Calc!$Y$8:$Y$500,0)),INDEX(Calc!$E$8:$E$500,MATCH(SMALL(IF((Calc!$K$8:$K$500=Kanban!H$11)*(Calc!$Y$8:$Y$500&gt;0),Calc!$Y$8:$Y$500,99999),Kanban_Helper!$B42),Calc!$Y$8:$Y$500,0)))),"")</f>
        <v/>
      </c>
      <c r="I49" s="39"/>
      <c r="J49" s="10"/>
      <c r="K49" s="10"/>
      <c r="L49" s="10"/>
    </row>
    <row r="50" spans="2:12" ht="15" thickBot="1" x14ac:dyDescent="0.4">
      <c r="B50" s="80"/>
      <c r="C50" s="173" t="str">
        <f t="array" ref="C50">IFERROR(IF(LEN(C$11)=0,"",IF($C$7&lt;&gt;"All",IF(LEN(INDEX(Calc!$J$8:$J$500,MATCH(SMALL(IF((Calc!$C$8:$C$500=Kanban!$C$7)*(Calc!$K$8:$K$500=Kanban!C$11)*(Calc!$Y$8:$Y$500&gt;0),Calc!$Y$8:$Y$500,99999),Kanban_Helper!$B43),Calc!$Y$8:$Y$500,0)))=0,"",CONCATENATE(Calc!$AD$6,INDEX(Calc!$J$8:$J$500,MATCH(SMALL(IF((Calc!$C$8:$C$500=Kanban!$C$7)*(Calc!$K$8:$K$500=Kanban!C$11)*(Calc!$Y$8:$Y$500&gt;0),Calc!$Y$8:$Y$500,99999),Kanban_Helper!$B43),Calc!$Y$8:$Y$500,0)))),IF(LEN(INDEX(Calc!$J$8:$J$500,MATCH(SMALL(IF((Calc!$K$8:$K$500=Kanban!C$11)*(Calc!$Y$8:$Y$500&gt;0),Calc!$Y$8:$Y$500,99999),Kanban_Helper!$B43),Calc!$Y$8:$Y$500,0)))=0,"",CONCATENATE(Calc!$AD$6,INDEX(Calc!$J$8:$J$500,MATCH(SMALL(IF((Calc!$K$8:$K$500=Kanban!C$11)*(Calc!$Y$8:$Y$500&gt;0),Calc!$Y$8:$Y$500,99999),Kanban_Helper!$B43),Calc!$Y$8:$Y$500,0)))))),"")</f>
        <v/>
      </c>
      <c r="D50" s="173" t="str">
        <f t="array" ref="D50">IFERROR(IF(LEN(D$11)=0,"",IF($C$7&lt;&gt;"All",IF(LEN(INDEX(Calc!$J$8:$J$500,MATCH(SMALL(IF((Calc!$C$8:$C$500=Kanban!$C$7)*(Calc!$K$8:$K$500=Kanban!D$11)*(Calc!$Y$8:$Y$500&gt;0),Calc!$Y$8:$Y$500,99999),Kanban_Helper!$B43),Calc!$Y$8:$Y$500,0)))=0,"",CONCATENATE(Calc!$AD$6,INDEX(Calc!$J$8:$J$500,MATCH(SMALL(IF((Calc!$C$8:$C$500=Kanban!$C$7)*(Calc!$K$8:$K$500=Kanban!D$11)*(Calc!$Y$8:$Y$500&gt;0),Calc!$Y$8:$Y$500,99999),Kanban_Helper!$B43),Calc!$Y$8:$Y$500,0)))),IF(LEN(INDEX(Calc!$J$8:$J$500,MATCH(SMALL(IF((Calc!$K$8:$K$500=Kanban!D$11)*(Calc!$Y$8:$Y$500&gt;0),Calc!$Y$8:$Y$500,99999),Kanban_Helper!$B43),Calc!$Y$8:$Y$500,0)))=0,"",CONCATENATE(Calc!$AD$6,INDEX(Calc!$J$8:$J$500,MATCH(SMALL(IF((Calc!$K$8:$K$500=Kanban!D$11)*(Calc!$Y$8:$Y$500&gt;0),Calc!$Y$8:$Y$500,99999),Kanban_Helper!$B43),Calc!$Y$8:$Y$500,0)))))),"")</f>
        <v/>
      </c>
      <c r="E50" s="173" t="str">
        <f t="array" ref="E50">IFERROR(IF(LEN(E$11)=0,"",IF($C$7&lt;&gt;"All",IF(LEN(INDEX(Calc!$J$8:$J$500,MATCH(SMALL(IF((Calc!$C$8:$C$500=Kanban!$C$7)*(Calc!$K$8:$K$500=Kanban!E$11)*(Calc!$Y$8:$Y$500&gt;0),Calc!$Y$8:$Y$500,99999),Kanban_Helper!$B43),Calc!$Y$8:$Y$500,0)))=0,"",CONCATENATE(Calc!$AD$6,INDEX(Calc!$J$8:$J$500,MATCH(SMALL(IF((Calc!$C$8:$C$500=Kanban!$C$7)*(Calc!$K$8:$K$500=Kanban!E$11)*(Calc!$Y$8:$Y$500&gt;0),Calc!$Y$8:$Y$500,99999),Kanban_Helper!$B43),Calc!$Y$8:$Y$500,0)))),IF(LEN(INDEX(Calc!$J$8:$J$500,MATCH(SMALL(IF((Calc!$K$8:$K$500=Kanban!E$11)*(Calc!$Y$8:$Y$500&gt;0),Calc!$Y$8:$Y$500,99999),Kanban_Helper!$B43),Calc!$Y$8:$Y$500,0)))=0,"",CONCATENATE(Calc!$AD$6,INDEX(Calc!$J$8:$J$500,MATCH(SMALL(IF((Calc!$K$8:$K$500=Kanban!E$11)*(Calc!$Y$8:$Y$500&gt;0),Calc!$Y$8:$Y$500,99999),Kanban_Helper!$B43),Calc!$Y$8:$Y$500,0)))))),"")</f>
        <v/>
      </c>
      <c r="F50" s="173" t="str">
        <f t="array" ref="F50">IFERROR(IF(LEN(F$11)=0,"",IF($C$7&lt;&gt;"All",IF(LEN(INDEX(Calc!$J$8:$J$500,MATCH(SMALL(IF((Calc!$C$8:$C$500=Kanban!$C$7)*(Calc!$K$8:$K$500=Kanban!F$11)*(Calc!$Y$8:$Y$500&gt;0),Calc!$Y$8:$Y$500,99999),Kanban_Helper!$B43),Calc!$Y$8:$Y$500,0)))=0,"",CONCATENATE(Calc!$AD$6,INDEX(Calc!$J$8:$J$500,MATCH(SMALL(IF((Calc!$C$8:$C$500=Kanban!$C$7)*(Calc!$K$8:$K$500=Kanban!F$11)*(Calc!$Y$8:$Y$500&gt;0),Calc!$Y$8:$Y$500,99999),Kanban_Helper!$B43),Calc!$Y$8:$Y$500,0)))),IF(LEN(INDEX(Calc!$J$8:$J$500,MATCH(SMALL(IF((Calc!$K$8:$K$500=Kanban!F$11)*(Calc!$Y$8:$Y$500&gt;0),Calc!$Y$8:$Y$500,99999),Kanban_Helper!$B43),Calc!$Y$8:$Y$500,0)))=0,"",CONCATENATE(Calc!$AD$6,INDEX(Calc!$J$8:$J$500,MATCH(SMALL(IF((Calc!$K$8:$K$500=Kanban!F$11)*(Calc!$Y$8:$Y$500&gt;0),Calc!$Y$8:$Y$500,99999),Kanban_Helper!$B43),Calc!$Y$8:$Y$500,0)))))),"")</f>
        <v/>
      </c>
      <c r="G50" s="173" t="str">
        <f t="array" ref="G50">IFERROR(IF(LEN(G$11)=0,"",IF($C$7&lt;&gt;"All",IF(LEN(INDEX(Calc!$J$8:$J$500,MATCH(SMALL(IF((Calc!$C$8:$C$500=Kanban!$C$7)*(Calc!$K$8:$K$500=Kanban!G$11)*(Calc!$Y$8:$Y$500&gt;0),Calc!$Y$8:$Y$500,99999),Kanban_Helper!$B43),Calc!$Y$8:$Y$500,0)))=0,"",CONCATENATE(Calc!$AD$6,INDEX(Calc!$J$8:$J$500,MATCH(SMALL(IF((Calc!$C$8:$C$500=Kanban!$C$7)*(Calc!$K$8:$K$500=Kanban!G$11)*(Calc!$Y$8:$Y$500&gt;0),Calc!$Y$8:$Y$500,99999),Kanban_Helper!$B43),Calc!$Y$8:$Y$500,0)))),IF(LEN(INDEX(Calc!$J$8:$J$500,MATCH(SMALL(IF((Calc!$K$8:$K$500=Kanban!G$11)*(Calc!$Y$8:$Y$500&gt;0),Calc!$Y$8:$Y$500,99999),Kanban_Helper!$B43),Calc!$Y$8:$Y$500,0)))=0,"",CONCATENATE(Calc!$AD$6,INDEX(Calc!$J$8:$J$500,MATCH(SMALL(IF((Calc!$K$8:$K$500=Kanban!G$11)*(Calc!$Y$8:$Y$500&gt;0),Calc!$Y$8:$Y$500,99999),Kanban_Helper!$B43),Calc!$Y$8:$Y$500,0)))))),"")</f>
        <v/>
      </c>
      <c r="H50" s="173" t="str">
        <f t="array" ref="H50">IFERROR(IF(LEN(H$11)=0,"",IF($C$7&lt;&gt;"All",IF(LEN(INDEX(Calc!$J$8:$J$500,MATCH(SMALL(IF((Calc!$C$8:$C$500=Kanban!$C$7)*(Calc!$K$8:$K$500=Kanban!H$11)*(Calc!$Y$8:$Y$500&gt;0),Calc!$Y$8:$Y$500,99999),Kanban_Helper!$B43),Calc!$Y$8:$Y$500,0)))=0,"",CONCATENATE(Calc!$AD$6,INDEX(Calc!$J$8:$J$500,MATCH(SMALL(IF((Calc!$C$8:$C$500=Kanban!$C$7)*(Calc!$K$8:$K$500=Kanban!H$11)*(Calc!$Y$8:$Y$500&gt;0),Calc!$Y$8:$Y$500,99999),Kanban_Helper!$B43),Calc!$Y$8:$Y$500,0)))),IF(LEN(INDEX(Calc!$J$8:$J$500,MATCH(SMALL(IF((Calc!$K$8:$K$500=Kanban!H$11)*(Calc!$Y$8:$Y$500&gt;0),Calc!$Y$8:$Y$500,99999),Kanban_Helper!$B43),Calc!$Y$8:$Y$500,0)))=0,"",CONCATENATE(Calc!$AD$6,INDEX(Calc!$J$8:$J$500,MATCH(SMALL(IF((Calc!$K$8:$K$500=Kanban!H$11)*(Calc!$Y$8:$Y$500&gt;0),Calc!$Y$8:$Y$500,99999),Kanban_Helper!$B43),Calc!$Y$8:$Y$500,0)))))),"")</f>
        <v/>
      </c>
      <c r="I50" s="39"/>
      <c r="J50" s="10"/>
      <c r="K50" s="10"/>
      <c r="L50" s="10"/>
    </row>
    <row r="51" spans="2:12" ht="15" thickTop="1" x14ac:dyDescent="0.35">
      <c r="B51" s="80"/>
      <c r="C51" s="170" t="str">
        <f t="array" ref="C51">IFERROR(IF(LEN(C$11)=0,"",IF($C$7&lt;&gt;"All",IF(INDEX(Calc!$V$8:$V$500,MATCH(INDEX(Calc!$D$8:$D$500,MATCH(SMALL(IF((Calc!$C$8:$C$500=Kanban!$C$7)*(Calc!$K$8:$K$500=Kanban!C$11)*(Calc!$Y$8:$Y$500&gt;0),Calc!$Y$8:$Y$500,99999),Kanban_Helper!$B44),Calc!$Y$8:$Y$500,0)),Calc!$D$8:$D$500,0))="Yes",CONCATENATE(INDEX(Calc!$D$8:$D$500,MATCH(SMALL(IF((Calc!$C$8:$C$500=Kanban!$C$7)*(Calc!$K$8:$K$500=Kanban!C$11)*(Calc!$Y$8:$Y$500&gt;0),Calc!$Y$8:$Y$500,99999),Kanban_Helper!$B44),Calc!$Y$8:$Y$500,0))," ",Calc!$V$7," ","!"),INDEX(Calc!$D$8:$D$500,MATCH(SMALL(IF((Calc!$C$8:$C$500=Kanban!$C$7)*(Calc!$K$8:$K$500=Kanban!C$11)*(Calc!$Y$8:$Y$500&gt;0),Calc!$Y$8:$Y$500,99999),Kanban_Helper!$B44),Calc!$Y$8:$Y$500,0))),IF(INDEX(Calc!$V$8:$V$500,MATCH(INDEX(Calc!$D$8:$D$500,MATCH(SMALL(IF((Calc!$K$8:$K$500=Kanban!C$11)*(Calc!$Y$8:$Y$500&gt;0),Calc!$Y$8:$Y$500,99999),Kanban_Helper!$B44),Calc!$Y$8:$Y$500,0)),Calc!$D$8:$D$500,0))="Yes",CONCATENATE(INDEX(Calc!$D$8:$D$500,MATCH(SMALL(IF((Calc!$K$8:$K$500=Kanban!C$11)*(Calc!$Y$8:$Y$500&gt;0),Calc!$Y$8:$Y$500,99999),Kanban_Helper!$B44),Calc!$Y$8:$Y$500,0))," ",Calc!$V$7," ","!"),INDEX(Calc!$D$8:$D$500,MATCH(SMALL(IF((Calc!$K$8:$K$500=Kanban!C$11)*(Calc!$Y$8:$Y$500&gt;0),Calc!$Y$8:$Y$500,99999),Kanban_Helper!$B44),Calc!$Y$8:$Y$500,0))))),"")</f>
        <v/>
      </c>
      <c r="D51" s="170" t="str">
        <f t="array" ref="D51">IFERROR(IF(LEN(D$11)=0,"",IF($C$7&lt;&gt;"All",IF(INDEX(Calc!$V$8:$V$500,MATCH(INDEX(Calc!$D$8:$D$500,MATCH(SMALL(IF((Calc!$C$8:$C$500=Kanban!$C$7)*(Calc!$K$8:$K$500=Kanban!D$11)*(Calc!$Y$8:$Y$500&gt;0),Calc!$Y$8:$Y$500,99999),Kanban_Helper!$B44),Calc!$Y$8:$Y$500,0)),Calc!$D$8:$D$500,0))="Yes",CONCATENATE(INDEX(Calc!$D$8:$D$500,MATCH(SMALL(IF((Calc!$C$8:$C$500=Kanban!$C$7)*(Calc!$K$8:$K$500=Kanban!D$11)*(Calc!$Y$8:$Y$500&gt;0),Calc!$Y$8:$Y$500,99999),Kanban_Helper!$B44),Calc!$Y$8:$Y$500,0))," ",Calc!$V$7," ","!"),INDEX(Calc!$D$8:$D$500,MATCH(SMALL(IF((Calc!$C$8:$C$500=Kanban!$C$7)*(Calc!$K$8:$K$500=Kanban!D$11)*(Calc!$Y$8:$Y$500&gt;0),Calc!$Y$8:$Y$500,99999),Kanban_Helper!$B44),Calc!$Y$8:$Y$500,0))),IF(INDEX(Calc!$V$8:$V$500,MATCH(INDEX(Calc!$D$8:$D$500,MATCH(SMALL(IF((Calc!$K$8:$K$500=Kanban!D$11)*(Calc!$Y$8:$Y$500&gt;0),Calc!$Y$8:$Y$500,99999),Kanban_Helper!$B44),Calc!$Y$8:$Y$500,0)),Calc!$D$8:$D$500,0))="Yes",CONCATENATE(INDEX(Calc!$D$8:$D$500,MATCH(SMALL(IF((Calc!$K$8:$K$500=Kanban!D$11)*(Calc!$Y$8:$Y$500&gt;0),Calc!$Y$8:$Y$500,99999),Kanban_Helper!$B44),Calc!$Y$8:$Y$500,0))," ",Calc!$V$7," ","!"),INDEX(Calc!$D$8:$D$500,MATCH(SMALL(IF((Calc!$K$8:$K$500=Kanban!D$11)*(Calc!$Y$8:$Y$500&gt;0),Calc!$Y$8:$Y$500,99999),Kanban_Helper!$B44),Calc!$Y$8:$Y$500,0))))),"")</f>
        <v/>
      </c>
      <c r="E51" s="170" t="str">
        <f t="array" ref="E51">IFERROR(IF(LEN(E$11)=0,"",IF($C$7&lt;&gt;"All",IF(INDEX(Calc!$V$8:$V$500,MATCH(INDEX(Calc!$D$8:$D$500,MATCH(SMALL(IF((Calc!$C$8:$C$500=Kanban!$C$7)*(Calc!$K$8:$K$500=Kanban!E$11)*(Calc!$Y$8:$Y$500&gt;0),Calc!$Y$8:$Y$500,99999),Kanban_Helper!$B44),Calc!$Y$8:$Y$500,0)),Calc!$D$8:$D$500,0))="Yes",CONCATENATE(INDEX(Calc!$D$8:$D$500,MATCH(SMALL(IF((Calc!$C$8:$C$500=Kanban!$C$7)*(Calc!$K$8:$K$500=Kanban!E$11)*(Calc!$Y$8:$Y$500&gt;0),Calc!$Y$8:$Y$500,99999),Kanban_Helper!$B44),Calc!$Y$8:$Y$500,0))," ",Calc!$V$7," ","!"),INDEX(Calc!$D$8:$D$500,MATCH(SMALL(IF((Calc!$C$8:$C$500=Kanban!$C$7)*(Calc!$K$8:$K$500=Kanban!E$11)*(Calc!$Y$8:$Y$500&gt;0),Calc!$Y$8:$Y$500,99999),Kanban_Helper!$B44),Calc!$Y$8:$Y$500,0))),IF(INDEX(Calc!$V$8:$V$500,MATCH(INDEX(Calc!$D$8:$D$500,MATCH(SMALL(IF((Calc!$K$8:$K$500=Kanban!E$11)*(Calc!$Y$8:$Y$500&gt;0),Calc!$Y$8:$Y$500,99999),Kanban_Helper!$B44),Calc!$Y$8:$Y$500,0)),Calc!$D$8:$D$500,0))="Yes",CONCATENATE(INDEX(Calc!$D$8:$D$500,MATCH(SMALL(IF((Calc!$K$8:$K$500=Kanban!E$11)*(Calc!$Y$8:$Y$500&gt;0),Calc!$Y$8:$Y$500,99999),Kanban_Helper!$B44),Calc!$Y$8:$Y$500,0))," ",Calc!$V$7," ","!"),INDEX(Calc!$D$8:$D$500,MATCH(SMALL(IF((Calc!$K$8:$K$500=Kanban!E$11)*(Calc!$Y$8:$Y$500&gt;0),Calc!$Y$8:$Y$500,99999),Kanban_Helper!$B44),Calc!$Y$8:$Y$500,0))))),"")</f>
        <v/>
      </c>
      <c r="F51" s="170" t="str">
        <f t="array" ref="F51">IFERROR(IF(LEN(F$11)=0,"",IF($C$7&lt;&gt;"All",IF(INDEX(Calc!$V$8:$V$500,MATCH(INDEX(Calc!$D$8:$D$500,MATCH(SMALL(IF((Calc!$C$8:$C$500=Kanban!$C$7)*(Calc!$K$8:$K$500=Kanban!F$11)*(Calc!$Y$8:$Y$500&gt;0),Calc!$Y$8:$Y$500,99999),Kanban_Helper!$B44),Calc!$Y$8:$Y$500,0)),Calc!$D$8:$D$500,0))="Yes",CONCATENATE(INDEX(Calc!$D$8:$D$500,MATCH(SMALL(IF((Calc!$C$8:$C$500=Kanban!$C$7)*(Calc!$K$8:$K$500=Kanban!F$11)*(Calc!$Y$8:$Y$500&gt;0),Calc!$Y$8:$Y$500,99999),Kanban_Helper!$B44),Calc!$Y$8:$Y$500,0))," ",Calc!$V$7," ","!"),INDEX(Calc!$D$8:$D$500,MATCH(SMALL(IF((Calc!$C$8:$C$500=Kanban!$C$7)*(Calc!$K$8:$K$500=Kanban!F$11)*(Calc!$Y$8:$Y$500&gt;0),Calc!$Y$8:$Y$500,99999),Kanban_Helper!$B44),Calc!$Y$8:$Y$500,0))),IF(INDEX(Calc!$V$8:$V$500,MATCH(INDEX(Calc!$D$8:$D$500,MATCH(SMALL(IF((Calc!$K$8:$K$500=Kanban!F$11)*(Calc!$Y$8:$Y$500&gt;0),Calc!$Y$8:$Y$500,99999),Kanban_Helper!$B44),Calc!$Y$8:$Y$500,0)),Calc!$D$8:$D$500,0))="Yes",CONCATENATE(INDEX(Calc!$D$8:$D$500,MATCH(SMALL(IF((Calc!$K$8:$K$500=Kanban!F$11)*(Calc!$Y$8:$Y$500&gt;0),Calc!$Y$8:$Y$500,99999),Kanban_Helper!$B44),Calc!$Y$8:$Y$500,0))," ",Calc!$V$7," ","!"),INDEX(Calc!$D$8:$D$500,MATCH(SMALL(IF((Calc!$K$8:$K$500=Kanban!F$11)*(Calc!$Y$8:$Y$500&gt;0),Calc!$Y$8:$Y$500,99999),Kanban_Helper!$B44),Calc!$Y$8:$Y$500,0))))),"")</f>
        <v/>
      </c>
      <c r="G51" s="170" t="str">
        <f t="array" ref="G51">IFERROR(IF(LEN(G$11)=0,"",IF($C$7&lt;&gt;"All",IF(INDEX(Calc!$V$8:$V$500,MATCH(INDEX(Calc!$D$8:$D$500,MATCH(SMALL(IF((Calc!$C$8:$C$500=Kanban!$C$7)*(Calc!$K$8:$K$500=Kanban!G$11)*(Calc!$Y$8:$Y$500&gt;0),Calc!$Y$8:$Y$500,99999),Kanban_Helper!$B44),Calc!$Y$8:$Y$500,0)),Calc!$D$8:$D$500,0))="Yes",CONCATENATE(INDEX(Calc!$D$8:$D$500,MATCH(SMALL(IF((Calc!$C$8:$C$500=Kanban!$C$7)*(Calc!$K$8:$K$500=Kanban!G$11)*(Calc!$Y$8:$Y$500&gt;0),Calc!$Y$8:$Y$500,99999),Kanban_Helper!$B44),Calc!$Y$8:$Y$500,0))," ",Calc!$V$7," ","!"),INDEX(Calc!$D$8:$D$500,MATCH(SMALL(IF((Calc!$C$8:$C$500=Kanban!$C$7)*(Calc!$K$8:$K$500=Kanban!G$11)*(Calc!$Y$8:$Y$500&gt;0),Calc!$Y$8:$Y$500,99999),Kanban_Helper!$B44),Calc!$Y$8:$Y$500,0))),IF(INDEX(Calc!$V$8:$V$500,MATCH(INDEX(Calc!$D$8:$D$500,MATCH(SMALL(IF((Calc!$K$8:$K$500=Kanban!G$11)*(Calc!$Y$8:$Y$500&gt;0),Calc!$Y$8:$Y$500,99999),Kanban_Helper!$B44),Calc!$Y$8:$Y$500,0)),Calc!$D$8:$D$500,0))="Yes",CONCATENATE(INDEX(Calc!$D$8:$D$500,MATCH(SMALL(IF((Calc!$K$8:$K$500=Kanban!G$11)*(Calc!$Y$8:$Y$500&gt;0),Calc!$Y$8:$Y$500,99999),Kanban_Helper!$B44),Calc!$Y$8:$Y$500,0))," ",Calc!$V$7," ","!"),INDEX(Calc!$D$8:$D$500,MATCH(SMALL(IF((Calc!$K$8:$K$500=Kanban!G$11)*(Calc!$Y$8:$Y$500&gt;0),Calc!$Y$8:$Y$500,99999),Kanban_Helper!$B44),Calc!$Y$8:$Y$500,0))))),"")</f>
        <v/>
      </c>
      <c r="H51" s="170" t="str">
        <f t="array" ref="H51">IFERROR(IF(LEN(H$11)=0,"",IF($C$7&lt;&gt;"All",IF(INDEX(Calc!$V$8:$V$500,MATCH(INDEX(Calc!$D$8:$D$500,MATCH(SMALL(IF((Calc!$C$8:$C$500=Kanban!$C$7)*(Calc!$K$8:$K$500=Kanban!H$11)*(Calc!$Y$8:$Y$500&gt;0),Calc!$Y$8:$Y$500,99999),Kanban_Helper!$B44),Calc!$Y$8:$Y$500,0)),Calc!$D$8:$D$500,0))="Yes",CONCATENATE(INDEX(Calc!$D$8:$D$500,MATCH(SMALL(IF((Calc!$C$8:$C$500=Kanban!$C$7)*(Calc!$K$8:$K$500=Kanban!H$11)*(Calc!$Y$8:$Y$500&gt;0),Calc!$Y$8:$Y$500,99999),Kanban_Helper!$B44),Calc!$Y$8:$Y$500,0))," ",Calc!$V$7," ","!"),INDEX(Calc!$D$8:$D$500,MATCH(SMALL(IF((Calc!$C$8:$C$500=Kanban!$C$7)*(Calc!$K$8:$K$500=Kanban!H$11)*(Calc!$Y$8:$Y$500&gt;0),Calc!$Y$8:$Y$500,99999),Kanban_Helper!$B44),Calc!$Y$8:$Y$500,0))),IF(INDEX(Calc!$V$8:$V$500,MATCH(INDEX(Calc!$D$8:$D$500,MATCH(SMALL(IF((Calc!$K$8:$K$500=Kanban!H$11)*(Calc!$Y$8:$Y$500&gt;0),Calc!$Y$8:$Y$500,99999),Kanban_Helper!$B44),Calc!$Y$8:$Y$500,0)),Calc!$D$8:$D$500,0))="Yes",CONCATENATE(INDEX(Calc!$D$8:$D$500,MATCH(SMALL(IF((Calc!$K$8:$K$500=Kanban!H$11)*(Calc!$Y$8:$Y$500&gt;0),Calc!$Y$8:$Y$500,99999),Kanban_Helper!$B44),Calc!$Y$8:$Y$500,0))," ",Calc!$V$7," ","!"),INDEX(Calc!$D$8:$D$500,MATCH(SMALL(IF((Calc!$K$8:$K$500=Kanban!H$11)*(Calc!$Y$8:$Y$500&gt;0),Calc!$Y$8:$Y$500,99999),Kanban_Helper!$B44),Calc!$Y$8:$Y$500,0))))),"")</f>
        <v/>
      </c>
      <c r="I51" s="39"/>
      <c r="J51" s="10"/>
      <c r="K51" s="10"/>
      <c r="L51" s="10"/>
    </row>
    <row r="52" spans="2:12" x14ac:dyDescent="0.35">
      <c r="B52" s="80"/>
      <c r="C52" s="171" t="str">
        <f t="array" ref="C52">IFERROR(IF(LEN(C$11)=0,"",IF($C$7&lt;&gt;"All",INDEX(Calc!$E$8:$E$500,MATCH(SMALL(IF((Calc!$C$8:$C$500=Kanban!$C$7)*(Calc!$K$8:$K$500=Kanban!C$11)*(Calc!$Y$8:$Y$500&gt;0),Calc!$Y$8:$Y$500,99999),Kanban_Helper!$B45),Calc!$Y$8:$Y$500,0)),INDEX(Calc!$E$8:$E$500,MATCH(SMALL(IF((Calc!$K$8:$K$500=Kanban!C$11)*(Calc!$Y$8:$Y$500&gt;0),Calc!$Y$8:$Y$500,99999),Kanban_Helper!$B45),Calc!$Y$8:$Y$500,0)))),"")</f>
        <v/>
      </c>
      <c r="D52" s="171" t="str">
        <f t="array" ref="D52">IFERROR(IF(LEN(D$11)=0,"",IF($C$7&lt;&gt;"All",INDEX(Calc!$E$8:$E$500,MATCH(SMALL(IF((Calc!$C$8:$C$500=Kanban!$C$7)*(Calc!$K$8:$K$500=Kanban!D$11)*(Calc!$Y$8:$Y$500&gt;0),Calc!$Y$8:$Y$500,99999),Kanban_Helper!$B45),Calc!$Y$8:$Y$500,0)),INDEX(Calc!$E$8:$E$500,MATCH(SMALL(IF((Calc!$K$8:$K$500=Kanban!D$11)*(Calc!$Y$8:$Y$500&gt;0),Calc!$Y$8:$Y$500,99999),Kanban_Helper!$B45),Calc!$Y$8:$Y$500,0)))),"")</f>
        <v/>
      </c>
      <c r="E52" s="171" t="str">
        <f t="array" ref="E52">IFERROR(IF(LEN(E$11)=0,"",IF($C$7&lt;&gt;"All",INDEX(Calc!$E$8:$E$500,MATCH(SMALL(IF((Calc!$C$8:$C$500=Kanban!$C$7)*(Calc!$K$8:$K$500=Kanban!E$11)*(Calc!$Y$8:$Y$500&gt;0),Calc!$Y$8:$Y$500,99999),Kanban_Helper!$B45),Calc!$Y$8:$Y$500,0)),INDEX(Calc!$E$8:$E$500,MATCH(SMALL(IF((Calc!$K$8:$K$500=Kanban!E$11)*(Calc!$Y$8:$Y$500&gt;0),Calc!$Y$8:$Y$500,99999),Kanban_Helper!$B45),Calc!$Y$8:$Y$500,0)))),"")</f>
        <v/>
      </c>
      <c r="F52" s="171" t="str">
        <f t="array" ref="F52">IFERROR(IF(LEN(F$11)=0,"",IF($C$7&lt;&gt;"All",INDEX(Calc!$E$8:$E$500,MATCH(SMALL(IF((Calc!$C$8:$C$500=Kanban!$C$7)*(Calc!$K$8:$K$500=Kanban!F$11)*(Calc!$Y$8:$Y$500&gt;0),Calc!$Y$8:$Y$500,99999),Kanban_Helper!$B45),Calc!$Y$8:$Y$500,0)),INDEX(Calc!$E$8:$E$500,MATCH(SMALL(IF((Calc!$K$8:$K$500=Kanban!F$11)*(Calc!$Y$8:$Y$500&gt;0),Calc!$Y$8:$Y$500,99999),Kanban_Helper!$B45),Calc!$Y$8:$Y$500,0)))),"")</f>
        <v/>
      </c>
      <c r="G52" s="171" t="str">
        <f t="array" ref="G52">IFERROR(IF(LEN(G$11)=0,"",IF($C$7&lt;&gt;"All",INDEX(Calc!$E$8:$E$500,MATCH(SMALL(IF((Calc!$C$8:$C$500=Kanban!$C$7)*(Calc!$K$8:$K$500=Kanban!G$11)*(Calc!$Y$8:$Y$500&gt;0),Calc!$Y$8:$Y$500,99999),Kanban_Helper!$B45),Calc!$Y$8:$Y$500,0)),INDEX(Calc!$E$8:$E$500,MATCH(SMALL(IF((Calc!$K$8:$K$500=Kanban!G$11)*(Calc!$Y$8:$Y$500&gt;0),Calc!$Y$8:$Y$500,99999),Kanban_Helper!$B45),Calc!$Y$8:$Y$500,0)))),"")</f>
        <v/>
      </c>
      <c r="H52" s="171" t="str">
        <f t="array" ref="H52">IFERROR(IF(LEN(H$11)=0,"",IF($C$7&lt;&gt;"All",INDEX(Calc!$E$8:$E$500,MATCH(SMALL(IF((Calc!$C$8:$C$500=Kanban!$C$7)*(Calc!$K$8:$K$500=Kanban!H$11)*(Calc!$Y$8:$Y$500&gt;0),Calc!$Y$8:$Y$500,99999),Kanban_Helper!$B45),Calc!$Y$8:$Y$500,0)),INDEX(Calc!$E$8:$E$500,MATCH(SMALL(IF((Calc!$K$8:$K$500=Kanban!H$11)*(Calc!$Y$8:$Y$500&gt;0),Calc!$Y$8:$Y$500,99999),Kanban_Helper!$B45),Calc!$Y$8:$Y$500,0)))),"")</f>
        <v/>
      </c>
      <c r="I52" s="39"/>
      <c r="J52" s="10"/>
      <c r="K52" s="10"/>
      <c r="L52" s="10"/>
    </row>
    <row r="53" spans="2:12" ht="15" thickBot="1" x14ac:dyDescent="0.4">
      <c r="B53" s="80"/>
      <c r="C53" s="173" t="str">
        <f t="array" ref="C53">IFERROR(IF(LEN(C$11)=0,"",IF($C$7&lt;&gt;"All",IF(LEN(INDEX(Calc!$J$8:$J$500,MATCH(SMALL(IF((Calc!$C$8:$C$500=Kanban!$C$7)*(Calc!$K$8:$K$500=Kanban!C$11)*(Calc!$Y$8:$Y$500&gt;0),Calc!$Y$8:$Y$500,99999),Kanban_Helper!$B46),Calc!$Y$8:$Y$500,0)))=0,"",CONCATENATE(Calc!$AD$6,INDEX(Calc!$J$8:$J$500,MATCH(SMALL(IF((Calc!$C$8:$C$500=Kanban!$C$7)*(Calc!$K$8:$K$500=Kanban!C$11)*(Calc!$Y$8:$Y$500&gt;0),Calc!$Y$8:$Y$500,99999),Kanban_Helper!$B46),Calc!$Y$8:$Y$500,0)))),IF(LEN(INDEX(Calc!$J$8:$J$500,MATCH(SMALL(IF((Calc!$K$8:$K$500=Kanban!C$11)*(Calc!$Y$8:$Y$500&gt;0),Calc!$Y$8:$Y$500,99999),Kanban_Helper!$B46),Calc!$Y$8:$Y$500,0)))=0,"",CONCATENATE(Calc!$AD$6,INDEX(Calc!$J$8:$J$500,MATCH(SMALL(IF((Calc!$K$8:$K$500=Kanban!C$11)*(Calc!$Y$8:$Y$500&gt;0),Calc!$Y$8:$Y$500,99999),Kanban_Helper!$B46),Calc!$Y$8:$Y$500,0)))))),"")</f>
        <v/>
      </c>
      <c r="D53" s="173" t="str">
        <f t="array" ref="D53">IFERROR(IF(LEN(D$11)=0,"",IF($C$7&lt;&gt;"All",IF(LEN(INDEX(Calc!$J$8:$J$500,MATCH(SMALL(IF((Calc!$C$8:$C$500=Kanban!$C$7)*(Calc!$K$8:$K$500=Kanban!D$11)*(Calc!$Y$8:$Y$500&gt;0),Calc!$Y$8:$Y$500,99999),Kanban_Helper!$B46),Calc!$Y$8:$Y$500,0)))=0,"",CONCATENATE(Calc!$AD$6,INDEX(Calc!$J$8:$J$500,MATCH(SMALL(IF((Calc!$C$8:$C$500=Kanban!$C$7)*(Calc!$K$8:$K$500=Kanban!D$11)*(Calc!$Y$8:$Y$500&gt;0),Calc!$Y$8:$Y$500,99999),Kanban_Helper!$B46),Calc!$Y$8:$Y$500,0)))),IF(LEN(INDEX(Calc!$J$8:$J$500,MATCH(SMALL(IF((Calc!$K$8:$K$500=Kanban!D$11)*(Calc!$Y$8:$Y$500&gt;0),Calc!$Y$8:$Y$500,99999),Kanban_Helper!$B46),Calc!$Y$8:$Y$500,0)))=0,"",CONCATENATE(Calc!$AD$6,INDEX(Calc!$J$8:$J$500,MATCH(SMALL(IF((Calc!$K$8:$K$500=Kanban!D$11)*(Calc!$Y$8:$Y$500&gt;0),Calc!$Y$8:$Y$500,99999),Kanban_Helper!$B46),Calc!$Y$8:$Y$500,0)))))),"")</f>
        <v/>
      </c>
      <c r="E53" s="173" t="str">
        <f t="array" ref="E53">IFERROR(IF(LEN(E$11)=0,"",IF($C$7&lt;&gt;"All",IF(LEN(INDEX(Calc!$J$8:$J$500,MATCH(SMALL(IF((Calc!$C$8:$C$500=Kanban!$C$7)*(Calc!$K$8:$K$500=Kanban!E$11)*(Calc!$Y$8:$Y$500&gt;0),Calc!$Y$8:$Y$500,99999),Kanban_Helper!$B46),Calc!$Y$8:$Y$500,0)))=0,"",CONCATENATE(Calc!$AD$6,INDEX(Calc!$J$8:$J$500,MATCH(SMALL(IF((Calc!$C$8:$C$500=Kanban!$C$7)*(Calc!$K$8:$K$500=Kanban!E$11)*(Calc!$Y$8:$Y$500&gt;0),Calc!$Y$8:$Y$500,99999),Kanban_Helper!$B46),Calc!$Y$8:$Y$500,0)))),IF(LEN(INDEX(Calc!$J$8:$J$500,MATCH(SMALL(IF((Calc!$K$8:$K$500=Kanban!E$11)*(Calc!$Y$8:$Y$500&gt;0),Calc!$Y$8:$Y$500,99999),Kanban_Helper!$B46),Calc!$Y$8:$Y$500,0)))=0,"",CONCATENATE(Calc!$AD$6,INDEX(Calc!$J$8:$J$500,MATCH(SMALL(IF((Calc!$K$8:$K$500=Kanban!E$11)*(Calc!$Y$8:$Y$500&gt;0),Calc!$Y$8:$Y$500,99999),Kanban_Helper!$B46),Calc!$Y$8:$Y$500,0)))))),"")</f>
        <v/>
      </c>
      <c r="F53" s="173" t="str">
        <f t="array" ref="F53">IFERROR(IF(LEN(F$11)=0,"",IF($C$7&lt;&gt;"All",IF(LEN(INDEX(Calc!$J$8:$J$500,MATCH(SMALL(IF((Calc!$C$8:$C$500=Kanban!$C$7)*(Calc!$K$8:$K$500=Kanban!F$11)*(Calc!$Y$8:$Y$500&gt;0),Calc!$Y$8:$Y$500,99999),Kanban_Helper!$B46),Calc!$Y$8:$Y$500,0)))=0,"",CONCATENATE(Calc!$AD$6,INDEX(Calc!$J$8:$J$500,MATCH(SMALL(IF((Calc!$C$8:$C$500=Kanban!$C$7)*(Calc!$K$8:$K$500=Kanban!F$11)*(Calc!$Y$8:$Y$500&gt;0),Calc!$Y$8:$Y$500,99999),Kanban_Helper!$B46),Calc!$Y$8:$Y$500,0)))),IF(LEN(INDEX(Calc!$J$8:$J$500,MATCH(SMALL(IF((Calc!$K$8:$K$500=Kanban!F$11)*(Calc!$Y$8:$Y$500&gt;0),Calc!$Y$8:$Y$500,99999),Kanban_Helper!$B46),Calc!$Y$8:$Y$500,0)))=0,"",CONCATENATE(Calc!$AD$6,INDEX(Calc!$J$8:$J$500,MATCH(SMALL(IF((Calc!$K$8:$K$500=Kanban!F$11)*(Calc!$Y$8:$Y$500&gt;0),Calc!$Y$8:$Y$500,99999),Kanban_Helper!$B46),Calc!$Y$8:$Y$500,0)))))),"")</f>
        <v/>
      </c>
      <c r="G53" s="173" t="str">
        <f t="array" ref="G53">IFERROR(IF(LEN(G$11)=0,"",IF($C$7&lt;&gt;"All",IF(LEN(INDEX(Calc!$J$8:$J$500,MATCH(SMALL(IF((Calc!$C$8:$C$500=Kanban!$C$7)*(Calc!$K$8:$K$500=Kanban!G$11)*(Calc!$Y$8:$Y$500&gt;0),Calc!$Y$8:$Y$500,99999),Kanban_Helper!$B46),Calc!$Y$8:$Y$500,0)))=0,"",CONCATENATE(Calc!$AD$6,INDEX(Calc!$J$8:$J$500,MATCH(SMALL(IF((Calc!$C$8:$C$500=Kanban!$C$7)*(Calc!$K$8:$K$500=Kanban!G$11)*(Calc!$Y$8:$Y$500&gt;0),Calc!$Y$8:$Y$500,99999),Kanban_Helper!$B46),Calc!$Y$8:$Y$500,0)))),IF(LEN(INDEX(Calc!$J$8:$J$500,MATCH(SMALL(IF((Calc!$K$8:$K$500=Kanban!G$11)*(Calc!$Y$8:$Y$500&gt;0),Calc!$Y$8:$Y$500,99999),Kanban_Helper!$B46),Calc!$Y$8:$Y$500,0)))=0,"",CONCATENATE(Calc!$AD$6,INDEX(Calc!$J$8:$J$500,MATCH(SMALL(IF((Calc!$K$8:$K$500=Kanban!G$11)*(Calc!$Y$8:$Y$500&gt;0),Calc!$Y$8:$Y$500,99999),Kanban_Helper!$B46),Calc!$Y$8:$Y$500,0)))))),"")</f>
        <v/>
      </c>
      <c r="H53" s="173" t="str">
        <f t="array" ref="H53">IFERROR(IF(LEN(H$11)=0,"",IF($C$7&lt;&gt;"All",IF(LEN(INDEX(Calc!$J$8:$J$500,MATCH(SMALL(IF((Calc!$C$8:$C$500=Kanban!$C$7)*(Calc!$K$8:$K$500=Kanban!H$11)*(Calc!$Y$8:$Y$500&gt;0),Calc!$Y$8:$Y$500,99999),Kanban_Helper!$B46),Calc!$Y$8:$Y$500,0)))=0,"",CONCATENATE(Calc!$AD$6,INDEX(Calc!$J$8:$J$500,MATCH(SMALL(IF((Calc!$C$8:$C$500=Kanban!$C$7)*(Calc!$K$8:$K$500=Kanban!H$11)*(Calc!$Y$8:$Y$500&gt;0),Calc!$Y$8:$Y$500,99999),Kanban_Helper!$B46),Calc!$Y$8:$Y$500,0)))),IF(LEN(INDEX(Calc!$J$8:$J$500,MATCH(SMALL(IF((Calc!$K$8:$K$500=Kanban!H$11)*(Calc!$Y$8:$Y$500&gt;0),Calc!$Y$8:$Y$500,99999),Kanban_Helper!$B46),Calc!$Y$8:$Y$500,0)))=0,"",CONCATENATE(Calc!$AD$6,INDEX(Calc!$J$8:$J$500,MATCH(SMALL(IF((Calc!$K$8:$K$500=Kanban!H$11)*(Calc!$Y$8:$Y$500&gt;0),Calc!$Y$8:$Y$500,99999),Kanban_Helper!$B46),Calc!$Y$8:$Y$500,0)))))),"")</f>
        <v/>
      </c>
      <c r="I53" s="39"/>
      <c r="J53" s="10"/>
      <c r="K53" s="10"/>
      <c r="L53" s="10"/>
    </row>
    <row r="54" spans="2:12" ht="15" thickTop="1" x14ac:dyDescent="0.35">
      <c r="B54" s="80"/>
      <c r="C54" s="170" t="str">
        <f t="array" ref="C54">IFERROR(IF(LEN(C$11)=0,"",IF($C$7&lt;&gt;"All",IF(INDEX(Calc!$V$8:$V$500,MATCH(INDEX(Calc!$D$8:$D$500,MATCH(SMALL(IF((Calc!$C$8:$C$500=Kanban!$C$7)*(Calc!$K$8:$K$500=Kanban!C$11)*(Calc!$Y$8:$Y$500&gt;0),Calc!$Y$8:$Y$500,99999),Kanban_Helper!$B47),Calc!$Y$8:$Y$500,0)),Calc!$D$8:$D$500,0))="Yes",CONCATENATE(INDEX(Calc!$D$8:$D$500,MATCH(SMALL(IF((Calc!$C$8:$C$500=Kanban!$C$7)*(Calc!$K$8:$K$500=Kanban!C$11)*(Calc!$Y$8:$Y$500&gt;0),Calc!$Y$8:$Y$500,99999),Kanban_Helper!$B47),Calc!$Y$8:$Y$500,0))," ",Calc!$V$7," ","!"),INDEX(Calc!$D$8:$D$500,MATCH(SMALL(IF((Calc!$C$8:$C$500=Kanban!$C$7)*(Calc!$K$8:$K$500=Kanban!C$11)*(Calc!$Y$8:$Y$500&gt;0),Calc!$Y$8:$Y$500,99999),Kanban_Helper!$B47),Calc!$Y$8:$Y$500,0))),IF(INDEX(Calc!$V$8:$V$500,MATCH(INDEX(Calc!$D$8:$D$500,MATCH(SMALL(IF((Calc!$K$8:$K$500=Kanban!C$11)*(Calc!$Y$8:$Y$500&gt;0),Calc!$Y$8:$Y$500,99999),Kanban_Helper!$B47),Calc!$Y$8:$Y$500,0)),Calc!$D$8:$D$500,0))="Yes",CONCATENATE(INDEX(Calc!$D$8:$D$500,MATCH(SMALL(IF((Calc!$K$8:$K$500=Kanban!C$11)*(Calc!$Y$8:$Y$500&gt;0),Calc!$Y$8:$Y$500,99999),Kanban_Helper!$B47),Calc!$Y$8:$Y$500,0))," ",Calc!$V$7," ","!"),INDEX(Calc!$D$8:$D$500,MATCH(SMALL(IF((Calc!$K$8:$K$500=Kanban!C$11)*(Calc!$Y$8:$Y$500&gt;0),Calc!$Y$8:$Y$500,99999),Kanban_Helper!$B47),Calc!$Y$8:$Y$500,0))))),"")</f>
        <v/>
      </c>
      <c r="D54" s="170" t="str">
        <f t="array" ref="D54">IFERROR(IF(LEN(D$11)=0,"",IF($C$7&lt;&gt;"All",IF(INDEX(Calc!$V$8:$V$500,MATCH(INDEX(Calc!$D$8:$D$500,MATCH(SMALL(IF((Calc!$C$8:$C$500=Kanban!$C$7)*(Calc!$K$8:$K$500=Kanban!D$11)*(Calc!$Y$8:$Y$500&gt;0),Calc!$Y$8:$Y$500,99999),Kanban_Helper!$B47),Calc!$Y$8:$Y$500,0)),Calc!$D$8:$D$500,0))="Yes",CONCATENATE(INDEX(Calc!$D$8:$D$500,MATCH(SMALL(IF((Calc!$C$8:$C$500=Kanban!$C$7)*(Calc!$K$8:$K$500=Kanban!D$11)*(Calc!$Y$8:$Y$500&gt;0),Calc!$Y$8:$Y$500,99999),Kanban_Helper!$B47),Calc!$Y$8:$Y$500,0))," ",Calc!$V$7," ","!"),INDEX(Calc!$D$8:$D$500,MATCH(SMALL(IF((Calc!$C$8:$C$500=Kanban!$C$7)*(Calc!$K$8:$K$500=Kanban!D$11)*(Calc!$Y$8:$Y$500&gt;0),Calc!$Y$8:$Y$500,99999),Kanban_Helper!$B47),Calc!$Y$8:$Y$500,0))),IF(INDEX(Calc!$V$8:$V$500,MATCH(INDEX(Calc!$D$8:$D$500,MATCH(SMALL(IF((Calc!$K$8:$K$500=Kanban!D$11)*(Calc!$Y$8:$Y$500&gt;0),Calc!$Y$8:$Y$500,99999),Kanban_Helper!$B47),Calc!$Y$8:$Y$500,0)),Calc!$D$8:$D$500,0))="Yes",CONCATENATE(INDEX(Calc!$D$8:$D$500,MATCH(SMALL(IF((Calc!$K$8:$K$500=Kanban!D$11)*(Calc!$Y$8:$Y$500&gt;0),Calc!$Y$8:$Y$500,99999),Kanban_Helper!$B47),Calc!$Y$8:$Y$500,0))," ",Calc!$V$7," ","!"),INDEX(Calc!$D$8:$D$500,MATCH(SMALL(IF((Calc!$K$8:$K$500=Kanban!D$11)*(Calc!$Y$8:$Y$500&gt;0),Calc!$Y$8:$Y$500,99999),Kanban_Helper!$B47),Calc!$Y$8:$Y$500,0))))),"")</f>
        <v/>
      </c>
      <c r="E54" s="170" t="str">
        <f t="array" ref="E54">IFERROR(IF(LEN(E$11)=0,"",IF($C$7&lt;&gt;"All",IF(INDEX(Calc!$V$8:$V$500,MATCH(INDEX(Calc!$D$8:$D$500,MATCH(SMALL(IF((Calc!$C$8:$C$500=Kanban!$C$7)*(Calc!$K$8:$K$500=Kanban!E$11)*(Calc!$Y$8:$Y$500&gt;0),Calc!$Y$8:$Y$500,99999),Kanban_Helper!$B47),Calc!$Y$8:$Y$500,0)),Calc!$D$8:$D$500,0))="Yes",CONCATENATE(INDEX(Calc!$D$8:$D$500,MATCH(SMALL(IF((Calc!$C$8:$C$500=Kanban!$C$7)*(Calc!$K$8:$K$500=Kanban!E$11)*(Calc!$Y$8:$Y$500&gt;0),Calc!$Y$8:$Y$500,99999),Kanban_Helper!$B47),Calc!$Y$8:$Y$500,0))," ",Calc!$V$7," ","!"),INDEX(Calc!$D$8:$D$500,MATCH(SMALL(IF((Calc!$C$8:$C$500=Kanban!$C$7)*(Calc!$K$8:$K$500=Kanban!E$11)*(Calc!$Y$8:$Y$500&gt;0),Calc!$Y$8:$Y$500,99999),Kanban_Helper!$B47),Calc!$Y$8:$Y$500,0))),IF(INDEX(Calc!$V$8:$V$500,MATCH(INDEX(Calc!$D$8:$D$500,MATCH(SMALL(IF((Calc!$K$8:$K$500=Kanban!E$11)*(Calc!$Y$8:$Y$500&gt;0),Calc!$Y$8:$Y$500,99999),Kanban_Helper!$B47),Calc!$Y$8:$Y$500,0)),Calc!$D$8:$D$500,0))="Yes",CONCATENATE(INDEX(Calc!$D$8:$D$500,MATCH(SMALL(IF((Calc!$K$8:$K$500=Kanban!E$11)*(Calc!$Y$8:$Y$500&gt;0),Calc!$Y$8:$Y$500,99999),Kanban_Helper!$B47),Calc!$Y$8:$Y$500,0))," ",Calc!$V$7," ","!"),INDEX(Calc!$D$8:$D$500,MATCH(SMALL(IF((Calc!$K$8:$K$500=Kanban!E$11)*(Calc!$Y$8:$Y$500&gt;0),Calc!$Y$8:$Y$500,99999),Kanban_Helper!$B47),Calc!$Y$8:$Y$500,0))))),"")</f>
        <v/>
      </c>
      <c r="F54" s="170" t="str">
        <f t="array" ref="F54">IFERROR(IF(LEN(F$11)=0,"",IF($C$7&lt;&gt;"All",IF(INDEX(Calc!$V$8:$V$500,MATCH(INDEX(Calc!$D$8:$D$500,MATCH(SMALL(IF((Calc!$C$8:$C$500=Kanban!$C$7)*(Calc!$K$8:$K$500=Kanban!F$11)*(Calc!$Y$8:$Y$500&gt;0),Calc!$Y$8:$Y$500,99999),Kanban_Helper!$B47),Calc!$Y$8:$Y$500,0)),Calc!$D$8:$D$500,0))="Yes",CONCATENATE(INDEX(Calc!$D$8:$D$500,MATCH(SMALL(IF((Calc!$C$8:$C$500=Kanban!$C$7)*(Calc!$K$8:$K$500=Kanban!F$11)*(Calc!$Y$8:$Y$500&gt;0),Calc!$Y$8:$Y$500,99999),Kanban_Helper!$B47),Calc!$Y$8:$Y$500,0))," ",Calc!$V$7," ","!"),INDEX(Calc!$D$8:$D$500,MATCH(SMALL(IF((Calc!$C$8:$C$500=Kanban!$C$7)*(Calc!$K$8:$K$500=Kanban!F$11)*(Calc!$Y$8:$Y$500&gt;0),Calc!$Y$8:$Y$500,99999),Kanban_Helper!$B47),Calc!$Y$8:$Y$500,0))),IF(INDEX(Calc!$V$8:$V$500,MATCH(INDEX(Calc!$D$8:$D$500,MATCH(SMALL(IF((Calc!$K$8:$K$500=Kanban!F$11)*(Calc!$Y$8:$Y$500&gt;0),Calc!$Y$8:$Y$500,99999),Kanban_Helper!$B47),Calc!$Y$8:$Y$500,0)),Calc!$D$8:$D$500,0))="Yes",CONCATENATE(INDEX(Calc!$D$8:$D$500,MATCH(SMALL(IF((Calc!$K$8:$K$500=Kanban!F$11)*(Calc!$Y$8:$Y$500&gt;0),Calc!$Y$8:$Y$500,99999),Kanban_Helper!$B47),Calc!$Y$8:$Y$500,0))," ",Calc!$V$7," ","!"),INDEX(Calc!$D$8:$D$500,MATCH(SMALL(IF((Calc!$K$8:$K$500=Kanban!F$11)*(Calc!$Y$8:$Y$500&gt;0),Calc!$Y$8:$Y$500,99999),Kanban_Helper!$B47),Calc!$Y$8:$Y$500,0))))),"")</f>
        <v/>
      </c>
      <c r="G54" s="170" t="str">
        <f t="array" ref="G54">IFERROR(IF(LEN(G$11)=0,"",IF($C$7&lt;&gt;"All",IF(INDEX(Calc!$V$8:$V$500,MATCH(INDEX(Calc!$D$8:$D$500,MATCH(SMALL(IF((Calc!$C$8:$C$500=Kanban!$C$7)*(Calc!$K$8:$K$500=Kanban!G$11)*(Calc!$Y$8:$Y$500&gt;0),Calc!$Y$8:$Y$500,99999),Kanban_Helper!$B47),Calc!$Y$8:$Y$500,0)),Calc!$D$8:$D$500,0))="Yes",CONCATENATE(INDEX(Calc!$D$8:$D$500,MATCH(SMALL(IF((Calc!$C$8:$C$500=Kanban!$C$7)*(Calc!$K$8:$K$500=Kanban!G$11)*(Calc!$Y$8:$Y$500&gt;0),Calc!$Y$8:$Y$500,99999),Kanban_Helper!$B47),Calc!$Y$8:$Y$500,0))," ",Calc!$V$7," ","!"),INDEX(Calc!$D$8:$D$500,MATCH(SMALL(IF((Calc!$C$8:$C$500=Kanban!$C$7)*(Calc!$K$8:$K$500=Kanban!G$11)*(Calc!$Y$8:$Y$500&gt;0),Calc!$Y$8:$Y$500,99999),Kanban_Helper!$B47),Calc!$Y$8:$Y$500,0))),IF(INDEX(Calc!$V$8:$V$500,MATCH(INDEX(Calc!$D$8:$D$500,MATCH(SMALL(IF((Calc!$K$8:$K$500=Kanban!G$11)*(Calc!$Y$8:$Y$500&gt;0),Calc!$Y$8:$Y$500,99999),Kanban_Helper!$B47),Calc!$Y$8:$Y$500,0)),Calc!$D$8:$D$500,0))="Yes",CONCATENATE(INDEX(Calc!$D$8:$D$500,MATCH(SMALL(IF((Calc!$K$8:$K$500=Kanban!G$11)*(Calc!$Y$8:$Y$500&gt;0),Calc!$Y$8:$Y$500,99999),Kanban_Helper!$B47),Calc!$Y$8:$Y$500,0))," ",Calc!$V$7," ","!"),INDEX(Calc!$D$8:$D$500,MATCH(SMALL(IF((Calc!$K$8:$K$500=Kanban!G$11)*(Calc!$Y$8:$Y$500&gt;0),Calc!$Y$8:$Y$500,99999),Kanban_Helper!$B47),Calc!$Y$8:$Y$500,0))))),"")</f>
        <v/>
      </c>
      <c r="H54" s="170" t="str">
        <f t="array" ref="H54">IFERROR(IF(LEN(H$11)=0,"",IF($C$7&lt;&gt;"All",IF(INDEX(Calc!$V$8:$V$500,MATCH(INDEX(Calc!$D$8:$D$500,MATCH(SMALL(IF((Calc!$C$8:$C$500=Kanban!$C$7)*(Calc!$K$8:$K$500=Kanban!H$11)*(Calc!$Y$8:$Y$500&gt;0),Calc!$Y$8:$Y$500,99999),Kanban_Helper!$B47),Calc!$Y$8:$Y$500,0)),Calc!$D$8:$D$500,0))="Yes",CONCATENATE(INDEX(Calc!$D$8:$D$500,MATCH(SMALL(IF((Calc!$C$8:$C$500=Kanban!$C$7)*(Calc!$K$8:$K$500=Kanban!H$11)*(Calc!$Y$8:$Y$500&gt;0),Calc!$Y$8:$Y$500,99999),Kanban_Helper!$B47),Calc!$Y$8:$Y$500,0))," ",Calc!$V$7," ","!"),INDEX(Calc!$D$8:$D$500,MATCH(SMALL(IF((Calc!$C$8:$C$500=Kanban!$C$7)*(Calc!$K$8:$K$500=Kanban!H$11)*(Calc!$Y$8:$Y$500&gt;0),Calc!$Y$8:$Y$500,99999),Kanban_Helper!$B47),Calc!$Y$8:$Y$500,0))),IF(INDEX(Calc!$V$8:$V$500,MATCH(INDEX(Calc!$D$8:$D$500,MATCH(SMALL(IF((Calc!$K$8:$K$500=Kanban!H$11)*(Calc!$Y$8:$Y$500&gt;0),Calc!$Y$8:$Y$500,99999),Kanban_Helper!$B47),Calc!$Y$8:$Y$500,0)),Calc!$D$8:$D$500,0))="Yes",CONCATENATE(INDEX(Calc!$D$8:$D$500,MATCH(SMALL(IF((Calc!$K$8:$K$500=Kanban!H$11)*(Calc!$Y$8:$Y$500&gt;0),Calc!$Y$8:$Y$500,99999),Kanban_Helper!$B47),Calc!$Y$8:$Y$500,0))," ",Calc!$V$7," ","!"),INDEX(Calc!$D$8:$D$500,MATCH(SMALL(IF((Calc!$K$8:$K$500=Kanban!H$11)*(Calc!$Y$8:$Y$500&gt;0),Calc!$Y$8:$Y$500,99999),Kanban_Helper!$B47),Calc!$Y$8:$Y$500,0))))),"")</f>
        <v/>
      </c>
      <c r="I54" s="39"/>
      <c r="J54" s="10"/>
      <c r="K54" s="10"/>
      <c r="L54" s="10"/>
    </row>
    <row r="55" spans="2:12" x14ac:dyDescent="0.35">
      <c r="B55" s="80"/>
      <c r="C55" s="171" t="str">
        <f t="array" ref="C55">IFERROR(IF(LEN(C$11)=0,"",IF($C$7&lt;&gt;"All",INDEX(Calc!$E$8:$E$500,MATCH(SMALL(IF((Calc!$C$8:$C$500=Kanban!$C$7)*(Calc!$K$8:$K$500=Kanban!C$11)*(Calc!$Y$8:$Y$500&gt;0),Calc!$Y$8:$Y$500,99999),Kanban_Helper!$B48),Calc!$Y$8:$Y$500,0)),INDEX(Calc!$E$8:$E$500,MATCH(SMALL(IF((Calc!$K$8:$K$500=Kanban!C$11)*(Calc!$Y$8:$Y$500&gt;0),Calc!$Y$8:$Y$500,99999),Kanban_Helper!$B48),Calc!$Y$8:$Y$500,0)))),"")</f>
        <v/>
      </c>
      <c r="D55" s="171" t="str">
        <f t="array" ref="D55">IFERROR(IF(LEN(D$11)=0,"",IF($C$7&lt;&gt;"All",INDEX(Calc!$E$8:$E$500,MATCH(SMALL(IF((Calc!$C$8:$C$500=Kanban!$C$7)*(Calc!$K$8:$K$500=Kanban!D$11)*(Calc!$Y$8:$Y$500&gt;0),Calc!$Y$8:$Y$500,99999),Kanban_Helper!$B48),Calc!$Y$8:$Y$500,0)),INDEX(Calc!$E$8:$E$500,MATCH(SMALL(IF((Calc!$K$8:$K$500=Kanban!D$11)*(Calc!$Y$8:$Y$500&gt;0),Calc!$Y$8:$Y$500,99999),Kanban_Helper!$B48),Calc!$Y$8:$Y$500,0)))),"")</f>
        <v/>
      </c>
      <c r="E55" s="171" t="str">
        <f t="array" ref="E55">IFERROR(IF(LEN(E$11)=0,"",IF($C$7&lt;&gt;"All",INDEX(Calc!$E$8:$E$500,MATCH(SMALL(IF((Calc!$C$8:$C$500=Kanban!$C$7)*(Calc!$K$8:$K$500=Kanban!E$11)*(Calc!$Y$8:$Y$500&gt;0),Calc!$Y$8:$Y$500,99999),Kanban_Helper!$B48),Calc!$Y$8:$Y$500,0)),INDEX(Calc!$E$8:$E$500,MATCH(SMALL(IF((Calc!$K$8:$K$500=Kanban!E$11)*(Calc!$Y$8:$Y$500&gt;0),Calc!$Y$8:$Y$500,99999),Kanban_Helper!$B48),Calc!$Y$8:$Y$500,0)))),"")</f>
        <v/>
      </c>
      <c r="F55" s="171" t="str">
        <f t="array" ref="F55">IFERROR(IF(LEN(F$11)=0,"",IF($C$7&lt;&gt;"All",INDEX(Calc!$E$8:$E$500,MATCH(SMALL(IF((Calc!$C$8:$C$500=Kanban!$C$7)*(Calc!$K$8:$K$500=Kanban!F$11)*(Calc!$Y$8:$Y$500&gt;0),Calc!$Y$8:$Y$500,99999),Kanban_Helper!$B48),Calc!$Y$8:$Y$500,0)),INDEX(Calc!$E$8:$E$500,MATCH(SMALL(IF((Calc!$K$8:$K$500=Kanban!F$11)*(Calc!$Y$8:$Y$500&gt;0),Calc!$Y$8:$Y$500,99999),Kanban_Helper!$B48),Calc!$Y$8:$Y$500,0)))),"")</f>
        <v/>
      </c>
      <c r="G55" s="171" t="str">
        <f t="array" ref="G55">IFERROR(IF(LEN(G$11)=0,"",IF($C$7&lt;&gt;"All",INDEX(Calc!$E$8:$E$500,MATCH(SMALL(IF((Calc!$C$8:$C$500=Kanban!$C$7)*(Calc!$K$8:$K$500=Kanban!G$11)*(Calc!$Y$8:$Y$500&gt;0),Calc!$Y$8:$Y$500,99999),Kanban_Helper!$B48),Calc!$Y$8:$Y$500,0)),INDEX(Calc!$E$8:$E$500,MATCH(SMALL(IF((Calc!$K$8:$K$500=Kanban!G$11)*(Calc!$Y$8:$Y$500&gt;0),Calc!$Y$8:$Y$500,99999),Kanban_Helper!$B48),Calc!$Y$8:$Y$500,0)))),"")</f>
        <v/>
      </c>
      <c r="H55" s="171" t="str">
        <f t="array" ref="H55">IFERROR(IF(LEN(H$11)=0,"",IF($C$7&lt;&gt;"All",INDEX(Calc!$E$8:$E$500,MATCH(SMALL(IF((Calc!$C$8:$C$500=Kanban!$C$7)*(Calc!$K$8:$K$500=Kanban!H$11)*(Calc!$Y$8:$Y$500&gt;0),Calc!$Y$8:$Y$500,99999),Kanban_Helper!$B48),Calc!$Y$8:$Y$500,0)),INDEX(Calc!$E$8:$E$500,MATCH(SMALL(IF((Calc!$K$8:$K$500=Kanban!H$11)*(Calc!$Y$8:$Y$500&gt;0),Calc!$Y$8:$Y$500,99999),Kanban_Helper!$B48),Calc!$Y$8:$Y$500,0)))),"")</f>
        <v/>
      </c>
      <c r="I55" s="39"/>
      <c r="J55" s="10"/>
      <c r="K55" s="10"/>
      <c r="L55" s="10"/>
    </row>
    <row r="56" spans="2:12" ht="15" thickBot="1" x14ac:dyDescent="0.4">
      <c r="B56" s="80"/>
      <c r="C56" s="173" t="str">
        <f t="array" ref="C56">IFERROR(IF(LEN(C$11)=0,"",IF($C$7&lt;&gt;"All",IF(LEN(INDEX(Calc!$J$8:$J$500,MATCH(SMALL(IF((Calc!$C$8:$C$500=Kanban!$C$7)*(Calc!$K$8:$K$500=Kanban!C$11)*(Calc!$Y$8:$Y$500&gt;0),Calc!$Y$8:$Y$500,99999),Kanban_Helper!$B49),Calc!$Y$8:$Y$500,0)))=0,"",CONCATENATE(Calc!$AD$6,INDEX(Calc!$J$8:$J$500,MATCH(SMALL(IF((Calc!$C$8:$C$500=Kanban!$C$7)*(Calc!$K$8:$K$500=Kanban!C$11)*(Calc!$Y$8:$Y$500&gt;0),Calc!$Y$8:$Y$500,99999),Kanban_Helper!$B49),Calc!$Y$8:$Y$500,0)))),IF(LEN(INDEX(Calc!$J$8:$J$500,MATCH(SMALL(IF((Calc!$K$8:$K$500=Kanban!C$11)*(Calc!$Y$8:$Y$500&gt;0),Calc!$Y$8:$Y$500,99999),Kanban_Helper!$B49),Calc!$Y$8:$Y$500,0)))=0,"",CONCATENATE(Calc!$AD$6,INDEX(Calc!$J$8:$J$500,MATCH(SMALL(IF((Calc!$K$8:$K$500=Kanban!C$11)*(Calc!$Y$8:$Y$500&gt;0),Calc!$Y$8:$Y$500,99999),Kanban_Helper!$B49),Calc!$Y$8:$Y$500,0)))))),"")</f>
        <v/>
      </c>
      <c r="D56" s="173" t="str">
        <f t="array" ref="D56">IFERROR(IF(LEN(D$11)=0,"",IF($C$7&lt;&gt;"All",IF(LEN(INDEX(Calc!$J$8:$J$500,MATCH(SMALL(IF((Calc!$C$8:$C$500=Kanban!$C$7)*(Calc!$K$8:$K$500=Kanban!D$11)*(Calc!$Y$8:$Y$500&gt;0),Calc!$Y$8:$Y$500,99999),Kanban_Helper!$B49),Calc!$Y$8:$Y$500,0)))=0,"",CONCATENATE(Calc!$AD$6,INDEX(Calc!$J$8:$J$500,MATCH(SMALL(IF((Calc!$C$8:$C$500=Kanban!$C$7)*(Calc!$K$8:$K$500=Kanban!D$11)*(Calc!$Y$8:$Y$500&gt;0),Calc!$Y$8:$Y$500,99999),Kanban_Helper!$B49),Calc!$Y$8:$Y$500,0)))),IF(LEN(INDEX(Calc!$J$8:$J$500,MATCH(SMALL(IF((Calc!$K$8:$K$500=Kanban!D$11)*(Calc!$Y$8:$Y$500&gt;0),Calc!$Y$8:$Y$500,99999),Kanban_Helper!$B49),Calc!$Y$8:$Y$500,0)))=0,"",CONCATENATE(Calc!$AD$6,INDEX(Calc!$J$8:$J$500,MATCH(SMALL(IF((Calc!$K$8:$K$500=Kanban!D$11)*(Calc!$Y$8:$Y$500&gt;0),Calc!$Y$8:$Y$500,99999),Kanban_Helper!$B49),Calc!$Y$8:$Y$500,0)))))),"")</f>
        <v/>
      </c>
      <c r="E56" s="173" t="str">
        <f t="array" ref="E56">IFERROR(IF(LEN(E$11)=0,"",IF($C$7&lt;&gt;"All",IF(LEN(INDEX(Calc!$J$8:$J$500,MATCH(SMALL(IF((Calc!$C$8:$C$500=Kanban!$C$7)*(Calc!$K$8:$K$500=Kanban!E$11)*(Calc!$Y$8:$Y$500&gt;0),Calc!$Y$8:$Y$500,99999),Kanban_Helper!$B49),Calc!$Y$8:$Y$500,0)))=0,"",CONCATENATE(Calc!$AD$6,INDEX(Calc!$J$8:$J$500,MATCH(SMALL(IF((Calc!$C$8:$C$500=Kanban!$C$7)*(Calc!$K$8:$K$500=Kanban!E$11)*(Calc!$Y$8:$Y$500&gt;0),Calc!$Y$8:$Y$500,99999),Kanban_Helper!$B49),Calc!$Y$8:$Y$500,0)))),IF(LEN(INDEX(Calc!$J$8:$J$500,MATCH(SMALL(IF((Calc!$K$8:$K$500=Kanban!E$11)*(Calc!$Y$8:$Y$500&gt;0),Calc!$Y$8:$Y$500,99999),Kanban_Helper!$B49),Calc!$Y$8:$Y$500,0)))=0,"",CONCATENATE(Calc!$AD$6,INDEX(Calc!$J$8:$J$500,MATCH(SMALL(IF((Calc!$K$8:$K$500=Kanban!E$11)*(Calc!$Y$8:$Y$500&gt;0),Calc!$Y$8:$Y$500,99999),Kanban_Helper!$B49),Calc!$Y$8:$Y$500,0)))))),"")</f>
        <v/>
      </c>
      <c r="F56" s="173" t="str">
        <f t="array" ref="F56">IFERROR(IF(LEN(F$11)=0,"",IF($C$7&lt;&gt;"All",IF(LEN(INDEX(Calc!$J$8:$J$500,MATCH(SMALL(IF((Calc!$C$8:$C$500=Kanban!$C$7)*(Calc!$K$8:$K$500=Kanban!F$11)*(Calc!$Y$8:$Y$500&gt;0),Calc!$Y$8:$Y$500,99999),Kanban_Helper!$B49),Calc!$Y$8:$Y$500,0)))=0,"",CONCATENATE(Calc!$AD$6,INDEX(Calc!$J$8:$J$500,MATCH(SMALL(IF((Calc!$C$8:$C$500=Kanban!$C$7)*(Calc!$K$8:$K$500=Kanban!F$11)*(Calc!$Y$8:$Y$500&gt;0),Calc!$Y$8:$Y$500,99999),Kanban_Helper!$B49),Calc!$Y$8:$Y$500,0)))),IF(LEN(INDEX(Calc!$J$8:$J$500,MATCH(SMALL(IF((Calc!$K$8:$K$500=Kanban!F$11)*(Calc!$Y$8:$Y$500&gt;0),Calc!$Y$8:$Y$500,99999),Kanban_Helper!$B49),Calc!$Y$8:$Y$500,0)))=0,"",CONCATENATE(Calc!$AD$6,INDEX(Calc!$J$8:$J$500,MATCH(SMALL(IF((Calc!$K$8:$K$500=Kanban!F$11)*(Calc!$Y$8:$Y$500&gt;0),Calc!$Y$8:$Y$500,99999),Kanban_Helper!$B49),Calc!$Y$8:$Y$500,0)))))),"")</f>
        <v/>
      </c>
      <c r="G56" s="173" t="str">
        <f t="array" ref="G56">IFERROR(IF(LEN(G$11)=0,"",IF($C$7&lt;&gt;"All",IF(LEN(INDEX(Calc!$J$8:$J$500,MATCH(SMALL(IF((Calc!$C$8:$C$500=Kanban!$C$7)*(Calc!$K$8:$K$500=Kanban!G$11)*(Calc!$Y$8:$Y$500&gt;0),Calc!$Y$8:$Y$500,99999),Kanban_Helper!$B49),Calc!$Y$8:$Y$500,0)))=0,"",CONCATENATE(Calc!$AD$6,INDEX(Calc!$J$8:$J$500,MATCH(SMALL(IF((Calc!$C$8:$C$500=Kanban!$C$7)*(Calc!$K$8:$K$500=Kanban!G$11)*(Calc!$Y$8:$Y$500&gt;0),Calc!$Y$8:$Y$500,99999),Kanban_Helper!$B49),Calc!$Y$8:$Y$500,0)))),IF(LEN(INDEX(Calc!$J$8:$J$500,MATCH(SMALL(IF((Calc!$K$8:$K$500=Kanban!G$11)*(Calc!$Y$8:$Y$500&gt;0),Calc!$Y$8:$Y$500,99999),Kanban_Helper!$B49),Calc!$Y$8:$Y$500,0)))=0,"",CONCATENATE(Calc!$AD$6,INDEX(Calc!$J$8:$J$500,MATCH(SMALL(IF((Calc!$K$8:$K$500=Kanban!G$11)*(Calc!$Y$8:$Y$500&gt;0),Calc!$Y$8:$Y$500,99999),Kanban_Helper!$B49),Calc!$Y$8:$Y$500,0)))))),"")</f>
        <v/>
      </c>
      <c r="H56" s="173" t="str">
        <f t="array" ref="H56">IFERROR(IF(LEN(H$11)=0,"",IF($C$7&lt;&gt;"All",IF(LEN(INDEX(Calc!$J$8:$J$500,MATCH(SMALL(IF((Calc!$C$8:$C$500=Kanban!$C$7)*(Calc!$K$8:$K$500=Kanban!H$11)*(Calc!$Y$8:$Y$500&gt;0),Calc!$Y$8:$Y$500,99999),Kanban_Helper!$B49),Calc!$Y$8:$Y$500,0)))=0,"",CONCATENATE(Calc!$AD$6,INDEX(Calc!$J$8:$J$500,MATCH(SMALL(IF((Calc!$C$8:$C$500=Kanban!$C$7)*(Calc!$K$8:$K$500=Kanban!H$11)*(Calc!$Y$8:$Y$500&gt;0),Calc!$Y$8:$Y$500,99999),Kanban_Helper!$B49),Calc!$Y$8:$Y$500,0)))),IF(LEN(INDEX(Calc!$J$8:$J$500,MATCH(SMALL(IF((Calc!$K$8:$K$500=Kanban!H$11)*(Calc!$Y$8:$Y$500&gt;0),Calc!$Y$8:$Y$500,99999),Kanban_Helper!$B49),Calc!$Y$8:$Y$500,0)))=0,"",CONCATENATE(Calc!$AD$6,INDEX(Calc!$J$8:$J$500,MATCH(SMALL(IF((Calc!$K$8:$K$500=Kanban!H$11)*(Calc!$Y$8:$Y$500&gt;0),Calc!$Y$8:$Y$500,99999),Kanban_Helper!$B49),Calc!$Y$8:$Y$500,0)))))),"")</f>
        <v/>
      </c>
      <c r="I56" s="39"/>
      <c r="J56" s="10"/>
      <c r="K56" s="10"/>
      <c r="L56" s="10"/>
    </row>
    <row r="57" spans="2:12" ht="15" thickTop="1" x14ac:dyDescent="0.35">
      <c r="B57" s="80"/>
      <c r="C57" s="170" t="str">
        <f t="array" ref="C57">IFERROR(IF(LEN(C$11)=0,"",IF($C$7&lt;&gt;"All",IF(INDEX(Calc!$V$8:$V$500,MATCH(INDEX(Calc!$D$8:$D$500,MATCH(SMALL(IF((Calc!$C$8:$C$500=Kanban!$C$7)*(Calc!$K$8:$K$500=Kanban!C$11)*(Calc!$Y$8:$Y$500&gt;0),Calc!$Y$8:$Y$500,99999),Kanban_Helper!$B50),Calc!$Y$8:$Y$500,0)),Calc!$D$8:$D$500,0))="Yes",CONCATENATE(INDEX(Calc!$D$8:$D$500,MATCH(SMALL(IF((Calc!$C$8:$C$500=Kanban!$C$7)*(Calc!$K$8:$K$500=Kanban!C$11)*(Calc!$Y$8:$Y$500&gt;0),Calc!$Y$8:$Y$500,99999),Kanban_Helper!$B50),Calc!$Y$8:$Y$500,0))," ",Calc!$V$7," ","!"),INDEX(Calc!$D$8:$D$500,MATCH(SMALL(IF((Calc!$C$8:$C$500=Kanban!$C$7)*(Calc!$K$8:$K$500=Kanban!C$11)*(Calc!$Y$8:$Y$500&gt;0),Calc!$Y$8:$Y$500,99999),Kanban_Helper!$B50),Calc!$Y$8:$Y$500,0))),IF(INDEX(Calc!$V$8:$V$500,MATCH(INDEX(Calc!$D$8:$D$500,MATCH(SMALL(IF((Calc!$K$8:$K$500=Kanban!C$11)*(Calc!$Y$8:$Y$500&gt;0),Calc!$Y$8:$Y$500,99999),Kanban_Helper!$B50),Calc!$Y$8:$Y$500,0)),Calc!$D$8:$D$500,0))="Yes",CONCATENATE(INDEX(Calc!$D$8:$D$500,MATCH(SMALL(IF((Calc!$K$8:$K$500=Kanban!C$11)*(Calc!$Y$8:$Y$500&gt;0),Calc!$Y$8:$Y$500,99999),Kanban_Helper!$B50),Calc!$Y$8:$Y$500,0))," ",Calc!$V$7," ","!"),INDEX(Calc!$D$8:$D$500,MATCH(SMALL(IF((Calc!$K$8:$K$500=Kanban!C$11)*(Calc!$Y$8:$Y$500&gt;0),Calc!$Y$8:$Y$500,99999),Kanban_Helper!$B50),Calc!$Y$8:$Y$500,0))))),"")</f>
        <v/>
      </c>
      <c r="D57" s="170" t="str">
        <f t="array" ref="D57">IFERROR(IF(LEN(D$11)=0,"",IF($C$7&lt;&gt;"All",IF(INDEX(Calc!$V$8:$V$500,MATCH(INDEX(Calc!$D$8:$D$500,MATCH(SMALL(IF((Calc!$C$8:$C$500=Kanban!$C$7)*(Calc!$K$8:$K$500=Kanban!D$11)*(Calc!$Y$8:$Y$500&gt;0),Calc!$Y$8:$Y$500,99999),Kanban_Helper!$B50),Calc!$Y$8:$Y$500,0)),Calc!$D$8:$D$500,0))="Yes",CONCATENATE(INDEX(Calc!$D$8:$D$500,MATCH(SMALL(IF((Calc!$C$8:$C$500=Kanban!$C$7)*(Calc!$K$8:$K$500=Kanban!D$11)*(Calc!$Y$8:$Y$500&gt;0),Calc!$Y$8:$Y$500,99999),Kanban_Helper!$B50),Calc!$Y$8:$Y$500,0))," ",Calc!$V$7," ","!"),INDEX(Calc!$D$8:$D$500,MATCH(SMALL(IF((Calc!$C$8:$C$500=Kanban!$C$7)*(Calc!$K$8:$K$500=Kanban!D$11)*(Calc!$Y$8:$Y$500&gt;0),Calc!$Y$8:$Y$500,99999),Kanban_Helper!$B50),Calc!$Y$8:$Y$500,0))),IF(INDEX(Calc!$V$8:$V$500,MATCH(INDEX(Calc!$D$8:$D$500,MATCH(SMALL(IF((Calc!$K$8:$K$500=Kanban!D$11)*(Calc!$Y$8:$Y$500&gt;0),Calc!$Y$8:$Y$500,99999),Kanban_Helper!$B50),Calc!$Y$8:$Y$500,0)),Calc!$D$8:$D$500,0))="Yes",CONCATENATE(INDEX(Calc!$D$8:$D$500,MATCH(SMALL(IF((Calc!$K$8:$K$500=Kanban!D$11)*(Calc!$Y$8:$Y$500&gt;0),Calc!$Y$8:$Y$500,99999),Kanban_Helper!$B50),Calc!$Y$8:$Y$500,0))," ",Calc!$V$7," ","!"),INDEX(Calc!$D$8:$D$500,MATCH(SMALL(IF((Calc!$K$8:$K$500=Kanban!D$11)*(Calc!$Y$8:$Y$500&gt;0),Calc!$Y$8:$Y$500,99999),Kanban_Helper!$B50),Calc!$Y$8:$Y$500,0))))),"")</f>
        <v/>
      </c>
      <c r="E57" s="170" t="str">
        <f t="array" ref="E57">IFERROR(IF(LEN(E$11)=0,"",IF($C$7&lt;&gt;"All",IF(INDEX(Calc!$V$8:$V$500,MATCH(INDEX(Calc!$D$8:$D$500,MATCH(SMALL(IF((Calc!$C$8:$C$500=Kanban!$C$7)*(Calc!$K$8:$K$500=Kanban!E$11)*(Calc!$Y$8:$Y$500&gt;0),Calc!$Y$8:$Y$500,99999),Kanban_Helper!$B50),Calc!$Y$8:$Y$500,0)),Calc!$D$8:$D$500,0))="Yes",CONCATENATE(INDEX(Calc!$D$8:$D$500,MATCH(SMALL(IF((Calc!$C$8:$C$500=Kanban!$C$7)*(Calc!$K$8:$K$500=Kanban!E$11)*(Calc!$Y$8:$Y$500&gt;0),Calc!$Y$8:$Y$500,99999),Kanban_Helper!$B50),Calc!$Y$8:$Y$500,0))," ",Calc!$V$7," ","!"),INDEX(Calc!$D$8:$D$500,MATCH(SMALL(IF((Calc!$C$8:$C$500=Kanban!$C$7)*(Calc!$K$8:$K$500=Kanban!E$11)*(Calc!$Y$8:$Y$500&gt;0),Calc!$Y$8:$Y$500,99999),Kanban_Helper!$B50),Calc!$Y$8:$Y$500,0))),IF(INDEX(Calc!$V$8:$V$500,MATCH(INDEX(Calc!$D$8:$D$500,MATCH(SMALL(IF((Calc!$K$8:$K$500=Kanban!E$11)*(Calc!$Y$8:$Y$500&gt;0),Calc!$Y$8:$Y$500,99999),Kanban_Helper!$B50),Calc!$Y$8:$Y$500,0)),Calc!$D$8:$D$500,0))="Yes",CONCATENATE(INDEX(Calc!$D$8:$D$500,MATCH(SMALL(IF((Calc!$K$8:$K$500=Kanban!E$11)*(Calc!$Y$8:$Y$500&gt;0),Calc!$Y$8:$Y$500,99999),Kanban_Helper!$B50),Calc!$Y$8:$Y$500,0))," ",Calc!$V$7," ","!"),INDEX(Calc!$D$8:$D$500,MATCH(SMALL(IF((Calc!$K$8:$K$500=Kanban!E$11)*(Calc!$Y$8:$Y$500&gt;0),Calc!$Y$8:$Y$500,99999),Kanban_Helper!$B50),Calc!$Y$8:$Y$500,0))))),"")</f>
        <v/>
      </c>
      <c r="F57" s="170" t="str">
        <f t="array" ref="F57">IFERROR(IF(LEN(F$11)=0,"",IF($C$7&lt;&gt;"All",IF(INDEX(Calc!$V$8:$V$500,MATCH(INDEX(Calc!$D$8:$D$500,MATCH(SMALL(IF((Calc!$C$8:$C$500=Kanban!$C$7)*(Calc!$K$8:$K$500=Kanban!F$11)*(Calc!$Y$8:$Y$500&gt;0),Calc!$Y$8:$Y$500,99999),Kanban_Helper!$B50),Calc!$Y$8:$Y$500,0)),Calc!$D$8:$D$500,0))="Yes",CONCATENATE(INDEX(Calc!$D$8:$D$500,MATCH(SMALL(IF((Calc!$C$8:$C$500=Kanban!$C$7)*(Calc!$K$8:$K$500=Kanban!F$11)*(Calc!$Y$8:$Y$500&gt;0),Calc!$Y$8:$Y$500,99999),Kanban_Helper!$B50),Calc!$Y$8:$Y$500,0))," ",Calc!$V$7," ","!"),INDEX(Calc!$D$8:$D$500,MATCH(SMALL(IF((Calc!$C$8:$C$500=Kanban!$C$7)*(Calc!$K$8:$K$500=Kanban!F$11)*(Calc!$Y$8:$Y$500&gt;0),Calc!$Y$8:$Y$500,99999),Kanban_Helper!$B50),Calc!$Y$8:$Y$500,0))),IF(INDEX(Calc!$V$8:$V$500,MATCH(INDEX(Calc!$D$8:$D$500,MATCH(SMALL(IF((Calc!$K$8:$K$500=Kanban!F$11)*(Calc!$Y$8:$Y$500&gt;0),Calc!$Y$8:$Y$500,99999),Kanban_Helper!$B50),Calc!$Y$8:$Y$500,0)),Calc!$D$8:$D$500,0))="Yes",CONCATENATE(INDEX(Calc!$D$8:$D$500,MATCH(SMALL(IF((Calc!$K$8:$K$500=Kanban!F$11)*(Calc!$Y$8:$Y$500&gt;0),Calc!$Y$8:$Y$500,99999),Kanban_Helper!$B50),Calc!$Y$8:$Y$500,0))," ",Calc!$V$7," ","!"),INDEX(Calc!$D$8:$D$500,MATCH(SMALL(IF((Calc!$K$8:$K$500=Kanban!F$11)*(Calc!$Y$8:$Y$500&gt;0),Calc!$Y$8:$Y$500,99999),Kanban_Helper!$B50),Calc!$Y$8:$Y$500,0))))),"")</f>
        <v/>
      </c>
      <c r="G57" s="170" t="str">
        <f t="array" ref="G57">IFERROR(IF(LEN(G$11)=0,"",IF($C$7&lt;&gt;"All",IF(INDEX(Calc!$V$8:$V$500,MATCH(INDEX(Calc!$D$8:$D$500,MATCH(SMALL(IF((Calc!$C$8:$C$500=Kanban!$C$7)*(Calc!$K$8:$K$500=Kanban!G$11)*(Calc!$Y$8:$Y$500&gt;0),Calc!$Y$8:$Y$500,99999),Kanban_Helper!$B50),Calc!$Y$8:$Y$500,0)),Calc!$D$8:$D$500,0))="Yes",CONCATENATE(INDEX(Calc!$D$8:$D$500,MATCH(SMALL(IF((Calc!$C$8:$C$500=Kanban!$C$7)*(Calc!$K$8:$K$500=Kanban!G$11)*(Calc!$Y$8:$Y$500&gt;0),Calc!$Y$8:$Y$500,99999),Kanban_Helper!$B50),Calc!$Y$8:$Y$500,0))," ",Calc!$V$7," ","!"),INDEX(Calc!$D$8:$D$500,MATCH(SMALL(IF((Calc!$C$8:$C$500=Kanban!$C$7)*(Calc!$K$8:$K$500=Kanban!G$11)*(Calc!$Y$8:$Y$500&gt;0),Calc!$Y$8:$Y$500,99999),Kanban_Helper!$B50),Calc!$Y$8:$Y$500,0))),IF(INDEX(Calc!$V$8:$V$500,MATCH(INDEX(Calc!$D$8:$D$500,MATCH(SMALL(IF((Calc!$K$8:$K$500=Kanban!G$11)*(Calc!$Y$8:$Y$500&gt;0),Calc!$Y$8:$Y$500,99999),Kanban_Helper!$B50),Calc!$Y$8:$Y$500,0)),Calc!$D$8:$D$500,0))="Yes",CONCATENATE(INDEX(Calc!$D$8:$D$500,MATCH(SMALL(IF((Calc!$K$8:$K$500=Kanban!G$11)*(Calc!$Y$8:$Y$500&gt;0),Calc!$Y$8:$Y$500,99999),Kanban_Helper!$B50),Calc!$Y$8:$Y$500,0))," ",Calc!$V$7," ","!"),INDEX(Calc!$D$8:$D$500,MATCH(SMALL(IF((Calc!$K$8:$K$500=Kanban!G$11)*(Calc!$Y$8:$Y$500&gt;0),Calc!$Y$8:$Y$500,99999),Kanban_Helper!$B50),Calc!$Y$8:$Y$500,0))))),"")</f>
        <v/>
      </c>
      <c r="H57" s="170" t="str">
        <f t="array" ref="H57">IFERROR(IF(LEN(H$11)=0,"",IF($C$7&lt;&gt;"All",IF(INDEX(Calc!$V$8:$V$500,MATCH(INDEX(Calc!$D$8:$D$500,MATCH(SMALL(IF((Calc!$C$8:$C$500=Kanban!$C$7)*(Calc!$K$8:$K$500=Kanban!H$11)*(Calc!$Y$8:$Y$500&gt;0),Calc!$Y$8:$Y$500,99999),Kanban_Helper!$B50),Calc!$Y$8:$Y$500,0)),Calc!$D$8:$D$500,0))="Yes",CONCATENATE(INDEX(Calc!$D$8:$D$500,MATCH(SMALL(IF((Calc!$C$8:$C$500=Kanban!$C$7)*(Calc!$K$8:$K$500=Kanban!H$11)*(Calc!$Y$8:$Y$500&gt;0),Calc!$Y$8:$Y$500,99999),Kanban_Helper!$B50),Calc!$Y$8:$Y$500,0))," ",Calc!$V$7," ","!"),INDEX(Calc!$D$8:$D$500,MATCH(SMALL(IF((Calc!$C$8:$C$500=Kanban!$C$7)*(Calc!$K$8:$K$500=Kanban!H$11)*(Calc!$Y$8:$Y$500&gt;0),Calc!$Y$8:$Y$500,99999),Kanban_Helper!$B50),Calc!$Y$8:$Y$500,0))),IF(INDEX(Calc!$V$8:$V$500,MATCH(INDEX(Calc!$D$8:$D$500,MATCH(SMALL(IF((Calc!$K$8:$K$500=Kanban!H$11)*(Calc!$Y$8:$Y$500&gt;0),Calc!$Y$8:$Y$500,99999),Kanban_Helper!$B50),Calc!$Y$8:$Y$500,0)),Calc!$D$8:$D$500,0))="Yes",CONCATENATE(INDEX(Calc!$D$8:$D$500,MATCH(SMALL(IF((Calc!$K$8:$K$500=Kanban!H$11)*(Calc!$Y$8:$Y$500&gt;0),Calc!$Y$8:$Y$500,99999),Kanban_Helper!$B50),Calc!$Y$8:$Y$500,0))," ",Calc!$V$7," ","!"),INDEX(Calc!$D$8:$D$500,MATCH(SMALL(IF((Calc!$K$8:$K$500=Kanban!H$11)*(Calc!$Y$8:$Y$500&gt;0),Calc!$Y$8:$Y$500,99999),Kanban_Helper!$B50),Calc!$Y$8:$Y$500,0))))),"")</f>
        <v/>
      </c>
      <c r="I57" s="39"/>
      <c r="J57" s="10"/>
      <c r="K57" s="10"/>
      <c r="L57" s="10"/>
    </row>
    <row r="58" spans="2:12" x14ac:dyDescent="0.35">
      <c r="B58" s="80"/>
      <c r="C58" s="171" t="str">
        <f t="array" ref="C58">IFERROR(IF(LEN(C$11)=0,"",IF($C$7&lt;&gt;"All",INDEX(Calc!$E$8:$E$500,MATCH(SMALL(IF((Calc!$C$8:$C$500=Kanban!$C$7)*(Calc!$K$8:$K$500=Kanban!C$11)*(Calc!$Y$8:$Y$500&gt;0),Calc!$Y$8:$Y$500,99999),Kanban_Helper!$B51),Calc!$Y$8:$Y$500,0)),INDEX(Calc!$E$8:$E$500,MATCH(SMALL(IF((Calc!$K$8:$K$500=Kanban!C$11)*(Calc!$Y$8:$Y$500&gt;0),Calc!$Y$8:$Y$500,99999),Kanban_Helper!$B51),Calc!$Y$8:$Y$500,0)))),"")</f>
        <v/>
      </c>
      <c r="D58" s="171" t="str">
        <f t="array" ref="D58">IFERROR(IF(LEN(D$11)=0,"",IF($C$7&lt;&gt;"All",INDEX(Calc!$E$8:$E$500,MATCH(SMALL(IF((Calc!$C$8:$C$500=Kanban!$C$7)*(Calc!$K$8:$K$500=Kanban!D$11)*(Calc!$Y$8:$Y$500&gt;0),Calc!$Y$8:$Y$500,99999),Kanban_Helper!$B51),Calc!$Y$8:$Y$500,0)),INDEX(Calc!$E$8:$E$500,MATCH(SMALL(IF((Calc!$K$8:$K$500=Kanban!D$11)*(Calc!$Y$8:$Y$500&gt;0),Calc!$Y$8:$Y$500,99999),Kanban_Helper!$B51),Calc!$Y$8:$Y$500,0)))),"")</f>
        <v/>
      </c>
      <c r="E58" s="171" t="str">
        <f t="array" ref="E58">IFERROR(IF(LEN(E$11)=0,"",IF($C$7&lt;&gt;"All",INDEX(Calc!$E$8:$E$500,MATCH(SMALL(IF((Calc!$C$8:$C$500=Kanban!$C$7)*(Calc!$K$8:$K$500=Kanban!E$11)*(Calc!$Y$8:$Y$500&gt;0),Calc!$Y$8:$Y$500,99999),Kanban_Helper!$B51),Calc!$Y$8:$Y$500,0)),INDEX(Calc!$E$8:$E$500,MATCH(SMALL(IF((Calc!$K$8:$K$500=Kanban!E$11)*(Calc!$Y$8:$Y$500&gt;0),Calc!$Y$8:$Y$500,99999),Kanban_Helper!$B51),Calc!$Y$8:$Y$500,0)))),"")</f>
        <v/>
      </c>
      <c r="F58" s="171" t="str">
        <f t="array" ref="F58">IFERROR(IF(LEN(F$11)=0,"",IF($C$7&lt;&gt;"All",INDEX(Calc!$E$8:$E$500,MATCH(SMALL(IF((Calc!$C$8:$C$500=Kanban!$C$7)*(Calc!$K$8:$K$500=Kanban!F$11)*(Calc!$Y$8:$Y$500&gt;0),Calc!$Y$8:$Y$500,99999),Kanban_Helper!$B51),Calc!$Y$8:$Y$500,0)),INDEX(Calc!$E$8:$E$500,MATCH(SMALL(IF((Calc!$K$8:$K$500=Kanban!F$11)*(Calc!$Y$8:$Y$500&gt;0),Calc!$Y$8:$Y$500,99999),Kanban_Helper!$B51),Calc!$Y$8:$Y$500,0)))),"")</f>
        <v/>
      </c>
      <c r="G58" s="171" t="str">
        <f t="array" ref="G58">IFERROR(IF(LEN(G$11)=0,"",IF($C$7&lt;&gt;"All",INDEX(Calc!$E$8:$E$500,MATCH(SMALL(IF((Calc!$C$8:$C$500=Kanban!$C$7)*(Calc!$K$8:$K$500=Kanban!G$11)*(Calc!$Y$8:$Y$500&gt;0),Calc!$Y$8:$Y$500,99999),Kanban_Helper!$B51),Calc!$Y$8:$Y$500,0)),INDEX(Calc!$E$8:$E$500,MATCH(SMALL(IF((Calc!$K$8:$K$500=Kanban!G$11)*(Calc!$Y$8:$Y$500&gt;0),Calc!$Y$8:$Y$500,99999),Kanban_Helper!$B51),Calc!$Y$8:$Y$500,0)))),"")</f>
        <v/>
      </c>
      <c r="H58" s="171" t="str">
        <f t="array" ref="H58">IFERROR(IF(LEN(H$11)=0,"",IF($C$7&lt;&gt;"All",INDEX(Calc!$E$8:$E$500,MATCH(SMALL(IF((Calc!$C$8:$C$500=Kanban!$C$7)*(Calc!$K$8:$K$500=Kanban!H$11)*(Calc!$Y$8:$Y$500&gt;0),Calc!$Y$8:$Y$500,99999),Kanban_Helper!$B51),Calc!$Y$8:$Y$500,0)),INDEX(Calc!$E$8:$E$500,MATCH(SMALL(IF((Calc!$K$8:$K$500=Kanban!H$11)*(Calc!$Y$8:$Y$500&gt;0),Calc!$Y$8:$Y$500,99999),Kanban_Helper!$B51),Calc!$Y$8:$Y$500,0)))),"")</f>
        <v/>
      </c>
      <c r="I58" s="39"/>
      <c r="J58" s="10"/>
      <c r="K58" s="10"/>
      <c r="L58" s="10"/>
    </row>
    <row r="59" spans="2:12" ht="15" thickBot="1" x14ac:dyDescent="0.4">
      <c r="B59" s="80"/>
      <c r="C59" s="173" t="str">
        <f t="array" ref="C59">IFERROR(IF(LEN(C$11)=0,"",IF($C$7&lt;&gt;"All",IF(LEN(INDEX(Calc!$J$8:$J$500,MATCH(SMALL(IF((Calc!$C$8:$C$500=Kanban!$C$7)*(Calc!$K$8:$K$500=Kanban!C$11)*(Calc!$Y$8:$Y$500&gt;0),Calc!$Y$8:$Y$500,99999),Kanban_Helper!$B52),Calc!$Y$8:$Y$500,0)))=0,"",CONCATENATE(Calc!$AD$6,INDEX(Calc!$J$8:$J$500,MATCH(SMALL(IF((Calc!$C$8:$C$500=Kanban!$C$7)*(Calc!$K$8:$K$500=Kanban!C$11)*(Calc!$Y$8:$Y$500&gt;0),Calc!$Y$8:$Y$500,99999),Kanban_Helper!$B52),Calc!$Y$8:$Y$500,0)))),IF(LEN(INDEX(Calc!$J$8:$J$500,MATCH(SMALL(IF((Calc!$K$8:$K$500=Kanban!C$11)*(Calc!$Y$8:$Y$500&gt;0),Calc!$Y$8:$Y$500,99999),Kanban_Helper!$B52),Calc!$Y$8:$Y$500,0)))=0,"",CONCATENATE(Calc!$AD$6,INDEX(Calc!$J$8:$J$500,MATCH(SMALL(IF((Calc!$K$8:$K$500=Kanban!C$11)*(Calc!$Y$8:$Y$500&gt;0),Calc!$Y$8:$Y$500,99999),Kanban_Helper!$B52),Calc!$Y$8:$Y$500,0)))))),"")</f>
        <v/>
      </c>
      <c r="D59" s="173" t="str">
        <f t="array" ref="D59">IFERROR(IF(LEN(D$11)=0,"",IF($C$7&lt;&gt;"All",IF(LEN(INDEX(Calc!$J$8:$J$500,MATCH(SMALL(IF((Calc!$C$8:$C$500=Kanban!$C$7)*(Calc!$K$8:$K$500=Kanban!D$11)*(Calc!$Y$8:$Y$500&gt;0),Calc!$Y$8:$Y$500,99999),Kanban_Helper!$B52),Calc!$Y$8:$Y$500,0)))=0,"",CONCATENATE(Calc!$AD$6,INDEX(Calc!$J$8:$J$500,MATCH(SMALL(IF((Calc!$C$8:$C$500=Kanban!$C$7)*(Calc!$K$8:$K$500=Kanban!D$11)*(Calc!$Y$8:$Y$500&gt;0),Calc!$Y$8:$Y$500,99999),Kanban_Helper!$B52),Calc!$Y$8:$Y$500,0)))),IF(LEN(INDEX(Calc!$J$8:$J$500,MATCH(SMALL(IF((Calc!$K$8:$K$500=Kanban!D$11)*(Calc!$Y$8:$Y$500&gt;0),Calc!$Y$8:$Y$500,99999),Kanban_Helper!$B52),Calc!$Y$8:$Y$500,0)))=0,"",CONCATENATE(Calc!$AD$6,INDEX(Calc!$J$8:$J$500,MATCH(SMALL(IF((Calc!$K$8:$K$500=Kanban!D$11)*(Calc!$Y$8:$Y$500&gt;0),Calc!$Y$8:$Y$500,99999),Kanban_Helper!$B52),Calc!$Y$8:$Y$500,0)))))),"")</f>
        <v/>
      </c>
      <c r="E59" s="173" t="str">
        <f t="array" ref="E59">IFERROR(IF(LEN(E$11)=0,"",IF($C$7&lt;&gt;"All",IF(LEN(INDEX(Calc!$J$8:$J$500,MATCH(SMALL(IF((Calc!$C$8:$C$500=Kanban!$C$7)*(Calc!$K$8:$K$500=Kanban!E$11)*(Calc!$Y$8:$Y$500&gt;0),Calc!$Y$8:$Y$500,99999),Kanban_Helper!$B52),Calc!$Y$8:$Y$500,0)))=0,"",CONCATENATE(Calc!$AD$6,INDEX(Calc!$J$8:$J$500,MATCH(SMALL(IF((Calc!$C$8:$C$500=Kanban!$C$7)*(Calc!$K$8:$K$500=Kanban!E$11)*(Calc!$Y$8:$Y$500&gt;0),Calc!$Y$8:$Y$500,99999),Kanban_Helper!$B52),Calc!$Y$8:$Y$500,0)))),IF(LEN(INDEX(Calc!$J$8:$J$500,MATCH(SMALL(IF((Calc!$K$8:$K$500=Kanban!E$11)*(Calc!$Y$8:$Y$500&gt;0),Calc!$Y$8:$Y$500,99999),Kanban_Helper!$B52),Calc!$Y$8:$Y$500,0)))=0,"",CONCATENATE(Calc!$AD$6,INDEX(Calc!$J$8:$J$500,MATCH(SMALL(IF((Calc!$K$8:$K$500=Kanban!E$11)*(Calc!$Y$8:$Y$500&gt;0),Calc!$Y$8:$Y$500,99999),Kanban_Helper!$B52),Calc!$Y$8:$Y$500,0)))))),"")</f>
        <v/>
      </c>
      <c r="F59" s="173" t="str">
        <f t="array" ref="F59">IFERROR(IF(LEN(F$11)=0,"",IF($C$7&lt;&gt;"All",IF(LEN(INDEX(Calc!$J$8:$J$500,MATCH(SMALL(IF((Calc!$C$8:$C$500=Kanban!$C$7)*(Calc!$K$8:$K$500=Kanban!F$11)*(Calc!$Y$8:$Y$500&gt;0),Calc!$Y$8:$Y$500,99999),Kanban_Helper!$B52),Calc!$Y$8:$Y$500,0)))=0,"",CONCATENATE(Calc!$AD$6,INDEX(Calc!$J$8:$J$500,MATCH(SMALL(IF((Calc!$C$8:$C$500=Kanban!$C$7)*(Calc!$K$8:$K$500=Kanban!F$11)*(Calc!$Y$8:$Y$500&gt;0),Calc!$Y$8:$Y$500,99999),Kanban_Helper!$B52),Calc!$Y$8:$Y$500,0)))),IF(LEN(INDEX(Calc!$J$8:$J$500,MATCH(SMALL(IF((Calc!$K$8:$K$500=Kanban!F$11)*(Calc!$Y$8:$Y$500&gt;0),Calc!$Y$8:$Y$500,99999),Kanban_Helper!$B52),Calc!$Y$8:$Y$500,0)))=0,"",CONCATENATE(Calc!$AD$6,INDEX(Calc!$J$8:$J$500,MATCH(SMALL(IF((Calc!$K$8:$K$500=Kanban!F$11)*(Calc!$Y$8:$Y$500&gt;0),Calc!$Y$8:$Y$500,99999),Kanban_Helper!$B52),Calc!$Y$8:$Y$500,0)))))),"")</f>
        <v/>
      </c>
      <c r="G59" s="173" t="str">
        <f t="array" ref="G59">IFERROR(IF(LEN(G$11)=0,"",IF($C$7&lt;&gt;"All",IF(LEN(INDEX(Calc!$J$8:$J$500,MATCH(SMALL(IF((Calc!$C$8:$C$500=Kanban!$C$7)*(Calc!$K$8:$K$500=Kanban!G$11)*(Calc!$Y$8:$Y$500&gt;0),Calc!$Y$8:$Y$500,99999),Kanban_Helper!$B52),Calc!$Y$8:$Y$500,0)))=0,"",CONCATENATE(Calc!$AD$6,INDEX(Calc!$J$8:$J$500,MATCH(SMALL(IF((Calc!$C$8:$C$500=Kanban!$C$7)*(Calc!$K$8:$K$500=Kanban!G$11)*(Calc!$Y$8:$Y$500&gt;0),Calc!$Y$8:$Y$500,99999),Kanban_Helper!$B52),Calc!$Y$8:$Y$500,0)))),IF(LEN(INDEX(Calc!$J$8:$J$500,MATCH(SMALL(IF((Calc!$K$8:$K$500=Kanban!G$11)*(Calc!$Y$8:$Y$500&gt;0),Calc!$Y$8:$Y$500,99999),Kanban_Helper!$B52),Calc!$Y$8:$Y$500,0)))=0,"",CONCATENATE(Calc!$AD$6,INDEX(Calc!$J$8:$J$500,MATCH(SMALL(IF((Calc!$K$8:$K$500=Kanban!G$11)*(Calc!$Y$8:$Y$500&gt;0),Calc!$Y$8:$Y$500,99999),Kanban_Helper!$B52),Calc!$Y$8:$Y$500,0)))))),"")</f>
        <v/>
      </c>
      <c r="H59" s="173" t="str">
        <f t="array" ref="H59">IFERROR(IF(LEN(H$11)=0,"",IF($C$7&lt;&gt;"All",IF(LEN(INDEX(Calc!$J$8:$J$500,MATCH(SMALL(IF((Calc!$C$8:$C$500=Kanban!$C$7)*(Calc!$K$8:$K$500=Kanban!H$11)*(Calc!$Y$8:$Y$500&gt;0),Calc!$Y$8:$Y$500,99999),Kanban_Helper!$B52),Calc!$Y$8:$Y$500,0)))=0,"",CONCATENATE(Calc!$AD$6,INDEX(Calc!$J$8:$J$500,MATCH(SMALL(IF((Calc!$C$8:$C$500=Kanban!$C$7)*(Calc!$K$8:$K$500=Kanban!H$11)*(Calc!$Y$8:$Y$500&gt;0),Calc!$Y$8:$Y$500,99999),Kanban_Helper!$B52),Calc!$Y$8:$Y$500,0)))),IF(LEN(INDEX(Calc!$J$8:$J$500,MATCH(SMALL(IF((Calc!$K$8:$K$500=Kanban!H$11)*(Calc!$Y$8:$Y$500&gt;0),Calc!$Y$8:$Y$500,99999),Kanban_Helper!$B52),Calc!$Y$8:$Y$500,0)))=0,"",CONCATENATE(Calc!$AD$6,INDEX(Calc!$J$8:$J$500,MATCH(SMALL(IF((Calc!$K$8:$K$500=Kanban!H$11)*(Calc!$Y$8:$Y$500&gt;0),Calc!$Y$8:$Y$500,99999),Kanban_Helper!$B52),Calc!$Y$8:$Y$500,0)))))),"")</f>
        <v/>
      </c>
      <c r="I59" s="39"/>
      <c r="J59" s="10"/>
      <c r="K59" s="10"/>
      <c r="L59" s="10"/>
    </row>
    <row r="60" spans="2:12" ht="15" thickTop="1" x14ac:dyDescent="0.35">
      <c r="B60" s="80"/>
      <c r="C60" s="170" t="str">
        <f t="array" ref="C60">IFERROR(IF(LEN(C$11)=0,"",IF($C$7&lt;&gt;"All",IF(INDEX(Calc!$V$8:$V$500,MATCH(INDEX(Calc!$D$8:$D$500,MATCH(SMALL(IF((Calc!$C$8:$C$500=Kanban!$C$7)*(Calc!$K$8:$K$500=Kanban!C$11)*(Calc!$Y$8:$Y$500&gt;0),Calc!$Y$8:$Y$500,99999),Kanban_Helper!$B53),Calc!$Y$8:$Y$500,0)),Calc!$D$8:$D$500,0))="Yes",CONCATENATE(INDEX(Calc!$D$8:$D$500,MATCH(SMALL(IF((Calc!$C$8:$C$500=Kanban!$C$7)*(Calc!$K$8:$K$500=Kanban!C$11)*(Calc!$Y$8:$Y$500&gt;0),Calc!$Y$8:$Y$500,99999),Kanban_Helper!$B53),Calc!$Y$8:$Y$500,0))," ",Calc!$V$7," ","!"),INDEX(Calc!$D$8:$D$500,MATCH(SMALL(IF((Calc!$C$8:$C$500=Kanban!$C$7)*(Calc!$K$8:$K$500=Kanban!C$11)*(Calc!$Y$8:$Y$500&gt;0),Calc!$Y$8:$Y$500,99999),Kanban_Helper!$B53),Calc!$Y$8:$Y$500,0))),IF(INDEX(Calc!$V$8:$V$500,MATCH(INDEX(Calc!$D$8:$D$500,MATCH(SMALL(IF((Calc!$K$8:$K$500=Kanban!C$11)*(Calc!$Y$8:$Y$500&gt;0),Calc!$Y$8:$Y$500,99999),Kanban_Helper!$B53),Calc!$Y$8:$Y$500,0)),Calc!$D$8:$D$500,0))="Yes",CONCATENATE(INDEX(Calc!$D$8:$D$500,MATCH(SMALL(IF((Calc!$K$8:$K$500=Kanban!C$11)*(Calc!$Y$8:$Y$500&gt;0),Calc!$Y$8:$Y$500,99999),Kanban_Helper!$B53),Calc!$Y$8:$Y$500,0))," ",Calc!$V$7," ","!"),INDEX(Calc!$D$8:$D$500,MATCH(SMALL(IF((Calc!$K$8:$K$500=Kanban!C$11)*(Calc!$Y$8:$Y$500&gt;0),Calc!$Y$8:$Y$500,99999),Kanban_Helper!$B53),Calc!$Y$8:$Y$500,0))))),"")</f>
        <v/>
      </c>
      <c r="D60" s="170" t="str">
        <f t="array" ref="D60">IFERROR(IF(LEN(D$11)=0,"",IF($C$7&lt;&gt;"All",IF(INDEX(Calc!$V$8:$V$500,MATCH(INDEX(Calc!$D$8:$D$500,MATCH(SMALL(IF((Calc!$C$8:$C$500=Kanban!$C$7)*(Calc!$K$8:$K$500=Kanban!D$11)*(Calc!$Y$8:$Y$500&gt;0),Calc!$Y$8:$Y$500,99999),Kanban_Helper!$B53),Calc!$Y$8:$Y$500,0)),Calc!$D$8:$D$500,0))="Yes",CONCATENATE(INDEX(Calc!$D$8:$D$500,MATCH(SMALL(IF((Calc!$C$8:$C$500=Kanban!$C$7)*(Calc!$K$8:$K$500=Kanban!D$11)*(Calc!$Y$8:$Y$500&gt;0),Calc!$Y$8:$Y$500,99999),Kanban_Helper!$B53),Calc!$Y$8:$Y$500,0))," ",Calc!$V$7," ","!"),INDEX(Calc!$D$8:$D$500,MATCH(SMALL(IF((Calc!$C$8:$C$500=Kanban!$C$7)*(Calc!$K$8:$K$500=Kanban!D$11)*(Calc!$Y$8:$Y$500&gt;0),Calc!$Y$8:$Y$500,99999),Kanban_Helper!$B53),Calc!$Y$8:$Y$500,0))),IF(INDEX(Calc!$V$8:$V$500,MATCH(INDEX(Calc!$D$8:$D$500,MATCH(SMALL(IF((Calc!$K$8:$K$500=Kanban!D$11)*(Calc!$Y$8:$Y$500&gt;0),Calc!$Y$8:$Y$500,99999),Kanban_Helper!$B53),Calc!$Y$8:$Y$500,0)),Calc!$D$8:$D$500,0))="Yes",CONCATENATE(INDEX(Calc!$D$8:$D$500,MATCH(SMALL(IF((Calc!$K$8:$K$500=Kanban!D$11)*(Calc!$Y$8:$Y$500&gt;0),Calc!$Y$8:$Y$500,99999),Kanban_Helper!$B53),Calc!$Y$8:$Y$500,0))," ",Calc!$V$7," ","!"),INDEX(Calc!$D$8:$D$500,MATCH(SMALL(IF((Calc!$K$8:$K$500=Kanban!D$11)*(Calc!$Y$8:$Y$500&gt;0),Calc!$Y$8:$Y$500,99999),Kanban_Helper!$B53),Calc!$Y$8:$Y$500,0))))),"")</f>
        <v/>
      </c>
      <c r="E60" s="170" t="str">
        <f t="array" ref="E60">IFERROR(IF(LEN(E$11)=0,"",IF($C$7&lt;&gt;"All",IF(INDEX(Calc!$V$8:$V$500,MATCH(INDEX(Calc!$D$8:$D$500,MATCH(SMALL(IF((Calc!$C$8:$C$500=Kanban!$C$7)*(Calc!$K$8:$K$500=Kanban!E$11)*(Calc!$Y$8:$Y$500&gt;0),Calc!$Y$8:$Y$500,99999),Kanban_Helper!$B53),Calc!$Y$8:$Y$500,0)),Calc!$D$8:$D$500,0))="Yes",CONCATENATE(INDEX(Calc!$D$8:$D$500,MATCH(SMALL(IF((Calc!$C$8:$C$500=Kanban!$C$7)*(Calc!$K$8:$K$500=Kanban!E$11)*(Calc!$Y$8:$Y$500&gt;0),Calc!$Y$8:$Y$500,99999),Kanban_Helper!$B53),Calc!$Y$8:$Y$500,0))," ",Calc!$V$7," ","!"),INDEX(Calc!$D$8:$D$500,MATCH(SMALL(IF((Calc!$C$8:$C$500=Kanban!$C$7)*(Calc!$K$8:$K$500=Kanban!E$11)*(Calc!$Y$8:$Y$500&gt;0),Calc!$Y$8:$Y$500,99999),Kanban_Helper!$B53),Calc!$Y$8:$Y$500,0))),IF(INDEX(Calc!$V$8:$V$500,MATCH(INDEX(Calc!$D$8:$D$500,MATCH(SMALL(IF((Calc!$K$8:$K$500=Kanban!E$11)*(Calc!$Y$8:$Y$500&gt;0),Calc!$Y$8:$Y$500,99999),Kanban_Helper!$B53),Calc!$Y$8:$Y$500,0)),Calc!$D$8:$D$500,0))="Yes",CONCATENATE(INDEX(Calc!$D$8:$D$500,MATCH(SMALL(IF((Calc!$K$8:$K$500=Kanban!E$11)*(Calc!$Y$8:$Y$500&gt;0),Calc!$Y$8:$Y$500,99999),Kanban_Helper!$B53),Calc!$Y$8:$Y$500,0))," ",Calc!$V$7," ","!"),INDEX(Calc!$D$8:$D$500,MATCH(SMALL(IF((Calc!$K$8:$K$500=Kanban!E$11)*(Calc!$Y$8:$Y$500&gt;0),Calc!$Y$8:$Y$500,99999),Kanban_Helper!$B53),Calc!$Y$8:$Y$500,0))))),"")</f>
        <v/>
      </c>
      <c r="F60" s="170" t="str">
        <f t="array" ref="F60">IFERROR(IF(LEN(F$11)=0,"",IF($C$7&lt;&gt;"All",IF(INDEX(Calc!$V$8:$V$500,MATCH(INDEX(Calc!$D$8:$D$500,MATCH(SMALL(IF((Calc!$C$8:$C$500=Kanban!$C$7)*(Calc!$K$8:$K$500=Kanban!F$11)*(Calc!$Y$8:$Y$500&gt;0),Calc!$Y$8:$Y$500,99999),Kanban_Helper!$B53),Calc!$Y$8:$Y$500,0)),Calc!$D$8:$D$500,0))="Yes",CONCATENATE(INDEX(Calc!$D$8:$D$500,MATCH(SMALL(IF((Calc!$C$8:$C$500=Kanban!$C$7)*(Calc!$K$8:$K$500=Kanban!F$11)*(Calc!$Y$8:$Y$500&gt;0),Calc!$Y$8:$Y$500,99999),Kanban_Helper!$B53),Calc!$Y$8:$Y$500,0))," ",Calc!$V$7," ","!"),INDEX(Calc!$D$8:$D$500,MATCH(SMALL(IF((Calc!$C$8:$C$500=Kanban!$C$7)*(Calc!$K$8:$K$500=Kanban!F$11)*(Calc!$Y$8:$Y$500&gt;0),Calc!$Y$8:$Y$500,99999),Kanban_Helper!$B53),Calc!$Y$8:$Y$500,0))),IF(INDEX(Calc!$V$8:$V$500,MATCH(INDEX(Calc!$D$8:$D$500,MATCH(SMALL(IF((Calc!$K$8:$K$500=Kanban!F$11)*(Calc!$Y$8:$Y$500&gt;0),Calc!$Y$8:$Y$500,99999),Kanban_Helper!$B53),Calc!$Y$8:$Y$500,0)),Calc!$D$8:$D$500,0))="Yes",CONCATENATE(INDEX(Calc!$D$8:$D$500,MATCH(SMALL(IF((Calc!$K$8:$K$500=Kanban!F$11)*(Calc!$Y$8:$Y$500&gt;0),Calc!$Y$8:$Y$500,99999),Kanban_Helper!$B53),Calc!$Y$8:$Y$500,0))," ",Calc!$V$7," ","!"),INDEX(Calc!$D$8:$D$500,MATCH(SMALL(IF((Calc!$K$8:$K$500=Kanban!F$11)*(Calc!$Y$8:$Y$500&gt;0),Calc!$Y$8:$Y$500,99999),Kanban_Helper!$B53),Calc!$Y$8:$Y$500,0))))),"")</f>
        <v/>
      </c>
      <c r="G60" s="170" t="str">
        <f t="array" ref="G60">IFERROR(IF(LEN(G$11)=0,"",IF($C$7&lt;&gt;"All",IF(INDEX(Calc!$V$8:$V$500,MATCH(INDEX(Calc!$D$8:$D$500,MATCH(SMALL(IF((Calc!$C$8:$C$500=Kanban!$C$7)*(Calc!$K$8:$K$500=Kanban!G$11)*(Calc!$Y$8:$Y$500&gt;0),Calc!$Y$8:$Y$500,99999),Kanban_Helper!$B53),Calc!$Y$8:$Y$500,0)),Calc!$D$8:$D$500,0))="Yes",CONCATENATE(INDEX(Calc!$D$8:$D$500,MATCH(SMALL(IF((Calc!$C$8:$C$500=Kanban!$C$7)*(Calc!$K$8:$K$500=Kanban!G$11)*(Calc!$Y$8:$Y$500&gt;0),Calc!$Y$8:$Y$500,99999),Kanban_Helper!$B53),Calc!$Y$8:$Y$500,0))," ",Calc!$V$7," ","!"),INDEX(Calc!$D$8:$D$500,MATCH(SMALL(IF((Calc!$C$8:$C$500=Kanban!$C$7)*(Calc!$K$8:$K$500=Kanban!G$11)*(Calc!$Y$8:$Y$500&gt;0),Calc!$Y$8:$Y$500,99999),Kanban_Helper!$B53),Calc!$Y$8:$Y$500,0))),IF(INDEX(Calc!$V$8:$V$500,MATCH(INDEX(Calc!$D$8:$D$500,MATCH(SMALL(IF((Calc!$K$8:$K$500=Kanban!G$11)*(Calc!$Y$8:$Y$500&gt;0),Calc!$Y$8:$Y$500,99999),Kanban_Helper!$B53),Calc!$Y$8:$Y$500,0)),Calc!$D$8:$D$500,0))="Yes",CONCATENATE(INDEX(Calc!$D$8:$D$500,MATCH(SMALL(IF((Calc!$K$8:$K$500=Kanban!G$11)*(Calc!$Y$8:$Y$500&gt;0),Calc!$Y$8:$Y$500,99999),Kanban_Helper!$B53),Calc!$Y$8:$Y$500,0))," ",Calc!$V$7," ","!"),INDEX(Calc!$D$8:$D$500,MATCH(SMALL(IF((Calc!$K$8:$K$500=Kanban!G$11)*(Calc!$Y$8:$Y$500&gt;0),Calc!$Y$8:$Y$500,99999),Kanban_Helper!$B53),Calc!$Y$8:$Y$500,0))))),"")</f>
        <v/>
      </c>
      <c r="H60" s="170" t="str">
        <f t="array" ref="H60">IFERROR(IF(LEN(H$11)=0,"",IF($C$7&lt;&gt;"All",IF(INDEX(Calc!$V$8:$V$500,MATCH(INDEX(Calc!$D$8:$D$500,MATCH(SMALL(IF((Calc!$C$8:$C$500=Kanban!$C$7)*(Calc!$K$8:$K$500=Kanban!H$11)*(Calc!$Y$8:$Y$500&gt;0),Calc!$Y$8:$Y$500,99999),Kanban_Helper!$B53),Calc!$Y$8:$Y$500,0)),Calc!$D$8:$D$500,0))="Yes",CONCATENATE(INDEX(Calc!$D$8:$D$500,MATCH(SMALL(IF((Calc!$C$8:$C$500=Kanban!$C$7)*(Calc!$K$8:$K$500=Kanban!H$11)*(Calc!$Y$8:$Y$500&gt;0),Calc!$Y$8:$Y$500,99999),Kanban_Helper!$B53),Calc!$Y$8:$Y$500,0))," ",Calc!$V$7," ","!"),INDEX(Calc!$D$8:$D$500,MATCH(SMALL(IF((Calc!$C$8:$C$500=Kanban!$C$7)*(Calc!$K$8:$K$500=Kanban!H$11)*(Calc!$Y$8:$Y$500&gt;0),Calc!$Y$8:$Y$500,99999),Kanban_Helper!$B53),Calc!$Y$8:$Y$500,0))),IF(INDEX(Calc!$V$8:$V$500,MATCH(INDEX(Calc!$D$8:$D$500,MATCH(SMALL(IF((Calc!$K$8:$K$500=Kanban!H$11)*(Calc!$Y$8:$Y$500&gt;0),Calc!$Y$8:$Y$500,99999),Kanban_Helper!$B53),Calc!$Y$8:$Y$500,0)),Calc!$D$8:$D$500,0))="Yes",CONCATENATE(INDEX(Calc!$D$8:$D$500,MATCH(SMALL(IF((Calc!$K$8:$K$500=Kanban!H$11)*(Calc!$Y$8:$Y$500&gt;0),Calc!$Y$8:$Y$500,99999),Kanban_Helper!$B53),Calc!$Y$8:$Y$500,0))," ",Calc!$V$7," ","!"),INDEX(Calc!$D$8:$D$500,MATCH(SMALL(IF((Calc!$K$8:$K$500=Kanban!H$11)*(Calc!$Y$8:$Y$500&gt;0),Calc!$Y$8:$Y$500,99999),Kanban_Helper!$B53),Calc!$Y$8:$Y$500,0))))),"")</f>
        <v/>
      </c>
      <c r="I60" s="39"/>
      <c r="J60" s="10"/>
      <c r="K60" s="10"/>
      <c r="L60" s="10"/>
    </row>
    <row r="61" spans="2:12" x14ac:dyDescent="0.35">
      <c r="B61" s="80"/>
      <c r="C61" s="171" t="str">
        <f t="array" ref="C61">IFERROR(IF(LEN(C$11)=0,"",IF($C$7&lt;&gt;"All",INDEX(Calc!$E$8:$E$500,MATCH(SMALL(IF((Calc!$C$8:$C$500=Kanban!$C$7)*(Calc!$K$8:$K$500=Kanban!C$11)*(Calc!$Y$8:$Y$500&gt;0),Calc!$Y$8:$Y$500,99999),Kanban_Helper!$B54),Calc!$Y$8:$Y$500,0)),INDEX(Calc!$E$8:$E$500,MATCH(SMALL(IF((Calc!$K$8:$K$500=Kanban!C$11)*(Calc!$Y$8:$Y$500&gt;0),Calc!$Y$8:$Y$500,99999),Kanban_Helper!$B54),Calc!$Y$8:$Y$500,0)))),"")</f>
        <v/>
      </c>
      <c r="D61" s="171" t="str">
        <f t="array" ref="D61">IFERROR(IF(LEN(D$11)=0,"",IF($C$7&lt;&gt;"All",INDEX(Calc!$E$8:$E$500,MATCH(SMALL(IF((Calc!$C$8:$C$500=Kanban!$C$7)*(Calc!$K$8:$K$500=Kanban!D$11)*(Calc!$Y$8:$Y$500&gt;0),Calc!$Y$8:$Y$500,99999),Kanban_Helper!$B54),Calc!$Y$8:$Y$500,0)),INDEX(Calc!$E$8:$E$500,MATCH(SMALL(IF((Calc!$K$8:$K$500=Kanban!D$11)*(Calc!$Y$8:$Y$500&gt;0),Calc!$Y$8:$Y$500,99999),Kanban_Helper!$B54),Calc!$Y$8:$Y$500,0)))),"")</f>
        <v/>
      </c>
      <c r="E61" s="171" t="str">
        <f t="array" ref="E61">IFERROR(IF(LEN(E$11)=0,"",IF($C$7&lt;&gt;"All",INDEX(Calc!$E$8:$E$500,MATCH(SMALL(IF((Calc!$C$8:$C$500=Kanban!$C$7)*(Calc!$K$8:$K$500=Kanban!E$11)*(Calc!$Y$8:$Y$500&gt;0),Calc!$Y$8:$Y$500,99999),Kanban_Helper!$B54),Calc!$Y$8:$Y$500,0)),INDEX(Calc!$E$8:$E$500,MATCH(SMALL(IF((Calc!$K$8:$K$500=Kanban!E$11)*(Calc!$Y$8:$Y$500&gt;0),Calc!$Y$8:$Y$500,99999),Kanban_Helper!$B54),Calc!$Y$8:$Y$500,0)))),"")</f>
        <v/>
      </c>
      <c r="F61" s="171" t="str">
        <f t="array" ref="F61">IFERROR(IF(LEN(F$11)=0,"",IF($C$7&lt;&gt;"All",INDEX(Calc!$E$8:$E$500,MATCH(SMALL(IF((Calc!$C$8:$C$500=Kanban!$C$7)*(Calc!$K$8:$K$500=Kanban!F$11)*(Calc!$Y$8:$Y$500&gt;0),Calc!$Y$8:$Y$500,99999),Kanban_Helper!$B54),Calc!$Y$8:$Y$500,0)),INDEX(Calc!$E$8:$E$500,MATCH(SMALL(IF((Calc!$K$8:$K$500=Kanban!F$11)*(Calc!$Y$8:$Y$500&gt;0),Calc!$Y$8:$Y$500,99999),Kanban_Helper!$B54),Calc!$Y$8:$Y$500,0)))),"")</f>
        <v/>
      </c>
      <c r="G61" s="171" t="str">
        <f t="array" ref="G61">IFERROR(IF(LEN(G$11)=0,"",IF($C$7&lt;&gt;"All",INDEX(Calc!$E$8:$E$500,MATCH(SMALL(IF((Calc!$C$8:$C$500=Kanban!$C$7)*(Calc!$K$8:$K$500=Kanban!G$11)*(Calc!$Y$8:$Y$500&gt;0),Calc!$Y$8:$Y$500,99999),Kanban_Helper!$B54),Calc!$Y$8:$Y$500,0)),INDEX(Calc!$E$8:$E$500,MATCH(SMALL(IF((Calc!$K$8:$K$500=Kanban!G$11)*(Calc!$Y$8:$Y$500&gt;0),Calc!$Y$8:$Y$500,99999),Kanban_Helper!$B54),Calc!$Y$8:$Y$500,0)))),"")</f>
        <v/>
      </c>
      <c r="H61" s="171" t="str">
        <f t="array" ref="H61">IFERROR(IF(LEN(H$11)=0,"",IF($C$7&lt;&gt;"All",INDEX(Calc!$E$8:$E$500,MATCH(SMALL(IF((Calc!$C$8:$C$500=Kanban!$C$7)*(Calc!$K$8:$K$500=Kanban!H$11)*(Calc!$Y$8:$Y$500&gt;0),Calc!$Y$8:$Y$500,99999),Kanban_Helper!$B54),Calc!$Y$8:$Y$500,0)),INDEX(Calc!$E$8:$E$500,MATCH(SMALL(IF((Calc!$K$8:$K$500=Kanban!H$11)*(Calc!$Y$8:$Y$500&gt;0),Calc!$Y$8:$Y$500,99999),Kanban_Helper!$B54),Calc!$Y$8:$Y$500,0)))),"")</f>
        <v/>
      </c>
      <c r="I61" s="39"/>
      <c r="J61" s="10"/>
      <c r="K61" s="10"/>
      <c r="L61" s="10"/>
    </row>
    <row r="62" spans="2:12" ht="15" thickBot="1" x14ac:dyDescent="0.4">
      <c r="B62" s="80"/>
      <c r="C62" s="173" t="str">
        <f t="array" ref="C62">IFERROR(IF(LEN(C$11)=0,"",IF($C$7&lt;&gt;"All",IF(LEN(INDEX(Calc!$J$8:$J$500,MATCH(SMALL(IF((Calc!$C$8:$C$500=Kanban!$C$7)*(Calc!$K$8:$K$500=Kanban!C$11)*(Calc!$Y$8:$Y$500&gt;0),Calc!$Y$8:$Y$500,99999),Kanban_Helper!$B55),Calc!$Y$8:$Y$500,0)))=0,"",CONCATENATE(Calc!$AD$6,INDEX(Calc!$J$8:$J$500,MATCH(SMALL(IF((Calc!$C$8:$C$500=Kanban!$C$7)*(Calc!$K$8:$K$500=Kanban!C$11)*(Calc!$Y$8:$Y$500&gt;0),Calc!$Y$8:$Y$500,99999),Kanban_Helper!$B55),Calc!$Y$8:$Y$500,0)))),IF(LEN(INDEX(Calc!$J$8:$J$500,MATCH(SMALL(IF((Calc!$K$8:$K$500=Kanban!C$11)*(Calc!$Y$8:$Y$500&gt;0),Calc!$Y$8:$Y$500,99999),Kanban_Helper!$B55),Calc!$Y$8:$Y$500,0)))=0,"",CONCATENATE(Calc!$AD$6,INDEX(Calc!$J$8:$J$500,MATCH(SMALL(IF((Calc!$K$8:$K$500=Kanban!C$11)*(Calc!$Y$8:$Y$500&gt;0),Calc!$Y$8:$Y$500,99999),Kanban_Helper!$B55),Calc!$Y$8:$Y$500,0)))))),"")</f>
        <v/>
      </c>
      <c r="D62" s="173" t="str">
        <f t="array" ref="D62">IFERROR(IF(LEN(D$11)=0,"",IF($C$7&lt;&gt;"All",IF(LEN(INDEX(Calc!$J$8:$J$500,MATCH(SMALL(IF((Calc!$C$8:$C$500=Kanban!$C$7)*(Calc!$K$8:$K$500=Kanban!D$11)*(Calc!$Y$8:$Y$500&gt;0),Calc!$Y$8:$Y$500,99999),Kanban_Helper!$B55),Calc!$Y$8:$Y$500,0)))=0,"",CONCATENATE(Calc!$AD$6,INDEX(Calc!$J$8:$J$500,MATCH(SMALL(IF((Calc!$C$8:$C$500=Kanban!$C$7)*(Calc!$K$8:$K$500=Kanban!D$11)*(Calc!$Y$8:$Y$500&gt;0),Calc!$Y$8:$Y$500,99999),Kanban_Helper!$B55),Calc!$Y$8:$Y$500,0)))),IF(LEN(INDEX(Calc!$J$8:$J$500,MATCH(SMALL(IF((Calc!$K$8:$K$500=Kanban!D$11)*(Calc!$Y$8:$Y$500&gt;0),Calc!$Y$8:$Y$500,99999),Kanban_Helper!$B55),Calc!$Y$8:$Y$500,0)))=0,"",CONCATENATE(Calc!$AD$6,INDEX(Calc!$J$8:$J$500,MATCH(SMALL(IF((Calc!$K$8:$K$500=Kanban!D$11)*(Calc!$Y$8:$Y$500&gt;0),Calc!$Y$8:$Y$500,99999),Kanban_Helper!$B55),Calc!$Y$8:$Y$500,0)))))),"")</f>
        <v/>
      </c>
      <c r="E62" s="173" t="str">
        <f t="array" ref="E62">IFERROR(IF(LEN(E$11)=0,"",IF($C$7&lt;&gt;"All",IF(LEN(INDEX(Calc!$J$8:$J$500,MATCH(SMALL(IF((Calc!$C$8:$C$500=Kanban!$C$7)*(Calc!$K$8:$K$500=Kanban!E$11)*(Calc!$Y$8:$Y$500&gt;0),Calc!$Y$8:$Y$500,99999),Kanban_Helper!$B55),Calc!$Y$8:$Y$500,0)))=0,"",CONCATENATE(Calc!$AD$6,INDEX(Calc!$J$8:$J$500,MATCH(SMALL(IF((Calc!$C$8:$C$500=Kanban!$C$7)*(Calc!$K$8:$K$500=Kanban!E$11)*(Calc!$Y$8:$Y$500&gt;0),Calc!$Y$8:$Y$500,99999),Kanban_Helper!$B55),Calc!$Y$8:$Y$500,0)))),IF(LEN(INDEX(Calc!$J$8:$J$500,MATCH(SMALL(IF((Calc!$K$8:$K$500=Kanban!E$11)*(Calc!$Y$8:$Y$500&gt;0),Calc!$Y$8:$Y$500,99999),Kanban_Helper!$B55),Calc!$Y$8:$Y$500,0)))=0,"",CONCATENATE(Calc!$AD$6,INDEX(Calc!$J$8:$J$500,MATCH(SMALL(IF((Calc!$K$8:$K$500=Kanban!E$11)*(Calc!$Y$8:$Y$500&gt;0),Calc!$Y$8:$Y$500,99999),Kanban_Helper!$B55),Calc!$Y$8:$Y$500,0)))))),"")</f>
        <v/>
      </c>
      <c r="F62" s="173" t="str">
        <f t="array" ref="F62">IFERROR(IF(LEN(F$11)=0,"",IF($C$7&lt;&gt;"All",IF(LEN(INDEX(Calc!$J$8:$J$500,MATCH(SMALL(IF((Calc!$C$8:$C$500=Kanban!$C$7)*(Calc!$K$8:$K$500=Kanban!F$11)*(Calc!$Y$8:$Y$500&gt;0),Calc!$Y$8:$Y$500,99999),Kanban_Helper!$B55),Calc!$Y$8:$Y$500,0)))=0,"",CONCATENATE(Calc!$AD$6,INDEX(Calc!$J$8:$J$500,MATCH(SMALL(IF((Calc!$C$8:$C$500=Kanban!$C$7)*(Calc!$K$8:$K$500=Kanban!F$11)*(Calc!$Y$8:$Y$500&gt;0),Calc!$Y$8:$Y$500,99999),Kanban_Helper!$B55),Calc!$Y$8:$Y$500,0)))),IF(LEN(INDEX(Calc!$J$8:$J$500,MATCH(SMALL(IF((Calc!$K$8:$K$500=Kanban!F$11)*(Calc!$Y$8:$Y$500&gt;0),Calc!$Y$8:$Y$500,99999),Kanban_Helper!$B55),Calc!$Y$8:$Y$500,0)))=0,"",CONCATENATE(Calc!$AD$6,INDEX(Calc!$J$8:$J$500,MATCH(SMALL(IF((Calc!$K$8:$K$500=Kanban!F$11)*(Calc!$Y$8:$Y$500&gt;0),Calc!$Y$8:$Y$500,99999),Kanban_Helper!$B55),Calc!$Y$8:$Y$500,0)))))),"")</f>
        <v/>
      </c>
      <c r="G62" s="173" t="str">
        <f t="array" ref="G62">IFERROR(IF(LEN(G$11)=0,"",IF($C$7&lt;&gt;"All",IF(LEN(INDEX(Calc!$J$8:$J$500,MATCH(SMALL(IF((Calc!$C$8:$C$500=Kanban!$C$7)*(Calc!$K$8:$K$500=Kanban!G$11)*(Calc!$Y$8:$Y$500&gt;0),Calc!$Y$8:$Y$500,99999),Kanban_Helper!$B55),Calc!$Y$8:$Y$500,0)))=0,"",CONCATENATE(Calc!$AD$6,INDEX(Calc!$J$8:$J$500,MATCH(SMALL(IF((Calc!$C$8:$C$500=Kanban!$C$7)*(Calc!$K$8:$K$500=Kanban!G$11)*(Calc!$Y$8:$Y$500&gt;0),Calc!$Y$8:$Y$500,99999),Kanban_Helper!$B55),Calc!$Y$8:$Y$500,0)))),IF(LEN(INDEX(Calc!$J$8:$J$500,MATCH(SMALL(IF((Calc!$K$8:$K$500=Kanban!G$11)*(Calc!$Y$8:$Y$500&gt;0),Calc!$Y$8:$Y$500,99999),Kanban_Helper!$B55),Calc!$Y$8:$Y$500,0)))=0,"",CONCATENATE(Calc!$AD$6,INDEX(Calc!$J$8:$J$500,MATCH(SMALL(IF((Calc!$K$8:$K$500=Kanban!G$11)*(Calc!$Y$8:$Y$500&gt;0),Calc!$Y$8:$Y$500,99999),Kanban_Helper!$B55),Calc!$Y$8:$Y$500,0)))))),"")</f>
        <v/>
      </c>
      <c r="H62" s="173" t="str">
        <f t="array" ref="H62">IFERROR(IF(LEN(H$11)=0,"",IF($C$7&lt;&gt;"All",IF(LEN(INDEX(Calc!$J$8:$J$500,MATCH(SMALL(IF((Calc!$C$8:$C$500=Kanban!$C$7)*(Calc!$K$8:$K$500=Kanban!H$11)*(Calc!$Y$8:$Y$500&gt;0),Calc!$Y$8:$Y$500,99999),Kanban_Helper!$B55),Calc!$Y$8:$Y$500,0)))=0,"",CONCATENATE(Calc!$AD$6,INDEX(Calc!$J$8:$J$500,MATCH(SMALL(IF((Calc!$C$8:$C$500=Kanban!$C$7)*(Calc!$K$8:$K$500=Kanban!H$11)*(Calc!$Y$8:$Y$500&gt;0),Calc!$Y$8:$Y$500,99999),Kanban_Helper!$B55),Calc!$Y$8:$Y$500,0)))),IF(LEN(INDEX(Calc!$J$8:$J$500,MATCH(SMALL(IF((Calc!$K$8:$K$500=Kanban!H$11)*(Calc!$Y$8:$Y$500&gt;0),Calc!$Y$8:$Y$500,99999),Kanban_Helper!$B55),Calc!$Y$8:$Y$500,0)))=0,"",CONCATENATE(Calc!$AD$6,INDEX(Calc!$J$8:$J$500,MATCH(SMALL(IF((Calc!$K$8:$K$500=Kanban!H$11)*(Calc!$Y$8:$Y$500&gt;0),Calc!$Y$8:$Y$500,99999),Kanban_Helper!$B55),Calc!$Y$8:$Y$500,0)))))),"")</f>
        <v/>
      </c>
      <c r="I62" s="39"/>
      <c r="J62" s="10"/>
      <c r="K62" s="10"/>
      <c r="L62" s="10"/>
    </row>
    <row r="63" spans="2:12" ht="15" thickTop="1" x14ac:dyDescent="0.35">
      <c r="B63" s="80"/>
      <c r="C63" s="170" t="str">
        <f t="array" ref="C63">IFERROR(IF(LEN(C$11)=0,"",IF($C$7&lt;&gt;"All",IF(INDEX(Calc!$V$8:$V$500,MATCH(INDEX(Calc!$D$8:$D$500,MATCH(SMALL(IF((Calc!$C$8:$C$500=Kanban!$C$7)*(Calc!$K$8:$K$500=Kanban!C$11)*(Calc!$Y$8:$Y$500&gt;0),Calc!$Y$8:$Y$500,99999),Kanban_Helper!$B56),Calc!$Y$8:$Y$500,0)),Calc!$D$8:$D$500,0))="Yes",CONCATENATE(INDEX(Calc!$D$8:$D$500,MATCH(SMALL(IF((Calc!$C$8:$C$500=Kanban!$C$7)*(Calc!$K$8:$K$500=Kanban!C$11)*(Calc!$Y$8:$Y$500&gt;0),Calc!$Y$8:$Y$500,99999),Kanban_Helper!$B56),Calc!$Y$8:$Y$500,0))," ",Calc!$V$7," ","!"),INDEX(Calc!$D$8:$D$500,MATCH(SMALL(IF((Calc!$C$8:$C$500=Kanban!$C$7)*(Calc!$K$8:$K$500=Kanban!C$11)*(Calc!$Y$8:$Y$500&gt;0),Calc!$Y$8:$Y$500,99999),Kanban_Helper!$B56),Calc!$Y$8:$Y$500,0))),IF(INDEX(Calc!$V$8:$V$500,MATCH(INDEX(Calc!$D$8:$D$500,MATCH(SMALL(IF((Calc!$K$8:$K$500=Kanban!C$11)*(Calc!$Y$8:$Y$500&gt;0),Calc!$Y$8:$Y$500,99999),Kanban_Helper!$B56),Calc!$Y$8:$Y$500,0)),Calc!$D$8:$D$500,0))="Yes",CONCATENATE(INDEX(Calc!$D$8:$D$500,MATCH(SMALL(IF((Calc!$K$8:$K$500=Kanban!C$11)*(Calc!$Y$8:$Y$500&gt;0),Calc!$Y$8:$Y$500,99999),Kanban_Helper!$B56),Calc!$Y$8:$Y$500,0))," ",Calc!$V$7," ","!"),INDEX(Calc!$D$8:$D$500,MATCH(SMALL(IF((Calc!$K$8:$K$500=Kanban!C$11)*(Calc!$Y$8:$Y$500&gt;0),Calc!$Y$8:$Y$500,99999),Kanban_Helper!$B56),Calc!$Y$8:$Y$500,0))))),"")</f>
        <v/>
      </c>
      <c r="D63" s="170" t="str">
        <f t="array" ref="D63">IFERROR(IF(LEN(D$11)=0,"",IF($C$7&lt;&gt;"All",IF(INDEX(Calc!$V$8:$V$500,MATCH(INDEX(Calc!$D$8:$D$500,MATCH(SMALL(IF((Calc!$C$8:$C$500=Kanban!$C$7)*(Calc!$K$8:$K$500=Kanban!D$11)*(Calc!$Y$8:$Y$500&gt;0),Calc!$Y$8:$Y$500,99999),Kanban_Helper!$B56),Calc!$Y$8:$Y$500,0)),Calc!$D$8:$D$500,0))="Yes",CONCATENATE(INDEX(Calc!$D$8:$D$500,MATCH(SMALL(IF((Calc!$C$8:$C$500=Kanban!$C$7)*(Calc!$K$8:$K$500=Kanban!D$11)*(Calc!$Y$8:$Y$500&gt;0),Calc!$Y$8:$Y$500,99999),Kanban_Helper!$B56),Calc!$Y$8:$Y$500,0))," ",Calc!$V$7," ","!"),INDEX(Calc!$D$8:$D$500,MATCH(SMALL(IF((Calc!$C$8:$C$500=Kanban!$C$7)*(Calc!$K$8:$K$500=Kanban!D$11)*(Calc!$Y$8:$Y$500&gt;0),Calc!$Y$8:$Y$500,99999),Kanban_Helper!$B56),Calc!$Y$8:$Y$500,0))),IF(INDEX(Calc!$V$8:$V$500,MATCH(INDEX(Calc!$D$8:$D$500,MATCH(SMALL(IF((Calc!$K$8:$K$500=Kanban!D$11)*(Calc!$Y$8:$Y$500&gt;0),Calc!$Y$8:$Y$500,99999),Kanban_Helper!$B56),Calc!$Y$8:$Y$500,0)),Calc!$D$8:$D$500,0))="Yes",CONCATENATE(INDEX(Calc!$D$8:$D$500,MATCH(SMALL(IF((Calc!$K$8:$K$500=Kanban!D$11)*(Calc!$Y$8:$Y$500&gt;0),Calc!$Y$8:$Y$500,99999),Kanban_Helper!$B56),Calc!$Y$8:$Y$500,0))," ",Calc!$V$7," ","!"),INDEX(Calc!$D$8:$D$500,MATCH(SMALL(IF((Calc!$K$8:$K$500=Kanban!D$11)*(Calc!$Y$8:$Y$500&gt;0),Calc!$Y$8:$Y$500,99999),Kanban_Helper!$B56),Calc!$Y$8:$Y$500,0))))),"")</f>
        <v/>
      </c>
      <c r="E63" s="170" t="str">
        <f t="array" ref="E63">IFERROR(IF(LEN(E$11)=0,"",IF($C$7&lt;&gt;"All",IF(INDEX(Calc!$V$8:$V$500,MATCH(INDEX(Calc!$D$8:$D$500,MATCH(SMALL(IF((Calc!$C$8:$C$500=Kanban!$C$7)*(Calc!$K$8:$K$500=Kanban!E$11)*(Calc!$Y$8:$Y$500&gt;0),Calc!$Y$8:$Y$500,99999),Kanban_Helper!$B56),Calc!$Y$8:$Y$500,0)),Calc!$D$8:$D$500,0))="Yes",CONCATENATE(INDEX(Calc!$D$8:$D$500,MATCH(SMALL(IF((Calc!$C$8:$C$500=Kanban!$C$7)*(Calc!$K$8:$K$500=Kanban!E$11)*(Calc!$Y$8:$Y$500&gt;0),Calc!$Y$8:$Y$500,99999),Kanban_Helper!$B56),Calc!$Y$8:$Y$500,0))," ",Calc!$V$7," ","!"),INDEX(Calc!$D$8:$D$500,MATCH(SMALL(IF((Calc!$C$8:$C$500=Kanban!$C$7)*(Calc!$K$8:$K$500=Kanban!E$11)*(Calc!$Y$8:$Y$500&gt;0),Calc!$Y$8:$Y$500,99999),Kanban_Helper!$B56),Calc!$Y$8:$Y$500,0))),IF(INDEX(Calc!$V$8:$V$500,MATCH(INDEX(Calc!$D$8:$D$500,MATCH(SMALL(IF((Calc!$K$8:$K$500=Kanban!E$11)*(Calc!$Y$8:$Y$500&gt;0),Calc!$Y$8:$Y$500,99999),Kanban_Helper!$B56),Calc!$Y$8:$Y$500,0)),Calc!$D$8:$D$500,0))="Yes",CONCATENATE(INDEX(Calc!$D$8:$D$500,MATCH(SMALL(IF((Calc!$K$8:$K$500=Kanban!E$11)*(Calc!$Y$8:$Y$500&gt;0),Calc!$Y$8:$Y$500,99999),Kanban_Helper!$B56),Calc!$Y$8:$Y$500,0))," ",Calc!$V$7," ","!"),INDEX(Calc!$D$8:$D$500,MATCH(SMALL(IF((Calc!$K$8:$K$500=Kanban!E$11)*(Calc!$Y$8:$Y$500&gt;0),Calc!$Y$8:$Y$500,99999),Kanban_Helper!$B56),Calc!$Y$8:$Y$500,0))))),"")</f>
        <v/>
      </c>
      <c r="F63" s="170" t="str">
        <f t="array" ref="F63">IFERROR(IF(LEN(F$11)=0,"",IF($C$7&lt;&gt;"All",IF(INDEX(Calc!$V$8:$V$500,MATCH(INDEX(Calc!$D$8:$D$500,MATCH(SMALL(IF((Calc!$C$8:$C$500=Kanban!$C$7)*(Calc!$K$8:$K$500=Kanban!F$11)*(Calc!$Y$8:$Y$500&gt;0),Calc!$Y$8:$Y$500,99999),Kanban_Helper!$B56),Calc!$Y$8:$Y$500,0)),Calc!$D$8:$D$500,0))="Yes",CONCATENATE(INDEX(Calc!$D$8:$D$500,MATCH(SMALL(IF((Calc!$C$8:$C$500=Kanban!$C$7)*(Calc!$K$8:$K$500=Kanban!F$11)*(Calc!$Y$8:$Y$500&gt;0),Calc!$Y$8:$Y$500,99999),Kanban_Helper!$B56),Calc!$Y$8:$Y$500,0))," ",Calc!$V$7," ","!"),INDEX(Calc!$D$8:$D$500,MATCH(SMALL(IF((Calc!$C$8:$C$500=Kanban!$C$7)*(Calc!$K$8:$K$500=Kanban!F$11)*(Calc!$Y$8:$Y$500&gt;0),Calc!$Y$8:$Y$500,99999),Kanban_Helper!$B56),Calc!$Y$8:$Y$500,0))),IF(INDEX(Calc!$V$8:$V$500,MATCH(INDEX(Calc!$D$8:$D$500,MATCH(SMALL(IF((Calc!$K$8:$K$500=Kanban!F$11)*(Calc!$Y$8:$Y$500&gt;0),Calc!$Y$8:$Y$500,99999),Kanban_Helper!$B56),Calc!$Y$8:$Y$500,0)),Calc!$D$8:$D$500,0))="Yes",CONCATENATE(INDEX(Calc!$D$8:$D$500,MATCH(SMALL(IF((Calc!$K$8:$K$500=Kanban!F$11)*(Calc!$Y$8:$Y$500&gt;0),Calc!$Y$8:$Y$500,99999),Kanban_Helper!$B56),Calc!$Y$8:$Y$500,0))," ",Calc!$V$7," ","!"),INDEX(Calc!$D$8:$D$500,MATCH(SMALL(IF((Calc!$K$8:$K$500=Kanban!F$11)*(Calc!$Y$8:$Y$500&gt;0),Calc!$Y$8:$Y$500,99999),Kanban_Helper!$B56),Calc!$Y$8:$Y$500,0))))),"")</f>
        <v/>
      </c>
      <c r="G63" s="170" t="str">
        <f t="array" ref="G63">IFERROR(IF(LEN(G$11)=0,"",IF($C$7&lt;&gt;"All",IF(INDEX(Calc!$V$8:$V$500,MATCH(INDEX(Calc!$D$8:$D$500,MATCH(SMALL(IF((Calc!$C$8:$C$500=Kanban!$C$7)*(Calc!$K$8:$K$500=Kanban!G$11)*(Calc!$Y$8:$Y$500&gt;0),Calc!$Y$8:$Y$500,99999),Kanban_Helper!$B56),Calc!$Y$8:$Y$500,0)),Calc!$D$8:$D$500,0))="Yes",CONCATENATE(INDEX(Calc!$D$8:$D$500,MATCH(SMALL(IF((Calc!$C$8:$C$500=Kanban!$C$7)*(Calc!$K$8:$K$500=Kanban!G$11)*(Calc!$Y$8:$Y$500&gt;0),Calc!$Y$8:$Y$500,99999),Kanban_Helper!$B56),Calc!$Y$8:$Y$500,0))," ",Calc!$V$7," ","!"),INDEX(Calc!$D$8:$D$500,MATCH(SMALL(IF((Calc!$C$8:$C$500=Kanban!$C$7)*(Calc!$K$8:$K$500=Kanban!G$11)*(Calc!$Y$8:$Y$500&gt;0),Calc!$Y$8:$Y$500,99999),Kanban_Helper!$B56),Calc!$Y$8:$Y$500,0))),IF(INDEX(Calc!$V$8:$V$500,MATCH(INDEX(Calc!$D$8:$D$500,MATCH(SMALL(IF((Calc!$K$8:$K$500=Kanban!G$11)*(Calc!$Y$8:$Y$500&gt;0),Calc!$Y$8:$Y$500,99999),Kanban_Helper!$B56),Calc!$Y$8:$Y$500,0)),Calc!$D$8:$D$500,0))="Yes",CONCATENATE(INDEX(Calc!$D$8:$D$500,MATCH(SMALL(IF((Calc!$K$8:$K$500=Kanban!G$11)*(Calc!$Y$8:$Y$500&gt;0),Calc!$Y$8:$Y$500,99999),Kanban_Helper!$B56),Calc!$Y$8:$Y$500,0))," ",Calc!$V$7," ","!"),INDEX(Calc!$D$8:$D$500,MATCH(SMALL(IF((Calc!$K$8:$K$500=Kanban!G$11)*(Calc!$Y$8:$Y$500&gt;0),Calc!$Y$8:$Y$500,99999),Kanban_Helper!$B56),Calc!$Y$8:$Y$500,0))))),"")</f>
        <v/>
      </c>
      <c r="H63" s="170" t="str">
        <f t="array" ref="H63">IFERROR(IF(LEN(H$11)=0,"",IF($C$7&lt;&gt;"All",IF(INDEX(Calc!$V$8:$V$500,MATCH(INDEX(Calc!$D$8:$D$500,MATCH(SMALL(IF((Calc!$C$8:$C$500=Kanban!$C$7)*(Calc!$K$8:$K$500=Kanban!H$11)*(Calc!$Y$8:$Y$500&gt;0),Calc!$Y$8:$Y$500,99999),Kanban_Helper!$B56),Calc!$Y$8:$Y$500,0)),Calc!$D$8:$D$500,0))="Yes",CONCATENATE(INDEX(Calc!$D$8:$D$500,MATCH(SMALL(IF((Calc!$C$8:$C$500=Kanban!$C$7)*(Calc!$K$8:$K$500=Kanban!H$11)*(Calc!$Y$8:$Y$500&gt;0),Calc!$Y$8:$Y$500,99999),Kanban_Helper!$B56),Calc!$Y$8:$Y$500,0))," ",Calc!$V$7," ","!"),INDEX(Calc!$D$8:$D$500,MATCH(SMALL(IF((Calc!$C$8:$C$500=Kanban!$C$7)*(Calc!$K$8:$K$500=Kanban!H$11)*(Calc!$Y$8:$Y$500&gt;0),Calc!$Y$8:$Y$500,99999),Kanban_Helper!$B56),Calc!$Y$8:$Y$500,0))),IF(INDEX(Calc!$V$8:$V$500,MATCH(INDEX(Calc!$D$8:$D$500,MATCH(SMALL(IF((Calc!$K$8:$K$500=Kanban!H$11)*(Calc!$Y$8:$Y$500&gt;0),Calc!$Y$8:$Y$500,99999),Kanban_Helper!$B56),Calc!$Y$8:$Y$500,0)),Calc!$D$8:$D$500,0))="Yes",CONCATENATE(INDEX(Calc!$D$8:$D$500,MATCH(SMALL(IF((Calc!$K$8:$K$500=Kanban!H$11)*(Calc!$Y$8:$Y$500&gt;0),Calc!$Y$8:$Y$500,99999),Kanban_Helper!$B56),Calc!$Y$8:$Y$500,0))," ",Calc!$V$7," ","!"),INDEX(Calc!$D$8:$D$500,MATCH(SMALL(IF((Calc!$K$8:$K$500=Kanban!H$11)*(Calc!$Y$8:$Y$500&gt;0),Calc!$Y$8:$Y$500,99999),Kanban_Helper!$B56),Calc!$Y$8:$Y$500,0))))),"")</f>
        <v/>
      </c>
      <c r="I63" s="39"/>
      <c r="J63" s="10"/>
      <c r="K63" s="10"/>
      <c r="L63" s="10"/>
    </row>
    <row r="64" spans="2:12" x14ac:dyDescent="0.35">
      <c r="B64" s="80"/>
      <c r="C64" s="171" t="str">
        <f t="array" ref="C64">IFERROR(IF(LEN(C$11)=0,"",IF($C$7&lt;&gt;"All",INDEX(Calc!$E$8:$E$500,MATCH(SMALL(IF((Calc!$C$8:$C$500=Kanban!$C$7)*(Calc!$K$8:$K$500=Kanban!C$11)*(Calc!$Y$8:$Y$500&gt;0),Calc!$Y$8:$Y$500,99999),Kanban_Helper!$B57),Calc!$Y$8:$Y$500,0)),INDEX(Calc!$E$8:$E$500,MATCH(SMALL(IF((Calc!$K$8:$K$500=Kanban!C$11)*(Calc!$Y$8:$Y$500&gt;0),Calc!$Y$8:$Y$500,99999),Kanban_Helper!$B57),Calc!$Y$8:$Y$500,0)))),"")</f>
        <v/>
      </c>
      <c r="D64" s="171" t="str">
        <f t="array" ref="D64">IFERROR(IF(LEN(D$11)=0,"",IF($C$7&lt;&gt;"All",INDEX(Calc!$E$8:$E$500,MATCH(SMALL(IF((Calc!$C$8:$C$500=Kanban!$C$7)*(Calc!$K$8:$K$500=Kanban!D$11)*(Calc!$Y$8:$Y$500&gt;0),Calc!$Y$8:$Y$500,99999),Kanban_Helper!$B57),Calc!$Y$8:$Y$500,0)),INDEX(Calc!$E$8:$E$500,MATCH(SMALL(IF((Calc!$K$8:$K$500=Kanban!D$11)*(Calc!$Y$8:$Y$500&gt;0),Calc!$Y$8:$Y$500,99999),Kanban_Helper!$B57),Calc!$Y$8:$Y$500,0)))),"")</f>
        <v/>
      </c>
      <c r="E64" s="171" t="str">
        <f t="array" ref="E64">IFERROR(IF(LEN(E$11)=0,"",IF($C$7&lt;&gt;"All",INDEX(Calc!$E$8:$E$500,MATCH(SMALL(IF((Calc!$C$8:$C$500=Kanban!$C$7)*(Calc!$K$8:$K$500=Kanban!E$11)*(Calc!$Y$8:$Y$500&gt;0),Calc!$Y$8:$Y$500,99999),Kanban_Helper!$B57),Calc!$Y$8:$Y$500,0)),INDEX(Calc!$E$8:$E$500,MATCH(SMALL(IF((Calc!$K$8:$K$500=Kanban!E$11)*(Calc!$Y$8:$Y$500&gt;0),Calc!$Y$8:$Y$500,99999),Kanban_Helper!$B57),Calc!$Y$8:$Y$500,0)))),"")</f>
        <v/>
      </c>
      <c r="F64" s="171" t="str">
        <f t="array" ref="F64">IFERROR(IF(LEN(F$11)=0,"",IF($C$7&lt;&gt;"All",INDEX(Calc!$E$8:$E$500,MATCH(SMALL(IF((Calc!$C$8:$C$500=Kanban!$C$7)*(Calc!$K$8:$K$500=Kanban!F$11)*(Calc!$Y$8:$Y$500&gt;0),Calc!$Y$8:$Y$500,99999),Kanban_Helper!$B57),Calc!$Y$8:$Y$500,0)),INDEX(Calc!$E$8:$E$500,MATCH(SMALL(IF((Calc!$K$8:$K$500=Kanban!F$11)*(Calc!$Y$8:$Y$500&gt;0),Calc!$Y$8:$Y$500,99999),Kanban_Helper!$B57),Calc!$Y$8:$Y$500,0)))),"")</f>
        <v/>
      </c>
      <c r="G64" s="171" t="str">
        <f t="array" ref="G64">IFERROR(IF(LEN(G$11)=0,"",IF($C$7&lt;&gt;"All",INDEX(Calc!$E$8:$E$500,MATCH(SMALL(IF((Calc!$C$8:$C$500=Kanban!$C$7)*(Calc!$K$8:$K$500=Kanban!G$11)*(Calc!$Y$8:$Y$500&gt;0),Calc!$Y$8:$Y$500,99999),Kanban_Helper!$B57),Calc!$Y$8:$Y$500,0)),INDEX(Calc!$E$8:$E$500,MATCH(SMALL(IF((Calc!$K$8:$K$500=Kanban!G$11)*(Calc!$Y$8:$Y$500&gt;0),Calc!$Y$8:$Y$500,99999),Kanban_Helper!$B57),Calc!$Y$8:$Y$500,0)))),"")</f>
        <v/>
      </c>
      <c r="H64" s="171" t="str">
        <f t="array" ref="H64">IFERROR(IF(LEN(H$11)=0,"",IF($C$7&lt;&gt;"All",INDEX(Calc!$E$8:$E$500,MATCH(SMALL(IF((Calc!$C$8:$C$500=Kanban!$C$7)*(Calc!$K$8:$K$500=Kanban!H$11)*(Calc!$Y$8:$Y$500&gt;0),Calc!$Y$8:$Y$500,99999),Kanban_Helper!$B57),Calc!$Y$8:$Y$500,0)),INDEX(Calc!$E$8:$E$500,MATCH(SMALL(IF((Calc!$K$8:$K$500=Kanban!H$11)*(Calc!$Y$8:$Y$500&gt;0),Calc!$Y$8:$Y$500,99999),Kanban_Helper!$B57),Calc!$Y$8:$Y$500,0)))),"")</f>
        <v/>
      </c>
      <c r="I64" s="39"/>
      <c r="J64" s="10"/>
      <c r="K64" s="10"/>
      <c r="L64" s="10"/>
    </row>
    <row r="65" spans="2:12" ht="15" thickBot="1" x14ac:dyDescent="0.4">
      <c r="B65" s="80"/>
      <c r="C65" s="173" t="str">
        <f t="array" ref="C65">IFERROR(IF(LEN(C$11)=0,"",IF($C$7&lt;&gt;"All",IF(LEN(INDEX(Calc!$J$8:$J$500,MATCH(SMALL(IF((Calc!$C$8:$C$500=Kanban!$C$7)*(Calc!$K$8:$K$500=Kanban!C$11)*(Calc!$Y$8:$Y$500&gt;0),Calc!$Y$8:$Y$500,99999),Kanban_Helper!$B58),Calc!$Y$8:$Y$500,0)))=0,"",CONCATENATE(Calc!$AD$6,INDEX(Calc!$J$8:$J$500,MATCH(SMALL(IF((Calc!$C$8:$C$500=Kanban!$C$7)*(Calc!$K$8:$K$500=Kanban!C$11)*(Calc!$Y$8:$Y$500&gt;0),Calc!$Y$8:$Y$500,99999),Kanban_Helper!$B58),Calc!$Y$8:$Y$500,0)))),IF(LEN(INDEX(Calc!$J$8:$J$500,MATCH(SMALL(IF((Calc!$K$8:$K$500=Kanban!C$11)*(Calc!$Y$8:$Y$500&gt;0),Calc!$Y$8:$Y$500,99999),Kanban_Helper!$B58),Calc!$Y$8:$Y$500,0)))=0,"",CONCATENATE(Calc!$AD$6,INDEX(Calc!$J$8:$J$500,MATCH(SMALL(IF((Calc!$K$8:$K$500=Kanban!C$11)*(Calc!$Y$8:$Y$500&gt;0),Calc!$Y$8:$Y$500,99999),Kanban_Helper!$B58),Calc!$Y$8:$Y$500,0)))))),"")</f>
        <v/>
      </c>
      <c r="D65" s="173" t="str">
        <f t="array" ref="D65">IFERROR(IF(LEN(D$11)=0,"",IF($C$7&lt;&gt;"All",IF(LEN(INDEX(Calc!$J$8:$J$500,MATCH(SMALL(IF((Calc!$C$8:$C$500=Kanban!$C$7)*(Calc!$K$8:$K$500=Kanban!D$11)*(Calc!$Y$8:$Y$500&gt;0),Calc!$Y$8:$Y$500,99999),Kanban_Helper!$B58),Calc!$Y$8:$Y$500,0)))=0,"",CONCATENATE(Calc!$AD$6,INDEX(Calc!$J$8:$J$500,MATCH(SMALL(IF((Calc!$C$8:$C$500=Kanban!$C$7)*(Calc!$K$8:$K$500=Kanban!D$11)*(Calc!$Y$8:$Y$500&gt;0),Calc!$Y$8:$Y$500,99999),Kanban_Helper!$B58),Calc!$Y$8:$Y$500,0)))),IF(LEN(INDEX(Calc!$J$8:$J$500,MATCH(SMALL(IF((Calc!$K$8:$K$500=Kanban!D$11)*(Calc!$Y$8:$Y$500&gt;0),Calc!$Y$8:$Y$500,99999),Kanban_Helper!$B58),Calc!$Y$8:$Y$500,0)))=0,"",CONCATENATE(Calc!$AD$6,INDEX(Calc!$J$8:$J$500,MATCH(SMALL(IF((Calc!$K$8:$K$500=Kanban!D$11)*(Calc!$Y$8:$Y$500&gt;0),Calc!$Y$8:$Y$500,99999),Kanban_Helper!$B58),Calc!$Y$8:$Y$500,0)))))),"")</f>
        <v/>
      </c>
      <c r="E65" s="173" t="str">
        <f t="array" ref="E65">IFERROR(IF(LEN(E$11)=0,"",IF($C$7&lt;&gt;"All",IF(LEN(INDEX(Calc!$J$8:$J$500,MATCH(SMALL(IF((Calc!$C$8:$C$500=Kanban!$C$7)*(Calc!$K$8:$K$500=Kanban!E$11)*(Calc!$Y$8:$Y$500&gt;0),Calc!$Y$8:$Y$500,99999),Kanban_Helper!$B58),Calc!$Y$8:$Y$500,0)))=0,"",CONCATENATE(Calc!$AD$6,INDEX(Calc!$J$8:$J$500,MATCH(SMALL(IF((Calc!$C$8:$C$500=Kanban!$C$7)*(Calc!$K$8:$K$500=Kanban!E$11)*(Calc!$Y$8:$Y$500&gt;0),Calc!$Y$8:$Y$500,99999),Kanban_Helper!$B58),Calc!$Y$8:$Y$500,0)))),IF(LEN(INDEX(Calc!$J$8:$J$500,MATCH(SMALL(IF((Calc!$K$8:$K$500=Kanban!E$11)*(Calc!$Y$8:$Y$500&gt;0),Calc!$Y$8:$Y$500,99999),Kanban_Helper!$B58),Calc!$Y$8:$Y$500,0)))=0,"",CONCATENATE(Calc!$AD$6,INDEX(Calc!$J$8:$J$500,MATCH(SMALL(IF((Calc!$K$8:$K$500=Kanban!E$11)*(Calc!$Y$8:$Y$500&gt;0),Calc!$Y$8:$Y$500,99999),Kanban_Helper!$B58),Calc!$Y$8:$Y$500,0)))))),"")</f>
        <v/>
      </c>
      <c r="F65" s="173" t="str">
        <f t="array" ref="F65">IFERROR(IF(LEN(F$11)=0,"",IF($C$7&lt;&gt;"All",IF(LEN(INDEX(Calc!$J$8:$J$500,MATCH(SMALL(IF((Calc!$C$8:$C$500=Kanban!$C$7)*(Calc!$K$8:$K$500=Kanban!F$11)*(Calc!$Y$8:$Y$500&gt;0),Calc!$Y$8:$Y$500,99999),Kanban_Helper!$B58),Calc!$Y$8:$Y$500,0)))=0,"",CONCATENATE(Calc!$AD$6,INDEX(Calc!$J$8:$J$500,MATCH(SMALL(IF((Calc!$C$8:$C$500=Kanban!$C$7)*(Calc!$K$8:$K$500=Kanban!F$11)*(Calc!$Y$8:$Y$500&gt;0),Calc!$Y$8:$Y$500,99999),Kanban_Helper!$B58),Calc!$Y$8:$Y$500,0)))),IF(LEN(INDEX(Calc!$J$8:$J$500,MATCH(SMALL(IF((Calc!$K$8:$K$500=Kanban!F$11)*(Calc!$Y$8:$Y$500&gt;0),Calc!$Y$8:$Y$500,99999),Kanban_Helper!$B58),Calc!$Y$8:$Y$500,0)))=0,"",CONCATENATE(Calc!$AD$6,INDEX(Calc!$J$8:$J$500,MATCH(SMALL(IF((Calc!$K$8:$K$500=Kanban!F$11)*(Calc!$Y$8:$Y$500&gt;0),Calc!$Y$8:$Y$500,99999),Kanban_Helper!$B58),Calc!$Y$8:$Y$500,0)))))),"")</f>
        <v/>
      </c>
      <c r="G65" s="173" t="str">
        <f t="array" ref="G65">IFERROR(IF(LEN(G$11)=0,"",IF($C$7&lt;&gt;"All",IF(LEN(INDEX(Calc!$J$8:$J$500,MATCH(SMALL(IF((Calc!$C$8:$C$500=Kanban!$C$7)*(Calc!$K$8:$K$500=Kanban!G$11)*(Calc!$Y$8:$Y$500&gt;0),Calc!$Y$8:$Y$500,99999),Kanban_Helper!$B58),Calc!$Y$8:$Y$500,0)))=0,"",CONCATENATE(Calc!$AD$6,INDEX(Calc!$J$8:$J$500,MATCH(SMALL(IF((Calc!$C$8:$C$500=Kanban!$C$7)*(Calc!$K$8:$K$500=Kanban!G$11)*(Calc!$Y$8:$Y$500&gt;0),Calc!$Y$8:$Y$500,99999),Kanban_Helper!$B58),Calc!$Y$8:$Y$500,0)))),IF(LEN(INDEX(Calc!$J$8:$J$500,MATCH(SMALL(IF((Calc!$K$8:$K$500=Kanban!G$11)*(Calc!$Y$8:$Y$500&gt;0),Calc!$Y$8:$Y$500,99999),Kanban_Helper!$B58),Calc!$Y$8:$Y$500,0)))=0,"",CONCATENATE(Calc!$AD$6,INDEX(Calc!$J$8:$J$500,MATCH(SMALL(IF((Calc!$K$8:$K$500=Kanban!G$11)*(Calc!$Y$8:$Y$500&gt;0),Calc!$Y$8:$Y$500,99999),Kanban_Helper!$B58),Calc!$Y$8:$Y$500,0)))))),"")</f>
        <v/>
      </c>
      <c r="H65" s="173" t="str">
        <f t="array" ref="H65">IFERROR(IF(LEN(H$11)=0,"",IF($C$7&lt;&gt;"All",IF(LEN(INDEX(Calc!$J$8:$J$500,MATCH(SMALL(IF((Calc!$C$8:$C$500=Kanban!$C$7)*(Calc!$K$8:$K$500=Kanban!H$11)*(Calc!$Y$8:$Y$500&gt;0),Calc!$Y$8:$Y$500,99999),Kanban_Helper!$B58),Calc!$Y$8:$Y$500,0)))=0,"",CONCATENATE(Calc!$AD$6,INDEX(Calc!$J$8:$J$500,MATCH(SMALL(IF((Calc!$C$8:$C$500=Kanban!$C$7)*(Calc!$K$8:$K$500=Kanban!H$11)*(Calc!$Y$8:$Y$500&gt;0),Calc!$Y$8:$Y$500,99999),Kanban_Helper!$B58),Calc!$Y$8:$Y$500,0)))),IF(LEN(INDEX(Calc!$J$8:$J$500,MATCH(SMALL(IF((Calc!$K$8:$K$500=Kanban!H$11)*(Calc!$Y$8:$Y$500&gt;0),Calc!$Y$8:$Y$500,99999),Kanban_Helper!$B58),Calc!$Y$8:$Y$500,0)))=0,"",CONCATENATE(Calc!$AD$6,INDEX(Calc!$J$8:$J$500,MATCH(SMALL(IF((Calc!$K$8:$K$500=Kanban!H$11)*(Calc!$Y$8:$Y$500&gt;0),Calc!$Y$8:$Y$500,99999),Kanban_Helper!$B58),Calc!$Y$8:$Y$500,0)))))),"")</f>
        <v/>
      </c>
      <c r="I65" s="39"/>
      <c r="J65" s="10"/>
      <c r="K65" s="10"/>
      <c r="L65" s="10"/>
    </row>
    <row r="66" spans="2:12" ht="15" thickTop="1" x14ac:dyDescent="0.35">
      <c r="B66" s="80"/>
      <c r="C66" s="170" t="str">
        <f t="array" ref="C66">IFERROR(IF(LEN(C$11)=0,"",IF($C$7&lt;&gt;"All",IF(INDEX(Calc!$V$8:$V$500,MATCH(INDEX(Calc!$D$8:$D$500,MATCH(SMALL(IF((Calc!$C$8:$C$500=Kanban!$C$7)*(Calc!$K$8:$K$500=Kanban!C$11)*(Calc!$Y$8:$Y$500&gt;0),Calc!$Y$8:$Y$500,99999),Kanban_Helper!$B59),Calc!$Y$8:$Y$500,0)),Calc!$D$8:$D$500,0))="Yes",CONCATENATE(INDEX(Calc!$D$8:$D$500,MATCH(SMALL(IF((Calc!$C$8:$C$500=Kanban!$C$7)*(Calc!$K$8:$K$500=Kanban!C$11)*(Calc!$Y$8:$Y$500&gt;0),Calc!$Y$8:$Y$500,99999),Kanban_Helper!$B59),Calc!$Y$8:$Y$500,0))," ",Calc!$V$7," ","!"),INDEX(Calc!$D$8:$D$500,MATCH(SMALL(IF((Calc!$C$8:$C$500=Kanban!$C$7)*(Calc!$K$8:$K$500=Kanban!C$11)*(Calc!$Y$8:$Y$500&gt;0),Calc!$Y$8:$Y$500,99999),Kanban_Helper!$B59),Calc!$Y$8:$Y$500,0))),IF(INDEX(Calc!$V$8:$V$500,MATCH(INDEX(Calc!$D$8:$D$500,MATCH(SMALL(IF((Calc!$K$8:$K$500=Kanban!C$11)*(Calc!$Y$8:$Y$500&gt;0),Calc!$Y$8:$Y$500,99999),Kanban_Helper!$B59),Calc!$Y$8:$Y$500,0)),Calc!$D$8:$D$500,0))="Yes",CONCATENATE(INDEX(Calc!$D$8:$D$500,MATCH(SMALL(IF((Calc!$K$8:$K$500=Kanban!C$11)*(Calc!$Y$8:$Y$500&gt;0),Calc!$Y$8:$Y$500,99999),Kanban_Helper!$B59),Calc!$Y$8:$Y$500,0))," ",Calc!$V$7," ","!"),INDEX(Calc!$D$8:$D$500,MATCH(SMALL(IF((Calc!$K$8:$K$500=Kanban!C$11)*(Calc!$Y$8:$Y$500&gt;0),Calc!$Y$8:$Y$500,99999),Kanban_Helper!$B59),Calc!$Y$8:$Y$500,0))))),"")</f>
        <v/>
      </c>
      <c r="D66" s="170" t="str">
        <f t="array" ref="D66">IFERROR(IF(LEN(D$11)=0,"",IF($C$7&lt;&gt;"All",IF(INDEX(Calc!$V$8:$V$500,MATCH(INDEX(Calc!$D$8:$D$500,MATCH(SMALL(IF((Calc!$C$8:$C$500=Kanban!$C$7)*(Calc!$K$8:$K$500=Kanban!D$11)*(Calc!$Y$8:$Y$500&gt;0),Calc!$Y$8:$Y$500,99999),Kanban_Helper!$B59),Calc!$Y$8:$Y$500,0)),Calc!$D$8:$D$500,0))="Yes",CONCATENATE(INDEX(Calc!$D$8:$D$500,MATCH(SMALL(IF((Calc!$C$8:$C$500=Kanban!$C$7)*(Calc!$K$8:$K$500=Kanban!D$11)*(Calc!$Y$8:$Y$500&gt;0),Calc!$Y$8:$Y$500,99999),Kanban_Helper!$B59),Calc!$Y$8:$Y$500,0))," ",Calc!$V$7," ","!"),INDEX(Calc!$D$8:$D$500,MATCH(SMALL(IF((Calc!$C$8:$C$500=Kanban!$C$7)*(Calc!$K$8:$K$500=Kanban!D$11)*(Calc!$Y$8:$Y$500&gt;0),Calc!$Y$8:$Y$500,99999),Kanban_Helper!$B59),Calc!$Y$8:$Y$500,0))),IF(INDEX(Calc!$V$8:$V$500,MATCH(INDEX(Calc!$D$8:$D$500,MATCH(SMALL(IF((Calc!$K$8:$K$500=Kanban!D$11)*(Calc!$Y$8:$Y$500&gt;0),Calc!$Y$8:$Y$500,99999),Kanban_Helper!$B59),Calc!$Y$8:$Y$500,0)),Calc!$D$8:$D$500,0))="Yes",CONCATENATE(INDEX(Calc!$D$8:$D$500,MATCH(SMALL(IF((Calc!$K$8:$K$500=Kanban!D$11)*(Calc!$Y$8:$Y$500&gt;0),Calc!$Y$8:$Y$500,99999),Kanban_Helper!$B59),Calc!$Y$8:$Y$500,0))," ",Calc!$V$7," ","!"),INDEX(Calc!$D$8:$D$500,MATCH(SMALL(IF((Calc!$K$8:$K$500=Kanban!D$11)*(Calc!$Y$8:$Y$500&gt;0),Calc!$Y$8:$Y$500,99999),Kanban_Helper!$B59),Calc!$Y$8:$Y$500,0))))),"")</f>
        <v/>
      </c>
      <c r="E66" s="170" t="str">
        <f t="array" ref="E66">IFERROR(IF(LEN(E$11)=0,"",IF($C$7&lt;&gt;"All",IF(INDEX(Calc!$V$8:$V$500,MATCH(INDEX(Calc!$D$8:$D$500,MATCH(SMALL(IF((Calc!$C$8:$C$500=Kanban!$C$7)*(Calc!$K$8:$K$500=Kanban!E$11)*(Calc!$Y$8:$Y$500&gt;0),Calc!$Y$8:$Y$500,99999),Kanban_Helper!$B59),Calc!$Y$8:$Y$500,0)),Calc!$D$8:$D$500,0))="Yes",CONCATENATE(INDEX(Calc!$D$8:$D$500,MATCH(SMALL(IF((Calc!$C$8:$C$500=Kanban!$C$7)*(Calc!$K$8:$K$500=Kanban!E$11)*(Calc!$Y$8:$Y$500&gt;0),Calc!$Y$8:$Y$500,99999),Kanban_Helper!$B59),Calc!$Y$8:$Y$500,0))," ",Calc!$V$7," ","!"),INDEX(Calc!$D$8:$D$500,MATCH(SMALL(IF((Calc!$C$8:$C$500=Kanban!$C$7)*(Calc!$K$8:$K$500=Kanban!E$11)*(Calc!$Y$8:$Y$500&gt;0),Calc!$Y$8:$Y$500,99999),Kanban_Helper!$B59),Calc!$Y$8:$Y$500,0))),IF(INDEX(Calc!$V$8:$V$500,MATCH(INDEX(Calc!$D$8:$D$500,MATCH(SMALL(IF((Calc!$K$8:$K$500=Kanban!E$11)*(Calc!$Y$8:$Y$500&gt;0),Calc!$Y$8:$Y$500,99999),Kanban_Helper!$B59),Calc!$Y$8:$Y$500,0)),Calc!$D$8:$D$500,0))="Yes",CONCATENATE(INDEX(Calc!$D$8:$D$500,MATCH(SMALL(IF((Calc!$K$8:$K$500=Kanban!E$11)*(Calc!$Y$8:$Y$500&gt;0),Calc!$Y$8:$Y$500,99999),Kanban_Helper!$B59),Calc!$Y$8:$Y$500,0))," ",Calc!$V$7," ","!"),INDEX(Calc!$D$8:$D$500,MATCH(SMALL(IF((Calc!$K$8:$K$500=Kanban!E$11)*(Calc!$Y$8:$Y$500&gt;0),Calc!$Y$8:$Y$500,99999),Kanban_Helper!$B59),Calc!$Y$8:$Y$500,0))))),"")</f>
        <v/>
      </c>
      <c r="F66" s="170" t="str">
        <f t="array" ref="F66">IFERROR(IF(LEN(F$11)=0,"",IF($C$7&lt;&gt;"All",IF(INDEX(Calc!$V$8:$V$500,MATCH(INDEX(Calc!$D$8:$D$500,MATCH(SMALL(IF((Calc!$C$8:$C$500=Kanban!$C$7)*(Calc!$K$8:$K$500=Kanban!F$11)*(Calc!$Y$8:$Y$500&gt;0),Calc!$Y$8:$Y$500,99999),Kanban_Helper!$B59),Calc!$Y$8:$Y$500,0)),Calc!$D$8:$D$500,0))="Yes",CONCATENATE(INDEX(Calc!$D$8:$D$500,MATCH(SMALL(IF((Calc!$C$8:$C$500=Kanban!$C$7)*(Calc!$K$8:$K$500=Kanban!F$11)*(Calc!$Y$8:$Y$500&gt;0),Calc!$Y$8:$Y$500,99999),Kanban_Helper!$B59),Calc!$Y$8:$Y$500,0))," ",Calc!$V$7," ","!"),INDEX(Calc!$D$8:$D$500,MATCH(SMALL(IF((Calc!$C$8:$C$500=Kanban!$C$7)*(Calc!$K$8:$K$500=Kanban!F$11)*(Calc!$Y$8:$Y$500&gt;0),Calc!$Y$8:$Y$500,99999),Kanban_Helper!$B59),Calc!$Y$8:$Y$500,0))),IF(INDEX(Calc!$V$8:$V$500,MATCH(INDEX(Calc!$D$8:$D$500,MATCH(SMALL(IF((Calc!$K$8:$K$500=Kanban!F$11)*(Calc!$Y$8:$Y$500&gt;0),Calc!$Y$8:$Y$500,99999),Kanban_Helper!$B59),Calc!$Y$8:$Y$500,0)),Calc!$D$8:$D$500,0))="Yes",CONCATENATE(INDEX(Calc!$D$8:$D$500,MATCH(SMALL(IF((Calc!$K$8:$K$500=Kanban!F$11)*(Calc!$Y$8:$Y$500&gt;0),Calc!$Y$8:$Y$500,99999),Kanban_Helper!$B59),Calc!$Y$8:$Y$500,0))," ",Calc!$V$7," ","!"),INDEX(Calc!$D$8:$D$500,MATCH(SMALL(IF((Calc!$K$8:$K$500=Kanban!F$11)*(Calc!$Y$8:$Y$500&gt;0),Calc!$Y$8:$Y$500,99999),Kanban_Helper!$B59),Calc!$Y$8:$Y$500,0))))),"")</f>
        <v/>
      </c>
      <c r="G66" s="170" t="str">
        <f t="array" ref="G66">IFERROR(IF(LEN(G$11)=0,"",IF($C$7&lt;&gt;"All",IF(INDEX(Calc!$V$8:$V$500,MATCH(INDEX(Calc!$D$8:$D$500,MATCH(SMALL(IF((Calc!$C$8:$C$500=Kanban!$C$7)*(Calc!$K$8:$K$500=Kanban!G$11)*(Calc!$Y$8:$Y$500&gt;0),Calc!$Y$8:$Y$500,99999),Kanban_Helper!$B59),Calc!$Y$8:$Y$500,0)),Calc!$D$8:$D$500,0))="Yes",CONCATENATE(INDEX(Calc!$D$8:$D$500,MATCH(SMALL(IF((Calc!$C$8:$C$500=Kanban!$C$7)*(Calc!$K$8:$K$500=Kanban!G$11)*(Calc!$Y$8:$Y$500&gt;0),Calc!$Y$8:$Y$500,99999),Kanban_Helper!$B59),Calc!$Y$8:$Y$500,0))," ",Calc!$V$7," ","!"),INDEX(Calc!$D$8:$D$500,MATCH(SMALL(IF((Calc!$C$8:$C$500=Kanban!$C$7)*(Calc!$K$8:$K$500=Kanban!G$11)*(Calc!$Y$8:$Y$500&gt;0),Calc!$Y$8:$Y$500,99999),Kanban_Helper!$B59),Calc!$Y$8:$Y$500,0))),IF(INDEX(Calc!$V$8:$V$500,MATCH(INDEX(Calc!$D$8:$D$500,MATCH(SMALL(IF((Calc!$K$8:$K$500=Kanban!G$11)*(Calc!$Y$8:$Y$500&gt;0),Calc!$Y$8:$Y$500,99999),Kanban_Helper!$B59),Calc!$Y$8:$Y$500,0)),Calc!$D$8:$D$500,0))="Yes",CONCATENATE(INDEX(Calc!$D$8:$D$500,MATCH(SMALL(IF((Calc!$K$8:$K$500=Kanban!G$11)*(Calc!$Y$8:$Y$500&gt;0),Calc!$Y$8:$Y$500,99999),Kanban_Helper!$B59),Calc!$Y$8:$Y$500,0))," ",Calc!$V$7," ","!"),INDEX(Calc!$D$8:$D$500,MATCH(SMALL(IF((Calc!$K$8:$K$500=Kanban!G$11)*(Calc!$Y$8:$Y$500&gt;0),Calc!$Y$8:$Y$500,99999),Kanban_Helper!$B59),Calc!$Y$8:$Y$500,0))))),"")</f>
        <v/>
      </c>
      <c r="H66" s="170" t="str">
        <f t="array" ref="H66">IFERROR(IF(LEN(H$11)=0,"",IF($C$7&lt;&gt;"All",IF(INDEX(Calc!$V$8:$V$500,MATCH(INDEX(Calc!$D$8:$D$500,MATCH(SMALL(IF((Calc!$C$8:$C$500=Kanban!$C$7)*(Calc!$K$8:$K$500=Kanban!H$11)*(Calc!$Y$8:$Y$500&gt;0),Calc!$Y$8:$Y$500,99999),Kanban_Helper!$B59),Calc!$Y$8:$Y$500,0)),Calc!$D$8:$D$500,0))="Yes",CONCATENATE(INDEX(Calc!$D$8:$D$500,MATCH(SMALL(IF((Calc!$C$8:$C$500=Kanban!$C$7)*(Calc!$K$8:$K$500=Kanban!H$11)*(Calc!$Y$8:$Y$500&gt;0),Calc!$Y$8:$Y$500,99999),Kanban_Helper!$B59),Calc!$Y$8:$Y$500,0))," ",Calc!$V$7," ","!"),INDEX(Calc!$D$8:$D$500,MATCH(SMALL(IF((Calc!$C$8:$C$500=Kanban!$C$7)*(Calc!$K$8:$K$500=Kanban!H$11)*(Calc!$Y$8:$Y$500&gt;0),Calc!$Y$8:$Y$500,99999),Kanban_Helper!$B59),Calc!$Y$8:$Y$500,0))),IF(INDEX(Calc!$V$8:$V$500,MATCH(INDEX(Calc!$D$8:$D$500,MATCH(SMALL(IF((Calc!$K$8:$K$500=Kanban!H$11)*(Calc!$Y$8:$Y$500&gt;0),Calc!$Y$8:$Y$500,99999),Kanban_Helper!$B59),Calc!$Y$8:$Y$500,0)),Calc!$D$8:$D$500,0))="Yes",CONCATENATE(INDEX(Calc!$D$8:$D$500,MATCH(SMALL(IF((Calc!$K$8:$K$500=Kanban!H$11)*(Calc!$Y$8:$Y$500&gt;0),Calc!$Y$8:$Y$500,99999),Kanban_Helper!$B59),Calc!$Y$8:$Y$500,0))," ",Calc!$V$7," ","!"),INDEX(Calc!$D$8:$D$500,MATCH(SMALL(IF((Calc!$K$8:$K$500=Kanban!H$11)*(Calc!$Y$8:$Y$500&gt;0),Calc!$Y$8:$Y$500,99999),Kanban_Helper!$B59),Calc!$Y$8:$Y$500,0))))),"")</f>
        <v/>
      </c>
      <c r="I66" s="39"/>
      <c r="J66" s="10"/>
      <c r="K66" s="10"/>
      <c r="L66" s="10"/>
    </row>
    <row r="67" spans="2:12" x14ac:dyDescent="0.35">
      <c r="B67" s="80"/>
      <c r="C67" s="171" t="str">
        <f t="array" ref="C67">IFERROR(IF(LEN(C$11)=0,"",IF($C$7&lt;&gt;"All",INDEX(Calc!$E$8:$E$500,MATCH(SMALL(IF((Calc!$C$8:$C$500=Kanban!$C$7)*(Calc!$K$8:$K$500=Kanban!C$11)*(Calc!$Y$8:$Y$500&gt;0),Calc!$Y$8:$Y$500,99999),Kanban_Helper!$B60),Calc!$Y$8:$Y$500,0)),INDEX(Calc!$E$8:$E$500,MATCH(SMALL(IF((Calc!$K$8:$K$500=Kanban!C$11)*(Calc!$Y$8:$Y$500&gt;0),Calc!$Y$8:$Y$500,99999),Kanban_Helper!$B60),Calc!$Y$8:$Y$500,0)))),"")</f>
        <v/>
      </c>
      <c r="D67" s="171" t="str">
        <f t="array" ref="D67">IFERROR(IF(LEN(D$11)=0,"",IF($C$7&lt;&gt;"All",INDEX(Calc!$E$8:$E$500,MATCH(SMALL(IF((Calc!$C$8:$C$500=Kanban!$C$7)*(Calc!$K$8:$K$500=Kanban!D$11)*(Calc!$Y$8:$Y$500&gt;0),Calc!$Y$8:$Y$500,99999),Kanban_Helper!$B60),Calc!$Y$8:$Y$500,0)),INDEX(Calc!$E$8:$E$500,MATCH(SMALL(IF((Calc!$K$8:$K$500=Kanban!D$11)*(Calc!$Y$8:$Y$500&gt;0),Calc!$Y$8:$Y$500,99999),Kanban_Helper!$B60),Calc!$Y$8:$Y$500,0)))),"")</f>
        <v/>
      </c>
      <c r="E67" s="171" t="str">
        <f t="array" ref="E67">IFERROR(IF(LEN(E$11)=0,"",IF($C$7&lt;&gt;"All",INDEX(Calc!$E$8:$E$500,MATCH(SMALL(IF((Calc!$C$8:$C$500=Kanban!$C$7)*(Calc!$K$8:$K$500=Kanban!E$11)*(Calc!$Y$8:$Y$500&gt;0),Calc!$Y$8:$Y$500,99999),Kanban_Helper!$B60),Calc!$Y$8:$Y$500,0)),INDEX(Calc!$E$8:$E$500,MATCH(SMALL(IF((Calc!$K$8:$K$500=Kanban!E$11)*(Calc!$Y$8:$Y$500&gt;0),Calc!$Y$8:$Y$500,99999),Kanban_Helper!$B60),Calc!$Y$8:$Y$500,0)))),"")</f>
        <v/>
      </c>
      <c r="F67" s="171" t="str">
        <f t="array" ref="F67">IFERROR(IF(LEN(F$11)=0,"",IF($C$7&lt;&gt;"All",INDEX(Calc!$E$8:$E$500,MATCH(SMALL(IF((Calc!$C$8:$C$500=Kanban!$C$7)*(Calc!$K$8:$K$500=Kanban!F$11)*(Calc!$Y$8:$Y$500&gt;0),Calc!$Y$8:$Y$500,99999),Kanban_Helper!$B60),Calc!$Y$8:$Y$500,0)),INDEX(Calc!$E$8:$E$500,MATCH(SMALL(IF((Calc!$K$8:$K$500=Kanban!F$11)*(Calc!$Y$8:$Y$500&gt;0),Calc!$Y$8:$Y$500,99999),Kanban_Helper!$B60),Calc!$Y$8:$Y$500,0)))),"")</f>
        <v/>
      </c>
      <c r="G67" s="171" t="str">
        <f t="array" ref="G67">IFERROR(IF(LEN(G$11)=0,"",IF($C$7&lt;&gt;"All",INDEX(Calc!$E$8:$E$500,MATCH(SMALL(IF((Calc!$C$8:$C$500=Kanban!$C$7)*(Calc!$K$8:$K$500=Kanban!G$11)*(Calc!$Y$8:$Y$500&gt;0),Calc!$Y$8:$Y$500,99999),Kanban_Helper!$B60),Calc!$Y$8:$Y$500,0)),INDEX(Calc!$E$8:$E$500,MATCH(SMALL(IF((Calc!$K$8:$K$500=Kanban!G$11)*(Calc!$Y$8:$Y$500&gt;0),Calc!$Y$8:$Y$500,99999),Kanban_Helper!$B60),Calc!$Y$8:$Y$500,0)))),"")</f>
        <v/>
      </c>
      <c r="H67" s="171" t="str">
        <f t="array" ref="H67">IFERROR(IF(LEN(H$11)=0,"",IF($C$7&lt;&gt;"All",INDEX(Calc!$E$8:$E$500,MATCH(SMALL(IF((Calc!$C$8:$C$500=Kanban!$C$7)*(Calc!$K$8:$K$500=Kanban!H$11)*(Calc!$Y$8:$Y$500&gt;0),Calc!$Y$8:$Y$500,99999),Kanban_Helper!$B60),Calc!$Y$8:$Y$500,0)),INDEX(Calc!$E$8:$E$500,MATCH(SMALL(IF((Calc!$K$8:$K$500=Kanban!H$11)*(Calc!$Y$8:$Y$500&gt;0),Calc!$Y$8:$Y$500,99999),Kanban_Helper!$B60),Calc!$Y$8:$Y$500,0)))),"")</f>
        <v/>
      </c>
      <c r="I67" s="39"/>
      <c r="J67" s="10"/>
      <c r="K67" s="10"/>
      <c r="L67" s="10"/>
    </row>
    <row r="68" spans="2:12" ht="15" thickBot="1" x14ac:dyDescent="0.4">
      <c r="B68" s="80"/>
      <c r="C68" s="173" t="str">
        <f t="array" ref="C68">IFERROR(IF(LEN(C$11)=0,"",IF($C$7&lt;&gt;"All",IF(LEN(INDEX(Calc!$J$8:$J$500,MATCH(SMALL(IF((Calc!$C$8:$C$500=Kanban!$C$7)*(Calc!$K$8:$K$500=Kanban!C$11)*(Calc!$Y$8:$Y$500&gt;0),Calc!$Y$8:$Y$500,99999),Kanban_Helper!$B61),Calc!$Y$8:$Y$500,0)))=0,"",CONCATENATE(Calc!$AD$6,INDEX(Calc!$J$8:$J$500,MATCH(SMALL(IF((Calc!$C$8:$C$500=Kanban!$C$7)*(Calc!$K$8:$K$500=Kanban!C$11)*(Calc!$Y$8:$Y$500&gt;0),Calc!$Y$8:$Y$500,99999),Kanban_Helper!$B61),Calc!$Y$8:$Y$500,0)))),IF(LEN(INDEX(Calc!$J$8:$J$500,MATCH(SMALL(IF((Calc!$K$8:$K$500=Kanban!C$11)*(Calc!$Y$8:$Y$500&gt;0),Calc!$Y$8:$Y$500,99999),Kanban_Helper!$B61),Calc!$Y$8:$Y$500,0)))=0,"",CONCATENATE(Calc!$AD$6,INDEX(Calc!$J$8:$J$500,MATCH(SMALL(IF((Calc!$K$8:$K$500=Kanban!C$11)*(Calc!$Y$8:$Y$500&gt;0),Calc!$Y$8:$Y$500,99999),Kanban_Helper!$B61),Calc!$Y$8:$Y$500,0)))))),"")</f>
        <v/>
      </c>
      <c r="D68" s="173" t="str">
        <f t="array" ref="D68">IFERROR(IF(LEN(D$11)=0,"",IF($C$7&lt;&gt;"All",IF(LEN(INDEX(Calc!$J$8:$J$500,MATCH(SMALL(IF((Calc!$C$8:$C$500=Kanban!$C$7)*(Calc!$K$8:$K$500=Kanban!D$11)*(Calc!$Y$8:$Y$500&gt;0),Calc!$Y$8:$Y$500,99999),Kanban_Helper!$B61),Calc!$Y$8:$Y$500,0)))=0,"",CONCATENATE(Calc!$AD$6,INDEX(Calc!$J$8:$J$500,MATCH(SMALL(IF((Calc!$C$8:$C$500=Kanban!$C$7)*(Calc!$K$8:$K$500=Kanban!D$11)*(Calc!$Y$8:$Y$500&gt;0),Calc!$Y$8:$Y$500,99999),Kanban_Helper!$B61),Calc!$Y$8:$Y$500,0)))),IF(LEN(INDEX(Calc!$J$8:$J$500,MATCH(SMALL(IF((Calc!$K$8:$K$500=Kanban!D$11)*(Calc!$Y$8:$Y$500&gt;0),Calc!$Y$8:$Y$500,99999),Kanban_Helper!$B61),Calc!$Y$8:$Y$500,0)))=0,"",CONCATENATE(Calc!$AD$6,INDEX(Calc!$J$8:$J$500,MATCH(SMALL(IF((Calc!$K$8:$K$500=Kanban!D$11)*(Calc!$Y$8:$Y$500&gt;0),Calc!$Y$8:$Y$500,99999),Kanban_Helper!$B61),Calc!$Y$8:$Y$500,0)))))),"")</f>
        <v/>
      </c>
      <c r="E68" s="173" t="str">
        <f t="array" ref="E68">IFERROR(IF(LEN(E$11)=0,"",IF($C$7&lt;&gt;"All",IF(LEN(INDEX(Calc!$J$8:$J$500,MATCH(SMALL(IF((Calc!$C$8:$C$500=Kanban!$C$7)*(Calc!$K$8:$K$500=Kanban!E$11)*(Calc!$Y$8:$Y$500&gt;0),Calc!$Y$8:$Y$500,99999),Kanban_Helper!$B61),Calc!$Y$8:$Y$500,0)))=0,"",CONCATENATE(Calc!$AD$6,INDEX(Calc!$J$8:$J$500,MATCH(SMALL(IF((Calc!$C$8:$C$500=Kanban!$C$7)*(Calc!$K$8:$K$500=Kanban!E$11)*(Calc!$Y$8:$Y$500&gt;0),Calc!$Y$8:$Y$500,99999),Kanban_Helper!$B61),Calc!$Y$8:$Y$500,0)))),IF(LEN(INDEX(Calc!$J$8:$J$500,MATCH(SMALL(IF((Calc!$K$8:$K$500=Kanban!E$11)*(Calc!$Y$8:$Y$500&gt;0),Calc!$Y$8:$Y$500,99999),Kanban_Helper!$B61),Calc!$Y$8:$Y$500,0)))=0,"",CONCATENATE(Calc!$AD$6,INDEX(Calc!$J$8:$J$500,MATCH(SMALL(IF((Calc!$K$8:$K$500=Kanban!E$11)*(Calc!$Y$8:$Y$500&gt;0),Calc!$Y$8:$Y$500,99999),Kanban_Helper!$B61),Calc!$Y$8:$Y$500,0)))))),"")</f>
        <v/>
      </c>
      <c r="F68" s="173" t="str">
        <f t="array" ref="F68">IFERROR(IF(LEN(F$11)=0,"",IF($C$7&lt;&gt;"All",IF(LEN(INDEX(Calc!$J$8:$J$500,MATCH(SMALL(IF((Calc!$C$8:$C$500=Kanban!$C$7)*(Calc!$K$8:$K$500=Kanban!F$11)*(Calc!$Y$8:$Y$500&gt;0),Calc!$Y$8:$Y$500,99999),Kanban_Helper!$B61),Calc!$Y$8:$Y$500,0)))=0,"",CONCATENATE(Calc!$AD$6,INDEX(Calc!$J$8:$J$500,MATCH(SMALL(IF((Calc!$C$8:$C$500=Kanban!$C$7)*(Calc!$K$8:$K$500=Kanban!F$11)*(Calc!$Y$8:$Y$500&gt;0),Calc!$Y$8:$Y$500,99999),Kanban_Helper!$B61),Calc!$Y$8:$Y$500,0)))),IF(LEN(INDEX(Calc!$J$8:$J$500,MATCH(SMALL(IF((Calc!$K$8:$K$500=Kanban!F$11)*(Calc!$Y$8:$Y$500&gt;0),Calc!$Y$8:$Y$500,99999),Kanban_Helper!$B61),Calc!$Y$8:$Y$500,0)))=0,"",CONCATENATE(Calc!$AD$6,INDEX(Calc!$J$8:$J$500,MATCH(SMALL(IF((Calc!$K$8:$K$500=Kanban!F$11)*(Calc!$Y$8:$Y$500&gt;0),Calc!$Y$8:$Y$500,99999),Kanban_Helper!$B61),Calc!$Y$8:$Y$500,0)))))),"")</f>
        <v/>
      </c>
      <c r="G68" s="173" t="str">
        <f t="array" ref="G68">IFERROR(IF(LEN(G$11)=0,"",IF($C$7&lt;&gt;"All",IF(LEN(INDEX(Calc!$J$8:$J$500,MATCH(SMALL(IF((Calc!$C$8:$C$500=Kanban!$C$7)*(Calc!$K$8:$K$500=Kanban!G$11)*(Calc!$Y$8:$Y$500&gt;0),Calc!$Y$8:$Y$500,99999),Kanban_Helper!$B61),Calc!$Y$8:$Y$500,0)))=0,"",CONCATENATE(Calc!$AD$6,INDEX(Calc!$J$8:$J$500,MATCH(SMALL(IF((Calc!$C$8:$C$500=Kanban!$C$7)*(Calc!$K$8:$K$500=Kanban!G$11)*(Calc!$Y$8:$Y$500&gt;0),Calc!$Y$8:$Y$500,99999),Kanban_Helper!$B61),Calc!$Y$8:$Y$500,0)))),IF(LEN(INDEX(Calc!$J$8:$J$500,MATCH(SMALL(IF((Calc!$K$8:$K$500=Kanban!G$11)*(Calc!$Y$8:$Y$500&gt;0),Calc!$Y$8:$Y$500,99999),Kanban_Helper!$B61),Calc!$Y$8:$Y$500,0)))=0,"",CONCATENATE(Calc!$AD$6,INDEX(Calc!$J$8:$J$500,MATCH(SMALL(IF((Calc!$K$8:$K$500=Kanban!G$11)*(Calc!$Y$8:$Y$500&gt;0),Calc!$Y$8:$Y$500,99999),Kanban_Helper!$B61),Calc!$Y$8:$Y$500,0)))))),"")</f>
        <v/>
      </c>
      <c r="H68" s="173" t="str">
        <f t="array" ref="H68">IFERROR(IF(LEN(H$11)=0,"",IF($C$7&lt;&gt;"All",IF(LEN(INDEX(Calc!$J$8:$J$500,MATCH(SMALL(IF((Calc!$C$8:$C$500=Kanban!$C$7)*(Calc!$K$8:$K$500=Kanban!H$11)*(Calc!$Y$8:$Y$500&gt;0),Calc!$Y$8:$Y$500,99999),Kanban_Helper!$B61),Calc!$Y$8:$Y$500,0)))=0,"",CONCATENATE(Calc!$AD$6,INDEX(Calc!$J$8:$J$500,MATCH(SMALL(IF((Calc!$C$8:$C$500=Kanban!$C$7)*(Calc!$K$8:$K$500=Kanban!H$11)*(Calc!$Y$8:$Y$500&gt;0),Calc!$Y$8:$Y$500,99999),Kanban_Helper!$B61),Calc!$Y$8:$Y$500,0)))),IF(LEN(INDEX(Calc!$J$8:$J$500,MATCH(SMALL(IF((Calc!$K$8:$K$500=Kanban!H$11)*(Calc!$Y$8:$Y$500&gt;0),Calc!$Y$8:$Y$500,99999),Kanban_Helper!$B61),Calc!$Y$8:$Y$500,0)))=0,"",CONCATENATE(Calc!$AD$6,INDEX(Calc!$J$8:$J$500,MATCH(SMALL(IF((Calc!$K$8:$K$500=Kanban!H$11)*(Calc!$Y$8:$Y$500&gt;0),Calc!$Y$8:$Y$500,99999),Kanban_Helper!$B61),Calc!$Y$8:$Y$500,0)))))),"")</f>
        <v/>
      </c>
      <c r="I68" s="39"/>
      <c r="J68" s="10"/>
      <c r="K68" s="10"/>
      <c r="L68" s="10"/>
    </row>
    <row r="69" spans="2:12" ht="15" thickTop="1" x14ac:dyDescent="0.35">
      <c r="B69" s="80"/>
      <c r="C69" s="170" t="str">
        <f t="array" ref="C69">IFERROR(IF(LEN(C$11)=0,"",IF($C$7&lt;&gt;"All",IF(INDEX(Calc!$V$8:$V$500,MATCH(INDEX(Calc!$D$8:$D$500,MATCH(SMALL(IF((Calc!$C$8:$C$500=Kanban!$C$7)*(Calc!$K$8:$K$500=Kanban!C$11)*(Calc!$Y$8:$Y$500&gt;0),Calc!$Y$8:$Y$500,99999),Kanban_Helper!$B62),Calc!$Y$8:$Y$500,0)),Calc!$D$8:$D$500,0))="Yes",CONCATENATE(INDEX(Calc!$D$8:$D$500,MATCH(SMALL(IF((Calc!$C$8:$C$500=Kanban!$C$7)*(Calc!$K$8:$K$500=Kanban!C$11)*(Calc!$Y$8:$Y$500&gt;0),Calc!$Y$8:$Y$500,99999),Kanban_Helper!$B62),Calc!$Y$8:$Y$500,0))," ",Calc!$V$7," ","!"),INDEX(Calc!$D$8:$D$500,MATCH(SMALL(IF((Calc!$C$8:$C$500=Kanban!$C$7)*(Calc!$K$8:$K$500=Kanban!C$11)*(Calc!$Y$8:$Y$500&gt;0),Calc!$Y$8:$Y$500,99999),Kanban_Helper!$B62),Calc!$Y$8:$Y$500,0))),IF(INDEX(Calc!$V$8:$V$500,MATCH(INDEX(Calc!$D$8:$D$500,MATCH(SMALL(IF((Calc!$K$8:$K$500=Kanban!C$11)*(Calc!$Y$8:$Y$500&gt;0),Calc!$Y$8:$Y$500,99999),Kanban_Helper!$B62),Calc!$Y$8:$Y$500,0)),Calc!$D$8:$D$500,0))="Yes",CONCATENATE(INDEX(Calc!$D$8:$D$500,MATCH(SMALL(IF((Calc!$K$8:$K$500=Kanban!C$11)*(Calc!$Y$8:$Y$500&gt;0),Calc!$Y$8:$Y$500,99999),Kanban_Helper!$B62),Calc!$Y$8:$Y$500,0))," ",Calc!$V$7," ","!"),INDEX(Calc!$D$8:$D$500,MATCH(SMALL(IF((Calc!$K$8:$K$500=Kanban!C$11)*(Calc!$Y$8:$Y$500&gt;0),Calc!$Y$8:$Y$500,99999),Kanban_Helper!$B62),Calc!$Y$8:$Y$500,0))))),"")</f>
        <v/>
      </c>
      <c r="D69" s="170" t="str">
        <f t="array" ref="D69">IFERROR(IF(LEN(D$11)=0,"",IF($C$7&lt;&gt;"All",IF(INDEX(Calc!$V$8:$V$500,MATCH(INDEX(Calc!$D$8:$D$500,MATCH(SMALL(IF((Calc!$C$8:$C$500=Kanban!$C$7)*(Calc!$K$8:$K$500=Kanban!D$11)*(Calc!$Y$8:$Y$500&gt;0),Calc!$Y$8:$Y$500,99999),Kanban_Helper!$B62),Calc!$Y$8:$Y$500,0)),Calc!$D$8:$D$500,0))="Yes",CONCATENATE(INDEX(Calc!$D$8:$D$500,MATCH(SMALL(IF((Calc!$C$8:$C$500=Kanban!$C$7)*(Calc!$K$8:$K$500=Kanban!D$11)*(Calc!$Y$8:$Y$500&gt;0),Calc!$Y$8:$Y$500,99999),Kanban_Helper!$B62),Calc!$Y$8:$Y$500,0))," ",Calc!$V$7," ","!"),INDEX(Calc!$D$8:$D$500,MATCH(SMALL(IF((Calc!$C$8:$C$500=Kanban!$C$7)*(Calc!$K$8:$K$500=Kanban!D$11)*(Calc!$Y$8:$Y$500&gt;0),Calc!$Y$8:$Y$500,99999),Kanban_Helper!$B62),Calc!$Y$8:$Y$500,0))),IF(INDEX(Calc!$V$8:$V$500,MATCH(INDEX(Calc!$D$8:$D$500,MATCH(SMALL(IF((Calc!$K$8:$K$500=Kanban!D$11)*(Calc!$Y$8:$Y$500&gt;0),Calc!$Y$8:$Y$500,99999),Kanban_Helper!$B62),Calc!$Y$8:$Y$500,0)),Calc!$D$8:$D$500,0))="Yes",CONCATENATE(INDEX(Calc!$D$8:$D$500,MATCH(SMALL(IF((Calc!$K$8:$K$500=Kanban!D$11)*(Calc!$Y$8:$Y$500&gt;0),Calc!$Y$8:$Y$500,99999),Kanban_Helper!$B62),Calc!$Y$8:$Y$500,0))," ",Calc!$V$7," ","!"),INDEX(Calc!$D$8:$D$500,MATCH(SMALL(IF((Calc!$K$8:$K$500=Kanban!D$11)*(Calc!$Y$8:$Y$500&gt;0),Calc!$Y$8:$Y$500,99999),Kanban_Helper!$B62),Calc!$Y$8:$Y$500,0))))),"")</f>
        <v/>
      </c>
      <c r="E69" s="170" t="str">
        <f t="array" ref="E69">IFERROR(IF(LEN(E$11)=0,"",IF($C$7&lt;&gt;"All",IF(INDEX(Calc!$V$8:$V$500,MATCH(INDEX(Calc!$D$8:$D$500,MATCH(SMALL(IF((Calc!$C$8:$C$500=Kanban!$C$7)*(Calc!$K$8:$K$500=Kanban!E$11)*(Calc!$Y$8:$Y$500&gt;0),Calc!$Y$8:$Y$500,99999),Kanban_Helper!$B62),Calc!$Y$8:$Y$500,0)),Calc!$D$8:$D$500,0))="Yes",CONCATENATE(INDEX(Calc!$D$8:$D$500,MATCH(SMALL(IF((Calc!$C$8:$C$500=Kanban!$C$7)*(Calc!$K$8:$K$500=Kanban!E$11)*(Calc!$Y$8:$Y$500&gt;0),Calc!$Y$8:$Y$500,99999),Kanban_Helper!$B62),Calc!$Y$8:$Y$500,0))," ",Calc!$V$7," ","!"),INDEX(Calc!$D$8:$D$500,MATCH(SMALL(IF((Calc!$C$8:$C$500=Kanban!$C$7)*(Calc!$K$8:$K$500=Kanban!E$11)*(Calc!$Y$8:$Y$500&gt;0),Calc!$Y$8:$Y$500,99999),Kanban_Helper!$B62),Calc!$Y$8:$Y$500,0))),IF(INDEX(Calc!$V$8:$V$500,MATCH(INDEX(Calc!$D$8:$D$500,MATCH(SMALL(IF((Calc!$K$8:$K$500=Kanban!E$11)*(Calc!$Y$8:$Y$500&gt;0),Calc!$Y$8:$Y$500,99999),Kanban_Helper!$B62),Calc!$Y$8:$Y$500,0)),Calc!$D$8:$D$500,0))="Yes",CONCATENATE(INDEX(Calc!$D$8:$D$500,MATCH(SMALL(IF((Calc!$K$8:$K$500=Kanban!E$11)*(Calc!$Y$8:$Y$500&gt;0),Calc!$Y$8:$Y$500,99999),Kanban_Helper!$B62),Calc!$Y$8:$Y$500,0))," ",Calc!$V$7," ","!"),INDEX(Calc!$D$8:$D$500,MATCH(SMALL(IF((Calc!$K$8:$K$500=Kanban!E$11)*(Calc!$Y$8:$Y$500&gt;0),Calc!$Y$8:$Y$500,99999),Kanban_Helper!$B62),Calc!$Y$8:$Y$500,0))))),"")</f>
        <v/>
      </c>
      <c r="F69" s="170" t="str">
        <f t="array" ref="F69">IFERROR(IF(LEN(F$11)=0,"",IF($C$7&lt;&gt;"All",IF(INDEX(Calc!$V$8:$V$500,MATCH(INDEX(Calc!$D$8:$D$500,MATCH(SMALL(IF((Calc!$C$8:$C$500=Kanban!$C$7)*(Calc!$K$8:$K$500=Kanban!F$11)*(Calc!$Y$8:$Y$500&gt;0),Calc!$Y$8:$Y$500,99999),Kanban_Helper!$B62),Calc!$Y$8:$Y$500,0)),Calc!$D$8:$D$500,0))="Yes",CONCATENATE(INDEX(Calc!$D$8:$D$500,MATCH(SMALL(IF((Calc!$C$8:$C$500=Kanban!$C$7)*(Calc!$K$8:$K$500=Kanban!F$11)*(Calc!$Y$8:$Y$500&gt;0),Calc!$Y$8:$Y$500,99999),Kanban_Helper!$B62),Calc!$Y$8:$Y$500,0))," ",Calc!$V$7," ","!"),INDEX(Calc!$D$8:$D$500,MATCH(SMALL(IF((Calc!$C$8:$C$500=Kanban!$C$7)*(Calc!$K$8:$K$500=Kanban!F$11)*(Calc!$Y$8:$Y$500&gt;0),Calc!$Y$8:$Y$500,99999),Kanban_Helper!$B62),Calc!$Y$8:$Y$500,0))),IF(INDEX(Calc!$V$8:$V$500,MATCH(INDEX(Calc!$D$8:$D$500,MATCH(SMALL(IF((Calc!$K$8:$K$500=Kanban!F$11)*(Calc!$Y$8:$Y$500&gt;0),Calc!$Y$8:$Y$500,99999),Kanban_Helper!$B62),Calc!$Y$8:$Y$500,0)),Calc!$D$8:$D$500,0))="Yes",CONCATENATE(INDEX(Calc!$D$8:$D$500,MATCH(SMALL(IF((Calc!$K$8:$K$500=Kanban!F$11)*(Calc!$Y$8:$Y$500&gt;0),Calc!$Y$8:$Y$500,99999),Kanban_Helper!$B62),Calc!$Y$8:$Y$500,0))," ",Calc!$V$7," ","!"),INDEX(Calc!$D$8:$D$500,MATCH(SMALL(IF((Calc!$K$8:$K$500=Kanban!F$11)*(Calc!$Y$8:$Y$500&gt;0),Calc!$Y$8:$Y$500,99999),Kanban_Helper!$B62),Calc!$Y$8:$Y$500,0))))),"")</f>
        <v/>
      </c>
      <c r="G69" s="170" t="str">
        <f t="array" ref="G69">IFERROR(IF(LEN(G$11)=0,"",IF($C$7&lt;&gt;"All",IF(INDEX(Calc!$V$8:$V$500,MATCH(INDEX(Calc!$D$8:$D$500,MATCH(SMALL(IF((Calc!$C$8:$C$500=Kanban!$C$7)*(Calc!$K$8:$K$500=Kanban!G$11)*(Calc!$Y$8:$Y$500&gt;0),Calc!$Y$8:$Y$500,99999),Kanban_Helper!$B62),Calc!$Y$8:$Y$500,0)),Calc!$D$8:$D$500,0))="Yes",CONCATENATE(INDEX(Calc!$D$8:$D$500,MATCH(SMALL(IF((Calc!$C$8:$C$500=Kanban!$C$7)*(Calc!$K$8:$K$500=Kanban!G$11)*(Calc!$Y$8:$Y$500&gt;0),Calc!$Y$8:$Y$500,99999),Kanban_Helper!$B62),Calc!$Y$8:$Y$500,0))," ",Calc!$V$7," ","!"),INDEX(Calc!$D$8:$D$500,MATCH(SMALL(IF((Calc!$C$8:$C$500=Kanban!$C$7)*(Calc!$K$8:$K$500=Kanban!G$11)*(Calc!$Y$8:$Y$500&gt;0),Calc!$Y$8:$Y$500,99999),Kanban_Helper!$B62),Calc!$Y$8:$Y$500,0))),IF(INDEX(Calc!$V$8:$V$500,MATCH(INDEX(Calc!$D$8:$D$500,MATCH(SMALL(IF((Calc!$K$8:$K$500=Kanban!G$11)*(Calc!$Y$8:$Y$500&gt;0),Calc!$Y$8:$Y$500,99999),Kanban_Helper!$B62),Calc!$Y$8:$Y$500,0)),Calc!$D$8:$D$500,0))="Yes",CONCATENATE(INDEX(Calc!$D$8:$D$500,MATCH(SMALL(IF((Calc!$K$8:$K$500=Kanban!G$11)*(Calc!$Y$8:$Y$500&gt;0),Calc!$Y$8:$Y$500,99999),Kanban_Helper!$B62),Calc!$Y$8:$Y$500,0))," ",Calc!$V$7," ","!"),INDEX(Calc!$D$8:$D$500,MATCH(SMALL(IF((Calc!$K$8:$K$500=Kanban!G$11)*(Calc!$Y$8:$Y$500&gt;0),Calc!$Y$8:$Y$500,99999),Kanban_Helper!$B62),Calc!$Y$8:$Y$500,0))))),"")</f>
        <v/>
      </c>
      <c r="H69" s="170" t="str">
        <f t="array" ref="H69">IFERROR(IF(LEN(H$11)=0,"",IF($C$7&lt;&gt;"All",IF(INDEX(Calc!$V$8:$V$500,MATCH(INDEX(Calc!$D$8:$D$500,MATCH(SMALL(IF((Calc!$C$8:$C$500=Kanban!$C$7)*(Calc!$K$8:$K$500=Kanban!H$11)*(Calc!$Y$8:$Y$500&gt;0),Calc!$Y$8:$Y$500,99999),Kanban_Helper!$B62),Calc!$Y$8:$Y$500,0)),Calc!$D$8:$D$500,0))="Yes",CONCATENATE(INDEX(Calc!$D$8:$D$500,MATCH(SMALL(IF((Calc!$C$8:$C$500=Kanban!$C$7)*(Calc!$K$8:$K$500=Kanban!H$11)*(Calc!$Y$8:$Y$500&gt;0),Calc!$Y$8:$Y$500,99999),Kanban_Helper!$B62),Calc!$Y$8:$Y$500,0))," ",Calc!$V$7," ","!"),INDEX(Calc!$D$8:$D$500,MATCH(SMALL(IF((Calc!$C$8:$C$500=Kanban!$C$7)*(Calc!$K$8:$K$500=Kanban!H$11)*(Calc!$Y$8:$Y$500&gt;0),Calc!$Y$8:$Y$500,99999),Kanban_Helper!$B62),Calc!$Y$8:$Y$500,0))),IF(INDEX(Calc!$V$8:$V$500,MATCH(INDEX(Calc!$D$8:$D$500,MATCH(SMALL(IF((Calc!$K$8:$K$500=Kanban!H$11)*(Calc!$Y$8:$Y$500&gt;0),Calc!$Y$8:$Y$500,99999),Kanban_Helper!$B62),Calc!$Y$8:$Y$500,0)),Calc!$D$8:$D$500,0))="Yes",CONCATENATE(INDEX(Calc!$D$8:$D$500,MATCH(SMALL(IF((Calc!$K$8:$K$500=Kanban!H$11)*(Calc!$Y$8:$Y$500&gt;0),Calc!$Y$8:$Y$500,99999),Kanban_Helper!$B62),Calc!$Y$8:$Y$500,0))," ",Calc!$V$7," ","!"),INDEX(Calc!$D$8:$D$500,MATCH(SMALL(IF((Calc!$K$8:$K$500=Kanban!H$11)*(Calc!$Y$8:$Y$500&gt;0),Calc!$Y$8:$Y$500,99999),Kanban_Helper!$B62),Calc!$Y$8:$Y$500,0))))),"")</f>
        <v/>
      </c>
      <c r="I69" s="39"/>
      <c r="J69" s="10"/>
      <c r="K69" s="10"/>
      <c r="L69" s="10"/>
    </row>
    <row r="70" spans="2:12" x14ac:dyDescent="0.35">
      <c r="B70" s="80"/>
      <c r="C70" s="171" t="str">
        <f t="array" ref="C70">IFERROR(IF(LEN(C$11)=0,"",IF($C$7&lt;&gt;"All",INDEX(Calc!$E$8:$E$500,MATCH(SMALL(IF((Calc!$C$8:$C$500=Kanban!$C$7)*(Calc!$K$8:$K$500=Kanban!C$11)*(Calc!$Y$8:$Y$500&gt;0),Calc!$Y$8:$Y$500,99999),Kanban_Helper!$B63),Calc!$Y$8:$Y$500,0)),INDEX(Calc!$E$8:$E$500,MATCH(SMALL(IF((Calc!$K$8:$K$500=Kanban!C$11)*(Calc!$Y$8:$Y$500&gt;0),Calc!$Y$8:$Y$500,99999),Kanban_Helper!$B63),Calc!$Y$8:$Y$500,0)))),"")</f>
        <v/>
      </c>
      <c r="D70" s="171" t="str">
        <f t="array" ref="D70">IFERROR(IF(LEN(D$11)=0,"",IF($C$7&lt;&gt;"All",INDEX(Calc!$E$8:$E$500,MATCH(SMALL(IF((Calc!$C$8:$C$500=Kanban!$C$7)*(Calc!$K$8:$K$500=Kanban!D$11)*(Calc!$Y$8:$Y$500&gt;0),Calc!$Y$8:$Y$500,99999),Kanban_Helper!$B63),Calc!$Y$8:$Y$500,0)),INDEX(Calc!$E$8:$E$500,MATCH(SMALL(IF((Calc!$K$8:$K$500=Kanban!D$11)*(Calc!$Y$8:$Y$500&gt;0),Calc!$Y$8:$Y$500,99999),Kanban_Helper!$B63),Calc!$Y$8:$Y$500,0)))),"")</f>
        <v/>
      </c>
      <c r="E70" s="171" t="str">
        <f t="array" ref="E70">IFERROR(IF(LEN(E$11)=0,"",IF($C$7&lt;&gt;"All",INDEX(Calc!$E$8:$E$500,MATCH(SMALL(IF((Calc!$C$8:$C$500=Kanban!$C$7)*(Calc!$K$8:$K$500=Kanban!E$11)*(Calc!$Y$8:$Y$500&gt;0),Calc!$Y$8:$Y$500,99999),Kanban_Helper!$B63),Calc!$Y$8:$Y$500,0)),INDEX(Calc!$E$8:$E$500,MATCH(SMALL(IF((Calc!$K$8:$K$500=Kanban!E$11)*(Calc!$Y$8:$Y$500&gt;0),Calc!$Y$8:$Y$500,99999),Kanban_Helper!$B63),Calc!$Y$8:$Y$500,0)))),"")</f>
        <v/>
      </c>
      <c r="F70" s="171" t="str">
        <f t="array" ref="F70">IFERROR(IF(LEN(F$11)=0,"",IF($C$7&lt;&gt;"All",INDEX(Calc!$E$8:$E$500,MATCH(SMALL(IF((Calc!$C$8:$C$500=Kanban!$C$7)*(Calc!$K$8:$K$500=Kanban!F$11)*(Calc!$Y$8:$Y$500&gt;0),Calc!$Y$8:$Y$500,99999),Kanban_Helper!$B63),Calc!$Y$8:$Y$500,0)),INDEX(Calc!$E$8:$E$500,MATCH(SMALL(IF((Calc!$K$8:$K$500=Kanban!F$11)*(Calc!$Y$8:$Y$500&gt;0),Calc!$Y$8:$Y$500,99999),Kanban_Helper!$B63),Calc!$Y$8:$Y$500,0)))),"")</f>
        <v/>
      </c>
      <c r="G70" s="171" t="str">
        <f t="array" ref="G70">IFERROR(IF(LEN(G$11)=0,"",IF($C$7&lt;&gt;"All",INDEX(Calc!$E$8:$E$500,MATCH(SMALL(IF((Calc!$C$8:$C$500=Kanban!$C$7)*(Calc!$K$8:$K$500=Kanban!G$11)*(Calc!$Y$8:$Y$500&gt;0),Calc!$Y$8:$Y$500,99999),Kanban_Helper!$B63),Calc!$Y$8:$Y$500,0)),INDEX(Calc!$E$8:$E$500,MATCH(SMALL(IF((Calc!$K$8:$K$500=Kanban!G$11)*(Calc!$Y$8:$Y$500&gt;0),Calc!$Y$8:$Y$500,99999),Kanban_Helper!$B63),Calc!$Y$8:$Y$500,0)))),"")</f>
        <v/>
      </c>
      <c r="H70" s="171" t="str">
        <f t="array" ref="H70">IFERROR(IF(LEN(H$11)=0,"",IF($C$7&lt;&gt;"All",INDEX(Calc!$E$8:$E$500,MATCH(SMALL(IF((Calc!$C$8:$C$500=Kanban!$C$7)*(Calc!$K$8:$K$500=Kanban!H$11)*(Calc!$Y$8:$Y$500&gt;0),Calc!$Y$8:$Y$500,99999),Kanban_Helper!$B63),Calc!$Y$8:$Y$500,0)),INDEX(Calc!$E$8:$E$500,MATCH(SMALL(IF((Calc!$K$8:$K$500=Kanban!H$11)*(Calc!$Y$8:$Y$500&gt;0),Calc!$Y$8:$Y$500,99999),Kanban_Helper!$B63),Calc!$Y$8:$Y$500,0)))),"")</f>
        <v/>
      </c>
      <c r="I70" s="39"/>
      <c r="J70" s="10"/>
      <c r="K70" s="10"/>
      <c r="L70" s="10"/>
    </row>
    <row r="71" spans="2:12" ht="15" thickBot="1" x14ac:dyDescent="0.4">
      <c r="B71" s="80"/>
      <c r="C71" s="173" t="str">
        <f t="array" ref="C71">IFERROR(IF(LEN(C$11)=0,"",IF($C$7&lt;&gt;"All",IF(LEN(INDEX(Calc!$J$8:$J$500,MATCH(SMALL(IF((Calc!$C$8:$C$500=Kanban!$C$7)*(Calc!$K$8:$K$500=Kanban!C$11)*(Calc!$Y$8:$Y$500&gt;0),Calc!$Y$8:$Y$500,99999),Kanban_Helper!$B64),Calc!$Y$8:$Y$500,0)))=0,"",CONCATENATE(Calc!$AD$6,INDEX(Calc!$J$8:$J$500,MATCH(SMALL(IF((Calc!$C$8:$C$500=Kanban!$C$7)*(Calc!$K$8:$K$500=Kanban!C$11)*(Calc!$Y$8:$Y$500&gt;0),Calc!$Y$8:$Y$500,99999),Kanban_Helper!$B64),Calc!$Y$8:$Y$500,0)))),IF(LEN(INDEX(Calc!$J$8:$J$500,MATCH(SMALL(IF((Calc!$K$8:$K$500=Kanban!C$11)*(Calc!$Y$8:$Y$500&gt;0),Calc!$Y$8:$Y$500,99999),Kanban_Helper!$B64),Calc!$Y$8:$Y$500,0)))=0,"",CONCATENATE(Calc!$AD$6,INDEX(Calc!$J$8:$J$500,MATCH(SMALL(IF((Calc!$K$8:$K$500=Kanban!C$11)*(Calc!$Y$8:$Y$500&gt;0),Calc!$Y$8:$Y$500,99999),Kanban_Helper!$B64),Calc!$Y$8:$Y$500,0)))))),"")</f>
        <v/>
      </c>
      <c r="D71" s="173" t="str">
        <f t="array" ref="D71">IFERROR(IF(LEN(D$11)=0,"",IF($C$7&lt;&gt;"All",IF(LEN(INDEX(Calc!$J$8:$J$500,MATCH(SMALL(IF((Calc!$C$8:$C$500=Kanban!$C$7)*(Calc!$K$8:$K$500=Kanban!D$11)*(Calc!$Y$8:$Y$500&gt;0),Calc!$Y$8:$Y$500,99999),Kanban_Helper!$B64),Calc!$Y$8:$Y$500,0)))=0,"",CONCATENATE(Calc!$AD$6,INDEX(Calc!$J$8:$J$500,MATCH(SMALL(IF((Calc!$C$8:$C$500=Kanban!$C$7)*(Calc!$K$8:$K$500=Kanban!D$11)*(Calc!$Y$8:$Y$500&gt;0),Calc!$Y$8:$Y$500,99999),Kanban_Helper!$B64),Calc!$Y$8:$Y$500,0)))),IF(LEN(INDEX(Calc!$J$8:$J$500,MATCH(SMALL(IF((Calc!$K$8:$K$500=Kanban!D$11)*(Calc!$Y$8:$Y$500&gt;0),Calc!$Y$8:$Y$500,99999),Kanban_Helper!$B64),Calc!$Y$8:$Y$500,0)))=0,"",CONCATENATE(Calc!$AD$6,INDEX(Calc!$J$8:$J$500,MATCH(SMALL(IF((Calc!$K$8:$K$500=Kanban!D$11)*(Calc!$Y$8:$Y$500&gt;0),Calc!$Y$8:$Y$500,99999),Kanban_Helper!$B64),Calc!$Y$8:$Y$500,0)))))),"")</f>
        <v/>
      </c>
      <c r="E71" s="173" t="str">
        <f t="array" ref="E71">IFERROR(IF(LEN(E$11)=0,"",IF($C$7&lt;&gt;"All",IF(LEN(INDEX(Calc!$J$8:$J$500,MATCH(SMALL(IF((Calc!$C$8:$C$500=Kanban!$C$7)*(Calc!$K$8:$K$500=Kanban!E$11)*(Calc!$Y$8:$Y$500&gt;0),Calc!$Y$8:$Y$500,99999),Kanban_Helper!$B64),Calc!$Y$8:$Y$500,0)))=0,"",CONCATENATE(Calc!$AD$6,INDEX(Calc!$J$8:$J$500,MATCH(SMALL(IF((Calc!$C$8:$C$500=Kanban!$C$7)*(Calc!$K$8:$K$500=Kanban!E$11)*(Calc!$Y$8:$Y$500&gt;0),Calc!$Y$8:$Y$500,99999),Kanban_Helper!$B64),Calc!$Y$8:$Y$500,0)))),IF(LEN(INDEX(Calc!$J$8:$J$500,MATCH(SMALL(IF((Calc!$K$8:$K$500=Kanban!E$11)*(Calc!$Y$8:$Y$500&gt;0),Calc!$Y$8:$Y$500,99999),Kanban_Helper!$B64),Calc!$Y$8:$Y$500,0)))=0,"",CONCATENATE(Calc!$AD$6,INDEX(Calc!$J$8:$J$500,MATCH(SMALL(IF((Calc!$K$8:$K$500=Kanban!E$11)*(Calc!$Y$8:$Y$500&gt;0),Calc!$Y$8:$Y$500,99999),Kanban_Helper!$B64),Calc!$Y$8:$Y$500,0)))))),"")</f>
        <v/>
      </c>
      <c r="F71" s="173" t="str">
        <f t="array" ref="F71">IFERROR(IF(LEN(F$11)=0,"",IF($C$7&lt;&gt;"All",IF(LEN(INDEX(Calc!$J$8:$J$500,MATCH(SMALL(IF((Calc!$C$8:$C$500=Kanban!$C$7)*(Calc!$K$8:$K$500=Kanban!F$11)*(Calc!$Y$8:$Y$500&gt;0),Calc!$Y$8:$Y$500,99999),Kanban_Helper!$B64),Calc!$Y$8:$Y$500,0)))=0,"",CONCATENATE(Calc!$AD$6,INDEX(Calc!$J$8:$J$500,MATCH(SMALL(IF((Calc!$C$8:$C$500=Kanban!$C$7)*(Calc!$K$8:$K$500=Kanban!F$11)*(Calc!$Y$8:$Y$500&gt;0),Calc!$Y$8:$Y$500,99999),Kanban_Helper!$B64),Calc!$Y$8:$Y$500,0)))),IF(LEN(INDEX(Calc!$J$8:$J$500,MATCH(SMALL(IF((Calc!$K$8:$K$500=Kanban!F$11)*(Calc!$Y$8:$Y$500&gt;0),Calc!$Y$8:$Y$500,99999),Kanban_Helper!$B64),Calc!$Y$8:$Y$500,0)))=0,"",CONCATENATE(Calc!$AD$6,INDEX(Calc!$J$8:$J$500,MATCH(SMALL(IF((Calc!$K$8:$K$500=Kanban!F$11)*(Calc!$Y$8:$Y$500&gt;0),Calc!$Y$8:$Y$500,99999),Kanban_Helper!$B64),Calc!$Y$8:$Y$500,0)))))),"")</f>
        <v/>
      </c>
      <c r="G71" s="173" t="str">
        <f t="array" ref="G71">IFERROR(IF(LEN(G$11)=0,"",IF($C$7&lt;&gt;"All",IF(LEN(INDEX(Calc!$J$8:$J$500,MATCH(SMALL(IF((Calc!$C$8:$C$500=Kanban!$C$7)*(Calc!$K$8:$K$500=Kanban!G$11)*(Calc!$Y$8:$Y$500&gt;0),Calc!$Y$8:$Y$500,99999),Kanban_Helper!$B64),Calc!$Y$8:$Y$500,0)))=0,"",CONCATENATE(Calc!$AD$6,INDEX(Calc!$J$8:$J$500,MATCH(SMALL(IF((Calc!$C$8:$C$500=Kanban!$C$7)*(Calc!$K$8:$K$500=Kanban!G$11)*(Calc!$Y$8:$Y$500&gt;0),Calc!$Y$8:$Y$500,99999),Kanban_Helper!$B64),Calc!$Y$8:$Y$500,0)))),IF(LEN(INDEX(Calc!$J$8:$J$500,MATCH(SMALL(IF((Calc!$K$8:$K$500=Kanban!G$11)*(Calc!$Y$8:$Y$500&gt;0),Calc!$Y$8:$Y$500,99999),Kanban_Helper!$B64),Calc!$Y$8:$Y$500,0)))=0,"",CONCATENATE(Calc!$AD$6,INDEX(Calc!$J$8:$J$500,MATCH(SMALL(IF((Calc!$K$8:$K$500=Kanban!G$11)*(Calc!$Y$8:$Y$500&gt;0),Calc!$Y$8:$Y$500,99999),Kanban_Helper!$B64),Calc!$Y$8:$Y$500,0)))))),"")</f>
        <v/>
      </c>
      <c r="H71" s="173" t="str">
        <f t="array" ref="H71">IFERROR(IF(LEN(H$11)=0,"",IF($C$7&lt;&gt;"All",IF(LEN(INDEX(Calc!$J$8:$J$500,MATCH(SMALL(IF((Calc!$C$8:$C$500=Kanban!$C$7)*(Calc!$K$8:$K$500=Kanban!H$11)*(Calc!$Y$8:$Y$500&gt;0),Calc!$Y$8:$Y$500,99999),Kanban_Helper!$B64),Calc!$Y$8:$Y$500,0)))=0,"",CONCATENATE(Calc!$AD$6,INDEX(Calc!$J$8:$J$500,MATCH(SMALL(IF((Calc!$C$8:$C$500=Kanban!$C$7)*(Calc!$K$8:$K$500=Kanban!H$11)*(Calc!$Y$8:$Y$500&gt;0),Calc!$Y$8:$Y$500,99999),Kanban_Helper!$B64),Calc!$Y$8:$Y$500,0)))),IF(LEN(INDEX(Calc!$J$8:$J$500,MATCH(SMALL(IF((Calc!$K$8:$K$500=Kanban!H$11)*(Calc!$Y$8:$Y$500&gt;0),Calc!$Y$8:$Y$500,99999),Kanban_Helper!$B64),Calc!$Y$8:$Y$500,0)))=0,"",CONCATENATE(Calc!$AD$6,INDEX(Calc!$J$8:$J$500,MATCH(SMALL(IF((Calc!$K$8:$K$500=Kanban!H$11)*(Calc!$Y$8:$Y$500&gt;0),Calc!$Y$8:$Y$500,99999),Kanban_Helper!$B64),Calc!$Y$8:$Y$500,0)))))),"")</f>
        <v/>
      </c>
      <c r="I71" s="39"/>
      <c r="J71" s="10"/>
      <c r="K71" s="10"/>
      <c r="L71" s="10"/>
    </row>
    <row r="72" spans="2:12" ht="15" thickTop="1" x14ac:dyDescent="0.35">
      <c r="B72" s="80"/>
      <c r="C72" s="170" t="str">
        <f t="array" ref="C72">IFERROR(IF(LEN(C$11)=0,"",IF($C$7&lt;&gt;"All",IF(INDEX(Calc!$V$8:$V$500,MATCH(INDEX(Calc!$D$8:$D$500,MATCH(SMALL(IF((Calc!$C$8:$C$500=Kanban!$C$7)*(Calc!$K$8:$K$500=Kanban!C$11)*(Calc!$Y$8:$Y$500&gt;0),Calc!$Y$8:$Y$500,99999),Kanban_Helper!$B65),Calc!$Y$8:$Y$500,0)),Calc!$D$8:$D$500,0))="Yes",CONCATENATE(INDEX(Calc!$D$8:$D$500,MATCH(SMALL(IF((Calc!$C$8:$C$500=Kanban!$C$7)*(Calc!$K$8:$K$500=Kanban!C$11)*(Calc!$Y$8:$Y$500&gt;0),Calc!$Y$8:$Y$500,99999),Kanban_Helper!$B65),Calc!$Y$8:$Y$500,0))," ",Calc!$V$7," ","!"),INDEX(Calc!$D$8:$D$500,MATCH(SMALL(IF((Calc!$C$8:$C$500=Kanban!$C$7)*(Calc!$K$8:$K$500=Kanban!C$11)*(Calc!$Y$8:$Y$500&gt;0),Calc!$Y$8:$Y$500,99999),Kanban_Helper!$B65),Calc!$Y$8:$Y$500,0))),IF(INDEX(Calc!$V$8:$V$500,MATCH(INDEX(Calc!$D$8:$D$500,MATCH(SMALL(IF((Calc!$K$8:$K$500=Kanban!C$11)*(Calc!$Y$8:$Y$500&gt;0),Calc!$Y$8:$Y$500,99999),Kanban_Helper!$B65),Calc!$Y$8:$Y$500,0)),Calc!$D$8:$D$500,0))="Yes",CONCATENATE(INDEX(Calc!$D$8:$D$500,MATCH(SMALL(IF((Calc!$K$8:$K$500=Kanban!C$11)*(Calc!$Y$8:$Y$500&gt;0),Calc!$Y$8:$Y$500,99999),Kanban_Helper!$B65),Calc!$Y$8:$Y$500,0))," ",Calc!$V$7," ","!"),INDEX(Calc!$D$8:$D$500,MATCH(SMALL(IF((Calc!$K$8:$K$500=Kanban!C$11)*(Calc!$Y$8:$Y$500&gt;0),Calc!$Y$8:$Y$500,99999),Kanban_Helper!$B65),Calc!$Y$8:$Y$500,0))))),"")</f>
        <v/>
      </c>
      <c r="D72" s="170" t="str">
        <f t="array" ref="D72">IFERROR(IF(LEN(D$11)=0,"",IF($C$7&lt;&gt;"All",IF(INDEX(Calc!$V$8:$V$500,MATCH(INDEX(Calc!$D$8:$D$500,MATCH(SMALL(IF((Calc!$C$8:$C$500=Kanban!$C$7)*(Calc!$K$8:$K$500=Kanban!D$11)*(Calc!$Y$8:$Y$500&gt;0),Calc!$Y$8:$Y$500,99999),Kanban_Helper!$B65),Calc!$Y$8:$Y$500,0)),Calc!$D$8:$D$500,0))="Yes",CONCATENATE(INDEX(Calc!$D$8:$D$500,MATCH(SMALL(IF((Calc!$C$8:$C$500=Kanban!$C$7)*(Calc!$K$8:$K$500=Kanban!D$11)*(Calc!$Y$8:$Y$500&gt;0),Calc!$Y$8:$Y$500,99999),Kanban_Helper!$B65),Calc!$Y$8:$Y$500,0))," ",Calc!$V$7," ","!"),INDEX(Calc!$D$8:$D$500,MATCH(SMALL(IF((Calc!$C$8:$C$500=Kanban!$C$7)*(Calc!$K$8:$K$500=Kanban!D$11)*(Calc!$Y$8:$Y$500&gt;0),Calc!$Y$8:$Y$500,99999),Kanban_Helper!$B65),Calc!$Y$8:$Y$500,0))),IF(INDEX(Calc!$V$8:$V$500,MATCH(INDEX(Calc!$D$8:$D$500,MATCH(SMALL(IF((Calc!$K$8:$K$500=Kanban!D$11)*(Calc!$Y$8:$Y$500&gt;0),Calc!$Y$8:$Y$500,99999),Kanban_Helper!$B65),Calc!$Y$8:$Y$500,0)),Calc!$D$8:$D$500,0))="Yes",CONCATENATE(INDEX(Calc!$D$8:$D$500,MATCH(SMALL(IF((Calc!$K$8:$K$500=Kanban!D$11)*(Calc!$Y$8:$Y$500&gt;0),Calc!$Y$8:$Y$500,99999),Kanban_Helper!$B65),Calc!$Y$8:$Y$500,0))," ",Calc!$V$7," ","!"),INDEX(Calc!$D$8:$D$500,MATCH(SMALL(IF((Calc!$K$8:$K$500=Kanban!D$11)*(Calc!$Y$8:$Y$500&gt;0),Calc!$Y$8:$Y$500,99999),Kanban_Helper!$B65),Calc!$Y$8:$Y$500,0))))),"")</f>
        <v/>
      </c>
      <c r="E72" s="170" t="str">
        <f t="array" ref="E72">IFERROR(IF(LEN(E$11)=0,"",IF($C$7&lt;&gt;"All",IF(INDEX(Calc!$V$8:$V$500,MATCH(INDEX(Calc!$D$8:$D$500,MATCH(SMALL(IF((Calc!$C$8:$C$500=Kanban!$C$7)*(Calc!$K$8:$K$500=Kanban!E$11)*(Calc!$Y$8:$Y$500&gt;0),Calc!$Y$8:$Y$500,99999),Kanban_Helper!$B65),Calc!$Y$8:$Y$500,0)),Calc!$D$8:$D$500,0))="Yes",CONCATENATE(INDEX(Calc!$D$8:$D$500,MATCH(SMALL(IF((Calc!$C$8:$C$500=Kanban!$C$7)*(Calc!$K$8:$K$500=Kanban!E$11)*(Calc!$Y$8:$Y$500&gt;0),Calc!$Y$8:$Y$500,99999),Kanban_Helper!$B65),Calc!$Y$8:$Y$500,0))," ",Calc!$V$7," ","!"),INDEX(Calc!$D$8:$D$500,MATCH(SMALL(IF((Calc!$C$8:$C$500=Kanban!$C$7)*(Calc!$K$8:$K$500=Kanban!E$11)*(Calc!$Y$8:$Y$500&gt;0),Calc!$Y$8:$Y$500,99999),Kanban_Helper!$B65),Calc!$Y$8:$Y$500,0))),IF(INDEX(Calc!$V$8:$V$500,MATCH(INDEX(Calc!$D$8:$D$500,MATCH(SMALL(IF((Calc!$K$8:$K$500=Kanban!E$11)*(Calc!$Y$8:$Y$500&gt;0),Calc!$Y$8:$Y$500,99999),Kanban_Helper!$B65),Calc!$Y$8:$Y$500,0)),Calc!$D$8:$D$500,0))="Yes",CONCATENATE(INDEX(Calc!$D$8:$D$500,MATCH(SMALL(IF((Calc!$K$8:$K$500=Kanban!E$11)*(Calc!$Y$8:$Y$500&gt;0),Calc!$Y$8:$Y$500,99999),Kanban_Helper!$B65),Calc!$Y$8:$Y$500,0))," ",Calc!$V$7," ","!"),INDEX(Calc!$D$8:$D$500,MATCH(SMALL(IF((Calc!$K$8:$K$500=Kanban!E$11)*(Calc!$Y$8:$Y$500&gt;0),Calc!$Y$8:$Y$500,99999),Kanban_Helper!$B65),Calc!$Y$8:$Y$500,0))))),"")</f>
        <v/>
      </c>
      <c r="F72" s="170" t="str">
        <f t="array" ref="F72">IFERROR(IF(LEN(F$11)=0,"",IF($C$7&lt;&gt;"All",IF(INDEX(Calc!$V$8:$V$500,MATCH(INDEX(Calc!$D$8:$D$500,MATCH(SMALL(IF((Calc!$C$8:$C$500=Kanban!$C$7)*(Calc!$K$8:$K$500=Kanban!F$11)*(Calc!$Y$8:$Y$500&gt;0),Calc!$Y$8:$Y$500,99999),Kanban_Helper!$B65),Calc!$Y$8:$Y$500,0)),Calc!$D$8:$D$500,0))="Yes",CONCATENATE(INDEX(Calc!$D$8:$D$500,MATCH(SMALL(IF((Calc!$C$8:$C$500=Kanban!$C$7)*(Calc!$K$8:$K$500=Kanban!F$11)*(Calc!$Y$8:$Y$500&gt;0),Calc!$Y$8:$Y$500,99999),Kanban_Helper!$B65),Calc!$Y$8:$Y$500,0))," ",Calc!$V$7," ","!"),INDEX(Calc!$D$8:$D$500,MATCH(SMALL(IF((Calc!$C$8:$C$500=Kanban!$C$7)*(Calc!$K$8:$K$500=Kanban!F$11)*(Calc!$Y$8:$Y$500&gt;0),Calc!$Y$8:$Y$500,99999),Kanban_Helper!$B65),Calc!$Y$8:$Y$500,0))),IF(INDEX(Calc!$V$8:$V$500,MATCH(INDEX(Calc!$D$8:$D$500,MATCH(SMALL(IF((Calc!$K$8:$K$500=Kanban!F$11)*(Calc!$Y$8:$Y$500&gt;0),Calc!$Y$8:$Y$500,99999),Kanban_Helper!$B65),Calc!$Y$8:$Y$500,0)),Calc!$D$8:$D$500,0))="Yes",CONCATENATE(INDEX(Calc!$D$8:$D$500,MATCH(SMALL(IF((Calc!$K$8:$K$500=Kanban!F$11)*(Calc!$Y$8:$Y$500&gt;0),Calc!$Y$8:$Y$500,99999),Kanban_Helper!$B65),Calc!$Y$8:$Y$500,0))," ",Calc!$V$7," ","!"),INDEX(Calc!$D$8:$D$500,MATCH(SMALL(IF((Calc!$K$8:$K$500=Kanban!F$11)*(Calc!$Y$8:$Y$500&gt;0),Calc!$Y$8:$Y$500,99999),Kanban_Helper!$B65),Calc!$Y$8:$Y$500,0))))),"")</f>
        <v/>
      </c>
      <c r="G72" s="170" t="str">
        <f t="array" ref="G72">IFERROR(IF(LEN(G$11)=0,"",IF($C$7&lt;&gt;"All",IF(INDEX(Calc!$V$8:$V$500,MATCH(INDEX(Calc!$D$8:$D$500,MATCH(SMALL(IF((Calc!$C$8:$C$500=Kanban!$C$7)*(Calc!$K$8:$K$500=Kanban!G$11)*(Calc!$Y$8:$Y$500&gt;0),Calc!$Y$8:$Y$500,99999),Kanban_Helper!$B65),Calc!$Y$8:$Y$500,0)),Calc!$D$8:$D$500,0))="Yes",CONCATENATE(INDEX(Calc!$D$8:$D$500,MATCH(SMALL(IF((Calc!$C$8:$C$500=Kanban!$C$7)*(Calc!$K$8:$K$500=Kanban!G$11)*(Calc!$Y$8:$Y$500&gt;0),Calc!$Y$8:$Y$500,99999),Kanban_Helper!$B65),Calc!$Y$8:$Y$500,0))," ",Calc!$V$7," ","!"),INDEX(Calc!$D$8:$D$500,MATCH(SMALL(IF((Calc!$C$8:$C$500=Kanban!$C$7)*(Calc!$K$8:$K$500=Kanban!G$11)*(Calc!$Y$8:$Y$500&gt;0),Calc!$Y$8:$Y$500,99999),Kanban_Helper!$B65),Calc!$Y$8:$Y$500,0))),IF(INDEX(Calc!$V$8:$V$500,MATCH(INDEX(Calc!$D$8:$D$500,MATCH(SMALL(IF((Calc!$K$8:$K$500=Kanban!G$11)*(Calc!$Y$8:$Y$500&gt;0),Calc!$Y$8:$Y$500,99999),Kanban_Helper!$B65),Calc!$Y$8:$Y$500,0)),Calc!$D$8:$D$500,0))="Yes",CONCATENATE(INDEX(Calc!$D$8:$D$500,MATCH(SMALL(IF((Calc!$K$8:$K$500=Kanban!G$11)*(Calc!$Y$8:$Y$500&gt;0),Calc!$Y$8:$Y$500,99999),Kanban_Helper!$B65),Calc!$Y$8:$Y$500,0))," ",Calc!$V$7," ","!"),INDEX(Calc!$D$8:$D$500,MATCH(SMALL(IF((Calc!$K$8:$K$500=Kanban!G$11)*(Calc!$Y$8:$Y$500&gt;0),Calc!$Y$8:$Y$500,99999),Kanban_Helper!$B65),Calc!$Y$8:$Y$500,0))))),"")</f>
        <v/>
      </c>
      <c r="H72" s="170" t="str">
        <f t="array" ref="H72">IFERROR(IF(LEN(H$11)=0,"",IF($C$7&lt;&gt;"All",IF(INDEX(Calc!$V$8:$V$500,MATCH(INDEX(Calc!$D$8:$D$500,MATCH(SMALL(IF((Calc!$C$8:$C$500=Kanban!$C$7)*(Calc!$K$8:$K$500=Kanban!H$11)*(Calc!$Y$8:$Y$500&gt;0),Calc!$Y$8:$Y$500,99999),Kanban_Helper!$B65),Calc!$Y$8:$Y$500,0)),Calc!$D$8:$D$500,0))="Yes",CONCATENATE(INDEX(Calc!$D$8:$D$500,MATCH(SMALL(IF((Calc!$C$8:$C$500=Kanban!$C$7)*(Calc!$K$8:$K$500=Kanban!H$11)*(Calc!$Y$8:$Y$500&gt;0),Calc!$Y$8:$Y$500,99999),Kanban_Helper!$B65),Calc!$Y$8:$Y$500,0))," ",Calc!$V$7," ","!"),INDEX(Calc!$D$8:$D$500,MATCH(SMALL(IF((Calc!$C$8:$C$500=Kanban!$C$7)*(Calc!$K$8:$K$500=Kanban!H$11)*(Calc!$Y$8:$Y$500&gt;0),Calc!$Y$8:$Y$500,99999),Kanban_Helper!$B65),Calc!$Y$8:$Y$500,0))),IF(INDEX(Calc!$V$8:$V$500,MATCH(INDEX(Calc!$D$8:$D$500,MATCH(SMALL(IF((Calc!$K$8:$K$500=Kanban!H$11)*(Calc!$Y$8:$Y$500&gt;0),Calc!$Y$8:$Y$500,99999),Kanban_Helper!$B65),Calc!$Y$8:$Y$500,0)),Calc!$D$8:$D$500,0))="Yes",CONCATENATE(INDEX(Calc!$D$8:$D$500,MATCH(SMALL(IF((Calc!$K$8:$K$500=Kanban!H$11)*(Calc!$Y$8:$Y$500&gt;0),Calc!$Y$8:$Y$500,99999),Kanban_Helper!$B65),Calc!$Y$8:$Y$500,0))," ",Calc!$V$7," ","!"),INDEX(Calc!$D$8:$D$500,MATCH(SMALL(IF((Calc!$K$8:$K$500=Kanban!H$11)*(Calc!$Y$8:$Y$500&gt;0),Calc!$Y$8:$Y$500,99999),Kanban_Helper!$B65),Calc!$Y$8:$Y$500,0))))),"")</f>
        <v/>
      </c>
      <c r="I72" s="39"/>
      <c r="J72" s="10"/>
      <c r="K72" s="10"/>
      <c r="L72" s="10"/>
    </row>
    <row r="73" spans="2:12" x14ac:dyDescent="0.35">
      <c r="B73" s="80"/>
      <c r="C73" s="171" t="str">
        <f t="array" ref="C73">IFERROR(IF(LEN(C$11)=0,"",IF($C$7&lt;&gt;"All",INDEX(Calc!$E$8:$E$500,MATCH(SMALL(IF((Calc!$C$8:$C$500=Kanban!$C$7)*(Calc!$K$8:$K$500=Kanban!C$11)*(Calc!$Y$8:$Y$500&gt;0),Calc!$Y$8:$Y$500,99999),Kanban_Helper!$B66),Calc!$Y$8:$Y$500,0)),INDEX(Calc!$E$8:$E$500,MATCH(SMALL(IF((Calc!$K$8:$K$500=Kanban!C$11)*(Calc!$Y$8:$Y$500&gt;0),Calc!$Y$8:$Y$500,99999),Kanban_Helper!$B66),Calc!$Y$8:$Y$500,0)))),"")</f>
        <v/>
      </c>
      <c r="D73" s="171" t="str">
        <f t="array" ref="D73">IFERROR(IF(LEN(D$11)=0,"",IF($C$7&lt;&gt;"All",INDEX(Calc!$E$8:$E$500,MATCH(SMALL(IF((Calc!$C$8:$C$500=Kanban!$C$7)*(Calc!$K$8:$K$500=Kanban!D$11)*(Calc!$Y$8:$Y$500&gt;0),Calc!$Y$8:$Y$500,99999),Kanban_Helper!$B66),Calc!$Y$8:$Y$500,0)),INDEX(Calc!$E$8:$E$500,MATCH(SMALL(IF((Calc!$K$8:$K$500=Kanban!D$11)*(Calc!$Y$8:$Y$500&gt;0),Calc!$Y$8:$Y$500,99999),Kanban_Helper!$B66),Calc!$Y$8:$Y$500,0)))),"")</f>
        <v/>
      </c>
      <c r="E73" s="171" t="str">
        <f t="array" ref="E73">IFERROR(IF(LEN(E$11)=0,"",IF($C$7&lt;&gt;"All",INDEX(Calc!$E$8:$E$500,MATCH(SMALL(IF((Calc!$C$8:$C$500=Kanban!$C$7)*(Calc!$K$8:$K$500=Kanban!E$11)*(Calc!$Y$8:$Y$500&gt;0),Calc!$Y$8:$Y$500,99999),Kanban_Helper!$B66),Calc!$Y$8:$Y$500,0)),INDEX(Calc!$E$8:$E$500,MATCH(SMALL(IF((Calc!$K$8:$K$500=Kanban!E$11)*(Calc!$Y$8:$Y$500&gt;0),Calc!$Y$8:$Y$500,99999),Kanban_Helper!$B66),Calc!$Y$8:$Y$500,0)))),"")</f>
        <v/>
      </c>
      <c r="F73" s="171" t="str">
        <f t="array" ref="F73">IFERROR(IF(LEN(F$11)=0,"",IF($C$7&lt;&gt;"All",INDEX(Calc!$E$8:$E$500,MATCH(SMALL(IF((Calc!$C$8:$C$500=Kanban!$C$7)*(Calc!$K$8:$K$500=Kanban!F$11)*(Calc!$Y$8:$Y$500&gt;0),Calc!$Y$8:$Y$500,99999),Kanban_Helper!$B66),Calc!$Y$8:$Y$500,0)),INDEX(Calc!$E$8:$E$500,MATCH(SMALL(IF((Calc!$K$8:$K$500=Kanban!F$11)*(Calc!$Y$8:$Y$500&gt;0),Calc!$Y$8:$Y$500,99999),Kanban_Helper!$B66),Calc!$Y$8:$Y$500,0)))),"")</f>
        <v/>
      </c>
      <c r="G73" s="171" t="str">
        <f t="array" ref="G73">IFERROR(IF(LEN(G$11)=0,"",IF($C$7&lt;&gt;"All",INDEX(Calc!$E$8:$E$500,MATCH(SMALL(IF((Calc!$C$8:$C$500=Kanban!$C$7)*(Calc!$K$8:$K$500=Kanban!G$11)*(Calc!$Y$8:$Y$500&gt;0),Calc!$Y$8:$Y$500,99999),Kanban_Helper!$B66),Calc!$Y$8:$Y$500,0)),INDEX(Calc!$E$8:$E$500,MATCH(SMALL(IF((Calc!$K$8:$K$500=Kanban!G$11)*(Calc!$Y$8:$Y$500&gt;0),Calc!$Y$8:$Y$500,99999),Kanban_Helper!$B66),Calc!$Y$8:$Y$500,0)))),"")</f>
        <v/>
      </c>
      <c r="H73" s="171" t="str">
        <f t="array" ref="H73">IFERROR(IF(LEN(H$11)=0,"",IF($C$7&lt;&gt;"All",INDEX(Calc!$E$8:$E$500,MATCH(SMALL(IF((Calc!$C$8:$C$500=Kanban!$C$7)*(Calc!$K$8:$K$500=Kanban!H$11)*(Calc!$Y$8:$Y$500&gt;0),Calc!$Y$8:$Y$500,99999),Kanban_Helper!$B66),Calc!$Y$8:$Y$500,0)),INDEX(Calc!$E$8:$E$500,MATCH(SMALL(IF((Calc!$K$8:$K$500=Kanban!H$11)*(Calc!$Y$8:$Y$500&gt;0),Calc!$Y$8:$Y$500,99999),Kanban_Helper!$B66),Calc!$Y$8:$Y$500,0)))),"")</f>
        <v/>
      </c>
      <c r="I73" s="39"/>
      <c r="J73" s="10"/>
      <c r="K73" s="10"/>
      <c r="L73" s="10"/>
    </row>
    <row r="74" spans="2:12" ht="15" thickBot="1" x14ac:dyDescent="0.4">
      <c r="B74" s="80"/>
      <c r="C74" s="173" t="str">
        <f t="array" ref="C74">IFERROR(IF(LEN(C$11)=0,"",IF($C$7&lt;&gt;"All",IF(LEN(INDEX(Calc!$J$8:$J$500,MATCH(SMALL(IF((Calc!$C$8:$C$500=Kanban!$C$7)*(Calc!$K$8:$K$500=Kanban!C$11)*(Calc!$Y$8:$Y$500&gt;0),Calc!$Y$8:$Y$500,99999),Kanban_Helper!$B67),Calc!$Y$8:$Y$500,0)))=0,"",CONCATENATE(Calc!$AD$6,INDEX(Calc!$J$8:$J$500,MATCH(SMALL(IF((Calc!$C$8:$C$500=Kanban!$C$7)*(Calc!$K$8:$K$500=Kanban!C$11)*(Calc!$Y$8:$Y$500&gt;0),Calc!$Y$8:$Y$500,99999),Kanban_Helper!$B67),Calc!$Y$8:$Y$500,0)))),IF(LEN(INDEX(Calc!$J$8:$J$500,MATCH(SMALL(IF((Calc!$K$8:$K$500=Kanban!C$11)*(Calc!$Y$8:$Y$500&gt;0),Calc!$Y$8:$Y$500,99999),Kanban_Helper!$B67),Calc!$Y$8:$Y$500,0)))=0,"",CONCATENATE(Calc!$AD$6,INDEX(Calc!$J$8:$J$500,MATCH(SMALL(IF((Calc!$K$8:$K$500=Kanban!C$11)*(Calc!$Y$8:$Y$500&gt;0),Calc!$Y$8:$Y$500,99999),Kanban_Helper!$B67),Calc!$Y$8:$Y$500,0)))))),"")</f>
        <v/>
      </c>
      <c r="D74" s="173" t="str">
        <f t="array" ref="D74">IFERROR(IF(LEN(D$11)=0,"",IF($C$7&lt;&gt;"All",IF(LEN(INDEX(Calc!$J$8:$J$500,MATCH(SMALL(IF((Calc!$C$8:$C$500=Kanban!$C$7)*(Calc!$K$8:$K$500=Kanban!D$11)*(Calc!$Y$8:$Y$500&gt;0),Calc!$Y$8:$Y$500,99999),Kanban_Helper!$B67),Calc!$Y$8:$Y$500,0)))=0,"",CONCATENATE(Calc!$AD$6,INDEX(Calc!$J$8:$J$500,MATCH(SMALL(IF((Calc!$C$8:$C$500=Kanban!$C$7)*(Calc!$K$8:$K$500=Kanban!D$11)*(Calc!$Y$8:$Y$500&gt;0),Calc!$Y$8:$Y$500,99999),Kanban_Helper!$B67),Calc!$Y$8:$Y$500,0)))),IF(LEN(INDEX(Calc!$J$8:$J$500,MATCH(SMALL(IF((Calc!$K$8:$K$500=Kanban!D$11)*(Calc!$Y$8:$Y$500&gt;0),Calc!$Y$8:$Y$500,99999),Kanban_Helper!$B67),Calc!$Y$8:$Y$500,0)))=0,"",CONCATENATE(Calc!$AD$6,INDEX(Calc!$J$8:$J$500,MATCH(SMALL(IF((Calc!$K$8:$K$500=Kanban!D$11)*(Calc!$Y$8:$Y$500&gt;0),Calc!$Y$8:$Y$500,99999),Kanban_Helper!$B67),Calc!$Y$8:$Y$500,0)))))),"")</f>
        <v/>
      </c>
      <c r="E74" s="173" t="str">
        <f t="array" ref="E74">IFERROR(IF(LEN(E$11)=0,"",IF($C$7&lt;&gt;"All",IF(LEN(INDEX(Calc!$J$8:$J$500,MATCH(SMALL(IF((Calc!$C$8:$C$500=Kanban!$C$7)*(Calc!$K$8:$K$500=Kanban!E$11)*(Calc!$Y$8:$Y$500&gt;0),Calc!$Y$8:$Y$500,99999),Kanban_Helper!$B67),Calc!$Y$8:$Y$500,0)))=0,"",CONCATENATE(Calc!$AD$6,INDEX(Calc!$J$8:$J$500,MATCH(SMALL(IF((Calc!$C$8:$C$500=Kanban!$C$7)*(Calc!$K$8:$K$500=Kanban!E$11)*(Calc!$Y$8:$Y$500&gt;0),Calc!$Y$8:$Y$500,99999),Kanban_Helper!$B67),Calc!$Y$8:$Y$500,0)))),IF(LEN(INDEX(Calc!$J$8:$J$500,MATCH(SMALL(IF((Calc!$K$8:$K$500=Kanban!E$11)*(Calc!$Y$8:$Y$500&gt;0),Calc!$Y$8:$Y$500,99999),Kanban_Helper!$B67),Calc!$Y$8:$Y$500,0)))=0,"",CONCATENATE(Calc!$AD$6,INDEX(Calc!$J$8:$J$500,MATCH(SMALL(IF((Calc!$K$8:$K$500=Kanban!E$11)*(Calc!$Y$8:$Y$500&gt;0),Calc!$Y$8:$Y$500,99999),Kanban_Helper!$B67),Calc!$Y$8:$Y$500,0)))))),"")</f>
        <v/>
      </c>
      <c r="F74" s="173" t="str">
        <f t="array" ref="F74">IFERROR(IF(LEN(F$11)=0,"",IF($C$7&lt;&gt;"All",IF(LEN(INDEX(Calc!$J$8:$J$500,MATCH(SMALL(IF((Calc!$C$8:$C$500=Kanban!$C$7)*(Calc!$K$8:$K$500=Kanban!F$11)*(Calc!$Y$8:$Y$500&gt;0),Calc!$Y$8:$Y$500,99999),Kanban_Helper!$B67),Calc!$Y$8:$Y$500,0)))=0,"",CONCATENATE(Calc!$AD$6,INDEX(Calc!$J$8:$J$500,MATCH(SMALL(IF((Calc!$C$8:$C$500=Kanban!$C$7)*(Calc!$K$8:$K$500=Kanban!F$11)*(Calc!$Y$8:$Y$500&gt;0),Calc!$Y$8:$Y$500,99999),Kanban_Helper!$B67),Calc!$Y$8:$Y$500,0)))),IF(LEN(INDEX(Calc!$J$8:$J$500,MATCH(SMALL(IF((Calc!$K$8:$K$500=Kanban!F$11)*(Calc!$Y$8:$Y$500&gt;0),Calc!$Y$8:$Y$500,99999),Kanban_Helper!$B67),Calc!$Y$8:$Y$500,0)))=0,"",CONCATENATE(Calc!$AD$6,INDEX(Calc!$J$8:$J$500,MATCH(SMALL(IF((Calc!$K$8:$K$500=Kanban!F$11)*(Calc!$Y$8:$Y$500&gt;0),Calc!$Y$8:$Y$500,99999),Kanban_Helper!$B67),Calc!$Y$8:$Y$500,0)))))),"")</f>
        <v/>
      </c>
      <c r="G74" s="173" t="str">
        <f t="array" ref="G74">IFERROR(IF(LEN(G$11)=0,"",IF($C$7&lt;&gt;"All",IF(LEN(INDEX(Calc!$J$8:$J$500,MATCH(SMALL(IF((Calc!$C$8:$C$500=Kanban!$C$7)*(Calc!$K$8:$K$500=Kanban!G$11)*(Calc!$Y$8:$Y$500&gt;0),Calc!$Y$8:$Y$500,99999),Kanban_Helper!$B67),Calc!$Y$8:$Y$500,0)))=0,"",CONCATENATE(Calc!$AD$6,INDEX(Calc!$J$8:$J$500,MATCH(SMALL(IF((Calc!$C$8:$C$500=Kanban!$C$7)*(Calc!$K$8:$K$500=Kanban!G$11)*(Calc!$Y$8:$Y$500&gt;0),Calc!$Y$8:$Y$500,99999),Kanban_Helper!$B67),Calc!$Y$8:$Y$500,0)))),IF(LEN(INDEX(Calc!$J$8:$J$500,MATCH(SMALL(IF((Calc!$K$8:$K$500=Kanban!G$11)*(Calc!$Y$8:$Y$500&gt;0),Calc!$Y$8:$Y$500,99999),Kanban_Helper!$B67),Calc!$Y$8:$Y$500,0)))=0,"",CONCATENATE(Calc!$AD$6,INDEX(Calc!$J$8:$J$500,MATCH(SMALL(IF((Calc!$K$8:$K$500=Kanban!G$11)*(Calc!$Y$8:$Y$500&gt;0),Calc!$Y$8:$Y$500,99999),Kanban_Helper!$B67),Calc!$Y$8:$Y$500,0)))))),"")</f>
        <v/>
      </c>
      <c r="H74" s="173" t="str">
        <f t="array" ref="H74">IFERROR(IF(LEN(H$11)=0,"",IF($C$7&lt;&gt;"All",IF(LEN(INDEX(Calc!$J$8:$J$500,MATCH(SMALL(IF((Calc!$C$8:$C$500=Kanban!$C$7)*(Calc!$K$8:$K$500=Kanban!H$11)*(Calc!$Y$8:$Y$500&gt;0),Calc!$Y$8:$Y$500,99999),Kanban_Helper!$B67),Calc!$Y$8:$Y$500,0)))=0,"",CONCATENATE(Calc!$AD$6,INDEX(Calc!$J$8:$J$500,MATCH(SMALL(IF((Calc!$C$8:$C$500=Kanban!$C$7)*(Calc!$K$8:$K$500=Kanban!H$11)*(Calc!$Y$8:$Y$500&gt;0),Calc!$Y$8:$Y$500,99999),Kanban_Helper!$B67),Calc!$Y$8:$Y$500,0)))),IF(LEN(INDEX(Calc!$J$8:$J$500,MATCH(SMALL(IF((Calc!$K$8:$K$500=Kanban!H$11)*(Calc!$Y$8:$Y$500&gt;0),Calc!$Y$8:$Y$500,99999),Kanban_Helper!$B67),Calc!$Y$8:$Y$500,0)))=0,"",CONCATENATE(Calc!$AD$6,INDEX(Calc!$J$8:$J$500,MATCH(SMALL(IF((Calc!$K$8:$K$500=Kanban!H$11)*(Calc!$Y$8:$Y$500&gt;0),Calc!$Y$8:$Y$500,99999),Kanban_Helper!$B67),Calc!$Y$8:$Y$500,0)))))),"")</f>
        <v/>
      </c>
      <c r="I74" s="39"/>
      <c r="J74" s="10"/>
      <c r="K74" s="10"/>
      <c r="L74" s="10"/>
    </row>
    <row r="75" spans="2:12" ht="15" thickTop="1" x14ac:dyDescent="0.35">
      <c r="B75" s="80"/>
      <c r="C75" s="170" t="str">
        <f t="array" ref="C75">IFERROR(IF(LEN(C$11)=0,"",IF($C$7&lt;&gt;"All",IF(INDEX(Calc!$V$8:$V$500,MATCH(INDEX(Calc!$D$8:$D$500,MATCH(SMALL(IF((Calc!$C$8:$C$500=Kanban!$C$7)*(Calc!$K$8:$K$500=Kanban!C$11)*(Calc!$Y$8:$Y$500&gt;0),Calc!$Y$8:$Y$500,99999),Kanban_Helper!$B68),Calc!$Y$8:$Y$500,0)),Calc!$D$8:$D$500,0))="Yes",CONCATENATE(INDEX(Calc!$D$8:$D$500,MATCH(SMALL(IF((Calc!$C$8:$C$500=Kanban!$C$7)*(Calc!$K$8:$K$500=Kanban!C$11)*(Calc!$Y$8:$Y$500&gt;0),Calc!$Y$8:$Y$500,99999),Kanban_Helper!$B68),Calc!$Y$8:$Y$500,0))," ",Calc!$V$7," ","!"),INDEX(Calc!$D$8:$D$500,MATCH(SMALL(IF((Calc!$C$8:$C$500=Kanban!$C$7)*(Calc!$K$8:$K$500=Kanban!C$11)*(Calc!$Y$8:$Y$500&gt;0),Calc!$Y$8:$Y$500,99999),Kanban_Helper!$B68),Calc!$Y$8:$Y$500,0))),IF(INDEX(Calc!$V$8:$V$500,MATCH(INDEX(Calc!$D$8:$D$500,MATCH(SMALL(IF((Calc!$K$8:$K$500=Kanban!C$11)*(Calc!$Y$8:$Y$500&gt;0),Calc!$Y$8:$Y$500,99999),Kanban_Helper!$B68),Calc!$Y$8:$Y$500,0)),Calc!$D$8:$D$500,0))="Yes",CONCATENATE(INDEX(Calc!$D$8:$D$500,MATCH(SMALL(IF((Calc!$K$8:$K$500=Kanban!C$11)*(Calc!$Y$8:$Y$500&gt;0),Calc!$Y$8:$Y$500,99999),Kanban_Helper!$B68),Calc!$Y$8:$Y$500,0))," ",Calc!$V$7," ","!"),INDEX(Calc!$D$8:$D$500,MATCH(SMALL(IF((Calc!$K$8:$K$500=Kanban!C$11)*(Calc!$Y$8:$Y$500&gt;0),Calc!$Y$8:$Y$500,99999),Kanban_Helper!$B68),Calc!$Y$8:$Y$500,0))))),"")</f>
        <v/>
      </c>
      <c r="D75" s="170" t="str">
        <f t="array" ref="D75">IFERROR(IF(LEN(D$11)=0,"",IF($C$7&lt;&gt;"All",IF(INDEX(Calc!$V$8:$V$500,MATCH(INDEX(Calc!$D$8:$D$500,MATCH(SMALL(IF((Calc!$C$8:$C$500=Kanban!$C$7)*(Calc!$K$8:$K$500=Kanban!D$11)*(Calc!$Y$8:$Y$500&gt;0),Calc!$Y$8:$Y$500,99999),Kanban_Helper!$B68),Calc!$Y$8:$Y$500,0)),Calc!$D$8:$D$500,0))="Yes",CONCATENATE(INDEX(Calc!$D$8:$D$500,MATCH(SMALL(IF((Calc!$C$8:$C$500=Kanban!$C$7)*(Calc!$K$8:$K$500=Kanban!D$11)*(Calc!$Y$8:$Y$500&gt;0),Calc!$Y$8:$Y$500,99999),Kanban_Helper!$B68),Calc!$Y$8:$Y$500,0))," ",Calc!$V$7," ","!"),INDEX(Calc!$D$8:$D$500,MATCH(SMALL(IF((Calc!$C$8:$C$500=Kanban!$C$7)*(Calc!$K$8:$K$500=Kanban!D$11)*(Calc!$Y$8:$Y$500&gt;0),Calc!$Y$8:$Y$500,99999),Kanban_Helper!$B68),Calc!$Y$8:$Y$500,0))),IF(INDEX(Calc!$V$8:$V$500,MATCH(INDEX(Calc!$D$8:$D$500,MATCH(SMALL(IF((Calc!$K$8:$K$500=Kanban!D$11)*(Calc!$Y$8:$Y$500&gt;0),Calc!$Y$8:$Y$500,99999),Kanban_Helper!$B68),Calc!$Y$8:$Y$500,0)),Calc!$D$8:$D$500,0))="Yes",CONCATENATE(INDEX(Calc!$D$8:$D$500,MATCH(SMALL(IF((Calc!$K$8:$K$500=Kanban!D$11)*(Calc!$Y$8:$Y$500&gt;0),Calc!$Y$8:$Y$500,99999),Kanban_Helper!$B68),Calc!$Y$8:$Y$500,0))," ",Calc!$V$7," ","!"),INDEX(Calc!$D$8:$D$500,MATCH(SMALL(IF((Calc!$K$8:$K$500=Kanban!D$11)*(Calc!$Y$8:$Y$500&gt;0),Calc!$Y$8:$Y$500,99999),Kanban_Helper!$B68),Calc!$Y$8:$Y$500,0))))),"")</f>
        <v/>
      </c>
      <c r="E75" s="170" t="str">
        <f t="array" ref="E75">IFERROR(IF(LEN(E$11)=0,"",IF($C$7&lt;&gt;"All",IF(INDEX(Calc!$V$8:$V$500,MATCH(INDEX(Calc!$D$8:$D$500,MATCH(SMALL(IF((Calc!$C$8:$C$500=Kanban!$C$7)*(Calc!$K$8:$K$500=Kanban!E$11)*(Calc!$Y$8:$Y$500&gt;0),Calc!$Y$8:$Y$500,99999),Kanban_Helper!$B68),Calc!$Y$8:$Y$500,0)),Calc!$D$8:$D$500,0))="Yes",CONCATENATE(INDEX(Calc!$D$8:$D$500,MATCH(SMALL(IF((Calc!$C$8:$C$500=Kanban!$C$7)*(Calc!$K$8:$K$500=Kanban!E$11)*(Calc!$Y$8:$Y$500&gt;0),Calc!$Y$8:$Y$500,99999),Kanban_Helper!$B68),Calc!$Y$8:$Y$500,0))," ",Calc!$V$7," ","!"),INDEX(Calc!$D$8:$D$500,MATCH(SMALL(IF((Calc!$C$8:$C$500=Kanban!$C$7)*(Calc!$K$8:$K$500=Kanban!E$11)*(Calc!$Y$8:$Y$500&gt;0),Calc!$Y$8:$Y$500,99999),Kanban_Helper!$B68),Calc!$Y$8:$Y$500,0))),IF(INDEX(Calc!$V$8:$V$500,MATCH(INDEX(Calc!$D$8:$D$500,MATCH(SMALL(IF((Calc!$K$8:$K$500=Kanban!E$11)*(Calc!$Y$8:$Y$500&gt;0),Calc!$Y$8:$Y$500,99999),Kanban_Helper!$B68),Calc!$Y$8:$Y$500,0)),Calc!$D$8:$D$500,0))="Yes",CONCATENATE(INDEX(Calc!$D$8:$D$500,MATCH(SMALL(IF((Calc!$K$8:$K$500=Kanban!E$11)*(Calc!$Y$8:$Y$500&gt;0),Calc!$Y$8:$Y$500,99999),Kanban_Helper!$B68),Calc!$Y$8:$Y$500,0))," ",Calc!$V$7," ","!"),INDEX(Calc!$D$8:$D$500,MATCH(SMALL(IF((Calc!$K$8:$K$500=Kanban!E$11)*(Calc!$Y$8:$Y$500&gt;0),Calc!$Y$8:$Y$500,99999),Kanban_Helper!$B68),Calc!$Y$8:$Y$500,0))))),"")</f>
        <v/>
      </c>
      <c r="F75" s="170" t="str">
        <f t="array" ref="F75">IFERROR(IF(LEN(F$11)=0,"",IF($C$7&lt;&gt;"All",IF(INDEX(Calc!$V$8:$V$500,MATCH(INDEX(Calc!$D$8:$D$500,MATCH(SMALL(IF((Calc!$C$8:$C$500=Kanban!$C$7)*(Calc!$K$8:$K$500=Kanban!F$11)*(Calc!$Y$8:$Y$500&gt;0),Calc!$Y$8:$Y$500,99999),Kanban_Helper!$B68),Calc!$Y$8:$Y$500,0)),Calc!$D$8:$D$500,0))="Yes",CONCATENATE(INDEX(Calc!$D$8:$D$500,MATCH(SMALL(IF((Calc!$C$8:$C$500=Kanban!$C$7)*(Calc!$K$8:$K$500=Kanban!F$11)*(Calc!$Y$8:$Y$500&gt;0),Calc!$Y$8:$Y$500,99999),Kanban_Helper!$B68),Calc!$Y$8:$Y$500,0))," ",Calc!$V$7," ","!"),INDEX(Calc!$D$8:$D$500,MATCH(SMALL(IF((Calc!$C$8:$C$500=Kanban!$C$7)*(Calc!$K$8:$K$500=Kanban!F$11)*(Calc!$Y$8:$Y$500&gt;0),Calc!$Y$8:$Y$500,99999),Kanban_Helper!$B68),Calc!$Y$8:$Y$500,0))),IF(INDEX(Calc!$V$8:$V$500,MATCH(INDEX(Calc!$D$8:$D$500,MATCH(SMALL(IF((Calc!$K$8:$K$500=Kanban!F$11)*(Calc!$Y$8:$Y$500&gt;0),Calc!$Y$8:$Y$500,99999),Kanban_Helper!$B68),Calc!$Y$8:$Y$500,0)),Calc!$D$8:$D$500,0))="Yes",CONCATENATE(INDEX(Calc!$D$8:$D$500,MATCH(SMALL(IF((Calc!$K$8:$K$500=Kanban!F$11)*(Calc!$Y$8:$Y$500&gt;0),Calc!$Y$8:$Y$500,99999),Kanban_Helper!$B68),Calc!$Y$8:$Y$500,0))," ",Calc!$V$7," ","!"),INDEX(Calc!$D$8:$D$500,MATCH(SMALL(IF((Calc!$K$8:$K$500=Kanban!F$11)*(Calc!$Y$8:$Y$500&gt;0),Calc!$Y$8:$Y$500,99999),Kanban_Helper!$B68),Calc!$Y$8:$Y$500,0))))),"")</f>
        <v/>
      </c>
      <c r="G75" s="170" t="str">
        <f t="array" ref="G75">IFERROR(IF(LEN(G$11)=0,"",IF($C$7&lt;&gt;"All",IF(INDEX(Calc!$V$8:$V$500,MATCH(INDEX(Calc!$D$8:$D$500,MATCH(SMALL(IF((Calc!$C$8:$C$500=Kanban!$C$7)*(Calc!$K$8:$K$500=Kanban!G$11)*(Calc!$Y$8:$Y$500&gt;0),Calc!$Y$8:$Y$500,99999),Kanban_Helper!$B68),Calc!$Y$8:$Y$500,0)),Calc!$D$8:$D$500,0))="Yes",CONCATENATE(INDEX(Calc!$D$8:$D$500,MATCH(SMALL(IF((Calc!$C$8:$C$500=Kanban!$C$7)*(Calc!$K$8:$K$500=Kanban!G$11)*(Calc!$Y$8:$Y$500&gt;0),Calc!$Y$8:$Y$500,99999),Kanban_Helper!$B68),Calc!$Y$8:$Y$500,0))," ",Calc!$V$7," ","!"),INDEX(Calc!$D$8:$D$500,MATCH(SMALL(IF((Calc!$C$8:$C$500=Kanban!$C$7)*(Calc!$K$8:$K$500=Kanban!G$11)*(Calc!$Y$8:$Y$500&gt;0),Calc!$Y$8:$Y$500,99999),Kanban_Helper!$B68),Calc!$Y$8:$Y$500,0))),IF(INDEX(Calc!$V$8:$V$500,MATCH(INDEX(Calc!$D$8:$D$500,MATCH(SMALL(IF((Calc!$K$8:$K$500=Kanban!G$11)*(Calc!$Y$8:$Y$500&gt;0),Calc!$Y$8:$Y$500,99999),Kanban_Helper!$B68),Calc!$Y$8:$Y$500,0)),Calc!$D$8:$D$500,0))="Yes",CONCATENATE(INDEX(Calc!$D$8:$D$500,MATCH(SMALL(IF((Calc!$K$8:$K$500=Kanban!G$11)*(Calc!$Y$8:$Y$500&gt;0),Calc!$Y$8:$Y$500,99999),Kanban_Helper!$B68),Calc!$Y$8:$Y$500,0))," ",Calc!$V$7," ","!"),INDEX(Calc!$D$8:$D$500,MATCH(SMALL(IF((Calc!$K$8:$K$500=Kanban!G$11)*(Calc!$Y$8:$Y$500&gt;0),Calc!$Y$8:$Y$500,99999),Kanban_Helper!$B68),Calc!$Y$8:$Y$500,0))))),"")</f>
        <v/>
      </c>
      <c r="H75" s="170" t="str">
        <f t="array" ref="H75">IFERROR(IF(LEN(H$11)=0,"",IF($C$7&lt;&gt;"All",IF(INDEX(Calc!$V$8:$V$500,MATCH(INDEX(Calc!$D$8:$D$500,MATCH(SMALL(IF((Calc!$C$8:$C$500=Kanban!$C$7)*(Calc!$K$8:$K$500=Kanban!H$11)*(Calc!$Y$8:$Y$500&gt;0),Calc!$Y$8:$Y$500,99999),Kanban_Helper!$B68),Calc!$Y$8:$Y$500,0)),Calc!$D$8:$D$500,0))="Yes",CONCATENATE(INDEX(Calc!$D$8:$D$500,MATCH(SMALL(IF((Calc!$C$8:$C$500=Kanban!$C$7)*(Calc!$K$8:$K$500=Kanban!H$11)*(Calc!$Y$8:$Y$500&gt;0),Calc!$Y$8:$Y$500,99999),Kanban_Helper!$B68),Calc!$Y$8:$Y$500,0))," ",Calc!$V$7," ","!"),INDEX(Calc!$D$8:$D$500,MATCH(SMALL(IF((Calc!$C$8:$C$500=Kanban!$C$7)*(Calc!$K$8:$K$500=Kanban!H$11)*(Calc!$Y$8:$Y$500&gt;0),Calc!$Y$8:$Y$500,99999),Kanban_Helper!$B68),Calc!$Y$8:$Y$500,0))),IF(INDEX(Calc!$V$8:$V$500,MATCH(INDEX(Calc!$D$8:$D$500,MATCH(SMALL(IF((Calc!$K$8:$K$500=Kanban!H$11)*(Calc!$Y$8:$Y$500&gt;0),Calc!$Y$8:$Y$500,99999),Kanban_Helper!$B68),Calc!$Y$8:$Y$500,0)),Calc!$D$8:$D$500,0))="Yes",CONCATENATE(INDEX(Calc!$D$8:$D$500,MATCH(SMALL(IF((Calc!$K$8:$K$500=Kanban!H$11)*(Calc!$Y$8:$Y$500&gt;0),Calc!$Y$8:$Y$500,99999),Kanban_Helper!$B68),Calc!$Y$8:$Y$500,0))," ",Calc!$V$7," ","!"),INDEX(Calc!$D$8:$D$500,MATCH(SMALL(IF((Calc!$K$8:$K$500=Kanban!H$11)*(Calc!$Y$8:$Y$500&gt;0),Calc!$Y$8:$Y$500,99999),Kanban_Helper!$B68),Calc!$Y$8:$Y$500,0))))),"")</f>
        <v/>
      </c>
      <c r="I75" s="39"/>
      <c r="J75" s="10"/>
      <c r="K75" s="10"/>
      <c r="L75" s="10"/>
    </row>
    <row r="76" spans="2:12" x14ac:dyDescent="0.35">
      <c r="B76" s="80"/>
      <c r="C76" s="171" t="str">
        <f t="array" ref="C76">IFERROR(IF(LEN(C$11)=0,"",IF($C$7&lt;&gt;"All",INDEX(Calc!$E$8:$E$500,MATCH(SMALL(IF((Calc!$C$8:$C$500=Kanban!$C$7)*(Calc!$K$8:$K$500=Kanban!C$11)*(Calc!$Y$8:$Y$500&gt;0),Calc!$Y$8:$Y$500,99999),Kanban_Helper!$B69),Calc!$Y$8:$Y$500,0)),INDEX(Calc!$E$8:$E$500,MATCH(SMALL(IF((Calc!$K$8:$K$500=Kanban!C$11)*(Calc!$Y$8:$Y$500&gt;0),Calc!$Y$8:$Y$500,99999),Kanban_Helper!$B69),Calc!$Y$8:$Y$500,0)))),"")</f>
        <v/>
      </c>
      <c r="D76" s="171" t="str">
        <f t="array" ref="D76">IFERROR(IF(LEN(D$11)=0,"",IF($C$7&lt;&gt;"All",INDEX(Calc!$E$8:$E$500,MATCH(SMALL(IF((Calc!$C$8:$C$500=Kanban!$C$7)*(Calc!$K$8:$K$500=Kanban!D$11)*(Calc!$Y$8:$Y$500&gt;0),Calc!$Y$8:$Y$500,99999),Kanban_Helper!$B69),Calc!$Y$8:$Y$500,0)),INDEX(Calc!$E$8:$E$500,MATCH(SMALL(IF((Calc!$K$8:$K$500=Kanban!D$11)*(Calc!$Y$8:$Y$500&gt;0),Calc!$Y$8:$Y$500,99999),Kanban_Helper!$B69),Calc!$Y$8:$Y$500,0)))),"")</f>
        <v/>
      </c>
      <c r="E76" s="171" t="str">
        <f t="array" ref="E76">IFERROR(IF(LEN(E$11)=0,"",IF($C$7&lt;&gt;"All",INDEX(Calc!$E$8:$E$500,MATCH(SMALL(IF((Calc!$C$8:$C$500=Kanban!$C$7)*(Calc!$K$8:$K$500=Kanban!E$11)*(Calc!$Y$8:$Y$500&gt;0),Calc!$Y$8:$Y$500,99999),Kanban_Helper!$B69),Calc!$Y$8:$Y$500,0)),INDEX(Calc!$E$8:$E$500,MATCH(SMALL(IF((Calc!$K$8:$K$500=Kanban!E$11)*(Calc!$Y$8:$Y$500&gt;0),Calc!$Y$8:$Y$500,99999),Kanban_Helper!$B69),Calc!$Y$8:$Y$500,0)))),"")</f>
        <v/>
      </c>
      <c r="F76" s="171" t="str">
        <f t="array" ref="F76">IFERROR(IF(LEN(F$11)=0,"",IF($C$7&lt;&gt;"All",INDEX(Calc!$E$8:$E$500,MATCH(SMALL(IF((Calc!$C$8:$C$500=Kanban!$C$7)*(Calc!$K$8:$K$500=Kanban!F$11)*(Calc!$Y$8:$Y$500&gt;0),Calc!$Y$8:$Y$500,99999),Kanban_Helper!$B69),Calc!$Y$8:$Y$500,0)),INDEX(Calc!$E$8:$E$500,MATCH(SMALL(IF((Calc!$K$8:$K$500=Kanban!F$11)*(Calc!$Y$8:$Y$500&gt;0),Calc!$Y$8:$Y$500,99999),Kanban_Helper!$B69),Calc!$Y$8:$Y$500,0)))),"")</f>
        <v/>
      </c>
      <c r="G76" s="171" t="str">
        <f t="array" ref="G76">IFERROR(IF(LEN(G$11)=0,"",IF($C$7&lt;&gt;"All",INDEX(Calc!$E$8:$E$500,MATCH(SMALL(IF((Calc!$C$8:$C$500=Kanban!$C$7)*(Calc!$K$8:$K$500=Kanban!G$11)*(Calc!$Y$8:$Y$500&gt;0),Calc!$Y$8:$Y$500,99999),Kanban_Helper!$B69),Calc!$Y$8:$Y$500,0)),INDEX(Calc!$E$8:$E$500,MATCH(SMALL(IF((Calc!$K$8:$K$500=Kanban!G$11)*(Calc!$Y$8:$Y$500&gt;0),Calc!$Y$8:$Y$500,99999),Kanban_Helper!$B69),Calc!$Y$8:$Y$500,0)))),"")</f>
        <v/>
      </c>
      <c r="H76" s="171" t="str">
        <f t="array" ref="H76">IFERROR(IF(LEN(H$11)=0,"",IF($C$7&lt;&gt;"All",INDEX(Calc!$E$8:$E$500,MATCH(SMALL(IF((Calc!$C$8:$C$500=Kanban!$C$7)*(Calc!$K$8:$K$500=Kanban!H$11)*(Calc!$Y$8:$Y$500&gt;0),Calc!$Y$8:$Y$500,99999),Kanban_Helper!$B69),Calc!$Y$8:$Y$500,0)),INDEX(Calc!$E$8:$E$500,MATCH(SMALL(IF((Calc!$K$8:$K$500=Kanban!H$11)*(Calc!$Y$8:$Y$500&gt;0),Calc!$Y$8:$Y$500,99999),Kanban_Helper!$B69),Calc!$Y$8:$Y$500,0)))),"")</f>
        <v/>
      </c>
      <c r="I76" s="39"/>
      <c r="J76" s="10"/>
      <c r="K76" s="10"/>
      <c r="L76" s="10"/>
    </row>
    <row r="77" spans="2:12" ht="15" thickBot="1" x14ac:dyDescent="0.4">
      <c r="B77" s="80"/>
      <c r="C77" s="173" t="str">
        <f t="array" ref="C77">IFERROR(IF(LEN(C$11)=0,"",IF($C$7&lt;&gt;"All",IF(LEN(INDEX(Calc!$J$8:$J$500,MATCH(SMALL(IF((Calc!$C$8:$C$500=Kanban!$C$7)*(Calc!$K$8:$K$500=Kanban!C$11)*(Calc!$Y$8:$Y$500&gt;0),Calc!$Y$8:$Y$500,99999),Kanban_Helper!$B70),Calc!$Y$8:$Y$500,0)))=0,"",CONCATENATE(Calc!$AD$6,INDEX(Calc!$J$8:$J$500,MATCH(SMALL(IF((Calc!$C$8:$C$500=Kanban!$C$7)*(Calc!$K$8:$K$500=Kanban!C$11)*(Calc!$Y$8:$Y$500&gt;0),Calc!$Y$8:$Y$500,99999),Kanban_Helper!$B70),Calc!$Y$8:$Y$500,0)))),IF(LEN(INDEX(Calc!$J$8:$J$500,MATCH(SMALL(IF((Calc!$K$8:$K$500=Kanban!C$11)*(Calc!$Y$8:$Y$500&gt;0),Calc!$Y$8:$Y$500,99999),Kanban_Helper!$B70),Calc!$Y$8:$Y$500,0)))=0,"",CONCATENATE(Calc!$AD$6,INDEX(Calc!$J$8:$J$500,MATCH(SMALL(IF((Calc!$K$8:$K$500=Kanban!C$11)*(Calc!$Y$8:$Y$500&gt;0),Calc!$Y$8:$Y$500,99999),Kanban_Helper!$B70),Calc!$Y$8:$Y$500,0)))))),"")</f>
        <v/>
      </c>
      <c r="D77" s="173" t="str">
        <f t="array" ref="D77">IFERROR(IF(LEN(D$11)=0,"",IF($C$7&lt;&gt;"All",IF(LEN(INDEX(Calc!$J$8:$J$500,MATCH(SMALL(IF((Calc!$C$8:$C$500=Kanban!$C$7)*(Calc!$K$8:$K$500=Kanban!D$11)*(Calc!$Y$8:$Y$500&gt;0),Calc!$Y$8:$Y$500,99999),Kanban_Helper!$B70),Calc!$Y$8:$Y$500,0)))=0,"",CONCATENATE(Calc!$AD$6,INDEX(Calc!$J$8:$J$500,MATCH(SMALL(IF((Calc!$C$8:$C$500=Kanban!$C$7)*(Calc!$K$8:$K$500=Kanban!D$11)*(Calc!$Y$8:$Y$500&gt;0),Calc!$Y$8:$Y$500,99999),Kanban_Helper!$B70),Calc!$Y$8:$Y$500,0)))),IF(LEN(INDEX(Calc!$J$8:$J$500,MATCH(SMALL(IF((Calc!$K$8:$K$500=Kanban!D$11)*(Calc!$Y$8:$Y$500&gt;0),Calc!$Y$8:$Y$500,99999),Kanban_Helper!$B70),Calc!$Y$8:$Y$500,0)))=0,"",CONCATENATE(Calc!$AD$6,INDEX(Calc!$J$8:$J$500,MATCH(SMALL(IF((Calc!$K$8:$K$500=Kanban!D$11)*(Calc!$Y$8:$Y$500&gt;0),Calc!$Y$8:$Y$500,99999),Kanban_Helper!$B70),Calc!$Y$8:$Y$500,0)))))),"")</f>
        <v/>
      </c>
      <c r="E77" s="173" t="str">
        <f t="array" ref="E77">IFERROR(IF(LEN(E$11)=0,"",IF($C$7&lt;&gt;"All",IF(LEN(INDEX(Calc!$J$8:$J$500,MATCH(SMALL(IF((Calc!$C$8:$C$500=Kanban!$C$7)*(Calc!$K$8:$K$500=Kanban!E$11)*(Calc!$Y$8:$Y$500&gt;0),Calc!$Y$8:$Y$500,99999),Kanban_Helper!$B70),Calc!$Y$8:$Y$500,0)))=0,"",CONCATENATE(Calc!$AD$6,INDEX(Calc!$J$8:$J$500,MATCH(SMALL(IF((Calc!$C$8:$C$500=Kanban!$C$7)*(Calc!$K$8:$K$500=Kanban!E$11)*(Calc!$Y$8:$Y$500&gt;0),Calc!$Y$8:$Y$500,99999),Kanban_Helper!$B70),Calc!$Y$8:$Y$500,0)))),IF(LEN(INDEX(Calc!$J$8:$J$500,MATCH(SMALL(IF((Calc!$K$8:$K$500=Kanban!E$11)*(Calc!$Y$8:$Y$500&gt;0),Calc!$Y$8:$Y$500,99999),Kanban_Helper!$B70),Calc!$Y$8:$Y$500,0)))=0,"",CONCATENATE(Calc!$AD$6,INDEX(Calc!$J$8:$J$500,MATCH(SMALL(IF((Calc!$K$8:$K$500=Kanban!E$11)*(Calc!$Y$8:$Y$500&gt;0),Calc!$Y$8:$Y$500,99999),Kanban_Helper!$B70),Calc!$Y$8:$Y$500,0)))))),"")</f>
        <v/>
      </c>
      <c r="F77" s="173" t="str">
        <f t="array" ref="F77">IFERROR(IF(LEN(F$11)=0,"",IF($C$7&lt;&gt;"All",IF(LEN(INDEX(Calc!$J$8:$J$500,MATCH(SMALL(IF((Calc!$C$8:$C$500=Kanban!$C$7)*(Calc!$K$8:$K$500=Kanban!F$11)*(Calc!$Y$8:$Y$500&gt;0),Calc!$Y$8:$Y$500,99999),Kanban_Helper!$B70),Calc!$Y$8:$Y$500,0)))=0,"",CONCATENATE(Calc!$AD$6,INDEX(Calc!$J$8:$J$500,MATCH(SMALL(IF((Calc!$C$8:$C$500=Kanban!$C$7)*(Calc!$K$8:$K$500=Kanban!F$11)*(Calc!$Y$8:$Y$500&gt;0),Calc!$Y$8:$Y$500,99999),Kanban_Helper!$B70),Calc!$Y$8:$Y$500,0)))),IF(LEN(INDEX(Calc!$J$8:$J$500,MATCH(SMALL(IF((Calc!$K$8:$K$500=Kanban!F$11)*(Calc!$Y$8:$Y$500&gt;0),Calc!$Y$8:$Y$500,99999),Kanban_Helper!$B70),Calc!$Y$8:$Y$500,0)))=0,"",CONCATENATE(Calc!$AD$6,INDEX(Calc!$J$8:$J$500,MATCH(SMALL(IF((Calc!$K$8:$K$500=Kanban!F$11)*(Calc!$Y$8:$Y$500&gt;0),Calc!$Y$8:$Y$500,99999),Kanban_Helper!$B70),Calc!$Y$8:$Y$500,0)))))),"")</f>
        <v/>
      </c>
      <c r="G77" s="173" t="str">
        <f t="array" ref="G77">IFERROR(IF(LEN(G$11)=0,"",IF($C$7&lt;&gt;"All",IF(LEN(INDEX(Calc!$J$8:$J$500,MATCH(SMALL(IF((Calc!$C$8:$C$500=Kanban!$C$7)*(Calc!$K$8:$K$500=Kanban!G$11)*(Calc!$Y$8:$Y$500&gt;0),Calc!$Y$8:$Y$500,99999),Kanban_Helper!$B70),Calc!$Y$8:$Y$500,0)))=0,"",CONCATENATE(Calc!$AD$6,INDEX(Calc!$J$8:$J$500,MATCH(SMALL(IF((Calc!$C$8:$C$500=Kanban!$C$7)*(Calc!$K$8:$K$500=Kanban!G$11)*(Calc!$Y$8:$Y$500&gt;0),Calc!$Y$8:$Y$500,99999),Kanban_Helper!$B70),Calc!$Y$8:$Y$500,0)))),IF(LEN(INDEX(Calc!$J$8:$J$500,MATCH(SMALL(IF((Calc!$K$8:$K$500=Kanban!G$11)*(Calc!$Y$8:$Y$500&gt;0),Calc!$Y$8:$Y$500,99999),Kanban_Helper!$B70),Calc!$Y$8:$Y$500,0)))=0,"",CONCATENATE(Calc!$AD$6,INDEX(Calc!$J$8:$J$500,MATCH(SMALL(IF((Calc!$K$8:$K$500=Kanban!G$11)*(Calc!$Y$8:$Y$500&gt;0),Calc!$Y$8:$Y$500,99999),Kanban_Helper!$B70),Calc!$Y$8:$Y$500,0)))))),"")</f>
        <v/>
      </c>
      <c r="H77" s="173" t="str">
        <f t="array" ref="H77">IFERROR(IF(LEN(H$11)=0,"",IF($C$7&lt;&gt;"All",IF(LEN(INDEX(Calc!$J$8:$J$500,MATCH(SMALL(IF((Calc!$C$8:$C$500=Kanban!$C$7)*(Calc!$K$8:$K$500=Kanban!H$11)*(Calc!$Y$8:$Y$500&gt;0),Calc!$Y$8:$Y$500,99999),Kanban_Helper!$B70),Calc!$Y$8:$Y$500,0)))=0,"",CONCATENATE(Calc!$AD$6,INDEX(Calc!$J$8:$J$500,MATCH(SMALL(IF((Calc!$C$8:$C$500=Kanban!$C$7)*(Calc!$K$8:$K$500=Kanban!H$11)*(Calc!$Y$8:$Y$500&gt;0),Calc!$Y$8:$Y$500,99999),Kanban_Helper!$B70),Calc!$Y$8:$Y$500,0)))),IF(LEN(INDEX(Calc!$J$8:$J$500,MATCH(SMALL(IF((Calc!$K$8:$K$500=Kanban!H$11)*(Calc!$Y$8:$Y$500&gt;0),Calc!$Y$8:$Y$500,99999),Kanban_Helper!$B70),Calc!$Y$8:$Y$500,0)))=0,"",CONCATENATE(Calc!$AD$6,INDEX(Calc!$J$8:$J$500,MATCH(SMALL(IF((Calc!$K$8:$K$500=Kanban!H$11)*(Calc!$Y$8:$Y$500&gt;0),Calc!$Y$8:$Y$500,99999),Kanban_Helper!$B70),Calc!$Y$8:$Y$500,0)))))),"")</f>
        <v/>
      </c>
      <c r="I77" s="39"/>
      <c r="J77" s="10"/>
      <c r="K77" s="10"/>
      <c r="L77" s="10"/>
    </row>
    <row r="78" spans="2:12" ht="15" thickTop="1" x14ac:dyDescent="0.35">
      <c r="B78" s="80"/>
      <c r="C78" s="170" t="str">
        <f t="array" ref="C78">IFERROR(IF(LEN(C$11)=0,"",IF($C$7&lt;&gt;"All",IF(INDEX(Calc!$V$8:$V$500,MATCH(INDEX(Calc!$D$8:$D$500,MATCH(SMALL(IF((Calc!$C$8:$C$500=Kanban!$C$7)*(Calc!$K$8:$K$500=Kanban!C$11)*(Calc!$Y$8:$Y$500&gt;0),Calc!$Y$8:$Y$500,99999),Kanban_Helper!$B71),Calc!$Y$8:$Y$500,0)),Calc!$D$8:$D$500,0))="Yes",CONCATENATE(INDEX(Calc!$D$8:$D$500,MATCH(SMALL(IF((Calc!$C$8:$C$500=Kanban!$C$7)*(Calc!$K$8:$K$500=Kanban!C$11)*(Calc!$Y$8:$Y$500&gt;0),Calc!$Y$8:$Y$500,99999),Kanban_Helper!$B71),Calc!$Y$8:$Y$500,0))," ",Calc!$V$7," ","!"),INDEX(Calc!$D$8:$D$500,MATCH(SMALL(IF((Calc!$C$8:$C$500=Kanban!$C$7)*(Calc!$K$8:$K$500=Kanban!C$11)*(Calc!$Y$8:$Y$500&gt;0),Calc!$Y$8:$Y$500,99999),Kanban_Helper!$B71),Calc!$Y$8:$Y$500,0))),IF(INDEX(Calc!$V$8:$V$500,MATCH(INDEX(Calc!$D$8:$D$500,MATCH(SMALL(IF((Calc!$K$8:$K$500=Kanban!C$11)*(Calc!$Y$8:$Y$500&gt;0),Calc!$Y$8:$Y$500,99999),Kanban_Helper!$B71),Calc!$Y$8:$Y$500,0)),Calc!$D$8:$D$500,0))="Yes",CONCATENATE(INDEX(Calc!$D$8:$D$500,MATCH(SMALL(IF((Calc!$K$8:$K$500=Kanban!C$11)*(Calc!$Y$8:$Y$500&gt;0),Calc!$Y$8:$Y$500,99999),Kanban_Helper!$B71),Calc!$Y$8:$Y$500,0))," ",Calc!$V$7," ","!"),INDEX(Calc!$D$8:$D$500,MATCH(SMALL(IF((Calc!$K$8:$K$500=Kanban!C$11)*(Calc!$Y$8:$Y$500&gt;0),Calc!$Y$8:$Y$500,99999),Kanban_Helper!$B71),Calc!$Y$8:$Y$500,0))))),"")</f>
        <v/>
      </c>
      <c r="D78" s="170" t="str">
        <f t="array" ref="D78">IFERROR(IF(LEN(D$11)=0,"",IF($C$7&lt;&gt;"All",IF(INDEX(Calc!$V$8:$V$500,MATCH(INDEX(Calc!$D$8:$D$500,MATCH(SMALL(IF((Calc!$C$8:$C$500=Kanban!$C$7)*(Calc!$K$8:$K$500=Kanban!D$11)*(Calc!$Y$8:$Y$500&gt;0),Calc!$Y$8:$Y$500,99999),Kanban_Helper!$B71),Calc!$Y$8:$Y$500,0)),Calc!$D$8:$D$500,0))="Yes",CONCATENATE(INDEX(Calc!$D$8:$D$500,MATCH(SMALL(IF((Calc!$C$8:$C$500=Kanban!$C$7)*(Calc!$K$8:$K$500=Kanban!D$11)*(Calc!$Y$8:$Y$500&gt;0),Calc!$Y$8:$Y$500,99999),Kanban_Helper!$B71),Calc!$Y$8:$Y$500,0))," ",Calc!$V$7," ","!"),INDEX(Calc!$D$8:$D$500,MATCH(SMALL(IF((Calc!$C$8:$C$500=Kanban!$C$7)*(Calc!$K$8:$K$500=Kanban!D$11)*(Calc!$Y$8:$Y$500&gt;0),Calc!$Y$8:$Y$500,99999),Kanban_Helper!$B71),Calc!$Y$8:$Y$500,0))),IF(INDEX(Calc!$V$8:$V$500,MATCH(INDEX(Calc!$D$8:$D$500,MATCH(SMALL(IF((Calc!$K$8:$K$500=Kanban!D$11)*(Calc!$Y$8:$Y$500&gt;0),Calc!$Y$8:$Y$500,99999),Kanban_Helper!$B71),Calc!$Y$8:$Y$500,0)),Calc!$D$8:$D$500,0))="Yes",CONCATENATE(INDEX(Calc!$D$8:$D$500,MATCH(SMALL(IF((Calc!$K$8:$K$500=Kanban!D$11)*(Calc!$Y$8:$Y$500&gt;0),Calc!$Y$8:$Y$500,99999),Kanban_Helper!$B71),Calc!$Y$8:$Y$500,0))," ",Calc!$V$7," ","!"),INDEX(Calc!$D$8:$D$500,MATCH(SMALL(IF((Calc!$K$8:$K$500=Kanban!D$11)*(Calc!$Y$8:$Y$500&gt;0),Calc!$Y$8:$Y$500,99999),Kanban_Helper!$B71),Calc!$Y$8:$Y$500,0))))),"")</f>
        <v/>
      </c>
      <c r="E78" s="170" t="str">
        <f t="array" ref="E78">IFERROR(IF(LEN(E$11)=0,"",IF($C$7&lt;&gt;"All",IF(INDEX(Calc!$V$8:$V$500,MATCH(INDEX(Calc!$D$8:$D$500,MATCH(SMALL(IF((Calc!$C$8:$C$500=Kanban!$C$7)*(Calc!$K$8:$K$500=Kanban!E$11)*(Calc!$Y$8:$Y$500&gt;0),Calc!$Y$8:$Y$500,99999),Kanban_Helper!$B71),Calc!$Y$8:$Y$500,0)),Calc!$D$8:$D$500,0))="Yes",CONCATENATE(INDEX(Calc!$D$8:$D$500,MATCH(SMALL(IF((Calc!$C$8:$C$500=Kanban!$C$7)*(Calc!$K$8:$K$500=Kanban!E$11)*(Calc!$Y$8:$Y$500&gt;0),Calc!$Y$8:$Y$500,99999),Kanban_Helper!$B71),Calc!$Y$8:$Y$500,0))," ",Calc!$V$7," ","!"),INDEX(Calc!$D$8:$D$500,MATCH(SMALL(IF((Calc!$C$8:$C$500=Kanban!$C$7)*(Calc!$K$8:$K$500=Kanban!E$11)*(Calc!$Y$8:$Y$500&gt;0),Calc!$Y$8:$Y$500,99999),Kanban_Helper!$B71),Calc!$Y$8:$Y$500,0))),IF(INDEX(Calc!$V$8:$V$500,MATCH(INDEX(Calc!$D$8:$D$500,MATCH(SMALL(IF((Calc!$K$8:$K$500=Kanban!E$11)*(Calc!$Y$8:$Y$500&gt;0),Calc!$Y$8:$Y$500,99999),Kanban_Helper!$B71),Calc!$Y$8:$Y$500,0)),Calc!$D$8:$D$500,0))="Yes",CONCATENATE(INDEX(Calc!$D$8:$D$500,MATCH(SMALL(IF((Calc!$K$8:$K$500=Kanban!E$11)*(Calc!$Y$8:$Y$500&gt;0),Calc!$Y$8:$Y$500,99999),Kanban_Helper!$B71),Calc!$Y$8:$Y$500,0))," ",Calc!$V$7," ","!"),INDEX(Calc!$D$8:$D$500,MATCH(SMALL(IF((Calc!$K$8:$K$500=Kanban!E$11)*(Calc!$Y$8:$Y$500&gt;0),Calc!$Y$8:$Y$500,99999),Kanban_Helper!$B71),Calc!$Y$8:$Y$500,0))))),"")</f>
        <v/>
      </c>
      <c r="F78" s="170" t="str">
        <f t="array" ref="F78">IFERROR(IF(LEN(F$11)=0,"",IF($C$7&lt;&gt;"All",IF(INDEX(Calc!$V$8:$V$500,MATCH(INDEX(Calc!$D$8:$D$500,MATCH(SMALL(IF((Calc!$C$8:$C$500=Kanban!$C$7)*(Calc!$K$8:$K$500=Kanban!F$11)*(Calc!$Y$8:$Y$500&gt;0),Calc!$Y$8:$Y$500,99999),Kanban_Helper!$B71),Calc!$Y$8:$Y$500,0)),Calc!$D$8:$D$500,0))="Yes",CONCATENATE(INDEX(Calc!$D$8:$D$500,MATCH(SMALL(IF((Calc!$C$8:$C$500=Kanban!$C$7)*(Calc!$K$8:$K$500=Kanban!F$11)*(Calc!$Y$8:$Y$500&gt;0),Calc!$Y$8:$Y$500,99999),Kanban_Helper!$B71),Calc!$Y$8:$Y$500,0))," ",Calc!$V$7," ","!"),INDEX(Calc!$D$8:$D$500,MATCH(SMALL(IF((Calc!$C$8:$C$500=Kanban!$C$7)*(Calc!$K$8:$K$500=Kanban!F$11)*(Calc!$Y$8:$Y$500&gt;0),Calc!$Y$8:$Y$500,99999),Kanban_Helper!$B71),Calc!$Y$8:$Y$500,0))),IF(INDEX(Calc!$V$8:$V$500,MATCH(INDEX(Calc!$D$8:$D$500,MATCH(SMALL(IF((Calc!$K$8:$K$500=Kanban!F$11)*(Calc!$Y$8:$Y$500&gt;0),Calc!$Y$8:$Y$500,99999),Kanban_Helper!$B71),Calc!$Y$8:$Y$500,0)),Calc!$D$8:$D$500,0))="Yes",CONCATENATE(INDEX(Calc!$D$8:$D$500,MATCH(SMALL(IF((Calc!$K$8:$K$500=Kanban!F$11)*(Calc!$Y$8:$Y$500&gt;0),Calc!$Y$8:$Y$500,99999),Kanban_Helper!$B71),Calc!$Y$8:$Y$500,0))," ",Calc!$V$7," ","!"),INDEX(Calc!$D$8:$D$500,MATCH(SMALL(IF((Calc!$K$8:$K$500=Kanban!F$11)*(Calc!$Y$8:$Y$500&gt;0),Calc!$Y$8:$Y$500,99999),Kanban_Helper!$B71),Calc!$Y$8:$Y$500,0))))),"")</f>
        <v/>
      </c>
      <c r="G78" s="170" t="str">
        <f t="array" ref="G78">IFERROR(IF(LEN(G$11)=0,"",IF($C$7&lt;&gt;"All",IF(INDEX(Calc!$V$8:$V$500,MATCH(INDEX(Calc!$D$8:$D$500,MATCH(SMALL(IF((Calc!$C$8:$C$500=Kanban!$C$7)*(Calc!$K$8:$K$500=Kanban!G$11)*(Calc!$Y$8:$Y$500&gt;0),Calc!$Y$8:$Y$500,99999),Kanban_Helper!$B71),Calc!$Y$8:$Y$500,0)),Calc!$D$8:$D$500,0))="Yes",CONCATENATE(INDEX(Calc!$D$8:$D$500,MATCH(SMALL(IF((Calc!$C$8:$C$500=Kanban!$C$7)*(Calc!$K$8:$K$500=Kanban!G$11)*(Calc!$Y$8:$Y$500&gt;0),Calc!$Y$8:$Y$500,99999),Kanban_Helper!$B71),Calc!$Y$8:$Y$500,0))," ",Calc!$V$7," ","!"),INDEX(Calc!$D$8:$D$500,MATCH(SMALL(IF((Calc!$C$8:$C$500=Kanban!$C$7)*(Calc!$K$8:$K$500=Kanban!G$11)*(Calc!$Y$8:$Y$500&gt;0),Calc!$Y$8:$Y$500,99999),Kanban_Helper!$B71),Calc!$Y$8:$Y$500,0))),IF(INDEX(Calc!$V$8:$V$500,MATCH(INDEX(Calc!$D$8:$D$500,MATCH(SMALL(IF((Calc!$K$8:$K$500=Kanban!G$11)*(Calc!$Y$8:$Y$500&gt;0),Calc!$Y$8:$Y$500,99999),Kanban_Helper!$B71),Calc!$Y$8:$Y$500,0)),Calc!$D$8:$D$500,0))="Yes",CONCATENATE(INDEX(Calc!$D$8:$D$500,MATCH(SMALL(IF((Calc!$K$8:$K$500=Kanban!G$11)*(Calc!$Y$8:$Y$500&gt;0),Calc!$Y$8:$Y$500,99999),Kanban_Helper!$B71),Calc!$Y$8:$Y$500,0))," ",Calc!$V$7," ","!"),INDEX(Calc!$D$8:$D$500,MATCH(SMALL(IF((Calc!$K$8:$K$500=Kanban!G$11)*(Calc!$Y$8:$Y$500&gt;0),Calc!$Y$8:$Y$500,99999),Kanban_Helper!$B71),Calc!$Y$8:$Y$500,0))))),"")</f>
        <v/>
      </c>
      <c r="H78" s="170" t="str">
        <f t="array" ref="H78">IFERROR(IF(LEN(H$11)=0,"",IF($C$7&lt;&gt;"All",IF(INDEX(Calc!$V$8:$V$500,MATCH(INDEX(Calc!$D$8:$D$500,MATCH(SMALL(IF((Calc!$C$8:$C$500=Kanban!$C$7)*(Calc!$K$8:$K$500=Kanban!H$11)*(Calc!$Y$8:$Y$500&gt;0),Calc!$Y$8:$Y$500,99999),Kanban_Helper!$B71),Calc!$Y$8:$Y$500,0)),Calc!$D$8:$D$500,0))="Yes",CONCATENATE(INDEX(Calc!$D$8:$D$500,MATCH(SMALL(IF((Calc!$C$8:$C$500=Kanban!$C$7)*(Calc!$K$8:$K$500=Kanban!H$11)*(Calc!$Y$8:$Y$500&gt;0),Calc!$Y$8:$Y$500,99999),Kanban_Helper!$B71),Calc!$Y$8:$Y$500,0))," ",Calc!$V$7," ","!"),INDEX(Calc!$D$8:$D$500,MATCH(SMALL(IF((Calc!$C$8:$C$500=Kanban!$C$7)*(Calc!$K$8:$K$500=Kanban!H$11)*(Calc!$Y$8:$Y$500&gt;0),Calc!$Y$8:$Y$500,99999),Kanban_Helper!$B71),Calc!$Y$8:$Y$500,0))),IF(INDEX(Calc!$V$8:$V$500,MATCH(INDEX(Calc!$D$8:$D$500,MATCH(SMALL(IF((Calc!$K$8:$K$500=Kanban!H$11)*(Calc!$Y$8:$Y$500&gt;0),Calc!$Y$8:$Y$500,99999),Kanban_Helper!$B71),Calc!$Y$8:$Y$500,0)),Calc!$D$8:$D$500,0))="Yes",CONCATENATE(INDEX(Calc!$D$8:$D$500,MATCH(SMALL(IF((Calc!$K$8:$K$500=Kanban!H$11)*(Calc!$Y$8:$Y$500&gt;0),Calc!$Y$8:$Y$500,99999),Kanban_Helper!$B71),Calc!$Y$8:$Y$500,0))," ",Calc!$V$7," ","!"),INDEX(Calc!$D$8:$D$500,MATCH(SMALL(IF((Calc!$K$8:$K$500=Kanban!H$11)*(Calc!$Y$8:$Y$500&gt;0),Calc!$Y$8:$Y$500,99999),Kanban_Helper!$B71),Calc!$Y$8:$Y$500,0))))),"")</f>
        <v/>
      </c>
      <c r="I78" s="39"/>
      <c r="J78" s="10"/>
      <c r="K78" s="10"/>
      <c r="L78" s="10"/>
    </row>
    <row r="79" spans="2:12" x14ac:dyDescent="0.35">
      <c r="B79" s="80"/>
      <c r="C79" s="171" t="str">
        <f t="array" ref="C79">IFERROR(IF(LEN(C$11)=0,"",IF($C$7&lt;&gt;"All",INDEX(Calc!$E$8:$E$500,MATCH(SMALL(IF((Calc!$C$8:$C$500=Kanban!$C$7)*(Calc!$K$8:$K$500=Kanban!C$11)*(Calc!$Y$8:$Y$500&gt;0),Calc!$Y$8:$Y$500,99999),Kanban_Helper!$B72),Calc!$Y$8:$Y$500,0)),INDEX(Calc!$E$8:$E$500,MATCH(SMALL(IF((Calc!$K$8:$K$500=Kanban!C$11)*(Calc!$Y$8:$Y$500&gt;0),Calc!$Y$8:$Y$500,99999),Kanban_Helper!$B72),Calc!$Y$8:$Y$500,0)))),"")</f>
        <v/>
      </c>
      <c r="D79" s="171" t="str">
        <f t="array" ref="D79">IFERROR(IF(LEN(D$11)=0,"",IF($C$7&lt;&gt;"All",INDEX(Calc!$E$8:$E$500,MATCH(SMALL(IF((Calc!$C$8:$C$500=Kanban!$C$7)*(Calc!$K$8:$K$500=Kanban!D$11)*(Calc!$Y$8:$Y$500&gt;0),Calc!$Y$8:$Y$500,99999),Kanban_Helper!$B72),Calc!$Y$8:$Y$500,0)),INDEX(Calc!$E$8:$E$500,MATCH(SMALL(IF((Calc!$K$8:$K$500=Kanban!D$11)*(Calc!$Y$8:$Y$500&gt;0),Calc!$Y$8:$Y$500,99999),Kanban_Helper!$B72),Calc!$Y$8:$Y$500,0)))),"")</f>
        <v/>
      </c>
      <c r="E79" s="171" t="str">
        <f t="array" ref="E79">IFERROR(IF(LEN(E$11)=0,"",IF($C$7&lt;&gt;"All",INDEX(Calc!$E$8:$E$500,MATCH(SMALL(IF((Calc!$C$8:$C$500=Kanban!$C$7)*(Calc!$K$8:$K$500=Kanban!E$11)*(Calc!$Y$8:$Y$500&gt;0),Calc!$Y$8:$Y$500,99999),Kanban_Helper!$B72),Calc!$Y$8:$Y$500,0)),INDEX(Calc!$E$8:$E$500,MATCH(SMALL(IF((Calc!$K$8:$K$500=Kanban!E$11)*(Calc!$Y$8:$Y$500&gt;0),Calc!$Y$8:$Y$500,99999),Kanban_Helper!$B72),Calc!$Y$8:$Y$500,0)))),"")</f>
        <v/>
      </c>
      <c r="F79" s="171" t="str">
        <f t="array" ref="F79">IFERROR(IF(LEN(F$11)=0,"",IF($C$7&lt;&gt;"All",INDEX(Calc!$E$8:$E$500,MATCH(SMALL(IF((Calc!$C$8:$C$500=Kanban!$C$7)*(Calc!$K$8:$K$500=Kanban!F$11)*(Calc!$Y$8:$Y$500&gt;0),Calc!$Y$8:$Y$500,99999),Kanban_Helper!$B72),Calc!$Y$8:$Y$500,0)),INDEX(Calc!$E$8:$E$500,MATCH(SMALL(IF((Calc!$K$8:$K$500=Kanban!F$11)*(Calc!$Y$8:$Y$500&gt;0),Calc!$Y$8:$Y$500,99999),Kanban_Helper!$B72),Calc!$Y$8:$Y$500,0)))),"")</f>
        <v/>
      </c>
      <c r="G79" s="171" t="str">
        <f t="array" ref="G79">IFERROR(IF(LEN(G$11)=0,"",IF($C$7&lt;&gt;"All",INDEX(Calc!$E$8:$E$500,MATCH(SMALL(IF((Calc!$C$8:$C$500=Kanban!$C$7)*(Calc!$K$8:$K$500=Kanban!G$11)*(Calc!$Y$8:$Y$500&gt;0),Calc!$Y$8:$Y$500,99999),Kanban_Helper!$B72),Calc!$Y$8:$Y$500,0)),INDEX(Calc!$E$8:$E$500,MATCH(SMALL(IF((Calc!$K$8:$K$500=Kanban!G$11)*(Calc!$Y$8:$Y$500&gt;0),Calc!$Y$8:$Y$500,99999),Kanban_Helper!$B72),Calc!$Y$8:$Y$500,0)))),"")</f>
        <v/>
      </c>
      <c r="H79" s="171" t="str">
        <f t="array" ref="H79">IFERROR(IF(LEN(H$11)=0,"",IF($C$7&lt;&gt;"All",INDEX(Calc!$E$8:$E$500,MATCH(SMALL(IF((Calc!$C$8:$C$500=Kanban!$C$7)*(Calc!$K$8:$K$500=Kanban!H$11)*(Calc!$Y$8:$Y$500&gt;0),Calc!$Y$8:$Y$500,99999),Kanban_Helper!$B72),Calc!$Y$8:$Y$500,0)),INDEX(Calc!$E$8:$E$500,MATCH(SMALL(IF((Calc!$K$8:$K$500=Kanban!H$11)*(Calc!$Y$8:$Y$500&gt;0),Calc!$Y$8:$Y$500,99999),Kanban_Helper!$B72),Calc!$Y$8:$Y$500,0)))),"")</f>
        <v/>
      </c>
      <c r="I79" s="39"/>
      <c r="J79" s="10"/>
      <c r="K79" s="10"/>
      <c r="L79" s="10"/>
    </row>
    <row r="80" spans="2:12" ht="15" thickBot="1" x14ac:dyDescent="0.4">
      <c r="B80" s="80"/>
      <c r="C80" s="173" t="str">
        <f t="array" ref="C80">IFERROR(IF(LEN(C$11)=0,"",IF($C$7&lt;&gt;"All",IF(LEN(INDEX(Calc!$J$8:$J$500,MATCH(SMALL(IF((Calc!$C$8:$C$500=Kanban!$C$7)*(Calc!$K$8:$K$500=Kanban!C$11)*(Calc!$Y$8:$Y$500&gt;0),Calc!$Y$8:$Y$500,99999),Kanban_Helper!$B73),Calc!$Y$8:$Y$500,0)))=0,"",CONCATENATE(Calc!$AD$6,INDEX(Calc!$J$8:$J$500,MATCH(SMALL(IF((Calc!$C$8:$C$500=Kanban!$C$7)*(Calc!$K$8:$K$500=Kanban!C$11)*(Calc!$Y$8:$Y$500&gt;0),Calc!$Y$8:$Y$500,99999),Kanban_Helper!$B73),Calc!$Y$8:$Y$500,0)))),IF(LEN(INDEX(Calc!$J$8:$J$500,MATCH(SMALL(IF((Calc!$K$8:$K$500=Kanban!C$11)*(Calc!$Y$8:$Y$500&gt;0),Calc!$Y$8:$Y$500,99999),Kanban_Helper!$B73),Calc!$Y$8:$Y$500,0)))=0,"",CONCATENATE(Calc!$AD$6,INDEX(Calc!$J$8:$J$500,MATCH(SMALL(IF((Calc!$K$8:$K$500=Kanban!C$11)*(Calc!$Y$8:$Y$500&gt;0),Calc!$Y$8:$Y$500,99999),Kanban_Helper!$B73),Calc!$Y$8:$Y$500,0)))))),"")</f>
        <v/>
      </c>
      <c r="D80" s="173" t="str">
        <f t="array" ref="D80">IFERROR(IF(LEN(D$11)=0,"",IF($C$7&lt;&gt;"All",IF(LEN(INDEX(Calc!$J$8:$J$500,MATCH(SMALL(IF((Calc!$C$8:$C$500=Kanban!$C$7)*(Calc!$K$8:$K$500=Kanban!D$11)*(Calc!$Y$8:$Y$500&gt;0),Calc!$Y$8:$Y$500,99999),Kanban_Helper!$B73),Calc!$Y$8:$Y$500,0)))=0,"",CONCATENATE(Calc!$AD$6,INDEX(Calc!$J$8:$J$500,MATCH(SMALL(IF((Calc!$C$8:$C$500=Kanban!$C$7)*(Calc!$K$8:$K$500=Kanban!D$11)*(Calc!$Y$8:$Y$500&gt;0),Calc!$Y$8:$Y$500,99999),Kanban_Helper!$B73),Calc!$Y$8:$Y$500,0)))),IF(LEN(INDEX(Calc!$J$8:$J$500,MATCH(SMALL(IF((Calc!$K$8:$K$500=Kanban!D$11)*(Calc!$Y$8:$Y$500&gt;0),Calc!$Y$8:$Y$500,99999),Kanban_Helper!$B73),Calc!$Y$8:$Y$500,0)))=0,"",CONCATENATE(Calc!$AD$6,INDEX(Calc!$J$8:$J$500,MATCH(SMALL(IF((Calc!$K$8:$K$500=Kanban!D$11)*(Calc!$Y$8:$Y$500&gt;0),Calc!$Y$8:$Y$500,99999),Kanban_Helper!$B73),Calc!$Y$8:$Y$500,0)))))),"")</f>
        <v/>
      </c>
      <c r="E80" s="173" t="str">
        <f t="array" ref="E80">IFERROR(IF(LEN(E$11)=0,"",IF($C$7&lt;&gt;"All",IF(LEN(INDEX(Calc!$J$8:$J$500,MATCH(SMALL(IF((Calc!$C$8:$C$500=Kanban!$C$7)*(Calc!$K$8:$K$500=Kanban!E$11)*(Calc!$Y$8:$Y$500&gt;0),Calc!$Y$8:$Y$500,99999),Kanban_Helper!$B73),Calc!$Y$8:$Y$500,0)))=0,"",CONCATENATE(Calc!$AD$6,INDEX(Calc!$J$8:$J$500,MATCH(SMALL(IF((Calc!$C$8:$C$500=Kanban!$C$7)*(Calc!$K$8:$K$500=Kanban!E$11)*(Calc!$Y$8:$Y$500&gt;0),Calc!$Y$8:$Y$500,99999),Kanban_Helper!$B73),Calc!$Y$8:$Y$500,0)))),IF(LEN(INDEX(Calc!$J$8:$J$500,MATCH(SMALL(IF((Calc!$K$8:$K$500=Kanban!E$11)*(Calc!$Y$8:$Y$500&gt;0),Calc!$Y$8:$Y$500,99999),Kanban_Helper!$B73),Calc!$Y$8:$Y$500,0)))=0,"",CONCATENATE(Calc!$AD$6,INDEX(Calc!$J$8:$J$500,MATCH(SMALL(IF((Calc!$K$8:$K$500=Kanban!E$11)*(Calc!$Y$8:$Y$500&gt;0),Calc!$Y$8:$Y$500,99999),Kanban_Helper!$B73),Calc!$Y$8:$Y$500,0)))))),"")</f>
        <v/>
      </c>
      <c r="F80" s="173" t="str">
        <f t="array" ref="F80">IFERROR(IF(LEN(F$11)=0,"",IF($C$7&lt;&gt;"All",IF(LEN(INDEX(Calc!$J$8:$J$500,MATCH(SMALL(IF((Calc!$C$8:$C$500=Kanban!$C$7)*(Calc!$K$8:$K$500=Kanban!F$11)*(Calc!$Y$8:$Y$500&gt;0),Calc!$Y$8:$Y$500,99999),Kanban_Helper!$B73),Calc!$Y$8:$Y$500,0)))=0,"",CONCATENATE(Calc!$AD$6,INDEX(Calc!$J$8:$J$500,MATCH(SMALL(IF((Calc!$C$8:$C$500=Kanban!$C$7)*(Calc!$K$8:$K$500=Kanban!F$11)*(Calc!$Y$8:$Y$500&gt;0),Calc!$Y$8:$Y$500,99999),Kanban_Helper!$B73),Calc!$Y$8:$Y$500,0)))),IF(LEN(INDEX(Calc!$J$8:$J$500,MATCH(SMALL(IF((Calc!$K$8:$K$500=Kanban!F$11)*(Calc!$Y$8:$Y$500&gt;0),Calc!$Y$8:$Y$500,99999),Kanban_Helper!$B73),Calc!$Y$8:$Y$500,0)))=0,"",CONCATENATE(Calc!$AD$6,INDEX(Calc!$J$8:$J$500,MATCH(SMALL(IF((Calc!$K$8:$K$500=Kanban!F$11)*(Calc!$Y$8:$Y$500&gt;0),Calc!$Y$8:$Y$500,99999),Kanban_Helper!$B73),Calc!$Y$8:$Y$500,0)))))),"")</f>
        <v/>
      </c>
      <c r="G80" s="173" t="str">
        <f t="array" ref="G80">IFERROR(IF(LEN(G$11)=0,"",IF($C$7&lt;&gt;"All",IF(LEN(INDEX(Calc!$J$8:$J$500,MATCH(SMALL(IF((Calc!$C$8:$C$500=Kanban!$C$7)*(Calc!$K$8:$K$500=Kanban!G$11)*(Calc!$Y$8:$Y$500&gt;0),Calc!$Y$8:$Y$500,99999),Kanban_Helper!$B73),Calc!$Y$8:$Y$500,0)))=0,"",CONCATENATE(Calc!$AD$6,INDEX(Calc!$J$8:$J$500,MATCH(SMALL(IF((Calc!$C$8:$C$500=Kanban!$C$7)*(Calc!$K$8:$K$500=Kanban!G$11)*(Calc!$Y$8:$Y$500&gt;0),Calc!$Y$8:$Y$500,99999),Kanban_Helper!$B73),Calc!$Y$8:$Y$500,0)))),IF(LEN(INDEX(Calc!$J$8:$J$500,MATCH(SMALL(IF((Calc!$K$8:$K$500=Kanban!G$11)*(Calc!$Y$8:$Y$500&gt;0),Calc!$Y$8:$Y$500,99999),Kanban_Helper!$B73),Calc!$Y$8:$Y$500,0)))=0,"",CONCATENATE(Calc!$AD$6,INDEX(Calc!$J$8:$J$500,MATCH(SMALL(IF((Calc!$K$8:$K$500=Kanban!G$11)*(Calc!$Y$8:$Y$500&gt;0),Calc!$Y$8:$Y$500,99999),Kanban_Helper!$B73),Calc!$Y$8:$Y$500,0)))))),"")</f>
        <v/>
      </c>
      <c r="H80" s="173" t="str">
        <f t="array" ref="H80">IFERROR(IF(LEN(H$11)=0,"",IF($C$7&lt;&gt;"All",IF(LEN(INDEX(Calc!$J$8:$J$500,MATCH(SMALL(IF((Calc!$C$8:$C$500=Kanban!$C$7)*(Calc!$K$8:$K$500=Kanban!H$11)*(Calc!$Y$8:$Y$500&gt;0),Calc!$Y$8:$Y$500,99999),Kanban_Helper!$B73),Calc!$Y$8:$Y$500,0)))=0,"",CONCATENATE(Calc!$AD$6,INDEX(Calc!$J$8:$J$500,MATCH(SMALL(IF((Calc!$C$8:$C$500=Kanban!$C$7)*(Calc!$K$8:$K$500=Kanban!H$11)*(Calc!$Y$8:$Y$500&gt;0),Calc!$Y$8:$Y$500,99999),Kanban_Helper!$B73),Calc!$Y$8:$Y$500,0)))),IF(LEN(INDEX(Calc!$J$8:$J$500,MATCH(SMALL(IF((Calc!$K$8:$K$500=Kanban!H$11)*(Calc!$Y$8:$Y$500&gt;0),Calc!$Y$8:$Y$500,99999),Kanban_Helper!$B73),Calc!$Y$8:$Y$500,0)))=0,"",CONCATENATE(Calc!$AD$6,INDEX(Calc!$J$8:$J$500,MATCH(SMALL(IF((Calc!$K$8:$K$500=Kanban!H$11)*(Calc!$Y$8:$Y$500&gt;0),Calc!$Y$8:$Y$500,99999),Kanban_Helper!$B73),Calc!$Y$8:$Y$500,0)))))),"")</f>
        <v/>
      </c>
      <c r="I80" s="39"/>
      <c r="J80" s="10"/>
      <c r="K80" s="10"/>
      <c r="L80" s="10"/>
    </row>
    <row r="81" spans="2:12" ht="15" thickTop="1" x14ac:dyDescent="0.35">
      <c r="B81" s="80"/>
      <c r="C81" s="170" t="str">
        <f t="array" ref="C81">IFERROR(IF(LEN(C$11)=0,"",IF($C$7&lt;&gt;"All",IF(INDEX(Calc!$V$8:$V$500,MATCH(INDEX(Calc!$D$8:$D$500,MATCH(SMALL(IF((Calc!$C$8:$C$500=Kanban!$C$7)*(Calc!$K$8:$K$500=Kanban!C$11)*(Calc!$Y$8:$Y$500&gt;0),Calc!$Y$8:$Y$500,99999),Kanban_Helper!$B74),Calc!$Y$8:$Y$500,0)),Calc!$D$8:$D$500,0))="Yes",CONCATENATE(INDEX(Calc!$D$8:$D$500,MATCH(SMALL(IF((Calc!$C$8:$C$500=Kanban!$C$7)*(Calc!$K$8:$K$500=Kanban!C$11)*(Calc!$Y$8:$Y$500&gt;0),Calc!$Y$8:$Y$500,99999),Kanban_Helper!$B74),Calc!$Y$8:$Y$500,0))," ",Calc!$V$7," ","!"),INDEX(Calc!$D$8:$D$500,MATCH(SMALL(IF((Calc!$C$8:$C$500=Kanban!$C$7)*(Calc!$K$8:$K$500=Kanban!C$11)*(Calc!$Y$8:$Y$500&gt;0),Calc!$Y$8:$Y$500,99999),Kanban_Helper!$B74),Calc!$Y$8:$Y$500,0))),IF(INDEX(Calc!$V$8:$V$500,MATCH(INDEX(Calc!$D$8:$D$500,MATCH(SMALL(IF((Calc!$K$8:$K$500=Kanban!C$11)*(Calc!$Y$8:$Y$500&gt;0),Calc!$Y$8:$Y$500,99999),Kanban_Helper!$B74),Calc!$Y$8:$Y$500,0)),Calc!$D$8:$D$500,0))="Yes",CONCATENATE(INDEX(Calc!$D$8:$D$500,MATCH(SMALL(IF((Calc!$K$8:$K$500=Kanban!C$11)*(Calc!$Y$8:$Y$500&gt;0),Calc!$Y$8:$Y$500,99999),Kanban_Helper!$B74),Calc!$Y$8:$Y$500,0))," ",Calc!$V$7," ","!"),INDEX(Calc!$D$8:$D$500,MATCH(SMALL(IF((Calc!$K$8:$K$500=Kanban!C$11)*(Calc!$Y$8:$Y$500&gt;0),Calc!$Y$8:$Y$500,99999),Kanban_Helper!$B74),Calc!$Y$8:$Y$500,0))))),"")</f>
        <v/>
      </c>
      <c r="D81" s="170" t="str">
        <f t="array" ref="D81">IFERROR(IF(LEN(D$11)=0,"",IF($C$7&lt;&gt;"All",IF(INDEX(Calc!$V$8:$V$500,MATCH(INDEX(Calc!$D$8:$D$500,MATCH(SMALL(IF((Calc!$C$8:$C$500=Kanban!$C$7)*(Calc!$K$8:$K$500=Kanban!D$11)*(Calc!$Y$8:$Y$500&gt;0),Calc!$Y$8:$Y$500,99999),Kanban_Helper!$B74),Calc!$Y$8:$Y$500,0)),Calc!$D$8:$D$500,0))="Yes",CONCATENATE(INDEX(Calc!$D$8:$D$500,MATCH(SMALL(IF((Calc!$C$8:$C$500=Kanban!$C$7)*(Calc!$K$8:$K$500=Kanban!D$11)*(Calc!$Y$8:$Y$500&gt;0),Calc!$Y$8:$Y$500,99999),Kanban_Helper!$B74),Calc!$Y$8:$Y$500,0))," ",Calc!$V$7," ","!"),INDEX(Calc!$D$8:$D$500,MATCH(SMALL(IF((Calc!$C$8:$C$500=Kanban!$C$7)*(Calc!$K$8:$K$500=Kanban!D$11)*(Calc!$Y$8:$Y$500&gt;0),Calc!$Y$8:$Y$500,99999),Kanban_Helper!$B74),Calc!$Y$8:$Y$500,0))),IF(INDEX(Calc!$V$8:$V$500,MATCH(INDEX(Calc!$D$8:$D$500,MATCH(SMALL(IF((Calc!$K$8:$K$500=Kanban!D$11)*(Calc!$Y$8:$Y$500&gt;0),Calc!$Y$8:$Y$500,99999),Kanban_Helper!$B74),Calc!$Y$8:$Y$500,0)),Calc!$D$8:$D$500,0))="Yes",CONCATENATE(INDEX(Calc!$D$8:$D$500,MATCH(SMALL(IF((Calc!$K$8:$K$500=Kanban!D$11)*(Calc!$Y$8:$Y$500&gt;0),Calc!$Y$8:$Y$500,99999),Kanban_Helper!$B74),Calc!$Y$8:$Y$500,0))," ",Calc!$V$7," ","!"),INDEX(Calc!$D$8:$D$500,MATCH(SMALL(IF((Calc!$K$8:$K$500=Kanban!D$11)*(Calc!$Y$8:$Y$500&gt;0),Calc!$Y$8:$Y$500,99999),Kanban_Helper!$B74),Calc!$Y$8:$Y$500,0))))),"")</f>
        <v/>
      </c>
      <c r="E81" s="170" t="str">
        <f t="array" ref="E81">IFERROR(IF(LEN(E$11)=0,"",IF($C$7&lt;&gt;"All",IF(INDEX(Calc!$V$8:$V$500,MATCH(INDEX(Calc!$D$8:$D$500,MATCH(SMALL(IF((Calc!$C$8:$C$500=Kanban!$C$7)*(Calc!$K$8:$K$500=Kanban!E$11)*(Calc!$Y$8:$Y$500&gt;0),Calc!$Y$8:$Y$500,99999),Kanban_Helper!$B74),Calc!$Y$8:$Y$500,0)),Calc!$D$8:$D$500,0))="Yes",CONCATENATE(INDEX(Calc!$D$8:$D$500,MATCH(SMALL(IF((Calc!$C$8:$C$500=Kanban!$C$7)*(Calc!$K$8:$K$500=Kanban!E$11)*(Calc!$Y$8:$Y$500&gt;0),Calc!$Y$8:$Y$500,99999),Kanban_Helper!$B74),Calc!$Y$8:$Y$500,0))," ",Calc!$V$7," ","!"),INDEX(Calc!$D$8:$D$500,MATCH(SMALL(IF((Calc!$C$8:$C$500=Kanban!$C$7)*(Calc!$K$8:$K$500=Kanban!E$11)*(Calc!$Y$8:$Y$500&gt;0),Calc!$Y$8:$Y$500,99999),Kanban_Helper!$B74),Calc!$Y$8:$Y$500,0))),IF(INDEX(Calc!$V$8:$V$500,MATCH(INDEX(Calc!$D$8:$D$500,MATCH(SMALL(IF((Calc!$K$8:$K$500=Kanban!E$11)*(Calc!$Y$8:$Y$500&gt;0),Calc!$Y$8:$Y$500,99999),Kanban_Helper!$B74),Calc!$Y$8:$Y$500,0)),Calc!$D$8:$D$500,0))="Yes",CONCATENATE(INDEX(Calc!$D$8:$D$500,MATCH(SMALL(IF((Calc!$K$8:$K$500=Kanban!E$11)*(Calc!$Y$8:$Y$500&gt;0),Calc!$Y$8:$Y$500,99999),Kanban_Helper!$B74),Calc!$Y$8:$Y$500,0))," ",Calc!$V$7," ","!"),INDEX(Calc!$D$8:$D$500,MATCH(SMALL(IF((Calc!$K$8:$K$500=Kanban!E$11)*(Calc!$Y$8:$Y$500&gt;0),Calc!$Y$8:$Y$500,99999),Kanban_Helper!$B74),Calc!$Y$8:$Y$500,0))))),"")</f>
        <v/>
      </c>
      <c r="F81" s="170" t="str">
        <f t="array" ref="F81">IFERROR(IF(LEN(F$11)=0,"",IF($C$7&lt;&gt;"All",IF(INDEX(Calc!$V$8:$V$500,MATCH(INDEX(Calc!$D$8:$D$500,MATCH(SMALL(IF((Calc!$C$8:$C$500=Kanban!$C$7)*(Calc!$K$8:$K$500=Kanban!F$11)*(Calc!$Y$8:$Y$500&gt;0),Calc!$Y$8:$Y$500,99999),Kanban_Helper!$B74),Calc!$Y$8:$Y$500,0)),Calc!$D$8:$D$500,0))="Yes",CONCATENATE(INDEX(Calc!$D$8:$D$500,MATCH(SMALL(IF((Calc!$C$8:$C$500=Kanban!$C$7)*(Calc!$K$8:$K$500=Kanban!F$11)*(Calc!$Y$8:$Y$500&gt;0),Calc!$Y$8:$Y$500,99999),Kanban_Helper!$B74),Calc!$Y$8:$Y$500,0))," ",Calc!$V$7," ","!"),INDEX(Calc!$D$8:$D$500,MATCH(SMALL(IF((Calc!$C$8:$C$500=Kanban!$C$7)*(Calc!$K$8:$K$500=Kanban!F$11)*(Calc!$Y$8:$Y$500&gt;0),Calc!$Y$8:$Y$500,99999),Kanban_Helper!$B74),Calc!$Y$8:$Y$500,0))),IF(INDEX(Calc!$V$8:$V$500,MATCH(INDEX(Calc!$D$8:$D$500,MATCH(SMALL(IF((Calc!$K$8:$K$500=Kanban!F$11)*(Calc!$Y$8:$Y$500&gt;0),Calc!$Y$8:$Y$500,99999),Kanban_Helper!$B74),Calc!$Y$8:$Y$500,0)),Calc!$D$8:$D$500,0))="Yes",CONCATENATE(INDEX(Calc!$D$8:$D$500,MATCH(SMALL(IF((Calc!$K$8:$K$500=Kanban!F$11)*(Calc!$Y$8:$Y$500&gt;0),Calc!$Y$8:$Y$500,99999),Kanban_Helper!$B74),Calc!$Y$8:$Y$500,0))," ",Calc!$V$7," ","!"),INDEX(Calc!$D$8:$D$500,MATCH(SMALL(IF((Calc!$K$8:$K$500=Kanban!F$11)*(Calc!$Y$8:$Y$500&gt;0),Calc!$Y$8:$Y$500,99999),Kanban_Helper!$B74),Calc!$Y$8:$Y$500,0))))),"")</f>
        <v/>
      </c>
      <c r="G81" s="170" t="str">
        <f t="array" ref="G81">IFERROR(IF(LEN(G$11)=0,"",IF($C$7&lt;&gt;"All",IF(INDEX(Calc!$V$8:$V$500,MATCH(INDEX(Calc!$D$8:$D$500,MATCH(SMALL(IF((Calc!$C$8:$C$500=Kanban!$C$7)*(Calc!$K$8:$K$500=Kanban!G$11)*(Calc!$Y$8:$Y$500&gt;0),Calc!$Y$8:$Y$500,99999),Kanban_Helper!$B74),Calc!$Y$8:$Y$500,0)),Calc!$D$8:$D$500,0))="Yes",CONCATENATE(INDEX(Calc!$D$8:$D$500,MATCH(SMALL(IF((Calc!$C$8:$C$500=Kanban!$C$7)*(Calc!$K$8:$K$500=Kanban!G$11)*(Calc!$Y$8:$Y$500&gt;0),Calc!$Y$8:$Y$500,99999),Kanban_Helper!$B74),Calc!$Y$8:$Y$500,0))," ",Calc!$V$7," ","!"),INDEX(Calc!$D$8:$D$500,MATCH(SMALL(IF((Calc!$C$8:$C$500=Kanban!$C$7)*(Calc!$K$8:$K$500=Kanban!G$11)*(Calc!$Y$8:$Y$500&gt;0),Calc!$Y$8:$Y$500,99999),Kanban_Helper!$B74),Calc!$Y$8:$Y$500,0))),IF(INDEX(Calc!$V$8:$V$500,MATCH(INDEX(Calc!$D$8:$D$500,MATCH(SMALL(IF((Calc!$K$8:$K$500=Kanban!G$11)*(Calc!$Y$8:$Y$500&gt;0),Calc!$Y$8:$Y$500,99999),Kanban_Helper!$B74),Calc!$Y$8:$Y$500,0)),Calc!$D$8:$D$500,0))="Yes",CONCATENATE(INDEX(Calc!$D$8:$D$500,MATCH(SMALL(IF((Calc!$K$8:$K$500=Kanban!G$11)*(Calc!$Y$8:$Y$500&gt;0),Calc!$Y$8:$Y$500,99999),Kanban_Helper!$B74),Calc!$Y$8:$Y$500,0))," ",Calc!$V$7," ","!"),INDEX(Calc!$D$8:$D$500,MATCH(SMALL(IF((Calc!$K$8:$K$500=Kanban!G$11)*(Calc!$Y$8:$Y$500&gt;0),Calc!$Y$8:$Y$500,99999),Kanban_Helper!$B74),Calc!$Y$8:$Y$500,0))))),"")</f>
        <v/>
      </c>
      <c r="H81" s="170" t="str">
        <f t="array" ref="H81">IFERROR(IF(LEN(H$11)=0,"",IF($C$7&lt;&gt;"All",IF(INDEX(Calc!$V$8:$V$500,MATCH(INDEX(Calc!$D$8:$D$500,MATCH(SMALL(IF((Calc!$C$8:$C$500=Kanban!$C$7)*(Calc!$K$8:$K$500=Kanban!H$11)*(Calc!$Y$8:$Y$500&gt;0),Calc!$Y$8:$Y$500,99999),Kanban_Helper!$B74),Calc!$Y$8:$Y$500,0)),Calc!$D$8:$D$500,0))="Yes",CONCATENATE(INDEX(Calc!$D$8:$D$500,MATCH(SMALL(IF((Calc!$C$8:$C$500=Kanban!$C$7)*(Calc!$K$8:$K$500=Kanban!H$11)*(Calc!$Y$8:$Y$500&gt;0),Calc!$Y$8:$Y$500,99999),Kanban_Helper!$B74),Calc!$Y$8:$Y$500,0))," ",Calc!$V$7," ","!"),INDEX(Calc!$D$8:$D$500,MATCH(SMALL(IF((Calc!$C$8:$C$500=Kanban!$C$7)*(Calc!$K$8:$K$500=Kanban!H$11)*(Calc!$Y$8:$Y$500&gt;0),Calc!$Y$8:$Y$500,99999),Kanban_Helper!$B74),Calc!$Y$8:$Y$500,0))),IF(INDEX(Calc!$V$8:$V$500,MATCH(INDEX(Calc!$D$8:$D$500,MATCH(SMALL(IF((Calc!$K$8:$K$500=Kanban!H$11)*(Calc!$Y$8:$Y$500&gt;0),Calc!$Y$8:$Y$500,99999),Kanban_Helper!$B74),Calc!$Y$8:$Y$500,0)),Calc!$D$8:$D$500,0))="Yes",CONCATENATE(INDEX(Calc!$D$8:$D$500,MATCH(SMALL(IF((Calc!$K$8:$K$500=Kanban!H$11)*(Calc!$Y$8:$Y$500&gt;0),Calc!$Y$8:$Y$500,99999),Kanban_Helper!$B74),Calc!$Y$8:$Y$500,0))," ",Calc!$V$7," ","!"),INDEX(Calc!$D$8:$D$500,MATCH(SMALL(IF((Calc!$K$8:$K$500=Kanban!H$11)*(Calc!$Y$8:$Y$500&gt;0),Calc!$Y$8:$Y$500,99999),Kanban_Helper!$B74),Calc!$Y$8:$Y$500,0))))),"")</f>
        <v/>
      </c>
      <c r="I81" s="39"/>
      <c r="J81" s="10"/>
      <c r="K81" s="10"/>
      <c r="L81" s="10"/>
    </row>
    <row r="82" spans="2:12" x14ac:dyDescent="0.35">
      <c r="B82" s="80"/>
      <c r="C82" s="171" t="str">
        <f t="array" ref="C82">IFERROR(IF(LEN(C$11)=0,"",IF($C$7&lt;&gt;"All",INDEX(Calc!$E$8:$E$500,MATCH(SMALL(IF((Calc!$C$8:$C$500=Kanban!$C$7)*(Calc!$K$8:$K$500=Kanban!C$11)*(Calc!$Y$8:$Y$500&gt;0),Calc!$Y$8:$Y$500,99999),Kanban_Helper!$B75),Calc!$Y$8:$Y$500,0)),INDEX(Calc!$E$8:$E$500,MATCH(SMALL(IF((Calc!$K$8:$K$500=Kanban!C$11)*(Calc!$Y$8:$Y$500&gt;0),Calc!$Y$8:$Y$500,99999),Kanban_Helper!$B75),Calc!$Y$8:$Y$500,0)))),"")</f>
        <v/>
      </c>
      <c r="D82" s="171" t="str">
        <f t="array" ref="D82">IFERROR(IF(LEN(D$11)=0,"",IF($C$7&lt;&gt;"All",INDEX(Calc!$E$8:$E$500,MATCH(SMALL(IF((Calc!$C$8:$C$500=Kanban!$C$7)*(Calc!$K$8:$K$500=Kanban!D$11)*(Calc!$Y$8:$Y$500&gt;0),Calc!$Y$8:$Y$500,99999),Kanban_Helper!$B75),Calc!$Y$8:$Y$500,0)),INDEX(Calc!$E$8:$E$500,MATCH(SMALL(IF((Calc!$K$8:$K$500=Kanban!D$11)*(Calc!$Y$8:$Y$500&gt;0),Calc!$Y$8:$Y$500,99999),Kanban_Helper!$B75),Calc!$Y$8:$Y$500,0)))),"")</f>
        <v/>
      </c>
      <c r="E82" s="171" t="str">
        <f t="array" ref="E82">IFERROR(IF(LEN(E$11)=0,"",IF($C$7&lt;&gt;"All",INDEX(Calc!$E$8:$E$500,MATCH(SMALL(IF((Calc!$C$8:$C$500=Kanban!$C$7)*(Calc!$K$8:$K$500=Kanban!E$11)*(Calc!$Y$8:$Y$500&gt;0),Calc!$Y$8:$Y$500,99999),Kanban_Helper!$B75),Calc!$Y$8:$Y$500,0)),INDEX(Calc!$E$8:$E$500,MATCH(SMALL(IF((Calc!$K$8:$K$500=Kanban!E$11)*(Calc!$Y$8:$Y$500&gt;0),Calc!$Y$8:$Y$500,99999),Kanban_Helper!$B75),Calc!$Y$8:$Y$500,0)))),"")</f>
        <v/>
      </c>
      <c r="F82" s="171" t="str">
        <f t="array" ref="F82">IFERROR(IF(LEN(F$11)=0,"",IF($C$7&lt;&gt;"All",INDEX(Calc!$E$8:$E$500,MATCH(SMALL(IF((Calc!$C$8:$C$500=Kanban!$C$7)*(Calc!$K$8:$K$500=Kanban!F$11)*(Calc!$Y$8:$Y$500&gt;0),Calc!$Y$8:$Y$500,99999),Kanban_Helper!$B75),Calc!$Y$8:$Y$500,0)),INDEX(Calc!$E$8:$E$500,MATCH(SMALL(IF((Calc!$K$8:$K$500=Kanban!F$11)*(Calc!$Y$8:$Y$500&gt;0),Calc!$Y$8:$Y$500,99999),Kanban_Helper!$B75),Calc!$Y$8:$Y$500,0)))),"")</f>
        <v/>
      </c>
      <c r="G82" s="171" t="str">
        <f t="array" ref="G82">IFERROR(IF(LEN(G$11)=0,"",IF($C$7&lt;&gt;"All",INDEX(Calc!$E$8:$E$500,MATCH(SMALL(IF((Calc!$C$8:$C$500=Kanban!$C$7)*(Calc!$K$8:$K$500=Kanban!G$11)*(Calc!$Y$8:$Y$500&gt;0),Calc!$Y$8:$Y$500,99999),Kanban_Helper!$B75),Calc!$Y$8:$Y$500,0)),INDEX(Calc!$E$8:$E$500,MATCH(SMALL(IF((Calc!$K$8:$K$500=Kanban!G$11)*(Calc!$Y$8:$Y$500&gt;0),Calc!$Y$8:$Y$500,99999),Kanban_Helper!$B75),Calc!$Y$8:$Y$500,0)))),"")</f>
        <v/>
      </c>
      <c r="H82" s="171" t="str">
        <f t="array" ref="H82">IFERROR(IF(LEN(H$11)=0,"",IF($C$7&lt;&gt;"All",INDEX(Calc!$E$8:$E$500,MATCH(SMALL(IF((Calc!$C$8:$C$500=Kanban!$C$7)*(Calc!$K$8:$K$500=Kanban!H$11)*(Calc!$Y$8:$Y$500&gt;0),Calc!$Y$8:$Y$500,99999),Kanban_Helper!$B75),Calc!$Y$8:$Y$500,0)),INDEX(Calc!$E$8:$E$500,MATCH(SMALL(IF((Calc!$K$8:$K$500=Kanban!H$11)*(Calc!$Y$8:$Y$500&gt;0),Calc!$Y$8:$Y$500,99999),Kanban_Helper!$B75),Calc!$Y$8:$Y$500,0)))),"")</f>
        <v/>
      </c>
      <c r="I82" s="39"/>
      <c r="J82" s="10"/>
      <c r="K82" s="10"/>
      <c r="L82" s="10"/>
    </row>
    <row r="83" spans="2:12" ht="15" thickBot="1" x14ac:dyDescent="0.4">
      <c r="B83" s="80"/>
      <c r="C83" s="173" t="str">
        <f t="array" ref="C83">IFERROR(IF(LEN(C$11)=0,"",IF($C$7&lt;&gt;"All",IF(LEN(INDEX(Calc!$J$8:$J$500,MATCH(SMALL(IF((Calc!$C$8:$C$500=Kanban!$C$7)*(Calc!$K$8:$K$500=Kanban!C$11)*(Calc!$Y$8:$Y$500&gt;0),Calc!$Y$8:$Y$500,99999),Kanban_Helper!$B76),Calc!$Y$8:$Y$500,0)))=0,"",CONCATENATE(Calc!$AD$6,INDEX(Calc!$J$8:$J$500,MATCH(SMALL(IF((Calc!$C$8:$C$500=Kanban!$C$7)*(Calc!$K$8:$K$500=Kanban!C$11)*(Calc!$Y$8:$Y$500&gt;0),Calc!$Y$8:$Y$500,99999),Kanban_Helper!$B76),Calc!$Y$8:$Y$500,0)))),IF(LEN(INDEX(Calc!$J$8:$J$500,MATCH(SMALL(IF((Calc!$K$8:$K$500=Kanban!C$11)*(Calc!$Y$8:$Y$500&gt;0),Calc!$Y$8:$Y$500,99999),Kanban_Helper!$B76),Calc!$Y$8:$Y$500,0)))=0,"",CONCATENATE(Calc!$AD$6,INDEX(Calc!$J$8:$J$500,MATCH(SMALL(IF((Calc!$K$8:$K$500=Kanban!C$11)*(Calc!$Y$8:$Y$500&gt;0),Calc!$Y$8:$Y$500,99999),Kanban_Helper!$B76),Calc!$Y$8:$Y$500,0)))))),"")</f>
        <v/>
      </c>
      <c r="D83" s="173" t="str">
        <f t="array" ref="D83">IFERROR(IF(LEN(D$11)=0,"",IF($C$7&lt;&gt;"All",IF(LEN(INDEX(Calc!$J$8:$J$500,MATCH(SMALL(IF((Calc!$C$8:$C$500=Kanban!$C$7)*(Calc!$K$8:$K$500=Kanban!D$11)*(Calc!$Y$8:$Y$500&gt;0),Calc!$Y$8:$Y$500,99999),Kanban_Helper!$B76),Calc!$Y$8:$Y$500,0)))=0,"",CONCATENATE(Calc!$AD$6,INDEX(Calc!$J$8:$J$500,MATCH(SMALL(IF((Calc!$C$8:$C$500=Kanban!$C$7)*(Calc!$K$8:$K$500=Kanban!D$11)*(Calc!$Y$8:$Y$500&gt;0),Calc!$Y$8:$Y$500,99999),Kanban_Helper!$B76),Calc!$Y$8:$Y$500,0)))),IF(LEN(INDEX(Calc!$J$8:$J$500,MATCH(SMALL(IF((Calc!$K$8:$K$500=Kanban!D$11)*(Calc!$Y$8:$Y$500&gt;0),Calc!$Y$8:$Y$500,99999),Kanban_Helper!$B76),Calc!$Y$8:$Y$500,0)))=0,"",CONCATENATE(Calc!$AD$6,INDEX(Calc!$J$8:$J$500,MATCH(SMALL(IF((Calc!$K$8:$K$500=Kanban!D$11)*(Calc!$Y$8:$Y$500&gt;0),Calc!$Y$8:$Y$500,99999),Kanban_Helper!$B76),Calc!$Y$8:$Y$500,0)))))),"")</f>
        <v/>
      </c>
      <c r="E83" s="173" t="str">
        <f t="array" ref="E83">IFERROR(IF(LEN(E$11)=0,"",IF($C$7&lt;&gt;"All",IF(LEN(INDEX(Calc!$J$8:$J$500,MATCH(SMALL(IF((Calc!$C$8:$C$500=Kanban!$C$7)*(Calc!$K$8:$K$500=Kanban!E$11)*(Calc!$Y$8:$Y$500&gt;0),Calc!$Y$8:$Y$500,99999),Kanban_Helper!$B76),Calc!$Y$8:$Y$500,0)))=0,"",CONCATENATE(Calc!$AD$6,INDEX(Calc!$J$8:$J$500,MATCH(SMALL(IF((Calc!$C$8:$C$500=Kanban!$C$7)*(Calc!$K$8:$K$500=Kanban!E$11)*(Calc!$Y$8:$Y$500&gt;0),Calc!$Y$8:$Y$500,99999),Kanban_Helper!$B76),Calc!$Y$8:$Y$500,0)))),IF(LEN(INDEX(Calc!$J$8:$J$500,MATCH(SMALL(IF((Calc!$K$8:$K$500=Kanban!E$11)*(Calc!$Y$8:$Y$500&gt;0),Calc!$Y$8:$Y$500,99999),Kanban_Helper!$B76),Calc!$Y$8:$Y$500,0)))=0,"",CONCATENATE(Calc!$AD$6,INDEX(Calc!$J$8:$J$500,MATCH(SMALL(IF((Calc!$K$8:$K$500=Kanban!E$11)*(Calc!$Y$8:$Y$500&gt;0),Calc!$Y$8:$Y$500,99999),Kanban_Helper!$B76),Calc!$Y$8:$Y$500,0)))))),"")</f>
        <v/>
      </c>
      <c r="F83" s="173" t="str">
        <f t="array" ref="F83">IFERROR(IF(LEN(F$11)=0,"",IF($C$7&lt;&gt;"All",IF(LEN(INDEX(Calc!$J$8:$J$500,MATCH(SMALL(IF((Calc!$C$8:$C$500=Kanban!$C$7)*(Calc!$K$8:$K$500=Kanban!F$11)*(Calc!$Y$8:$Y$500&gt;0),Calc!$Y$8:$Y$500,99999),Kanban_Helper!$B76),Calc!$Y$8:$Y$500,0)))=0,"",CONCATENATE(Calc!$AD$6,INDEX(Calc!$J$8:$J$500,MATCH(SMALL(IF((Calc!$C$8:$C$500=Kanban!$C$7)*(Calc!$K$8:$K$500=Kanban!F$11)*(Calc!$Y$8:$Y$500&gt;0),Calc!$Y$8:$Y$500,99999),Kanban_Helper!$B76),Calc!$Y$8:$Y$500,0)))),IF(LEN(INDEX(Calc!$J$8:$J$500,MATCH(SMALL(IF((Calc!$K$8:$K$500=Kanban!F$11)*(Calc!$Y$8:$Y$500&gt;0),Calc!$Y$8:$Y$500,99999),Kanban_Helper!$B76),Calc!$Y$8:$Y$500,0)))=0,"",CONCATENATE(Calc!$AD$6,INDEX(Calc!$J$8:$J$500,MATCH(SMALL(IF((Calc!$K$8:$K$500=Kanban!F$11)*(Calc!$Y$8:$Y$500&gt;0),Calc!$Y$8:$Y$500,99999),Kanban_Helper!$B76),Calc!$Y$8:$Y$500,0)))))),"")</f>
        <v/>
      </c>
      <c r="G83" s="173" t="str">
        <f t="array" ref="G83">IFERROR(IF(LEN(G$11)=0,"",IF($C$7&lt;&gt;"All",IF(LEN(INDEX(Calc!$J$8:$J$500,MATCH(SMALL(IF((Calc!$C$8:$C$500=Kanban!$C$7)*(Calc!$K$8:$K$500=Kanban!G$11)*(Calc!$Y$8:$Y$500&gt;0),Calc!$Y$8:$Y$500,99999),Kanban_Helper!$B76),Calc!$Y$8:$Y$500,0)))=0,"",CONCATENATE(Calc!$AD$6,INDEX(Calc!$J$8:$J$500,MATCH(SMALL(IF((Calc!$C$8:$C$500=Kanban!$C$7)*(Calc!$K$8:$K$500=Kanban!G$11)*(Calc!$Y$8:$Y$500&gt;0),Calc!$Y$8:$Y$500,99999),Kanban_Helper!$B76),Calc!$Y$8:$Y$500,0)))),IF(LEN(INDEX(Calc!$J$8:$J$500,MATCH(SMALL(IF((Calc!$K$8:$K$500=Kanban!G$11)*(Calc!$Y$8:$Y$500&gt;0),Calc!$Y$8:$Y$500,99999),Kanban_Helper!$B76),Calc!$Y$8:$Y$500,0)))=0,"",CONCATENATE(Calc!$AD$6,INDEX(Calc!$J$8:$J$500,MATCH(SMALL(IF((Calc!$K$8:$K$500=Kanban!G$11)*(Calc!$Y$8:$Y$500&gt;0),Calc!$Y$8:$Y$500,99999),Kanban_Helper!$B76),Calc!$Y$8:$Y$500,0)))))),"")</f>
        <v/>
      </c>
      <c r="H83" s="173" t="str">
        <f t="array" ref="H83">IFERROR(IF(LEN(H$11)=0,"",IF($C$7&lt;&gt;"All",IF(LEN(INDEX(Calc!$J$8:$J$500,MATCH(SMALL(IF((Calc!$C$8:$C$500=Kanban!$C$7)*(Calc!$K$8:$K$500=Kanban!H$11)*(Calc!$Y$8:$Y$500&gt;0),Calc!$Y$8:$Y$500,99999),Kanban_Helper!$B76),Calc!$Y$8:$Y$500,0)))=0,"",CONCATENATE(Calc!$AD$6,INDEX(Calc!$J$8:$J$500,MATCH(SMALL(IF((Calc!$C$8:$C$500=Kanban!$C$7)*(Calc!$K$8:$K$500=Kanban!H$11)*(Calc!$Y$8:$Y$500&gt;0),Calc!$Y$8:$Y$500,99999),Kanban_Helper!$B76),Calc!$Y$8:$Y$500,0)))),IF(LEN(INDEX(Calc!$J$8:$J$500,MATCH(SMALL(IF((Calc!$K$8:$K$500=Kanban!H$11)*(Calc!$Y$8:$Y$500&gt;0),Calc!$Y$8:$Y$500,99999),Kanban_Helper!$B76),Calc!$Y$8:$Y$500,0)))=0,"",CONCATENATE(Calc!$AD$6,INDEX(Calc!$J$8:$J$500,MATCH(SMALL(IF((Calc!$K$8:$K$500=Kanban!H$11)*(Calc!$Y$8:$Y$500&gt;0),Calc!$Y$8:$Y$500,99999),Kanban_Helper!$B76),Calc!$Y$8:$Y$500,0)))))),"")</f>
        <v/>
      </c>
      <c r="I83" s="39"/>
      <c r="J83" s="10"/>
      <c r="K83" s="10"/>
      <c r="L83" s="10"/>
    </row>
    <row r="84" spans="2:12" ht="15" thickTop="1" x14ac:dyDescent="0.35">
      <c r="B84" s="80"/>
      <c r="C84" s="170" t="str">
        <f t="array" ref="C84">IFERROR(IF(LEN(C$11)=0,"",IF($C$7&lt;&gt;"All",IF(INDEX(Calc!$V$8:$V$500,MATCH(INDEX(Calc!$D$8:$D$500,MATCH(SMALL(IF((Calc!$C$8:$C$500=Kanban!$C$7)*(Calc!$K$8:$K$500=Kanban!C$11)*(Calc!$Y$8:$Y$500&gt;0),Calc!$Y$8:$Y$500,99999),Kanban_Helper!$B77),Calc!$Y$8:$Y$500,0)),Calc!$D$8:$D$500,0))="Yes",CONCATENATE(INDEX(Calc!$D$8:$D$500,MATCH(SMALL(IF((Calc!$C$8:$C$500=Kanban!$C$7)*(Calc!$K$8:$K$500=Kanban!C$11)*(Calc!$Y$8:$Y$500&gt;0),Calc!$Y$8:$Y$500,99999),Kanban_Helper!$B77),Calc!$Y$8:$Y$500,0))," ",Calc!$V$7," ","!"),INDEX(Calc!$D$8:$D$500,MATCH(SMALL(IF((Calc!$C$8:$C$500=Kanban!$C$7)*(Calc!$K$8:$K$500=Kanban!C$11)*(Calc!$Y$8:$Y$500&gt;0),Calc!$Y$8:$Y$500,99999),Kanban_Helper!$B77),Calc!$Y$8:$Y$500,0))),IF(INDEX(Calc!$V$8:$V$500,MATCH(INDEX(Calc!$D$8:$D$500,MATCH(SMALL(IF((Calc!$K$8:$K$500=Kanban!C$11)*(Calc!$Y$8:$Y$500&gt;0),Calc!$Y$8:$Y$500,99999),Kanban_Helper!$B77),Calc!$Y$8:$Y$500,0)),Calc!$D$8:$D$500,0))="Yes",CONCATENATE(INDEX(Calc!$D$8:$D$500,MATCH(SMALL(IF((Calc!$K$8:$K$500=Kanban!C$11)*(Calc!$Y$8:$Y$500&gt;0),Calc!$Y$8:$Y$500,99999),Kanban_Helper!$B77),Calc!$Y$8:$Y$500,0))," ",Calc!$V$7," ","!"),INDEX(Calc!$D$8:$D$500,MATCH(SMALL(IF((Calc!$K$8:$K$500=Kanban!C$11)*(Calc!$Y$8:$Y$500&gt;0),Calc!$Y$8:$Y$500,99999),Kanban_Helper!$B77),Calc!$Y$8:$Y$500,0))))),"")</f>
        <v/>
      </c>
      <c r="D84" s="170" t="str">
        <f t="array" ref="D84">IFERROR(IF(LEN(D$11)=0,"",IF($C$7&lt;&gt;"All",IF(INDEX(Calc!$V$8:$V$500,MATCH(INDEX(Calc!$D$8:$D$500,MATCH(SMALL(IF((Calc!$C$8:$C$500=Kanban!$C$7)*(Calc!$K$8:$K$500=Kanban!D$11)*(Calc!$Y$8:$Y$500&gt;0),Calc!$Y$8:$Y$500,99999),Kanban_Helper!$B77),Calc!$Y$8:$Y$500,0)),Calc!$D$8:$D$500,0))="Yes",CONCATENATE(INDEX(Calc!$D$8:$D$500,MATCH(SMALL(IF((Calc!$C$8:$C$500=Kanban!$C$7)*(Calc!$K$8:$K$500=Kanban!D$11)*(Calc!$Y$8:$Y$500&gt;0),Calc!$Y$8:$Y$500,99999),Kanban_Helper!$B77),Calc!$Y$8:$Y$500,0))," ",Calc!$V$7," ","!"),INDEX(Calc!$D$8:$D$500,MATCH(SMALL(IF((Calc!$C$8:$C$500=Kanban!$C$7)*(Calc!$K$8:$K$500=Kanban!D$11)*(Calc!$Y$8:$Y$500&gt;0),Calc!$Y$8:$Y$500,99999),Kanban_Helper!$B77),Calc!$Y$8:$Y$500,0))),IF(INDEX(Calc!$V$8:$V$500,MATCH(INDEX(Calc!$D$8:$D$500,MATCH(SMALL(IF((Calc!$K$8:$K$500=Kanban!D$11)*(Calc!$Y$8:$Y$500&gt;0),Calc!$Y$8:$Y$500,99999),Kanban_Helper!$B77),Calc!$Y$8:$Y$500,0)),Calc!$D$8:$D$500,0))="Yes",CONCATENATE(INDEX(Calc!$D$8:$D$500,MATCH(SMALL(IF((Calc!$K$8:$K$500=Kanban!D$11)*(Calc!$Y$8:$Y$500&gt;0),Calc!$Y$8:$Y$500,99999),Kanban_Helper!$B77),Calc!$Y$8:$Y$500,0))," ",Calc!$V$7," ","!"),INDEX(Calc!$D$8:$D$500,MATCH(SMALL(IF((Calc!$K$8:$K$500=Kanban!D$11)*(Calc!$Y$8:$Y$500&gt;0),Calc!$Y$8:$Y$500,99999),Kanban_Helper!$B77),Calc!$Y$8:$Y$500,0))))),"")</f>
        <v/>
      </c>
      <c r="E84" s="170" t="str">
        <f t="array" ref="E84">IFERROR(IF(LEN(E$11)=0,"",IF($C$7&lt;&gt;"All",IF(INDEX(Calc!$V$8:$V$500,MATCH(INDEX(Calc!$D$8:$D$500,MATCH(SMALL(IF((Calc!$C$8:$C$500=Kanban!$C$7)*(Calc!$K$8:$K$500=Kanban!E$11)*(Calc!$Y$8:$Y$500&gt;0),Calc!$Y$8:$Y$500,99999),Kanban_Helper!$B77),Calc!$Y$8:$Y$500,0)),Calc!$D$8:$D$500,0))="Yes",CONCATENATE(INDEX(Calc!$D$8:$D$500,MATCH(SMALL(IF((Calc!$C$8:$C$500=Kanban!$C$7)*(Calc!$K$8:$K$500=Kanban!E$11)*(Calc!$Y$8:$Y$500&gt;0),Calc!$Y$8:$Y$500,99999),Kanban_Helper!$B77),Calc!$Y$8:$Y$500,0))," ",Calc!$V$7," ","!"),INDEX(Calc!$D$8:$D$500,MATCH(SMALL(IF((Calc!$C$8:$C$500=Kanban!$C$7)*(Calc!$K$8:$K$500=Kanban!E$11)*(Calc!$Y$8:$Y$500&gt;0),Calc!$Y$8:$Y$500,99999),Kanban_Helper!$B77),Calc!$Y$8:$Y$500,0))),IF(INDEX(Calc!$V$8:$V$500,MATCH(INDEX(Calc!$D$8:$D$500,MATCH(SMALL(IF((Calc!$K$8:$K$500=Kanban!E$11)*(Calc!$Y$8:$Y$500&gt;0),Calc!$Y$8:$Y$500,99999),Kanban_Helper!$B77),Calc!$Y$8:$Y$500,0)),Calc!$D$8:$D$500,0))="Yes",CONCATENATE(INDEX(Calc!$D$8:$D$500,MATCH(SMALL(IF((Calc!$K$8:$K$500=Kanban!E$11)*(Calc!$Y$8:$Y$500&gt;0),Calc!$Y$8:$Y$500,99999),Kanban_Helper!$B77),Calc!$Y$8:$Y$500,0))," ",Calc!$V$7," ","!"),INDEX(Calc!$D$8:$D$500,MATCH(SMALL(IF((Calc!$K$8:$K$500=Kanban!E$11)*(Calc!$Y$8:$Y$500&gt;0),Calc!$Y$8:$Y$500,99999),Kanban_Helper!$B77),Calc!$Y$8:$Y$500,0))))),"")</f>
        <v/>
      </c>
      <c r="F84" s="170" t="str">
        <f t="array" ref="F84">IFERROR(IF(LEN(F$11)=0,"",IF($C$7&lt;&gt;"All",IF(INDEX(Calc!$V$8:$V$500,MATCH(INDEX(Calc!$D$8:$D$500,MATCH(SMALL(IF((Calc!$C$8:$C$500=Kanban!$C$7)*(Calc!$K$8:$K$500=Kanban!F$11)*(Calc!$Y$8:$Y$500&gt;0),Calc!$Y$8:$Y$500,99999),Kanban_Helper!$B77),Calc!$Y$8:$Y$500,0)),Calc!$D$8:$D$500,0))="Yes",CONCATENATE(INDEX(Calc!$D$8:$D$500,MATCH(SMALL(IF((Calc!$C$8:$C$500=Kanban!$C$7)*(Calc!$K$8:$K$500=Kanban!F$11)*(Calc!$Y$8:$Y$500&gt;0),Calc!$Y$8:$Y$500,99999),Kanban_Helper!$B77),Calc!$Y$8:$Y$500,0))," ",Calc!$V$7," ","!"),INDEX(Calc!$D$8:$D$500,MATCH(SMALL(IF((Calc!$C$8:$C$500=Kanban!$C$7)*(Calc!$K$8:$K$500=Kanban!F$11)*(Calc!$Y$8:$Y$500&gt;0),Calc!$Y$8:$Y$500,99999),Kanban_Helper!$B77),Calc!$Y$8:$Y$500,0))),IF(INDEX(Calc!$V$8:$V$500,MATCH(INDEX(Calc!$D$8:$D$500,MATCH(SMALL(IF((Calc!$K$8:$K$500=Kanban!F$11)*(Calc!$Y$8:$Y$500&gt;0),Calc!$Y$8:$Y$500,99999),Kanban_Helper!$B77),Calc!$Y$8:$Y$500,0)),Calc!$D$8:$D$500,0))="Yes",CONCATENATE(INDEX(Calc!$D$8:$D$500,MATCH(SMALL(IF((Calc!$K$8:$K$500=Kanban!F$11)*(Calc!$Y$8:$Y$500&gt;0),Calc!$Y$8:$Y$500,99999),Kanban_Helper!$B77),Calc!$Y$8:$Y$500,0))," ",Calc!$V$7," ","!"),INDEX(Calc!$D$8:$D$500,MATCH(SMALL(IF((Calc!$K$8:$K$500=Kanban!F$11)*(Calc!$Y$8:$Y$500&gt;0),Calc!$Y$8:$Y$500,99999),Kanban_Helper!$B77),Calc!$Y$8:$Y$500,0))))),"")</f>
        <v/>
      </c>
      <c r="G84" s="170" t="str">
        <f t="array" ref="G84">IFERROR(IF(LEN(G$11)=0,"",IF($C$7&lt;&gt;"All",IF(INDEX(Calc!$V$8:$V$500,MATCH(INDEX(Calc!$D$8:$D$500,MATCH(SMALL(IF((Calc!$C$8:$C$500=Kanban!$C$7)*(Calc!$K$8:$K$500=Kanban!G$11)*(Calc!$Y$8:$Y$500&gt;0),Calc!$Y$8:$Y$500,99999),Kanban_Helper!$B77),Calc!$Y$8:$Y$500,0)),Calc!$D$8:$D$500,0))="Yes",CONCATENATE(INDEX(Calc!$D$8:$D$500,MATCH(SMALL(IF((Calc!$C$8:$C$500=Kanban!$C$7)*(Calc!$K$8:$K$500=Kanban!G$11)*(Calc!$Y$8:$Y$500&gt;0),Calc!$Y$8:$Y$500,99999),Kanban_Helper!$B77),Calc!$Y$8:$Y$500,0))," ",Calc!$V$7," ","!"),INDEX(Calc!$D$8:$D$500,MATCH(SMALL(IF((Calc!$C$8:$C$500=Kanban!$C$7)*(Calc!$K$8:$K$500=Kanban!G$11)*(Calc!$Y$8:$Y$500&gt;0),Calc!$Y$8:$Y$500,99999),Kanban_Helper!$B77),Calc!$Y$8:$Y$500,0))),IF(INDEX(Calc!$V$8:$V$500,MATCH(INDEX(Calc!$D$8:$D$500,MATCH(SMALL(IF((Calc!$K$8:$K$500=Kanban!G$11)*(Calc!$Y$8:$Y$500&gt;0),Calc!$Y$8:$Y$500,99999),Kanban_Helper!$B77),Calc!$Y$8:$Y$500,0)),Calc!$D$8:$D$500,0))="Yes",CONCATENATE(INDEX(Calc!$D$8:$D$500,MATCH(SMALL(IF((Calc!$K$8:$K$500=Kanban!G$11)*(Calc!$Y$8:$Y$500&gt;0),Calc!$Y$8:$Y$500,99999),Kanban_Helper!$B77),Calc!$Y$8:$Y$500,0))," ",Calc!$V$7," ","!"),INDEX(Calc!$D$8:$D$500,MATCH(SMALL(IF((Calc!$K$8:$K$500=Kanban!G$11)*(Calc!$Y$8:$Y$500&gt;0),Calc!$Y$8:$Y$500,99999),Kanban_Helper!$B77),Calc!$Y$8:$Y$500,0))))),"")</f>
        <v/>
      </c>
      <c r="H84" s="170" t="str">
        <f t="array" ref="H84">IFERROR(IF(LEN(H$11)=0,"",IF($C$7&lt;&gt;"All",IF(INDEX(Calc!$V$8:$V$500,MATCH(INDEX(Calc!$D$8:$D$500,MATCH(SMALL(IF((Calc!$C$8:$C$500=Kanban!$C$7)*(Calc!$K$8:$K$500=Kanban!H$11)*(Calc!$Y$8:$Y$500&gt;0),Calc!$Y$8:$Y$500,99999),Kanban_Helper!$B77),Calc!$Y$8:$Y$500,0)),Calc!$D$8:$D$500,0))="Yes",CONCATENATE(INDEX(Calc!$D$8:$D$500,MATCH(SMALL(IF((Calc!$C$8:$C$500=Kanban!$C$7)*(Calc!$K$8:$K$500=Kanban!H$11)*(Calc!$Y$8:$Y$500&gt;0),Calc!$Y$8:$Y$500,99999),Kanban_Helper!$B77),Calc!$Y$8:$Y$500,0))," ",Calc!$V$7," ","!"),INDEX(Calc!$D$8:$D$500,MATCH(SMALL(IF((Calc!$C$8:$C$500=Kanban!$C$7)*(Calc!$K$8:$K$500=Kanban!H$11)*(Calc!$Y$8:$Y$500&gt;0),Calc!$Y$8:$Y$500,99999),Kanban_Helper!$B77),Calc!$Y$8:$Y$500,0))),IF(INDEX(Calc!$V$8:$V$500,MATCH(INDEX(Calc!$D$8:$D$500,MATCH(SMALL(IF((Calc!$K$8:$K$500=Kanban!H$11)*(Calc!$Y$8:$Y$500&gt;0),Calc!$Y$8:$Y$500,99999),Kanban_Helper!$B77),Calc!$Y$8:$Y$500,0)),Calc!$D$8:$D$500,0))="Yes",CONCATENATE(INDEX(Calc!$D$8:$D$500,MATCH(SMALL(IF((Calc!$K$8:$K$500=Kanban!H$11)*(Calc!$Y$8:$Y$500&gt;0),Calc!$Y$8:$Y$500,99999),Kanban_Helper!$B77),Calc!$Y$8:$Y$500,0))," ",Calc!$V$7," ","!"),INDEX(Calc!$D$8:$D$500,MATCH(SMALL(IF((Calc!$K$8:$K$500=Kanban!H$11)*(Calc!$Y$8:$Y$500&gt;0),Calc!$Y$8:$Y$500,99999),Kanban_Helper!$B77),Calc!$Y$8:$Y$500,0))))),"")</f>
        <v/>
      </c>
      <c r="I84" s="39"/>
      <c r="J84" s="10"/>
      <c r="K84" s="10"/>
      <c r="L84" s="10"/>
    </row>
    <row r="85" spans="2:12" x14ac:dyDescent="0.35">
      <c r="B85" s="80"/>
      <c r="C85" s="171" t="str">
        <f t="array" ref="C85">IFERROR(IF(LEN(C$11)=0,"",IF($C$7&lt;&gt;"All",INDEX(Calc!$E$8:$E$500,MATCH(SMALL(IF((Calc!$C$8:$C$500=Kanban!$C$7)*(Calc!$K$8:$K$500=Kanban!C$11)*(Calc!$Y$8:$Y$500&gt;0),Calc!$Y$8:$Y$500,99999),Kanban_Helper!$B78),Calc!$Y$8:$Y$500,0)),INDEX(Calc!$E$8:$E$500,MATCH(SMALL(IF((Calc!$K$8:$K$500=Kanban!C$11)*(Calc!$Y$8:$Y$500&gt;0),Calc!$Y$8:$Y$500,99999),Kanban_Helper!$B78),Calc!$Y$8:$Y$500,0)))),"")</f>
        <v/>
      </c>
      <c r="D85" s="171" t="str">
        <f t="array" ref="D85">IFERROR(IF(LEN(D$11)=0,"",IF($C$7&lt;&gt;"All",INDEX(Calc!$E$8:$E$500,MATCH(SMALL(IF((Calc!$C$8:$C$500=Kanban!$C$7)*(Calc!$K$8:$K$500=Kanban!D$11)*(Calc!$Y$8:$Y$500&gt;0),Calc!$Y$8:$Y$500,99999),Kanban_Helper!$B78),Calc!$Y$8:$Y$500,0)),INDEX(Calc!$E$8:$E$500,MATCH(SMALL(IF((Calc!$K$8:$K$500=Kanban!D$11)*(Calc!$Y$8:$Y$500&gt;0),Calc!$Y$8:$Y$500,99999),Kanban_Helper!$B78),Calc!$Y$8:$Y$500,0)))),"")</f>
        <v/>
      </c>
      <c r="E85" s="171" t="str">
        <f t="array" ref="E85">IFERROR(IF(LEN(E$11)=0,"",IF($C$7&lt;&gt;"All",INDEX(Calc!$E$8:$E$500,MATCH(SMALL(IF((Calc!$C$8:$C$500=Kanban!$C$7)*(Calc!$K$8:$K$500=Kanban!E$11)*(Calc!$Y$8:$Y$500&gt;0),Calc!$Y$8:$Y$500,99999),Kanban_Helper!$B78),Calc!$Y$8:$Y$500,0)),INDEX(Calc!$E$8:$E$500,MATCH(SMALL(IF((Calc!$K$8:$K$500=Kanban!E$11)*(Calc!$Y$8:$Y$500&gt;0),Calc!$Y$8:$Y$500,99999),Kanban_Helper!$B78),Calc!$Y$8:$Y$500,0)))),"")</f>
        <v/>
      </c>
      <c r="F85" s="171" t="str">
        <f t="array" ref="F85">IFERROR(IF(LEN(F$11)=0,"",IF($C$7&lt;&gt;"All",INDEX(Calc!$E$8:$E$500,MATCH(SMALL(IF((Calc!$C$8:$C$500=Kanban!$C$7)*(Calc!$K$8:$K$500=Kanban!F$11)*(Calc!$Y$8:$Y$500&gt;0),Calc!$Y$8:$Y$500,99999),Kanban_Helper!$B78),Calc!$Y$8:$Y$500,0)),INDEX(Calc!$E$8:$E$500,MATCH(SMALL(IF((Calc!$K$8:$K$500=Kanban!F$11)*(Calc!$Y$8:$Y$500&gt;0),Calc!$Y$8:$Y$500,99999),Kanban_Helper!$B78),Calc!$Y$8:$Y$500,0)))),"")</f>
        <v/>
      </c>
      <c r="G85" s="171" t="str">
        <f t="array" ref="G85">IFERROR(IF(LEN(G$11)=0,"",IF($C$7&lt;&gt;"All",INDEX(Calc!$E$8:$E$500,MATCH(SMALL(IF((Calc!$C$8:$C$500=Kanban!$C$7)*(Calc!$K$8:$K$500=Kanban!G$11)*(Calc!$Y$8:$Y$500&gt;0),Calc!$Y$8:$Y$500,99999),Kanban_Helper!$B78),Calc!$Y$8:$Y$500,0)),INDEX(Calc!$E$8:$E$500,MATCH(SMALL(IF((Calc!$K$8:$K$500=Kanban!G$11)*(Calc!$Y$8:$Y$500&gt;0),Calc!$Y$8:$Y$500,99999),Kanban_Helper!$B78),Calc!$Y$8:$Y$500,0)))),"")</f>
        <v/>
      </c>
      <c r="H85" s="171" t="str">
        <f t="array" ref="H85">IFERROR(IF(LEN(H$11)=0,"",IF($C$7&lt;&gt;"All",INDEX(Calc!$E$8:$E$500,MATCH(SMALL(IF((Calc!$C$8:$C$500=Kanban!$C$7)*(Calc!$K$8:$K$500=Kanban!H$11)*(Calc!$Y$8:$Y$500&gt;0),Calc!$Y$8:$Y$500,99999),Kanban_Helper!$B78),Calc!$Y$8:$Y$500,0)),INDEX(Calc!$E$8:$E$500,MATCH(SMALL(IF((Calc!$K$8:$K$500=Kanban!H$11)*(Calc!$Y$8:$Y$500&gt;0),Calc!$Y$8:$Y$500,99999),Kanban_Helper!$B78),Calc!$Y$8:$Y$500,0)))),"")</f>
        <v/>
      </c>
      <c r="I85" s="39"/>
      <c r="J85" s="10"/>
      <c r="K85" s="10"/>
      <c r="L85" s="10"/>
    </row>
    <row r="86" spans="2:12" ht="15" thickBot="1" x14ac:dyDescent="0.4">
      <c r="B86" s="80"/>
      <c r="C86" s="173" t="str">
        <f t="array" ref="C86">IFERROR(IF(LEN(C$11)=0,"",IF($C$7&lt;&gt;"All",IF(LEN(INDEX(Calc!$J$8:$J$500,MATCH(SMALL(IF((Calc!$C$8:$C$500=Kanban!$C$7)*(Calc!$K$8:$K$500=Kanban!C$11)*(Calc!$Y$8:$Y$500&gt;0),Calc!$Y$8:$Y$500,99999),Kanban_Helper!$B79),Calc!$Y$8:$Y$500,0)))=0,"",CONCATENATE(Calc!$AD$6,INDEX(Calc!$J$8:$J$500,MATCH(SMALL(IF((Calc!$C$8:$C$500=Kanban!$C$7)*(Calc!$K$8:$K$500=Kanban!C$11)*(Calc!$Y$8:$Y$500&gt;0),Calc!$Y$8:$Y$500,99999),Kanban_Helper!$B79),Calc!$Y$8:$Y$500,0)))),IF(LEN(INDEX(Calc!$J$8:$J$500,MATCH(SMALL(IF((Calc!$K$8:$K$500=Kanban!C$11)*(Calc!$Y$8:$Y$500&gt;0),Calc!$Y$8:$Y$500,99999),Kanban_Helper!$B79),Calc!$Y$8:$Y$500,0)))=0,"",CONCATENATE(Calc!$AD$6,INDEX(Calc!$J$8:$J$500,MATCH(SMALL(IF((Calc!$K$8:$K$500=Kanban!C$11)*(Calc!$Y$8:$Y$500&gt;0),Calc!$Y$8:$Y$500,99999),Kanban_Helper!$B79),Calc!$Y$8:$Y$500,0)))))),"")</f>
        <v/>
      </c>
      <c r="D86" s="173" t="str">
        <f t="array" ref="D86">IFERROR(IF(LEN(D$11)=0,"",IF($C$7&lt;&gt;"All",IF(LEN(INDEX(Calc!$J$8:$J$500,MATCH(SMALL(IF((Calc!$C$8:$C$500=Kanban!$C$7)*(Calc!$K$8:$K$500=Kanban!D$11)*(Calc!$Y$8:$Y$500&gt;0),Calc!$Y$8:$Y$500,99999),Kanban_Helper!$B79),Calc!$Y$8:$Y$500,0)))=0,"",CONCATENATE(Calc!$AD$6,INDEX(Calc!$J$8:$J$500,MATCH(SMALL(IF((Calc!$C$8:$C$500=Kanban!$C$7)*(Calc!$K$8:$K$500=Kanban!D$11)*(Calc!$Y$8:$Y$500&gt;0),Calc!$Y$8:$Y$500,99999),Kanban_Helper!$B79),Calc!$Y$8:$Y$500,0)))),IF(LEN(INDEX(Calc!$J$8:$J$500,MATCH(SMALL(IF((Calc!$K$8:$K$500=Kanban!D$11)*(Calc!$Y$8:$Y$500&gt;0),Calc!$Y$8:$Y$500,99999),Kanban_Helper!$B79),Calc!$Y$8:$Y$500,0)))=0,"",CONCATENATE(Calc!$AD$6,INDEX(Calc!$J$8:$J$500,MATCH(SMALL(IF((Calc!$K$8:$K$500=Kanban!D$11)*(Calc!$Y$8:$Y$500&gt;0),Calc!$Y$8:$Y$500,99999),Kanban_Helper!$B79),Calc!$Y$8:$Y$500,0)))))),"")</f>
        <v/>
      </c>
      <c r="E86" s="173" t="str">
        <f t="array" ref="E86">IFERROR(IF(LEN(E$11)=0,"",IF($C$7&lt;&gt;"All",IF(LEN(INDEX(Calc!$J$8:$J$500,MATCH(SMALL(IF((Calc!$C$8:$C$500=Kanban!$C$7)*(Calc!$K$8:$K$500=Kanban!E$11)*(Calc!$Y$8:$Y$500&gt;0),Calc!$Y$8:$Y$500,99999),Kanban_Helper!$B79),Calc!$Y$8:$Y$500,0)))=0,"",CONCATENATE(Calc!$AD$6,INDEX(Calc!$J$8:$J$500,MATCH(SMALL(IF((Calc!$C$8:$C$500=Kanban!$C$7)*(Calc!$K$8:$K$500=Kanban!E$11)*(Calc!$Y$8:$Y$500&gt;0),Calc!$Y$8:$Y$500,99999),Kanban_Helper!$B79),Calc!$Y$8:$Y$500,0)))),IF(LEN(INDEX(Calc!$J$8:$J$500,MATCH(SMALL(IF((Calc!$K$8:$K$500=Kanban!E$11)*(Calc!$Y$8:$Y$500&gt;0),Calc!$Y$8:$Y$500,99999),Kanban_Helper!$B79),Calc!$Y$8:$Y$500,0)))=0,"",CONCATENATE(Calc!$AD$6,INDEX(Calc!$J$8:$J$500,MATCH(SMALL(IF((Calc!$K$8:$K$500=Kanban!E$11)*(Calc!$Y$8:$Y$500&gt;0),Calc!$Y$8:$Y$500,99999),Kanban_Helper!$B79),Calc!$Y$8:$Y$500,0)))))),"")</f>
        <v/>
      </c>
      <c r="F86" s="173" t="str">
        <f t="array" ref="F86">IFERROR(IF(LEN(F$11)=0,"",IF($C$7&lt;&gt;"All",IF(LEN(INDEX(Calc!$J$8:$J$500,MATCH(SMALL(IF((Calc!$C$8:$C$500=Kanban!$C$7)*(Calc!$K$8:$K$500=Kanban!F$11)*(Calc!$Y$8:$Y$500&gt;0),Calc!$Y$8:$Y$500,99999),Kanban_Helper!$B79),Calc!$Y$8:$Y$500,0)))=0,"",CONCATENATE(Calc!$AD$6,INDEX(Calc!$J$8:$J$500,MATCH(SMALL(IF((Calc!$C$8:$C$500=Kanban!$C$7)*(Calc!$K$8:$K$500=Kanban!F$11)*(Calc!$Y$8:$Y$500&gt;0),Calc!$Y$8:$Y$500,99999),Kanban_Helper!$B79),Calc!$Y$8:$Y$500,0)))),IF(LEN(INDEX(Calc!$J$8:$J$500,MATCH(SMALL(IF((Calc!$K$8:$K$500=Kanban!F$11)*(Calc!$Y$8:$Y$500&gt;0),Calc!$Y$8:$Y$500,99999),Kanban_Helper!$B79),Calc!$Y$8:$Y$500,0)))=0,"",CONCATENATE(Calc!$AD$6,INDEX(Calc!$J$8:$J$500,MATCH(SMALL(IF((Calc!$K$8:$K$500=Kanban!F$11)*(Calc!$Y$8:$Y$500&gt;0),Calc!$Y$8:$Y$500,99999),Kanban_Helper!$B79),Calc!$Y$8:$Y$500,0)))))),"")</f>
        <v/>
      </c>
      <c r="G86" s="173" t="str">
        <f t="array" ref="G86">IFERROR(IF(LEN(G$11)=0,"",IF($C$7&lt;&gt;"All",IF(LEN(INDEX(Calc!$J$8:$J$500,MATCH(SMALL(IF((Calc!$C$8:$C$500=Kanban!$C$7)*(Calc!$K$8:$K$500=Kanban!G$11)*(Calc!$Y$8:$Y$500&gt;0),Calc!$Y$8:$Y$500,99999),Kanban_Helper!$B79),Calc!$Y$8:$Y$500,0)))=0,"",CONCATENATE(Calc!$AD$6,INDEX(Calc!$J$8:$J$500,MATCH(SMALL(IF((Calc!$C$8:$C$500=Kanban!$C$7)*(Calc!$K$8:$K$500=Kanban!G$11)*(Calc!$Y$8:$Y$500&gt;0),Calc!$Y$8:$Y$500,99999),Kanban_Helper!$B79),Calc!$Y$8:$Y$500,0)))),IF(LEN(INDEX(Calc!$J$8:$J$500,MATCH(SMALL(IF((Calc!$K$8:$K$500=Kanban!G$11)*(Calc!$Y$8:$Y$500&gt;0),Calc!$Y$8:$Y$500,99999),Kanban_Helper!$B79),Calc!$Y$8:$Y$500,0)))=0,"",CONCATENATE(Calc!$AD$6,INDEX(Calc!$J$8:$J$500,MATCH(SMALL(IF((Calc!$K$8:$K$500=Kanban!G$11)*(Calc!$Y$8:$Y$500&gt;0),Calc!$Y$8:$Y$500,99999),Kanban_Helper!$B79),Calc!$Y$8:$Y$500,0)))))),"")</f>
        <v/>
      </c>
      <c r="H86" s="173" t="str">
        <f t="array" ref="H86">IFERROR(IF(LEN(H$11)=0,"",IF($C$7&lt;&gt;"All",IF(LEN(INDEX(Calc!$J$8:$J$500,MATCH(SMALL(IF((Calc!$C$8:$C$500=Kanban!$C$7)*(Calc!$K$8:$K$500=Kanban!H$11)*(Calc!$Y$8:$Y$500&gt;0),Calc!$Y$8:$Y$500,99999),Kanban_Helper!$B79),Calc!$Y$8:$Y$500,0)))=0,"",CONCATENATE(Calc!$AD$6,INDEX(Calc!$J$8:$J$500,MATCH(SMALL(IF((Calc!$C$8:$C$500=Kanban!$C$7)*(Calc!$K$8:$K$500=Kanban!H$11)*(Calc!$Y$8:$Y$500&gt;0),Calc!$Y$8:$Y$500,99999),Kanban_Helper!$B79),Calc!$Y$8:$Y$500,0)))),IF(LEN(INDEX(Calc!$J$8:$J$500,MATCH(SMALL(IF((Calc!$K$8:$K$500=Kanban!H$11)*(Calc!$Y$8:$Y$500&gt;0),Calc!$Y$8:$Y$500,99999),Kanban_Helper!$B79),Calc!$Y$8:$Y$500,0)))=0,"",CONCATENATE(Calc!$AD$6,INDEX(Calc!$J$8:$J$500,MATCH(SMALL(IF((Calc!$K$8:$K$500=Kanban!H$11)*(Calc!$Y$8:$Y$500&gt;0),Calc!$Y$8:$Y$500,99999),Kanban_Helper!$B79),Calc!$Y$8:$Y$500,0)))))),"")</f>
        <v/>
      </c>
      <c r="I86" s="39"/>
      <c r="J86" s="10"/>
      <c r="K86" s="10"/>
      <c r="L86" s="10"/>
    </row>
    <row r="87" spans="2:12" ht="15.75" customHeight="1" thickTop="1" x14ac:dyDescent="0.35">
      <c r="B87" s="80"/>
      <c r="C87" s="170" t="str">
        <f t="array" ref="C87">IFERROR(IF(LEN(C$11)=0,"",IF($C$7&lt;&gt;"All",IF(INDEX(Calc!$V$8:$V$500,MATCH(INDEX(Calc!$D$8:$D$500,MATCH(SMALL(IF((Calc!$C$8:$C$500=Kanban!$C$7)*(Calc!$K$8:$K$500=Kanban!C$11)*(Calc!$Y$8:$Y$500&gt;0),Calc!$Y$8:$Y$500,99999),Kanban_Helper!$B80),Calc!$Y$8:$Y$500,0)),Calc!$D$8:$D$500,0))="Yes",CONCATENATE(INDEX(Calc!$D$8:$D$500,MATCH(SMALL(IF((Calc!$C$8:$C$500=Kanban!$C$7)*(Calc!$K$8:$K$500=Kanban!C$11)*(Calc!$Y$8:$Y$500&gt;0),Calc!$Y$8:$Y$500,99999),Kanban_Helper!$B80),Calc!$Y$8:$Y$500,0))," ",Calc!$V$7," ","!"),INDEX(Calc!$D$8:$D$500,MATCH(SMALL(IF((Calc!$C$8:$C$500=Kanban!$C$7)*(Calc!$K$8:$K$500=Kanban!C$11)*(Calc!$Y$8:$Y$500&gt;0),Calc!$Y$8:$Y$500,99999),Kanban_Helper!$B80),Calc!$Y$8:$Y$500,0))),IF(INDEX(Calc!$V$8:$V$500,MATCH(INDEX(Calc!$D$8:$D$500,MATCH(SMALL(IF((Calc!$K$8:$K$500=Kanban!C$11)*(Calc!$Y$8:$Y$500&gt;0),Calc!$Y$8:$Y$500,99999),Kanban_Helper!$B80),Calc!$Y$8:$Y$500,0)),Calc!$D$8:$D$500,0))="Yes",CONCATENATE(INDEX(Calc!$D$8:$D$500,MATCH(SMALL(IF((Calc!$K$8:$K$500=Kanban!C$11)*(Calc!$Y$8:$Y$500&gt;0),Calc!$Y$8:$Y$500,99999),Kanban_Helper!$B80),Calc!$Y$8:$Y$500,0))," ",Calc!$V$7," ","!"),INDEX(Calc!$D$8:$D$500,MATCH(SMALL(IF((Calc!$K$8:$K$500=Kanban!C$11)*(Calc!$Y$8:$Y$500&gt;0),Calc!$Y$8:$Y$500,99999),Kanban_Helper!$B80),Calc!$Y$8:$Y$500,0))))),"")</f>
        <v/>
      </c>
      <c r="D87" s="170" t="str">
        <f t="array" ref="D87">IFERROR(IF(LEN(D$11)=0,"",IF($C$7&lt;&gt;"All",IF(INDEX(Calc!$V$8:$V$500,MATCH(INDEX(Calc!$D$8:$D$500,MATCH(SMALL(IF((Calc!$C$8:$C$500=Kanban!$C$7)*(Calc!$K$8:$K$500=Kanban!D$11)*(Calc!$Y$8:$Y$500&gt;0),Calc!$Y$8:$Y$500,99999),Kanban_Helper!$B80),Calc!$Y$8:$Y$500,0)),Calc!$D$8:$D$500,0))="Yes",CONCATENATE(INDEX(Calc!$D$8:$D$500,MATCH(SMALL(IF((Calc!$C$8:$C$500=Kanban!$C$7)*(Calc!$K$8:$K$500=Kanban!D$11)*(Calc!$Y$8:$Y$500&gt;0),Calc!$Y$8:$Y$500,99999),Kanban_Helper!$B80),Calc!$Y$8:$Y$500,0))," ",Calc!$V$7," ","!"),INDEX(Calc!$D$8:$D$500,MATCH(SMALL(IF((Calc!$C$8:$C$500=Kanban!$C$7)*(Calc!$K$8:$K$500=Kanban!D$11)*(Calc!$Y$8:$Y$500&gt;0),Calc!$Y$8:$Y$500,99999),Kanban_Helper!$B80),Calc!$Y$8:$Y$500,0))),IF(INDEX(Calc!$V$8:$V$500,MATCH(INDEX(Calc!$D$8:$D$500,MATCH(SMALL(IF((Calc!$K$8:$K$500=Kanban!D$11)*(Calc!$Y$8:$Y$500&gt;0),Calc!$Y$8:$Y$500,99999),Kanban_Helper!$B80),Calc!$Y$8:$Y$500,0)),Calc!$D$8:$D$500,0))="Yes",CONCATENATE(INDEX(Calc!$D$8:$D$500,MATCH(SMALL(IF((Calc!$K$8:$K$500=Kanban!D$11)*(Calc!$Y$8:$Y$500&gt;0),Calc!$Y$8:$Y$500,99999),Kanban_Helper!$B80),Calc!$Y$8:$Y$500,0))," ",Calc!$V$7," ","!"),INDEX(Calc!$D$8:$D$500,MATCH(SMALL(IF((Calc!$K$8:$K$500=Kanban!D$11)*(Calc!$Y$8:$Y$500&gt;0),Calc!$Y$8:$Y$500,99999),Kanban_Helper!$B80),Calc!$Y$8:$Y$500,0))))),"")</f>
        <v/>
      </c>
      <c r="E87" s="170" t="str">
        <f t="array" ref="E87">IFERROR(IF(LEN(E$11)=0,"",IF($C$7&lt;&gt;"All",IF(INDEX(Calc!$V$8:$V$500,MATCH(INDEX(Calc!$D$8:$D$500,MATCH(SMALL(IF((Calc!$C$8:$C$500=Kanban!$C$7)*(Calc!$K$8:$K$500=Kanban!E$11)*(Calc!$Y$8:$Y$500&gt;0),Calc!$Y$8:$Y$500,99999),Kanban_Helper!$B80),Calc!$Y$8:$Y$500,0)),Calc!$D$8:$D$500,0))="Yes",CONCATENATE(INDEX(Calc!$D$8:$D$500,MATCH(SMALL(IF((Calc!$C$8:$C$500=Kanban!$C$7)*(Calc!$K$8:$K$500=Kanban!E$11)*(Calc!$Y$8:$Y$500&gt;0),Calc!$Y$8:$Y$500,99999),Kanban_Helper!$B80),Calc!$Y$8:$Y$500,0))," ",Calc!$V$7," ","!"),INDEX(Calc!$D$8:$D$500,MATCH(SMALL(IF((Calc!$C$8:$C$500=Kanban!$C$7)*(Calc!$K$8:$K$500=Kanban!E$11)*(Calc!$Y$8:$Y$500&gt;0),Calc!$Y$8:$Y$500,99999),Kanban_Helper!$B80),Calc!$Y$8:$Y$500,0))),IF(INDEX(Calc!$V$8:$V$500,MATCH(INDEX(Calc!$D$8:$D$500,MATCH(SMALL(IF((Calc!$K$8:$K$500=Kanban!E$11)*(Calc!$Y$8:$Y$500&gt;0),Calc!$Y$8:$Y$500,99999),Kanban_Helper!$B80),Calc!$Y$8:$Y$500,0)),Calc!$D$8:$D$500,0))="Yes",CONCATENATE(INDEX(Calc!$D$8:$D$500,MATCH(SMALL(IF((Calc!$K$8:$K$500=Kanban!E$11)*(Calc!$Y$8:$Y$500&gt;0),Calc!$Y$8:$Y$500,99999),Kanban_Helper!$B80),Calc!$Y$8:$Y$500,0))," ",Calc!$V$7," ","!"),INDEX(Calc!$D$8:$D$500,MATCH(SMALL(IF((Calc!$K$8:$K$500=Kanban!E$11)*(Calc!$Y$8:$Y$500&gt;0),Calc!$Y$8:$Y$500,99999),Kanban_Helper!$B80),Calc!$Y$8:$Y$500,0))))),"")</f>
        <v/>
      </c>
      <c r="F87" s="170" t="str">
        <f t="array" ref="F87">IFERROR(IF(LEN(F$11)=0,"",IF($C$7&lt;&gt;"All",IF(INDEX(Calc!$V$8:$V$500,MATCH(INDEX(Calc!$D$8:$D$500,MATCH(SMALL(IF((Calc!$C$8:$C$500=Kanban!$C$7)*(Calc!$K$8:$K$500=Kanban!F$11)*(Calc!$Y$8:$Y$500&gt;0),Calc!$Y$8:$Y$500,99999),Kanban_Helper!$B80),Calc!$Y$8:$Y$500,0)),Calc!$D$8:$D$500,0))="Yes",CONCATENATE(INDEX(Calc!$D$8:$D$500,MATCH(SMALL(IF((Calc!$C$8:$C$500=Kanban!$C$7)*(Calc!$K$8:$K$500=Kanban!F$11)*(Calc!$Y$8:$Y$500&gt;0),Calc!$Y$8:$Y$500,99999),Kanban_Helper!$B80),Calc!$Y$8:$Y$500,0))," ",Calc!$V$7," ","!"),INDEX(Calc!$D$8:$D$500,MATCH(SMALL(IF((Calc!$C$8:$C$500=Kanban!$C$7)*(Calc!$K$8:$K$500=Kanban!F$11)*(Calc!$Y$8:$Y$500&gt;0),Calc!$Y$8:$Y$500,99999),Kanban_Helper!$B80),Calc!$Y$8:$Y$500,0))),IF(INDEX(Calc!$V$8:$V$500,MATCH(INDEX(Calc!$D$8:$D$500,MATCH(SMALL(IF((Calc!$K$8:$K$500=Kanban!F$11)*(Calc!$Y$8:$Y$500&gt;0),Calc!$Y$8:$Y$500,99999),Kanban_Helper!$B80),Calc!$Y$8:$Y$500,0)),Calc!$D$8:$D$500,0))="Yes",CONCATENATE(INDEX(Calc!$D$8:$D$500,MATCH(SMALL(IF((Calc!$K$8:$K$500=Kanban!F$11)*(Calc!$Y$8:$Y$500&gt;0),Calc!$Y$8:$Y$500,99999),Kanban_Helper!$B80),Calc!$Y$8:$Y$500,0))," ",Calc!$V$7," ","!"),INDEX(Calc!$D$8:$D$500,MATCH(SMALL(IF((Calc!$K$8:$K$500=Kanban!F$11)*(Calc!$Y$8:$Y$500&gt;0),Calc!$Y$8:$Y$500,99999),Kanban_Helper!$B80),Calc!$Y$8:$Y$500,0))))),"")</f>
        <v/>
      </c>
      <c r="G87" s="170" t="str">
        <f t="array" ref="G87">IFERROR(IF(LEN(G$11)=0,"",IF($C$7&lt;&gt;"All",IF(INDEX(Calc!$V$8:$V$500,MATCH(INDEX(Calc!$D$8:$D$500,MATCH(SMALL(IF((Calc!$C$8:$C$500=Kanban!$C$7)*(Calc!$K$8:$K$500=Kanban!G$11)*(Calc!$Y$8:$Y$500&gt;0),Calc!$Y$8:$Y$500,99999),Kanban_Helper!$B80),Calc!$Y$8:$Y$500,0)),Calc!$D$8:$D$500,0))="Yes",CONCATENATE(INDEX(Calc!$D$8:$D$500,MATCH(SMALL(IF((Calc!$C$8:$C$500=Kanban!$C$7)*(Calc!$K$8:$K$500=Kanban!G$11)*(Calc!$Y$8:$Y$500&gt;0),Calc!$Y$8:$Y$500,99999),Kanban_Helper!$B80),Calc!$Y$8:$Y$500,0))," ",Calc!$V$7," ","!"),INDEX(Calc!$D$8:$D$500,MATCH(SMALL(IF((Calc!$C$8:$C$500=Kanban!$C$7)*(Calc!$K$8:$K$500=Kanban!G$11)*(Calc!$Y$8:$Y$500&gt;0),Calc!$Y$8:$Y$500,99999),Kanban_Helper!$B80),Calc!$Y$8:$Y$500,0))),IF(INDEX(Calc!$V$8:$V$500,MATCH(INDEX(Calc!$D$8:$D$500,MATCH(SMALL(IF((Calc!$K$8:$K$500=Kanban!G$11)*(Calc!$Y$8:$Y$500&gt;0),Calc!$Y$8:$Y$500,99999),Kanban_Helper!$B80),Calc!$Y$8:$Y$500,0)),Calc!$D$8:$D$500,0))="Yes",CONCATENATE(INDEX(Calc!$D$8:$D$500,MATCH(SMALL(IF((Calc!$K$8:$K$500=Kanban!G$11)*(Calc!$Y$8:$Y$500&gt;0),Calc!$Y$8:$Y$500,99999),Kanban_Helper!$B80),Calc!$Y$8:$Y$500,0))," ",Calc!$V$7," ","!"),INDEX(Calc!$D$8:$D$500,MATCH(SMALL(IF((Calc!$K$8:$K$500=Kanban!G$11)*(Calc!$Y$8:$Y$500&gt;0),Calc!$Y$8:$Y$500,99999),Kanban_Helper!$B80),Calc!$Y$8:$Y$500,0))))),"")</f>
        <v/>
      </c>
      <c r="H87" s="174" t="str">
        <f t="array" ref="H87">IFERROR(IF(LEN(H$11)=0,"",IF($C$7&lt;&gt;"All",IF(INDEX(Calc!$V$8:$V$500,MATCH(INDEX(Calc!$D$8:$D$500,MATCH(SMALL(IF((Calc!$C$8:$C$500=Kanban!$C$7)*(Calc!$K$8:$K$500=Kanban!H$11)*(Calc!$Y$8:$Y$500&gt;0),Calc!$Y$8:$Y$500,99999),Kanban_Helper!$B80),Calc!$Y$8:$Y$500,0)),Calc!$D$8:$D$500,0))="Yes",CONCATENATE(INDEX(Calc!$D$8:$D$500,MATCH(SMALL(IF((Calc!$C$8:$C$500=Kanban!$C$7)*(Calc!$K$8:$K$500=Kanban!H$11)*(Calc!$Y$8:$Y$500&gt;0),Calc!$Y$8:$Y$500,99999),Kanban_Helper!$B80),Calc!$Y$8:$Y$500,0))," ",Calc!$V$7," ","!"),INDEX(Calc!$D$8:$D$500,MATCH(SMALL(IF((Calc!$C$8:$C$500=Kanban!$C$7)*(Calc!$K$8:$K$500=Kanban!H$11)*(Calc!$Y$8:$Y$500&gt;0),Calc!$Y$8:$Y$500,99999),Kanban_Helper!$B80),Calc!$Y$8:$Y$500,0))),IF(INDEX(Calc!$V$8:$V$500,MATCH(INDEX(Calc!$D$8:$D$500,MATCH(SMALL(IF((Calc!$K$8:$K$500=Kanban!H$11)*(Calc!$Y$8:$Y$500&gt;0),Calc!$Y$8:$Y$500,99999),Kanban_Helper!$B80),Calc!$Y$8:$Y$500,0)),Calc!$D$8:$D$500,0))="Yes",CONCATENATE(INDEX(Calc!$D$8:$D$500,MATCH(SMALL(IF((Calc!$K$8:$K$500=Kanban!H$11)*(Calc!$Y$8:$Y$500&gt;0),Calc!$Y$8:$Y$500,99999),Kanban_Helper!$B80),Calc!$Y$8:$Y$500,0))," ",Calc!$V$7," ","!"),INDEX(Calc!$D$8:$D$500,MATCH(SMALL(IF((Calc!$K$8:$K$500=Kanban!H$11)*(Calc!$Y$8:$Y$500&gt;0),Calc!$Y$8:$Y$500,99999),Kanban_Helper!$B80),Calc!$Y$8:$Y$500,0))))),"")</f>
        <v/>
      </c>
      <c r="I87" s="39"/>
      <c r="J87" s="10"/>
      <c r="K87" s="10"/>
      <c r="L87" s="10"/>
    </row>
    <row r="88" spans="2:12" ht="15.75" customHeight="1" x14ac:dyDescent="0.35">
      <c r="B88" s="81"/>
      <c r="C88" s="171" t="str">
        <f t="array" ref="C88">IFERROR(IF(LEN(C$11)=0,"",IF($C$7&lt;&gt;"All",INDEX(Calc!$E$8:$E$500,MATCH(SMALL(IF((Calc!$C$8:$C$500=Kanban!$C$7)*(Calc!$K$8:$K$500=Kanban!C$11)*(Calc!$Y$8:$Y$500&gt;0),Calc!$Y$8:$Y$500,99999),Kanban_Helper!$B81),Calc!$Y$8:$Y$500,0)),INDEX(Calc!$E$8:$E$500,MATCH(SMALL(IF((Calc!$K$8:$K$500=Kanban!C$11)*(Calc!$Y$8:$Y$500&gt;0),Calc!$Y$8:$Y$500,99999),Kanban_Helper!$B81),Calc!$Y$8:$Y$500,0)))),"")</f>
        <v/>
      </c>
      <c r="D88" s="171" t="str">
        <f t="array" ref="D88">IFERROR(IF(LEN(D$11)=0,"",IF($C$7&lt;&gt;"All",INDEX(Calc!$E$8:$E$500,MATCH(SMALL(IF((Calc!$C$8:$C$500=Kanban!$C$7)*(Calc!$K$8:$K$500=Kanban!D$11)*(Calc!$Y$8:$Y$500&gt;0),Calc!$Y$8:$Y$500,99999),Kanban_Helper!$B81),Calc!$Y$8:$Y$500,0)),INDEX(Calc!$E$8:$E$500,MATCH(SMALL(IF((Calc!$K$8:$K$500=Kanban!D$11)*(Calc!$Y$8:$Y$500&gt;0),Calc!$Y$8:$Y$500,99999),Kanban_Helper!$B81),Calc!$Y$8:$Y$500,0)))),"")</f>
        <v/>
      </c>
      <c r="E88" s="171" t="str">
        <f t="array" ref="E88">IFERROR(IF(LEN(E$11)=0,"",IF($C$7&lt;&gt;"All",INDEX(Calc!$E$8:$E$500,MATCH(SMALL(IF((Calc!$C$8:$C$500=Kanban!$C$7)*(Calc!$K$8:$K$500=Kanban!E$11)*(Calc!$Y$8:$Y$500&gt;0),Calc!$Y$8:$Y$500,99999),Kanban_Helper!$B81),Calc!$Y$8:$Y$500,0)),INDEX(Calc!$E$8:$E$500,MATCH(SMALL(IF((Calc!$K$8:$K$500=Kanban!E$11)*(Calc!$Y$8:$Y$500&gt;0),Calc!$Y$8:$Y$500,99999),Kanban_Helper!$B81),Calc!$Y$8:$Y$500,0)))),"")</f>
        <v/>
      </c>
      <c r="F88" s="171" t="str">
        <f t="array" ref="F88">IFERROR(IF(LEN(F$11)=0,"",IF($C$7&lt;&gt;"All",INDEX(Calc!$E$8:$E$500,MATCH(SMALL(IF((Calc!$C$8:$C$500=Kanban!$C$7)*(Calc!$K$8:$K$500=Kanban!F$11)*(Calc!$Y$8:$Y$500&gt;0),Calc!$Y$8:$Y$500,99999),Kanban_Helper!$B81),Calc!$Y$8:$Y$500,0)),INDEX(Calc!$E$8:$E$500,MATCH(SMALL(IF((Calc!$K$8:$K$500=Kanban!F$11)*(Calc!$Y$8:$Y$500&gt;0),Calc!$Y$8:$Y$500,99999),Kanban_Helper!$B81),Calc!$Y$8:$Y$500,0)))),"")</f>
        <v/>
      </c>
      <c r="G88" s="171" t="str">
        <f t="array" ref="G88">IFERROR(IF(LEN(G$11)=0,"",IF($C$7&lt;&gt;"All",INDEX(Calc!$E$8:$E$500,MATCH(SMALL(IF((Calc!$C$8:$C$500=Kanban!$C$7)*(Calc!$K$8:$K$500=Kanban!G$11)*(Calc!$Y$8:$Y$500&gt;0),Calc!$Y$8:$Y$500,99999),Kanban_Helper!$B81),Calc!$Y$8:$Y$500,0)),INDEX(Calc!$E$8:$E$500,MATCH(SMALL(IF((Calc!$K$8:$K$500=Kanban!G$11)*(Calc!$Y$8:$Y$500&gt;0),Calc!$Y$8:$Y$500,99999),Kanban_Helper!$B81),Calc!$Y$8:$Y$500,0)))),"")</f>
        <v/>
      </c>
      <c r="H88" s="171" t="str">
        <f t="array" ref="H88">IFERROR(IF(LEN(H$11)=0,"",IF($C$7&lt;&gt;"All",INDEX(Calc!$E$8:$E$500,MATCH(SMALL(IF((Calc!$C$8:$C$500=Kanban!$C$7)*(Calc!$K$8:$K$500=Kanban!H$11)*(Calc!$Y$8:$Y$500&gt;0),Calc!$Y$8:$Y$500,99999),Kanban_Helper!$B81),Calc!$Y$8:$Y$500,0)),INDEX(Calc!$E$8:$E$500,MATCH(SMALL(IF((Calc!$K$8:$K$500=Kanban!H$11)*(Calc!$Y$8:$Y$500&gt;0),Calc!$Y$8:$Y$500,99999),Kanban_Helper!$B81),Calc!$Y$8:$Y$500,0)))),"")</f>
        <v/>
      </c>
      <c r="I88" s="39"/>
    </row>
    <row r="89" spans="2:12" s="22" customFormat="1" ht="15.75" customHeight="1" thickBot="1" x14ac:dyDescent="0.4">
      <c r="B89" s="81"/>
      <c r="C89" s="172" t="str">
        <f t="array" ref="C89">IFERROR(IF(LEN(C$11)=0,"",IF($C$7&lt;&gt;"All",IF(LEN(INDEX(Calc!$J$8:$J$500,MATCH(SMALL(IF((Calc!$C$8:$C$500=Kanban!$C$7)*(Calc!$K$8:$K$500=Kanban!C$11)*(Calc!$Y$8:$Y$500&gt;0),Calc!$Y$8:$Y$500,99999),Kanban_Helper!$B82),Calc!$Y$8:$Y$500,0)))=0,"",CONCATENATE(Calc!$AD$6,INDEX(Calc!$J$8:$J$500,MATCH(SMALL(IF((Calc!$C$8:$C$500=Kanban!$C$7)*(Calc!$K$8:$K$500=Kanban!C$11)*(Calc!$Y$8:$Y$500&gt;0),Calc!$Y$8:$Y$500,99999),Kanban_Helper!$B82),Calc!$Y$8:$Y$500,0)))),IF(LEN(INDEX(Calc!$J$8:$J$500,MATCH(SMALL(IF((Calc!$K$8:$K$500=Kanban!C$11)*(Calc!$Y$8:$Y$500&gt;0),Calc!$Y$8:$Y$500,99999),Kanban_Helper!$B82),Calc!$Y$8:$Y$500,0)))=0,"",CONCATENATE(Calc!$AD$6,INDEX(Calc!$J$8:$J$500,MATCH(SMALL(IF((Calc!$K$8:$K$500=Kanban!C$11)*(Calc!$Y$8:$Y$500&gt;0),Calc!$Y$8:$Y$500,99999),Kanban_Helper!$B82),Calc!$Y$8:$Y$500,0)))))),"")</f>
        <v/>
      </c>
      <c r="D89" s="172" t="str">
        <f t="array" ref="D89">IFERROR(IF(LEN(D$11)=0,"",IF($C$7&lt;&gt;"All",IF(LEN(INDEX(Calc!$J$8:$J$500,MATCH(SMALL(IF((Calc!$C$8:$C$500=Kanban!$C$7)*(Calc!$K$8:$K$500=Kanban!D$11)*(Calc!$Y$8:$Y$500&gt;0),Calc!$Y$8:$Y$500,99999),Kanban_Helper!$B82),Calc!$Y$8:$Y$500,0)))=0,"",CONCATENATE(Calc!$AD$6,INDEX(Calc!$J$8:$J$500,MATCH(SMALL(IF((Calc!$C$8:$C$500=Kanban!$C$7)*(Calc!$K$8:$K$500=Kanban!D$11)*(Calc!$Y$8:$Y$500&gt;0),Calc!$Y$8:$Y$500,99999),Kanban_Helper!$B82),Calc!$Y$8:$Y$500,0)))),IF(LEN(INDEX(Calc!$J$8:$J$500,MATCH(SMALL(IF((Calc!$K$8:$K$500=Kanban!D$11)*(Calc!$Y$8:$Y$500&gt;0),Calc!$Y$8:$Y$500,99999),Kanban_Helper!$B82),Calc!$Y$8:$Y$500,0)))=0,"",CONCATENATE(Calc!$AD$6,INDEX(Calc!$J$8:$J$500,MATCH(SMALL(IF((Calc!$K$8:$K$500=Kanban!D$11)*(Calc!$Y$8:$Y$500&gt;0),Calc!$Y$8:$Y$500,99999),Kanban_Helper!$B82),Calc!$Y$8:$Y$500,0)))))),"")</f>
        <v/>
      </c>
      <c r="E89" s="172" t="str">
        <f t="array" ref="E89">IFERROR(IF(LEN(E$11)=0,"",IF($C$7&lt;&gt;"All",IF(LEN(INDEX(Calc!$J$8:$J$500,MATCH(SMALL(IF((Calc!$C$8:$C$500=Kanban!$C$7)*(Calc!$K$8:$K$500=Kanban!E$11)*(Calc!$Y$8:$Y$500&gt;0),Calc!$Y$8:$Y$500,99999),Kanban_Helper!$B82),Calc!$Y$8:$Y$500,0)))=0,"",CONCATENATE(Calc!$AD$6,INDEX(Calc!$J$8:$J$500,MATCH(SMALL(IF((Calc!$C$8:$C$500=Kanban!$C$7)*(Calc!$K$8:$K$500=Kanban!E$11)*(Calc!$Y$8:$Y$500&gt;0),Calc!$Y$8:$Y$500,99999),Kanban_Helper!$B82),Calc!$Y$8:$Y$500,0)))),IF(LEN(INDEX(Calc!$J$8:$J$500,MATCH(SMALL(IF((Calc!$K$8:$K$500=Kanban!E$11)*(Calc!$Y$8:$Y$500&gt;0),Calc!$Y$8:$Y$500,99999),Kanban_Helper!$B82),Calc!$Y$8:$Y$500,0)))=0,"",CONCATENATE(Calc!$AD$6,INDEX(Calc!$J$8:$J$500,MATCH(SMALL(IF((Calc!$K$8:$K$500=Kanban!E$11)*(Calc!$Y$8:$Y$500&gt;0),Calc!$Y$8:$Y$500,99999),Kanban_Helper!$B82),Calc!$Y$8:$Y$500,0)))))),"")</f>
        <v/>
      </c>
      <c r="F89" s="172" t="str">
        <f t="array" ref="F89">IFERROR(IF(LEN(F$11)=0,"",IF($C$7&lt;&gt;"All",IF(LEN(INDEX(Calc!$J$8:$J$500,MATCH(SMALL(IF((Calc!$C$8:$C$500=Kanban!$C$7)*(Calc!$K$8:$K$500=Kanban!F$11)*(Calc!$Y$8:$Y$500&gt;0),Calc!$Y$8:$Y$500,99999),Kanban_Helper!$B82),Calc!$Y$8:$Y$500,0)))=0,"",CONCATENATE(Calc!$AD$6,INDEX(Calc!$J$8:$J$500,MATCH(SMALL(IF((Calc!$C$8:$C$500=Kanban!$C$7)*(Calc!$K$8:$K$500=Kanban!F$11)*(Calc!$Y$8:$Y$500&gt;0),Calc!$Y$8:$Y$500,99999),Kanban_Helper!$B82),Calc!$Y$8:$Y$500,0)))),IF(LEN(INDEX(Calc!$J$8:$J$500,MATCH(SMALL(IF((Calc!$K$8:$K$500=Kanban!F$11)*(Calc!$Y$8:$Y$500&gt;0),Calc!$Y$8:$Y$500,99999),Kanban_Helper!$B82),Calc!$Y$8:$Y$500,0)))=0,"",CONCATENATE(Calc!$AD$6,INDEX(Calc!$J$8:$J$500,MATCH(SMALL(IF((Calc!$K$8:$K$500=Kanban!F$11)*(Calc!$Y$8:$Y$500&gt;0),Calc!$Y$8:$Y$500,99999),Kanban_Helper!$B82),Calc!$Y$8:$Y$500,0)))))),"")</f>
        <v/>
      </c>
      <c r="G89" s="172" t="str">
        <f t="array" ref="G89">IFERROR(IF(LEN(G$11)=0,"",IF($C$7&lt;&gt;"All",IF(LEN(INDEX(Calc!$J$8:$J$500,MATCH(SMALL(IF((Calc!$C$8:$C$500=Kanban!$C$7)*(Calc!$K$8:$K$500=Kanban!G$11)*(Calc!$Y$8:$Y$500&gt;0),Calc!$Y$8:$Y$500,99999),Kanban_Helper!$B82),Calc!$Y$8:$Y$500,0)))=0,"",CONCATENATE(Calc!$AD$6,INDEX(Calc!$J$8:$J$500,MATCH(SMALL(IF((Calc!$C$8:$C$500=Kanban!$C$7)*(Calc!$K$8:$K$500=Kanban!G$11)*(Calc!$Y$8:$Y$500&gt;0),Calc!$Y$8:$Y$500,99999),Kanban_Helper!$B82),Calc!$Y$8:$Y$500,0)))),IF(LEN(INDEX(Calc!$J$8:$J$500,MATCH(SMALL(IF((Calc!$K$8:$K$500=Kanban!G$11)*(Calc!$Y$8:$Y$500&gt;0),Calc!$Y$8:$Y$500,99999),Kanban_Helper!$B82),Calc!$Y$8:$Y$500,0)))=0,"",CONCATENATE(Calc!$AD$6,INDEX(Calc!$J$8:$J$500,MATCH(SMALL(IF((Calc!$K$8:$K$500=Kanban!G$11)*(Calc!$Y$8:$Y$500&gt;0),Calc!$Y$8:$Y$500,99999),Kanban_Helper!$B82),Calc!$Y$8:$Y$500,0)))))),"")</f>
        <v/>
      </c>
      <c r="H89" s="172" t="str">
        <f t="array" ref="H89">IFERROR(IF(LEN(H$11)=0,"",IF($C$7&lt;&gt;"All",IF(LEN(INDEX(Calc!$J$8:$J$500,MATCH(SMALL(IF((Calc!$C$8:$C$500=Kanban!$C$7)*(Calc!$K$8:$K$500=Kanban!H$11)*(Calc!$Y$8:$Y$500&gt;0),Calc!$Y$8:$Y$500,99999),Kanban_Helper!$B82),Calc!$Y$8:$Y$500,0)))=0,"",CONCATENATE(Calc!$AD$6,INDEX(Calc!$J$8:$J$500,MATCH(SMALL(IF((Calc!$C$8:$C$500=Kanban!$C$7)*(Calc!$K$8:$K$500=Kanban!H$11)*(Calc!$Y$8:$Y$500&gt;0),Calc!$Y$8:$Y$500,99999),Kanban_Helper!$B82),Calc!$Y$8:$Y$500,0)))),IF(LEN(INDEX(Calc!$J$8:$J$500,MATCH(SMALL(IF((Calc!$K$8:$K$500=Kanban!H$11)*(Calc!$Y$8:$Y$500&gt;0),Calc!$Y$8:$Y$500,99999),Kanban_Helper!$B82),Calc!$Y$8:$Y$500,0)))=0,"",CONCATENATE(Calc!$AD$6,INDEX(Calc!$J$8:$J$500,MATCH(SMALL(IF((Calc!$K$8:$K$500=Kanban!H$11)*(Calc!$Y$8:$Y$500&gt;0),Calc!$Y$8:$Y$500,99999),Kanban_Helper!$B82),Calc!$Y$8:$Y$500,0)))))),"")</f>
        <v/>
      </c>
      <c r="I89" s="39"/>
    </row>
    <row r="90" spans="2:12" ht="15.75" customHeight="1" thickTop="1" x14ac:dyDescent="0.35">
      <c r="B90" s="81"/>
      <c r="C90" s="170" t="str">
        <f t="array" ref="C90">IFERROR(IF(LEN(C$11)=0,"",IF($C$7&lt;&gt;"All",IF(INDEX(Calc!$V$8:$V$500,MATCH(INDEX(Calc!$D$8:$D$500,MATCH(SMALL(IF((Calc!$C$8:$C$500=Kanban!$C$7)*(Calc!$K$8:$K$500=Kanban!C$11)*(Calc!$Y$8:$Y$500&gt;0),Calc!$Y$8:$Y$500,99999),Kanban_Helper!$B83),Calc!$Y$8:$Y$500,0)),Calc!$D$8:$D$500,0))="Yes",CONCATENATE(INDEX(Calc!$D$8:$D$500,MATCH(SMALL(IF((Calc!$C$8:$C$500=Kanban!$C$7)*(Calc!$K$8:$K$500=Kanban!C$11)*(Calc!$Y$8:$Y$500&gt;0),Calc!$Y$8:$Y$500,99999),Kanban_Helper!$B83),Calc!$Y$8:$Y$500,0))," ",Calc!$V$7," ","!"),INDEX(Calc!$D$8:$D$500,MATCH(SMALL(IF((Calc!$C$8:$C$500=Kanban!$C$7)*(Calc!$K$8:$K$500=Kanban!C$11)*(Calc!$Y$8:$Y$500&gt;0),Calc!$Y$8:$Y$500,99999),Kanban_Helper!$B83),Calc!$Y$8:$Y$500,0))),IF(INDEX(Calc!$V$8:$V$500,MATCH(INDEX(Calc!$D$8:$D$500,MATCH(SMALL(IF((Calc!$K$8:$K$500=Kanban!C$11)*(Calc!$Y$8:$Y$500&gt;0),Calc!$Y$8:$Y$500,99999),Kanban_Helper!$B83),Calc!$Y$8:$Y$500,0)),Calc!$D$8:$D$500,0))="Yes",CONCATENATE(INDEX(Calc!$D$8:$D$500,MATCH(SMALL(IF((Calc!$K$8:$K$500=Kanban!C$11)*(Calc!$Y$8:$Y$500&gt;0),Calc!$Y$8:$Y$500,99999),Kanban_Helper!$B83),Calc!$Y$8:$Y$500,0))," ",Calc!$V$7," ","!"),INDEX(Calc!$D$8:$D$500,MATCH(SMALL(IF((Calc!$K$8:$K$500=Kanban!C$11)*(Calc!$Y$8:$Y$500&gt;0),Calc!$Y$8:$Y$500,99999),Kanban_Helper!$B83),Calc!$Y$8:$Y$500,0))))),"")</f>
        <v/>
      </c>
      <c r="D90" s="170" t="str">
        <f t="array" ref="D90">IFERROR(IF(LEN(D$11)=0,"",IF($C$7&lt;&gt;"All",IF(INDEX(Calc!$V$8:$V$500,MATCH(INDEX(Calc!$D$8:$D$500,MATCH(SMALL(IF((Calc!$C$8:$C$500=Kanban!$C$7)*(Calc!$K$8:$K$500=Kanban!D$11)*(Calc!$Y$8:$Y$500&gt;0),Calc!$Y$8:$Y$500,99999),Kanban_Helper!$B83),Calc!$Y$8:$Y$500,0)),Calc!$D$8:$D$500,0))="Yes",CONCATENATE(INDEX(Calc!$D$8:$D$500,MATCH(SMALL(IF((Calc!$C$8:$C$500=Kanban!$C$7)*(Calc!$K$8:$K$500=Kanban!D$11)*(Calc!$Y$8:$Y$500&gt;0),Calc!$Y$8:$Y$500,99999),Kanban_Helper!$B83),Calc!$Y$8:$Y$500,0))," ",Calc!$V$7," ","!"),INDEX(Calc!$D$8:$D$500,MATCH(SMALL(IF((Calc!$C$8:$C$500=Kanban!$C$7)*(Calc!$K$8:$K$500=Kanban!D$11)*(Calc!$Y$8:$Y$500&gt;0),Calc!$Y$8:$Y$500,99999),Kanban_Helper!$B83),Calc!$Y$8:$Y$500,0))),IF(INDEX(Calc!$V$8:$V$500,MATCH(INDEX(Calc!$D$8:$D$500,MATCH(SMALL(IF((Calc!$K$8:$K$500=Kanban!D$11)*(Calc!$Y$8:$Y$500&gt;0),Calc!$Y$8:$Y$500,99999),Kanban_Helper!$B83),Calc!$Y$8:$Y$500,0)),Calc!$D$8:$D$500,0))="Yes",CONCATENATE(INDEX(Calc!$D$8:$D$500,MATCH(SMALL(IF((Calc!$K$8:$K$500=Kanban!D$11)*(Calc!$Y$8:$Y$500&gt;0),Calc!$Y$8:$Y$500,99999),Kanban_Helper!$B83),Calc!$Y$8:$Y$500,0))," ",Calc!$V$7," ","!"),INDEX(Calc!$D$8:$D$500,MATCH(SMALL(IF((Calc!$K$8:$K$500=Kanban!D$11)*(Calc!$Y$8:$Y$500&gt;0),Calc!$Y$8:$Y$500,99999),Kanban_Helper!$B83),Calc!$Y$8:$Y$500,0))))),"")</f>
        <v/>
      </c>
      <c r="E90" s="170" t="str">
        <f t="array" ref="E90">IFERROR(IF(LEN(E$11)=0,"",IF($C$7&lt;&gt;"All",IF(INDEX(Calc!$V$8:$V$500,MATCH(INDEX(Calc!$D$8:$D$500,MATCH(SMALL(IF((Calc!$C$8:$C$500=Kanban!$C$7)*(Calc!$K$8:$K$500=Kanban!E$11)*(Calc!$Y$8:$Y$500&gt;0),Calc!$Y$8:$Y$500,99999),Kanban_Helper!$B83),Calc!$Y$8:$Y$500,0)),Calc!$D$8:$D$500,0))="Yes",CONCATENATE(INDEX(Calc!$D$8:$D$500,MATCH(SMALL(IF((Calc!$C$8:$C$500=Kanban!$C$7)*(Calc!$K$8:$K$500=Kanban!E$11)*(Calc!$Y$8:$Y$500&gt;0),Calc!$Y$8:$Y$500,99999),Kanban_Helper!$B83),Calc!$Y$8:$Y$500,0))," ",Calc!$V$7," ","!"),INDEX(Calc!$D$8:$D$500,MATCH(SMALL(IF((Calc!$C$8:$C$500=Kanban!$C$7)*(Calc!$K$8:$K$500=Kanban!E$11)*(Calc!$Y$8:$Y$500&gt;0),Calc!$Y$8:$Y$500,99999),Kanban_Helper!$B83),Calc!$Y$8:$Y$500,0))),IF(INDEX(Calc!$V$8:$V$500,MATCH(INDEX(Calc!$D$8:$D$500,MATCH(SMALL(IF((Calc!$K$8:$K$500=Kanban!E$11)*(Calc!$Y$8:$Y$500&gt;0),Calc!$Y$8:$Y$500,99999),Kanban_Helper!$B83),Calc!$Y$8:$Y$500,0)),Calc!$D$8:$D$500,0))="Yes",CONCATENATE(INDEX(Calc!$D$8:$D$500,MATCH(SMALL(IF((Calc!$K$8:$K$500=Kanban!E$11)*(Calc!$Y$8:$Y$500&gt;0),Calc!$Y$8:$Y$500,99999),Kanban_Helper!$B83),Calc!$Y$8:$Y$500,0))," ",Calc!$V$7," ","!"),INDEX(Calc!$D$8:$D$500,MATCH(SMALL(IF((Calc!$K$8:$K$500=Kanban!E$11)*(Calc!$Y$8:$Y$500&gt;0),Calc!$Y$8:$Y$500,99999),Kanban_Helper!$B83),Calc!$Y$8:$Y$500,0))))),"")</f>
        <v/>
      </c>
      <c r="F90" s="170" t="str">
        <f t="array" ref="F90">IFERROR(IF(LEN(F$11)=0,"",IF($C$7&lt;&gt;"All",IF(INDEX(Calc!$V$8:$V$500,MATCH(INDEX(Calc!$D$8:$D$500,MATCH(SMALL(IF((Calc!$C$8:$C$500=Kanban!$C$7)*(Calc!$K$8:$K$500=Kanban!F$11)*(Calc!$Y$8:$Y$500&gt;0),Calc!$Y$8:$Y$500,99999),Kanban_Helper!$B83),Calc!$Y$8:$Y$500,0)),Calc!$D$8:$D$500,0))="Yes",CONCATENATE(INDEX(Calc!$D$8:$D$500,MATCH(SMALL(IF((Calc!$C$8:$C$500=Kanban!$C$7)*(Calc!$K$8:$K$500=Kanban!F$11)*(Calc!$Y$8:$Y$500&gt;0),Calc!$Y$8:$Y$500,99999),Kanban_Helper!$B83),Calc!$Y$8:$Y$500,0))," ",Calc!$V$7," ","!"),INDEX(Calc!$D$8:$D$500,MATCH(SMALL(IF((Calc!$C$8:$C$500=Kanban!$C$7)*(Calc!$K$8:$K$500=Kanban!F$11)*(Calc!$Y$8:$Y$500&gt;0),Calc!$Y$8:$Y$500,99999),Kanban_Helper!$B83),Calc!$Y$8:$Y$500,0))),IF(INDEX(Calc!$V$8:$V$500,MATCH(INDEX(Calc!$D$8:$D$500,MATCH(SMALL(IF((Calc!$K$8:$K$500=Kanban!F$11)*(Calc!$Y$8:$Y$500&gt;0),Calc!$Y$8:$Y$500,99999),Kanban_Helper!$B83),Calc!$Y$8:$Y$500,0)),Calc!$D$8:$D$500,0))="Yes",CONCATENATE(INDEX(Calc!$D$8:$D$500,MATCH(SMALL(IF((Calc!$K$8:$K$500=Kanban!F$11)*(Calc!$Y$8:$Y$500&gt;0),Calc!$Y$8:$Y$500,99999),Kanban_Helper!$B83),Calc!$Y$8:$Y$500,0))," ",Calc!$V$7," ","!"),INDEX(Calc!$D$8:$D$500,MATCH(SMALL(IF((Calc!$K$8:$K$500=Kanban!F$11)*(Calc!$Y$8:$Y$500&gt;0),Calc!$Y$8:$Y$500,99999),Kanban_Helper!$B83),Calc!$Y$8:$Y$500,0))))),"")</f>
        <v/>
      </c>
      <c r="G90" s="170" t="str">
        <f t="array" ref="G90">IFERROR(IF(LEN(G$11)=0,"",IF($C$7&lt;&gt;"All",IF(INDEX(Calc!$V$8:$V$500,MATCH(INDEX(Calc!$D$8:$D$500,MATCH(SMALL(IF((Calc!$C$8:$C$500=Kanban!$C$7)*(Calc!$K$8:$K$500=Kanban!G$11)*(Calc!$Y$8:$Y$500&gt;0),Calc!$Y$8:$Y$500,99999),Kanban_Helper!$B83),Calc!$Y$8:$Y$500,0)),Calc!$D$8:$D$500,0))="Yes",CONCATENATE(INDEX(Calc!$D$8:$D$500,MATCH(SMALL(IF((Calc!$C$8:$C$500=Kanban!$C$7)*(Calc!$K$8:$K$500=Kanban!G$11)*(Calc!$Y$8:$Y$500&gt;0),Calc!$Y$8:$Y$500,99999),Kanban_Helper!$B83),Calc!$Y$8:$Y$500,0))," ",Calc!$V$7," ","!"),INDEX(Calc!$D$8:$D$500,MATCH(SMALL(IF((Calc!$C$8:$C$500=Kanban!$C$7)*(Calc!$K$8:$K$500=Kanban!G$11)*(Calc!$Y$8:$Y$500&gt;0),Calc!$Y$8:$Y$500,99999),Kanban_Helper!$B83),Calc!$Y$8:$Y$500,0))),IF(INDEX(Calc!$V$8:$V$500,MATCH(INDEX(Calc!$D$8:$D$500,MATCH(SMALL(IF((Calc!$K$8:$K$500=Kanban!G$11)*(Calc!$Y$8:$Y$500&gt;0),Calc!$Y$8:$Y$500,99999),Kanban_Helper!$B83),Calc!$Y$8:$Y$500,0)),Calc!$D$8:$D$500,0))="Yes",CONCATENATE(INDEX(Calc!$D$8:$D$500,MATCH(SMALL(IF((Calc!$K$8:$K$500=Kanban!G$11)*(Calc!$Y$8:$Y$500&gt;0),Calc!$Y$8:$Y$500,99999),Kanban_Helper!$B83),Calc!$Y$8:$Y$500,0))," ",Calc!$V$7," ","!"),INDEX(Calc!$D$8:$D$500,MATCH(SMALL(IF((Calc!$K$8:$K$500=Kanban!G$11)*(Calc!$Y$8:$Y$500&gt;0),Calc!$Y$8:$Y$500,99999),Kanban_Helper!$B83),Calc!$Y$8:$Y$500,0))))),"")</f>
        <v/>
      </c>
      <c r="H90" s="170" t="str">
        <f t="array" ref="H90">IFERROR(IF(LEN(H$11)=0,"",IF($C$7&lt;&gt;"All",IF(INDEX(Calc!$V$8:$V$500,MATCH(INDEX(Calc!$D$8:$D$500,MATCH(SMALL(IF((Calc!$C$8:$C$500=Kanban!$C$7)*(Calc!$K$8:$K$500=Kanban!H$11)*(Calc!$Y$8:$Y$500&gt;0),Calc!$Y$8:$Y$500,99999),Kanban_Helper!$B83),Calc!$Y$8:$Y$500,0)),Calc!$D$8:$D$500,0))="Yes",CONCATENATE(INDEX(Calc!$D$8:$D$500,MATCH(SMALL(IF((Calc!$C$8:$C$500=Kanban!$C$7)*(Calc!$K$8:$K$500=Kanban!H$11)*(Calc!$Y$8:$Y$500&gt;0),Calc!$Y$8:$Y$500,99999),Kanban_Helper!$B83),Calc!$Y$8:$Y$500,0))," ",Calc!$V$7," ","!"),INDEX(Calc!$D$8:$D$500,MATCH(SMALL(IF((Calc!$C$8:$C$500=Kanban!$C$7)*(Calc!$K$8:$K$500=Kanban!H$11)*(Calc!$Y$8:$Y$500&gt;0),Calc!$Y$8:$Y$500,99999),Kanban_Helper!$B83),Calc!$Y$8:$Y$500,0))),IF(INDEX(Calc!$V$8:$V$500,MATCH(INDEX(Calc!$D$8:$D$500,MATCH(SMALL(IF((Calc!$K$8:$K$500=Kanban!H$11)*(Calc!$Y$8:$Y$500&gt;0),Calc!$Y$8:$Y$500,99999),Kanban_Helper!$B83),Calc!$Y$8:$Y$500,0)),Calc!$D$8:$D$500,0))="Yes",CONCATENATE(INDEX(Calc!$D$8:$D$500,MATCH(SMALL(IF((Calc!$K$8:$K$500=Kanban!H$11)*(Calc!$Y$8:$Y$500&gt;0),Calc!$Y$8:$Y$500,99999),Kanban_Helper!$B83),Calc!$Y$8:$Y$500,0))," ",Calc!$V$7," ","!"),INDEX(Calc!$D$8:$D$500,MATCH(SMALL(IF((Calc!$K$8:$K$500=Kanban!H$11)*(Calc!$Y$8:$Y$500&gt;0),Calc!$Y$8:$Y$500,99999),Kanban_Helper!$B83),Calc!$Y$8:$Y$500,0))))),"")</f>
        <v/>
      </c>
      <c r="I90" s="39"/>
    </row>
    <row r="91" spans="2:12" x14ac:dyDescent="0.35">
      <c r="B91" s="81"/>
      <c r="C91" s="171" t="str">
        <f t="array" ref="C91">IFERROR(IF(LEN(C$11)=0,"",IF($C$7&lt;&gt;"All",INDEX(Calc!$E$8:$E$500,MATCH(SMALL(IF((Calc!$C$8:$C$500=Kanban!$C$7)*(Calc!$K$8:$K$500=Kanban!C$11)*(Calc!$Y$8:$Y$500&gt;0),Calc!$Y$8:$Y$500,99999),Kanban_Helper!$B84),Calc!$Y$8:$Y$500,0)),INDEX(Calc!$E$8:$E$500,MATCH(SMALL(IF((Calc!$K$8:$K$500=Kanban!C$11)*(Calc!$Y$8:$Y$500&gt;0),Calc!$Y$8:$Y$500,99999),Kanban_Helper!$B84),Calc!$Y$8:$Y$500,0)))),"")</f>
        <v/>
      </c>
      <c r="D91" s="171" t="str">
        <f t="array" ref="D91">IFERROR(IF(LEN(D$11)=0,"",IF($C$7&lt;&gt;"All",INDEX(Calc!$E$8:$E$500,MATCH(SMALL(IF((Calc!$C$8:$C$500=Kanban!$C$7)*(Calc!$K$8:$K$500=Kanban!D$11)*(Calc!$Y$8:$Y$500&gt;0),Calc!$Y$8:$Y$500,99999),Kanban_Helper!$B84),Calc!$Y$8:$Y$500,0)),INDEX(Calc!$E$8:$E$500,MATCH(SMALL(IF((Calc!$K$8:$K$500=Kanban!D$11)*(Calc!$Y$8:$Y$500&gt;0),Calc!$Y$8:$Y$500,99999),Kanban_Helper!$B84),Calc!$Y$8:$Y$500,0)))),"")</f>
        <v/>
      </c>
      <c r="E91" s="171" t="str">
        <f t="array" ref="E91">IFERROR(IF(LEN(E$11)=0,"",IF($C$7&lt;&gt;"All",INDEX(Calc!$E$8:$E$500,MATCH(SMALL(IF((Calc!$C$8:$C$500=Kanban!$C$7)*(Calc!$K$8:$K$500=Kanban!E$11)*(Calc!$Y$8:$Y$500&gt;0),Calc!$Y$8:$Y$500,99999),Kanban_Helper!$B84),Calc!$Y$8:$Y$500,0)),INDEX(Calc!$E$8:$E$500,MATCH(SMALL(IF((Calc!$K$8:$K$500=Kanban!E$11)*(Calc!$Y$8:$Y$500&gt;0),Calc!$Y$8:$Y$500,99999),Kanban_Helper!$B84),Calc!$Y$8:$Y$500,0)))),"")</f>
        <v/>
      </c>
      <c r="F91" s="171" t="str">
        <f t="array" ref="F91">IFERROR(IF(LEN(F$11)=0,"",IF($C$7&lt;&gt;"All",INDEX(Calc!$E$8:$E$500,MATCH(SMALL(IF((Calc!$C$8:$C$500=Kanban!$C$7)*(Calc!$K$8:$K$500=Kanban!F$11)*(Calc!$Y$8:$Y$500&gt;0),Calc!$Y$8:$Y$500,99999),Kanban_Helper!$B84),Calc!$Y$8:$Y$500,0)),INDEX(Calc!$E$8:$E$500,MATCH(SMALL(IF((Calc!$K$8:$K$500=Kanban!F$11)*(Calc!$Y$8:$Y$500&gt;0),Calc!$Y$8:$Y$500,99999),Kanban_Helper!$B84),Calc!$Y$8:$Y$500,0)))),"")</f>
        <v/>
      </c>
      <c r="G91" s="171" t="str">
        <f t="array" ref="G91">IFERROR(IF(LEN(G$11)=0,"",IF($C$7&lt;&gt;"All",INDEX(Calc!$E$8:$E$500,MATCH(SMALL(IF((Calc!$C$8:$C$500=Kanban!$C$7)*(Calc!$K$8:$K$500=Kanban!G$11)*(Calc!$Y$8:$Y$500&gt;0),Calc!$Y$8:$Y$500,99999),Kanban_Helper!$B84),Calc!$Y$8:$Y$500,0)),INDEX(Calc!$E$8:$E$500,MATCH(SMALL(IF((Calc!$K$8:$K$500=Kanban!G$11)*(Calc!$Y$8:$Y$500&gt;0),Calc!$Y$8:$Y$500,99999),Kanban_Helper!$B84),Calc!$Y$8:$Y$500,0)))),"")</f>
        <v/>
      </c>
      <c r="H91" s="171" t="str">
        <f t="array" ref="H91">IFERROR(IF(LEN(H$11)=0,"",IF($C$7&lt;&gt;"All",INDEX(Calc!$E$8:$E$500,MATCH(SMALL(IF((Calc!$C$8:$C$500=Kanban!$C$7)*(Calc!$K$8:$K$500=Kanban!H$11)*(Calc!$Y$8:$Y$500&gt;0),Calc!$Y$8:$Y$500,99999),Kanban_Helper!$B84),Calc!$Y$8:$Y$500,0)),INDEX(Calc!$E$8:$E$500,MATCH(SMALL(IF((Calc!$K$8:$K$500=Kanban!H$11)*(Calc!$Y$8:$Y$500&gt;0),Calc!$Y$8:$Y$500,99999),Kanban_Helper!$B84),Calc!$Y$8:$Y$500,0)))),"")</f>
        <v/>
      </c>
      <c r="I91" s="39"/>
    </row>
    <row r="92" spans="2:12" ht="15" thickBot="1" x14ac:dyDescent="0.4">
      <c r="B92" s="81"/>
      <c r="C92" s="172" t="str">
        <f t="array" ref="C92">IFERROR(IF(LEN(C$11)=0,"",IF($C$7&lt;&gt;"All",IF(LEN(INDEX(Calc!$J$8:$J$500,MATCH(SMALL(IF((Calc!$C$8:$C$500=Kanban!$C$7)*(Calc!$K$8:$K$500=Kanban!C$11)*(Calc!$Y$8:$Y$500&gt;0),Calc!$Y$8:$Y$500,99999),Kanban_Helper!$B85),Calc!$Y$8:$Y$500,0)))=0,"",CONCATENATE(Calc!$AD$6,INDEX(Calc!$J$8:$J$500,MATCH(SMALL(IF((Calc!$C$8:$C$500=Kanban!$C$7)*(Calc!$K$8:$K$500=Kanban!C$11)*(Calc!$Y$8:$Y$500&gt;0),Calc!$Y$8:$Y$500,99999),Kanban_Helper!$B85),Calc!$Y$8:$Y$500,0)))),IF(LEN(INDEX(Calc!$J$8:$J$500,MATCH(SMALL(IF((Calc!$K$8:$K$500=Kanban!C$11)*(Calc!$Y$8:$Y$500&gt;0),Calc!$Y$8:$Y$500,99999),Kanban_Helper!$B85),Calc!$Y$8:$Y$500,0)))=0,"",CONCATENATE(Calc!$AD$6,INDEX(Calc!$J$8:$J$500,MATCH(SMALL(IF((Calc!$K$8:$K$500=Kanban!C$11)*(Calc!$Y$8:$Y$500&gt;0),Calc!$Y$8:$Y$500,99999),Kanban_Helper!$B85),Calc!$Y$8:$Y$500,0)))))),"")</f>
        <v/>
      </c>
      <c r="D92" s="172" t="str">
        <f t="array" ref="D92">IFERROR(IF(LEN(D$11)=0,"",IF($C$7&lt;&gt;"All",IF(LEN(INDEX(Calc!$J$8:$J$500,MATCH(SMALL(IF((Calc!$C$8:$C$500=Kanban!$C$7)*(Calc!$K$8:$K$500=Kanban!D$11)*(Calc!$Y$8:$Y$500&gt;0),Calc!$Y$8:$Y$500,99999),Kanban_Helper!$B85),Calc!$Y$8:$Y$500,0)))=0,"",CONCATENATE(Calc!$AD$6,INDEX(Calc!$J$8:$J$500,MATCH(SMALL(IF((Calc!$C$8:$C$500=Kanban!$C$7)*(Calc!$K$8:$K$500=Kanban!D$11)*(Calc!$Y$8:$Y$500&gt;0),Calc!$Y$8:$Y$500,99999),Kanban_Helper!$B85),Calc!$Y$8:$Y$500,0)))),IF(LEN(INDEX(Calc!$J$8:$J$500,MATCH(SMALL(IF((Calc!$K$8:$K$500=Kanban!D$11)*(Calc!$Y$8:$Y$500&gt;0),Calc!$Y$8:$Y$500,99999),Kanban_Helper!$B85),Calc!$Y$8:$Y$500,0)))=0,"",CONCATENATE(Calc!$AD$6,INDEX(Calc!$J$8:$J$500,MATCH(SMALL(IF((Calc!$K$8:$K$500=Kanban!D$11)*(Calc!$Y$8:$Y$500&gt;0),Calc!$Y$8:$Y$500,99999),Kanban_Helper!$B85),Calc!$Y$8:$Y$500,0)))))),"")</f>
        <v/>
      </c>
      <c r="E92" s="172" t="str">
        <f t="array" ref="E92">IFERROR(IF(LEN(E$11)=0,"",IF($C$7&lt;&gt;"All",IF(LEN(INDEX(Calc!$J$8:$J$500,MATCH(SMALL(IF((Calc!$C$8:$C$500=Kanban!$C$7)*(Calc!$K$8:$K$500=Kanban!E$11)*(Calc!$Y$8:$Y$500&gt;0),Calc!$Y$8:$Y$500,99999),Kanban_Helper!$B85),Calc!$Y$8:$Y$500,0)))=0,"",CONCATENATE(Calc!$AD$6,INDEX(Calc!$J$8:$J$500,MATCH(SMALL(IF((Calc!$C$8:$C$500=Kanban!$C$7)*(Calc!$K$8:$K$500=Kanban!E$11)*(Calc!$Y$8:$Y$500&gt;0),Calc!$Y$8:$Y$500,99999),Kanban_Helper!$B85),Calc!$Y$8:$Y$500,0)))),IF(LEN(INDEX(Calc!$J$8:$J$500,MATCH(SMALL(IF((Calc!$K$8:$K$500=Kanban!E$11)*(Calc!$Y$8:$Y$500&gt;0),Calc!$Y$8:$Y$500,99999),Kanban_Helper!$B85),Calc!$Y$8:$Y$500,0)))=0,"",CONCATENATE(Calc!$AD$6,INDEX(Calc!$J$8:$J$500,MATCH(SMALL(IF((Calc!$K$8:$K$500=Kanban!E$11)*(Calc!$Y$8:$Y$500&gt;0),Calc!$Y$8:$Y$500,99999),Kanban_Helper!$B85),Calc!$Y$8:$Y$500,0)))))),"")</f>
        <v/>
      </c>
      <c r="F92" s="172" t="str">
        <f t="array" ref="F92">IFERROR(IF(LEN(F$11)=0,"",IF($C$7&lt;&gt;"All",IF(LEN(INDEX(Calc!$J$8:$J$500,MATCH(SMALL(IF((Calc!$C$8:$C$500=Kanban!$C$7)*(Calc!$K$8:$K$500=Kanban!F$11)*(Calc!$Y$8:$Y$500&gt;0),Calc!$Y$8:$Y$500,99999),Kanban_Helper!$B85),Calc!$Y$8:$Y$500,0)))=0,"",CONCATENATE(Calc!$AD$6,INDEX(Calc!$J$8:$J$500,MATCH(SMALL(IF((Calc!$C$8:$C$500=Kanban!$C$7)*(Calc!$K$8:$K$500=Kanban!F$11)*(Calc!$Y$8:$Y$500&gt;0),Calc!$Y$8:$Y$500,99999),Kanban_Helper!$B85),Calc!$Y$8:$Y$500,0)))),IF(LEN(INDEX(Calc!$J$8:$J$500,MATCH(SMALL(IF((Calc!$K$8:$K$500=Kanban!F$11)*(Calc!$Y$8:$Y$500&gt;0),Calc!$Y$8:$Y$500,99999),Kanban_Helper!$B85),Calc!$Y$8:$Y$500,0)))=0,"",CONCATENATE(Calc!$AD$6,INDEX(Calc!$J$8:$J$500,MATCH(SMALL(IF((Calc!$K$8:$K$500=Kanban!F$11)*(Calc!$Y$8:$Y$500&gt;0),Calc!$Y$8:$Y$500,99999),Kanban_Helper!$B85),Calc!$Y$8:$Y$500,0)))))),"")</f>
        <v/>
      </c>
      <c r="G92" s="172" t="str">
        <f t="array" ref="G92">IFERROR(IF(LEN(G$11)=0,"",IF($C$7&lt;&gt;"All",IF(LEN(INDEX(Calc!$J$8:$J$500,MATCH(SMALL(IF((Calc!$C$8:$C$500=Kanban!$C$7)*(Calc!$K$8:$K$500=Kanban!G$11)*(Calc!$Y$8:$Y$500&gt;0),Calc!$Y$8:$Y$500,99999),Kanban_Helper!$B85),Calc!$Y$8:$Y$500,0)))=0,"",CONCATENATE(Calc!$AD$6,INDEX(Calc!$J$8:$J$500,MATCH(SMALL(IF((Calc!$C$8:$C$500=Kanban!$C$7)*(Calc!$K$8:$K$500=Kanban!G$11)*(Calc!$Y$8:$Y$500&gt;0),Calc!$Y$8:$Y$500,99999),Kanban_Helper!$B85),Calc!$Y$8:$Y$500,0)))),IF(LEN(INDEX(Calc!$J$8:$J$500,MATCH(SMALL(IF((Calc!$K$8:$K$500=Kanban!G$11)*(Calc!$Y$8:$Y$500&gt;0),Calc!$Y$8:$Y$500,99999),Kanban_Helper!$B85),Calc!$Y$8:$Y$500,0)))=0,"",CONCATENATE(Calc!$AD$6,INDEX(Calc!$J$8:$J$500,MATCH(SMALL(IF((Calc!$K$8:$K$500=Kanban!G$11)*(Calc!$Y$8:$Y$500&gt;0),Calc!$Y$8:$Y$500,99999),Kanban_Helper!$B85),Calc!$Y$8:$Y$500,0)))))),"")</f>
        <v/>
      </c>
      <c r="H92" s="172" t="str">
        <f t="array" ref="H92">IFERROR(IF(LEN(H$11)=0,"",IF($C$7&lt;&gt;"All",IF(LEN(INDEX(Calc!$J$8:$J$500,MATCH(SMALL(IF((Calc!$C$8:$C$500=Kanban!$C$7)*(Calc!$K$8:$K$500=Kanban!H$11)*(Calc!$Y$8:$Y$500&gt;0),Calc!$Y$8:$Y$500,99999),Kanban_Helper!$B85),Calc!$Y$8:$Y$500,0)))=0,"",CONCATENATE(Calc!$AD$6,INDEX(Calc!$J$8:$J$500,MATCH(SMALL(IF((Calc!$C$8:$C$500=Kanban!$C$7)*(Calc!$K$8:$K$500=Kanban!H$11)*(Calc!$Y$8:$Y$500&gt;0),Calc!$Y$8:$Y$500,99999),Kanban_Helper!$B85),Calc!$Y$8:$Y$500,0)))),IF(LEN(INDEX(Calc!$J$8:$J$500,MATCH(SMALL(IF((Calc!$K$8:$K$500=Kanban!H$11)*(Calc!$Y$8:$Y$500&gt;0),Calc!$Y$8:$Y$500,99999),Kanban_Helper!$B85),Calc!$Y$8:$Y$500,0)))=0,"",CONCATENATE(Calc!$AD$6,INDEX(Calc!$J$8:$J$500,MATCH(SMALL(IF((Calc!$K$8:$K$500=Kanban!H$11)*(Calc!$Y$8:$Y$500&gt;0),Calc!$Y$8:$Y$500,99999),Kanban_Helper!$B85),Calc!$Y$8:$Y$500,0)))))),"")</f>
        <v/>
      </c>
      <c r="I92" s="39"/>
    </row>
    <row r="93" spans="2:12" ht="15" thickTop="1" x14ac:dyDescent="0.35">
      <c r="B93" s="81"/>
      <c r="C93" s="170" t="str">
        <f t="array" ref="C93">IFERROR(IF(LEN(C$11)=0,"",IF($C$7&lt;&gt;"All",IF(INDEX(Calc!$V$8:$V$500,MATCH(INDEX(Calc!$D$8:$D$500,MATCH(SMALL(IF((Calc!$C$8:$C$500=Kanban!$C$7)*(Calc!$K$8:$K$500=Kanban!C$11)*(Calc!$Y$8:$Y$500&gt;0),Calc!$Y$8:$Y$500,99999),Kanban_Helper!$B86),Calc!$Y$8:$Y$500,0)),Calc!$D$8:$D$500,0))="Yes",CONCATENATE(INDEX(Calc!$D$8:$D$500,MATCH(SMALL(IF((Calc!$C$8:$C$500=Kanban!$C$7)*(Calc!$K$8:$K$500=Kanban!C$11)*(Calc!$Y$8:$Y$500&gt;0),Calc!$Y$8:$Y$500,99999),Kanban_Helper!$B86),Calc!$Y$8:$Y$500,0))," ",Calc!$V$7," ","!"),INDEX(Calc!$D$8:$D$500,MATCH(SMALL(IF((Calc!$C$8:$C$500=Kanban!$C$7)*(Calc!$K$8:$K$500=Kanban!C$11)*(Calc!$Y$8:$Y$500&gt;0),Calc!$Y$8:$Y$500,99999),Kanban_Helper!$B86),Calc!$Y$8:$Y$500,0))),IF(INDEX(Calc!$V$8:$V$500,MATCH(INDEX(Calc!$D$8:$D$500,MATCH(SMALL(IF((Calc!$K$8:$K$500=Kanban!C$11)*(Calc!$Y$8:$Y$500&gt;0),Calc!$Y$8:$Y$500,99999),Kanban_Helper!$B86),Calc!$Y$8:$Y$500,0)),Calc!$D$8:$D$500,0))="Yes",CONCATENATE(INDEX(Calc!$D$8:$D$500,MATCH(SMALL(IF((Calc!$K$8:$K$500=Kanban!C$11)*(Calc!$Y$8:$Y$500&gt;0),Calc!$Y$8:$Y$500,99999),Kanban_Helper!$B86),Calc!$Y$8:$Y$500,0))," ",Calc!$V$7," ","!"),INDEX(Calc!$D$8:$D$500,MATCH(SMALL(IF((Calc!$K$8:$K$500=Kanban!C$11)*(Calc!$Y$8:$Y$500&gt;0),Calc!$Y$8:$Y$500,99999),Kanban_Helper!$B86),Calc!$Y$8:$Y$500,0))))),"")</f>
        <v/>
      </c>
      <c r="D93" s="170" t="str">
        <f t="array" ref="D93">IFERROR(IF(LEN(D$11)=0,"",IF($C$7&lt;&gt;"All",IF(INDEX(Calc!$V$8:$V$500,MATCH(INDEX(Calc!$D$8:$D$500,MATCH(SMALL(IF((Calc!$C$8:$C$500=Kanban!$C$7)*(Calc!$K$8:$K$500=Kanban!D$11)*(Calc!$Y$8:$Y$500&gt;0),Calc!$Y$8:$Y$500,99999),Kanban_Helper!$B86),Calc!$Y$8:$Y$500,0)),Calc!$D$8:$D$500,0))="Yes",CONCATENATE(INDEX(Calc!$D$8:$D$500,MATCH(SMALL(IF((Calc!$C$8:$C$500=Kanban!$C$7)*(Calc!$K$8:$K$500=Kanban!D$11)*(Calc!$Y$8:$Y$500&gt;0),Calc!$Y$8:$Y$500,99999),Kanban_Helper!$B86),Calc!$Y$8:$Y$500,0))," ",Calc!$V$7," ","!"),INDEX(Calc!$D$8:$D$500,MATCH(SMALL(IF((Calc!$C$8:$C$500=Kanban!$C$7)*(Calc!$K$8:$K$500=Kanban!D$11)*(Calc!$Y$8:$Y$500&gt;0),Calc!$Y$8:$Y$500,99999),Kanban_Helper!$B86),Calc!$Y$8:$Y$500,0))),IF(INDEX(Calc!$V$8:$V$500,MATCH(INDEX(Calc!$D$8:$D$500,MATCH(SMALL(IF((Calc!$K$8:$K$500=Kanban!D$11)*(Calc!$Y$8:$Y$500&gt;0),Calc!$Y$8:$Y$500,99999),Kanban_Helper!$B86),Calc!$Y$8:$Y$500,0)),Calc!$D$8:$D$500,0))="Yes",CONCATENATE(INDEX(Calc!$D$8:$D$500,MATCH(SMALL(IF((Calc!$K$8:$K$500=Kanban!D$11)*(Calc!$Y$8:$Y$500&gt;0),Calc!$Y$8:$Y$500,99999),Kanban_Helper!$B86),Calc!$Y$8:$Y$500,0))," ",Calc!$V$7," ","!"),INDEX(Calc!$D$8:$D$500,MATCH(SMALL(IF((Calc!$K$8:$K$500=Kanban!D$11)*(Calc!$Y$8:$Y$500&gt;0),Calc!$Y$8:$Y$500,99999),Kanban_Helper!$B86),Calc!$Y$8:$Y$500,0))))),"")</f>
        <v/>
      </c>
      <c r="E93" s="170" t="str">
        <f t="array" ref="E93">IFERROR(IF(LEN(E$11)=0,"",IF($C$7&lt;&gt;"All",IF(INDEX(Calc!$V$8:$V$500,MATCH(INDEX(Calc!$D$8:$D$500,MATCH(SMALL(IF((Calc!$C$8:$C$500=Kanban!$C$7)*(Calc!$K$8:$K$500=Kanban!E$11)*(Calc!$Y$8:$Y$500&gt;0),Calc!$Y$8:$Y$500,99999),Kanban_Helper!$B86),Calc!$Y$8:$Y$500,0)),Calc!$D$8:$D$500,0))="Yes",CONCATENATE(INDEX(Calc!$D$8:$D$500,MATCH(SMALL(IF((Calc!$C$8:$C$500=Kanban!$C$7)*(Calc!$K$8:$K$500=Kanban!E$11)*(Calc!$Y$8:$Y$500&gt;0),Calc!$Y$8:$Y$500,99999),Kanban_Helper!$B86),Calc!$Y$8:$Y$500,0))," ",Calc!$V$7," ","!"),INDEX(Calc!$D$8:$D$500,MATCH(SMALL(IF((Calc!$C$8:$C$500=Kanban!$C$7)*(Calc!$K$8:$K$500=Kanban!E$11)*(Calc!$Y$8:$Y$500&gt;0),Calc!$Y$8:$Y$500,99999),Kanban_Helper!$B86),Calc!$Y$8:$Y$500,0))),IF(INDEX(Calc!$V$8:$V$500,MATCH(INDEX(Calc!$D$8:$D$500,MATCH(SMALL(IF((Calc!$K$8:$K$500=Kanban!E$11)*(Calc!$Y$8:$Y$500&gt;0),Calc!$Y$8:$Y$500,99999),Kanban_Helper!$B86),Calc!$Y$8:$Y$500,0)),Calc!$D$8:$D$500,0))="Yes",CONCATENATE(INDEX(Calc!$D$8:$D$500,MATCH(SMALL(IF((Calc!$K$8:$K$500=Kanban!E$11)*(Calc!$Y$8:$Y$500&gt;0),Calc!$Y$8:$Y$500,99999),Kanban_Helper!$B86),Calc!$Y$8:$Y$500,0))," ",Calc!$V$7," ","!"),INDEX(Calc!$D$8:$D$500,MATCH(SMALL(IF((Calc!$K$8:$K$500=Kanban!E$11)*(Calc!$Y$8:$Y$500&gt;0),Calc!$Y$8:$Y$500,99999),Kanban_Helper!$B86),Calc!$Y$8:$Y$500,0))))),"")</f>
        <v/>
      </c>
      <c r="F93" s="170" t="str">
        <f t="array" ref="F93">IFERROR(IF(LEN(F$11)=0,"",IF($C$7&lt;&gt;"All",IF(INDEX(Calc!$V$8:$V$500,MATCH(INDEX(Calc!$D$8:$D$500,MATCH(SMALL(IF((Calc!$C$8:$C$500=Kanban!$C$7)*(Calc!$K$8:$K$500=Kanban!F$11)*(Calc!$Y$8:$Y$500&gt;0),Calc!$Y$8:$Y$500,99999),Kanban_Helper!$B86),Calc!$Y$8:$Y$500,0)),Calc!$D$8:$D$500,0))="Yes",CONCATENATE(INDEX(Calc!$D$8:$D$500,MATCH(SMALL(IF((Calc!$C$8:$C$500=Kanban!$C$7)*(Calc!$K$8:$K$500=Kanban!F$11)*(Calc!$Y$8:$Y$500&gt;0),Calc!$Y$8:$Y$500,99999),Kanban_Helper!$B86),Calc!$Y$8:$Y$500,0))," ",Calc!$V$7," ","!"),INDEX(Calc!$D$8:$D$500,MATCH(SMALL(IF((Calc!$C$8:$C$500=Kanban!$C$7)*(Calc!$K$8:$K$500=Kanban!F$11)*(Calc!$Y$8:$Y$500&gt;0),Calc!$Y$8:$Y$500,99999),Kanban_Helper!$B86),Calc!$Y$8:$Y$500,0))),IF(INDEX(Calc!$V$8:$V$500,MATCH(INDEX(Calc!$D$8:$D$500,MATCH(SMALL(IF((Calc!$K$8:$K$500=Kanban!F$11)*(Calc!$Y$8:$Y$500&gt;0),Calc!$Y$8:$Y$500,99999),Kanban_Helper!$B86),Calc!$Y$8:$Y$500,0)),Calc!$D$8:$D$500,0))="Yes",CONCATENATE(INDEX(Calc!$D$8:$D$500,MATCH(SMALL(IF((Calc!$K$8:$K$500=Kanban!F$11)*(Calc!$Y$8:$Y$500&gt;0),Calc!$Y$8:$Y$500,99999),Kanban_Helper!$B86),Calc!$Y$8:$Y$500,0))," ",Calc!$V$7," ","!"),INDEX(Calc!$D$8:$D$500,MATCH(SMALL(IF((Calc!$K$8:$K$500=Kanban!F$11)*(Calc!$Y$8:$Y$500&gt;0),Calc!$Y$8:$Y$500,99999),Kanban_Helper!$B86),Calc!$Y$8:$Y$500,0))))),"")</f>
        <v/>
      </c>
      <c r="G93" s="170" t="str">
        <f t="array" ref="G93">IFERROR(IF(LEN(G$11)=0,"",IF($C$7&lt;&gt;"All",IF(INDEX(Calc!$V$8:$V$500,MATCH(INDEX(Calc!$D$8:$D$500,MATCH(SMALL(IF((Calc!$C$8:$C$500=Kanban!$C$7)*(Calc!$K$8:$K$500=Kanban!G$11)*(Calc!$Y$8:$Y$500&gt;0),Calc!$Y$8:$Y$500,99999),Kanban_Helper!$B86),Calc!$Y$8:$Y$500,0)),Calc!$D$8:$D$500,0))="Yes",CONCATENATE(INDEX(Calc!$D$8:$D$500,MATCH(SMALL(IF((Calc!$C$8:$C$500=Kanban!$C$7)*(Calc!$K$8:$K$500=Kanban!G$11)*(Calc!$Y$8:$Y$500&gt;0),Calc!$Y$8:$Y$500,99999),Kanban_Helper!$B86),Calc!$Y$8:$Y$500,0))," ",Calc!$V$7," ","!"),INDEX(Calc!$D$8:$D$500,MATCH(SMALL(IF((Calc!$C$8:$C$500=Kanban!$C$7)*(Calc!$K$8:$K$500=Kanban!G$11)*(Calc!$Y$8:$Y$500&gt;0),Calc!$Y$8:$Y$500,99999),Kanban_Helper!$B86),Calc!$Y$8:$Y$500,0))),IF(INDEX(Calc!$V$8:$V$500,MATCH(INDEX(Calc!$D$8:$D$500,MATCH(SMALL(IF((Calc!$K$8:$K$500=Kanban!G$11)*(Calc!$Y$8:$Y$500&gt;0),Calc!$Y$8:$Y$500,99999),Kanban_Helper!$B86),Calc!$Y$8:$Y$500,0)),Calc!$D$8:$D$500,0))="Yes",CONCATENATE(INDEX(Calc!$D$8:$D$500,MATCH(SMALL(IF((Calc!$K$8:$K$500=Kanban!G$11)*(Calc!$Y$8:$Y$500&gt;0),Calc!$Y$8:$Y$500,99999),Kanban_Helper!$B86),Calc!$Y$8:$Y$500,0))," ",Calc!$V$7," ","!"),INDEX(Calc!$D$8:$D$500,MATCH(SMALL(IF((Calc!$K$8:$K$500=Kanban!G$11)*(Calc!$Y$8:$Y$500&gt;0),Calc!$Y$8:$Y$500,99999),Kanban_Helper!$B86),Calc!$Y$8:$Y$500,0))))),"")</f>
        <v/>
      </c>
      <c r="H93" s="170" t="str">
        <f t="array" ref="H93">IFERROR(IF(LEN(H$11)=0,"",IF($C$7&lt;&gt;"All",IF(INDEX(Calc!$V$8:$V$500,MATCH(INDEX(Calc!$D$8:$D$500,MATCH(SMALL(IF((Calc!$C$8:$C$500=Kanban!$C$7)*(Calc!$K$8:$K$500=Kanban!H$11)*(Calc!$Y$8:$Y$500&gt;0),Calc!$Y$8:$Y$500,99999),Kanban_Helper!$B86),Calc!$Y$8:$Y$500,0)),Calc!$D$8:$D$500,0))="Yes",CONCATENATE(INDEX(Calc!$D$8:$D$500,MATCH(SMALL(IF((Calc!$C$8:$C$500=Kanban!$C$7)*(Calc!$K$8:$K$500=Kanban!H$11)*(Calc!$Y$8:$Y$500&gt;0),Calc!$Y$8:$Y$500,99999),Kanban_Helper!$B86),Calc!$Y$8:$Y$500,0))," ",Calc!$V$7," ","!"),INDEX(Calc!$D$8:$D$500,MATCH(SMALL(IF((Calc!$C$8:$C$500=Kanban!$C$7)*(Calc!$K$8:$K$500=Kanban!H$11)*(Calc!$Y$8:$Y$500&gt;0),Calc!$Y$8:$Y$500,99999),Kanban_Helper!$B86),Calc!$Y$8:$Y$500,0))),IF(INDEX(Calc!$V$8:$V$500,MATCH(INDEX(Calc!$D$8:$D$500,MATCH(SMALL(IF((Calc!$K$8:$K$500=Kanban!H$11)*(Calc!$Y$8:$Y$500&gt;0),Calc!$Y$8:$Y$500,99999),Kanban_Helper!$B86),Calc!$Y$8:$Y$500,0)),Calc!$D$8:$D$500,0))="Yes",CONCATENATE(INDEX(Calc!$D$8:$D$500,MATCH(SMALL(IF((Calc!$K$8:$K$500=Kanban!H$11)*(Calc!$Y$8:$Y$500&gt;0),Calc!$Y$8:$Y$500,99999),Kanban_Helper!$B86),Calc!$Y$8:$Y$500,0))," ",Calc!$V$7," ","!"),INDEX(Calc!$D$8:$D$500,MATCH(SMALL(IF((Calc!$K$8:$K$500=Kanban!H$11)*(Calc!$Y$8:$Y$500&gt;0),Calc!$Y$8:$Y$500,99999),Kanban_Helper!$B86),Calc!$Y$8:$Y$500,0))))),"")</f>
        <v/>
      </c>
      <c r="I93" s="39"/>
    </row>
    <row r="94" spans="2:12" x14ac:dyDescent="0.35">
      <c r="B94" s="81"/>
      <c r="C94" s="171" t="str">
        <f t="array" ref="C94">IFERROR(IF(LEN(C$11)=0,"",IF($C$7&lt;&gt;"All",INDEX(Calc!$E$8:$E$500,MATCH(SMALL(IF((Calc!$C$8:$C$500=Kanban!$C$7)*(Calc!$K$8:$K$500=Kanban!C$11)*(Calc!$Y$8:$Y$500&gt;0),Calc!$Y$8:$Y$500,99999),Kanban_Helper!$B87),Calc!$Y$8:$Y$500,0)),INDEX(Calc!$E$8:$E$500,MATCH(SMALL(IF((Calc!$K$8:$K$500=Kanban!C$11)*(Calc!$Y$8:$Y$500&gt;0),Calc!$Y$8:$Y$500,99999),Kanban_Helper!$B87),Calc!$Y$8:$Y$500,0)))),"")</f>
        <v/>
      </c>
      <c r="D94" s="171" t="str">
        <f t="array" ref="D94">IFERROR(IF(LEN(D$11)=0,"",IF($C$7&lt;&gt;"All",INDEX(Calc!$E$8:$E$500,MATCH(SMALL(IF((Calc!$C$8:$C$500=Kanban!$C$7)*(Calc!$K$8:$K$500=Kanban!D$11)*(Calc!$Y$8:$Y$500&gt;0),Calc!$Y$8:$Y$500,99999),Kanban_Helper!$B87),Calc!$Y$8:$Y$500,0)),INDEX(Calc!$E$8:$E$500,MATCH(SMALL(IF((Calc!$K$8:$K$500=Kanban!D$11)*(Calc!$Y$8:$Y$500&gt;0),Calc!$Y$8:$Y$500,99999),Kanban_Helper!$B87),Calc!$Y$8:$Y$500,0)))),"")</f>
        <v/>
      </c>
      <c r="E94" s="171" t="str">
        <f t="array" ref="E94">IFERROR(IF(LEN(E$11)=0,"",IF($C$7&lt;&gt;"All",INDEX(Calc!$E$8:$E$500,MATCH(SMALL(IF((Calc!$C$8:$C$500=Kanban!$C$7)*(Calc!$K$8:$K$500=Kanban!E$11)*(Calc!$Y$8:$Y$500&gt;0),Calc!$Y$8:$Y$500,99999),Kanban_Helper!$B87),Calc!$Y$8:$Y$500,0)),INDEX(Calc!$E$8:$E$500,MATCH(SMALL(IF((Calc!$K$8:$K$500=Kanban!E$11)*(Calc!$Y$8:$Y$500&gt;0),Calc!$Y$8:$Y$500,99999),Kanban_Helper!$B87),Calc!$Y$8:$Y$500,0)))),"")</f>
        <v/>
      </c>
      <c r="F94" s="171" t="str">
        <f t="array" ref="F94">IFERROR(IF(LEN(F$11)=0,"",IF($C$7&lt;&gt;"All",INDEX(Calc!$E$8:$E$500,MATCH(SMALL(IF((Calc!$C$8:$C$500=Kanban!$C$7)*(Calc!$K$8:$K$500=Kanban!F$11)*(Calc!$Y$8:$Y$500&gt;0),Calc!$Y$8:$Y$500,99999),Kanban_Helper!$B87),Calc!$Y$8:$Y$500,0)),INDEX(Calc!$E$8:$E$500,MATCH(SMALL(IF((Calc!$K$8:$K$500=Kanban!F$11)*(Calc!$Y$8:$Y$500&gt;0),Calc!$Y$8:$Y$500,99999),Kanban_Helper!$B87),Calc!$Y$8:$Y$500,0)))),"")</f>
        <v/>
      </c>
      <c r="G94" s="171" t="str">
        <f t="array" ref="G94">IFERROR(IF(LEN(G$11)=0,"",IF($C$7&lt;&gt;"All",INDEX(Calc!$E$8:$E$500,MATCH(SMALL(IF((Calc!$C$8:$C$500=Kanban!$C$7)*(Calc!$K$8:$K$500=Kanban!G$11)*(Calc!$Y$8:$Y$500&gt;0),Calc!$Y$8:$Y$500,99999),Kanban_Helper!$B87),Calc!$Y$8:$Y$500,0)),INDEX(Calc!$E$8:$E$500,MATCH(SMALL(IF((Calc!$K$8:$K$500=Kanban!G$11)*(Calc!$Y$8:$Y$500&gt;0),Calc!$Y$8:$Y$500,99999),Kanban_Helper!$B87),Calc!$Y$8:$Y$500,0)))),"")</f>
        <v/>
      </c>
      <c r="H94" s="171" t="str">
        <f t="array" ref="H94">IFERROR(IF(LEN(H$11)=0,"",IF($C$7&lt;&gt;"All",INDEX(Calc!$E$8:$E$500,MATCH(SMALL(IF((Calc!$C$8:$C$500=Kanban!$C$7)*(Calc!$K$8:$K$500=Kanban!H$11)*(Calc!$Y$8:$Y$500&gt;0),Calc!$Y$8:$Y$500,99999),Kanban_Helper!$B87),Calc!$Y$8:$Y$500,0)),INDEX(Calc!$E$8:$E$500,MATCH(SMALL(IF((Calc!$K$8:$K$500=Kanban!H$11)*(Calc!$Y$8:$Y$500&gt;0),Calc!$Y$8:$Y$500,99999),Kanban_Helper!$B87),Calc!$Y$8:$Y$500,0)))),"")</f>
        <v/>
      </c>
      <c r="I94" s="39"/>
    </row>
    <row r="95" spans="2:12" ht="15" thickBot="1" x14ac:dyDescent="0.4">
      <c r="B95" s="81"/>
      <c r="C95" s="172" t="str">
        <f t="array" ref="C95">IFERROR(IF(LEN(C$11)=0,"",IF($C$7&lt;&gt;"All",IF(LEN(INDEX(Calc!$J$8:$J$500,MATCH(SMALL(IF((Calc!$C$8:$C$500=Kanban!$C$7)*(Calc!$K$8:$K$500=Kanban!C$11)*(Calc!$Y$8:$Y$500&gt;0),Calc!$Y$8:$Y$500,99999),Kanban_Helper!$B88),Calc!$Y$8:$Y$500,0)))=0,"",CONCATENATE(Calc!$AD$6,INDEX(Calc!$J$8:$J$500,MATCH(SMALL(IF((Calc!$C$8:$C$500=Kanban!$C$7)*(Calc!$K$8:$K$500=Kanban!C$11)*(Calc!$Y$8:$Y$500&gt;0),Calc!$Y$8:$Y$500,99999),Kanban_Helper!$B88),Calc!$Y$8:$Y$500,0)))),IF(LEN(INDEX(Calc!$J$8:$J$500,MATCH(SMALL(IF((Calc!$K$8:$K$500=Kanban!C$11)*(Calc!$Y$8:$Y$500&gt;0),Calc!$Y$8:$Y$500,99999),Kanban_Helper!$B88),Calc!$Y$8:$Y$500,0)))=0,"",CONCATENATE(Calc!$AD$6,INDEX(Calc!$J$8:$J$500,MATCH(SMALL(IF((Calc!$K$8:$K$500=Kanban!C$11)*(Calc!$Y$8:$Y$500&gt;0),Calc!$Y$8:$Y$500,99999),Kanban_Helper!$B88),Calc!$Y$8:$Y$500,0)))))),"")</f>
        <v/>
      </c>
      <c r="D95" s="172" t="str">
        <f t="array" ref="D95">IFERROR(IF(LEN(D$11)=0,"",IF($C$7&lt;&gt;"All",IF(LEN(INDEX(Calc!$J$8:$J$500,MATCH(SMALL(IF((Calc!$C$8:$C$500=Kanban!$C$7)*(Calc!$K$8:$K$500=Kanban!D$11)*(Calc!$Y$8:$Y$500&gt;0),Calc!$Y$8:$Y$500,99999),Kanban_Helper!$B88),Calc!$Y$8:$Y$500,0)))=0,"",CONCATENATE(Calc!$AD$6,INDEX(Calc!$J$8:$J$500,MATCH(SMALL(IF((Calc!$C$8:$C$500=Kanban!$C$7)*(Calc!$K$8:$K$500=Kanban!D$11)*(Calc!$Y$8:$Y$500&gt;0),Calc!$Y$8:$Y$500,99999),Kanban_Helper!$B88),Calc!$Y$8:$Y$500,0)))),IF(LEN(INDEX(Calc!$J$8:$J$500,MATCH(SMALL(IF((Calc!$K$8:$K$500=Kanban!D$11)*(Calc!$Y$8:$Y$500&gt;0),Calc!$Y$8:$Y$500,99999),Kanban_Helper!$B88),Calc!$Y$8:$Y$500,0)))=0,"",CONCATENATE(Calc!$AD$6,INDEX(Calc!$J$8:$J$500,MATCH(SMALL(IF((Calc!$K$8:$K$500=Kanban!D$11)*(Calc!$Y$8:$Y$500&gt;0),Calc!$Y$8:$Y$500,99999),Kanban_Helper!$B88),Calc!$Y$8:$Y$500,0)))))),"")</f>
        <v/>
      </c>
      <c r="E95" s="172" t="str">
        <f t="array" ref="E95">IFERROR(IF(LEN(E$11)=0,"",IF($C$7&lt;&gt;"All",IF(LEN(INDEX(Calc!$J$8:$J$500,MATCH(SMALL(IF((Calc!$C$8:$C$500=Kanban!$C$7)*(Calc!$K$8:$K$500=Kanban!E$11)*(Calc!$Y$8:$Y$500&gt;0),Calc!$Y$8:$Y$500,99999),Kanban_Helper!$B88),Calc!$Y$8:$Y$500,0)))=0,"",CONCATENATE(Calc!$AD$6,INDEX(Calc!$J$8:$J$500,MATCH(SMALL(IF((Calc!$C$8:$C$500=Kanban!$C$7)*(Calc!$K$8:$K$500=Kanban!E$11)*(Calc!$Y$8:$Y$500&gt;0),Calc!$Y$8:$Y$500,99999),Kanban_Helper!$B88),Calc!$Y$8:$Y$500,0)))),IF(LEN(INDEX(Calc!$J$8:$J$500,MATCH(SMALL(IF((Calc!$K$8:$K$500=Kanban!E$11)*(Calc!$Y$8:$Y$500&gt;0),Calc!$Y$8:$Y$500,99999),Kanban_Helper!$B88),Calc!$Y$8:$Y$500,0)))=0,"",CONCATENATE(Calc!$AD$6,INDEX(Calc!$J$8:$J$500,MATCH(SMALL(IF((Calc!$K$8:$K$500=Kanban!E$11)*(Calc!$Y$8:$Y$500&gt;0),Calc!$Y$8:$Y$500,99999),Kanban_Helper!$B88),Calc!$Y$8:$Y$500,0)))))),"")</f>
        <v/>
      </c>
      <c r="F95" s="172" t="str">
        <f t="array" ref="F95">IFERROR(IF(LEN(F$11)=0,"",IF($C$7&lt;&gt;"All",IF(LEN(INDEX(Calc!$J$8:$J$500,MATCH(SMALL(IF((Calc!$C$8:$C$500=Kanban!$C$7)*(Calc!$K$8:$K$500=Kanban!F$11)*(Calc!$Y$8:$Y$500&gt;0),Calc!$Y$8:$Y$500,99999),Kanban_Helper!$B88),Calc!$Y$8:$Y$500,0)))=0,"",CONCATENATE(Calc!$AD$6,INDEX(Calc!$J$8:$J$500,MATCH(SMALL(IF((Calc!$C$8:$C$500=Kanban!$C$7)*(Calc!$K$8:$K$500=Kanban!F$11)*(Calc!$Y$8:$Y$500&gt;0),Calc!$Y$8:$Y$500,99999),Kanban_Helper!$B88),Calc!$Y$8:$Y$500,0)))),IF(LEN(INDEX(Calc!$J$8:$J$500,MATCH(SMALL(IF((Calc!$K$8:$K$500=Kanban!F$11)*(Calc!$Y$8:$Y$500&gt;0),Calc!$Y$8:$Y$500,99999),Kanban_Helper!$B88),Calc!$Y$8:$Y$500,0)))=0,"",CONCATENATE(Calc!$AD$6,INDEX(Calc!$J$8:$J$500,MATCH(SMALL(IF((Calc!$K$8:$K$500=Kanban!F$11)*(Calc!$Y$8:$Y$500&gt;0),Calc!$Y$8:$Y$500,99999),Kanban_Helper!$B88),Calc!$Y$8:$Y$500,0)))))),"")</f>
        <v/>
      </c>
      <c r="G95" s="172" t="str">
        <f t="array" ref="G95">IFERROR(IF(LEN(G$11)=0,"",IF($C$7&lt;&gt;"All",IF(LEN(INDEX(Calc!$J$8:$J$500,MATCH(SMALL(IF((Calc!$C$8:$C$500=Kanban!$C$7)*(Calc!$K$8:$K$500=Kanban!G$11)*(Calc!$Y$8:$Y$500&gt;0),Calc!$Y$8:$Y$500,99999),Kanban_Helper!$B88),Calc!$Y$8:$Y$500,0)))=0,"",CONCATENATE(Calc!$AD$6,INDEX(Calc!$J$8:$J$500,MATCH(SMALL(IF((Calc!$C$8:$C$500=Kanban!$C$7)*(Calc!$K$8:$K$500=Kanban!G$11)*(Calc!$Y$8:$Y$500&gt;0),Calc!$Y$8:$Y$500,99999),Kanban_Helper!$B88),Calc!$Y$8:$Y$500,0)))),IF(LEN(INDEX(Calc!$J$8:$J$500,MATCH(SMALL(IF((Calc!$K$8:$K$500=Kanban!G$11)*(Calc!$Y$8:$Y$500&gt;0),Calc!$Y$8:$Y$500,99999),Kanban_Helper!$B88),Calc!$Y$8:$Y$500,0)))=0,"",CONCATENATE(Calc!$AD$6,INDEX(Calc!$J$8:$J$500,MATCH(SMALL(IF((Calc!$K$8:$K$500=Kanban!G$11)*(Calc!$Y$8:$Y$500&gt;0),Calc!$Y$8:$Y$500,99999),Kanban_Helper!$B88),Calc!$Y$8:$Y$500,0)))))),"")</f>
        <v/>
      </c>
      <c r="H95" s="172" t="str">
        <f t="array" ref="H95">IFERROR(IF(LEN(H$11)=0,"",IF($C$7&lt;&gt;"All",IF(LEN(INDEX(Calc!$J$8:$J$500,MATCH(SMALL(IF((Calc!$C$8:$C$500=Kanban!$C$7)*(Calc!$K$8:$K$500=Kanban!H$11)*(Calc!$Y$8:$Y$500&gt;0),Calc!$Y$8:$Y$500,99999),Kanban_Helper!$B88),Calc!$Y$8:$Y$500,0)))=0,"",CONCATENATE(Calc!$AD$6,INDEX(Calc!$J$8:$J$500,MATCH(SMALL(IF((Calc!$C$8:$C$500=Kanban!$C$7)*(Calc!$K$8:$K$500=Kanban!H$11)*(Calc!$Y$8:$Y$500&gt;0),Calc!$Y$8:$Y$500,99999),Kanban_Helper!$B88),Calc!$Y$8:$Y$500,0)))),IF(LEN(INDEX(Calc!$J$8:$J$500,MATCH(SMALL(IF((Calc!$K$8:$K$500=Kanban!H$11)*(Calc!$Y$8:$Y$500&gt;0),Calc!$Y$8:$Y$500,99999),Kanban_Helper!$B88),Calc!$Y$8:$Y$500,0)))=0,"",CONCATENATE(Calc!$AD$6,INDEX(Calc!$J$8:$J$500,MATCH(SMALL(IF((Calc!$K$8:$K$500=Kanban!H$11)*(Calc!$Y$8:$Y$500&gt;0),Calc!$Y$8:$Y$500,99999),Kanban_Helper!$B88),Calc!$Y$8:$Y$500,0)))))),"")</f>
        <v/>
      </c>
      <c r="I95" s="39"/>
    </row>
    <row r="96" spans="2:12" ht="15" thickTop="1" x14ac:dyDescent="0.35">
      <c r="B96" s="81"/>
      <c r="C96" s="170" t="str">
        <f t="array" ref="C96">IFERROR(IF(LEN(C$11)=0,"",IF($C$7&lt;&gt;"All",IF(INDEX(Calc!$V$8:$V$500,MATCH(INDEX(Calc!$D$8:$D$500,MATCH(SMALL(IF((Calc!$C$8:$C$500=Kanban!$C$7)*(Calc!$K$8:$K$500=Kanban!C$11)*(Calc!$Y$8:$Y$500&gt;0),Calc!$Y$8:$Y$500,99999),Kanban_Helper!$B89),Calc!$Y$8:$Y$500,0)),Calc!$D$8:$D$500,0))="Yes",CONCATENATE(INDEX(Calc!$D$8:$D$500,MATCH(SMALL(IF((Calc!$C$8:$C$500=Kanban!$C$7)*(Calc!$K$8:$K$500=Kanban!C$11)*(Calc!$Y$8:$Y$500&gt;0),Calc!$Y$8:$Y$500,99999),Kanban_Helper!$B89),Calc!$Y$8:$Y$500,0))," ",Calc!$V$7," ","!"),INDEX(Calc!$D$8:$D$500,MATCH(SMALL(IF((Calc!$C$8:$C$500=Kanban!$C$7)*(Calc!$K$8:$K$500=Kanban!C$11)*(Calc!$Y$8:$Y$500&gt;0),Calc!$Y$8:$Y$500,99999),Kanban_Helper!$B89),Calc!$Y$8:$Y$500,0))),IF(INDEX(Calc!$V$8:$V$500,MATCH(INDEX(Calc!$D$8:$D$500,MATCH(SMALL(IF((Calc!$K$8:$K$500=Kanban!C$11)*(Calc!$Y$8:$Y$500&gt;0),Calc!$Y$8:$Y$500,99999),Kanban_Helper!$B89),Calc!$Y$8:$Y$500,0)),Calc!$D$8:$D$500,0))="Yes",CONCATENATE(INDEX(Calc!$D$8:$D$500,MATCH(SMALL(IF((Calc!$K$8:$K$500=Kanban!C$11)*(Calc!$Y$8:$Y$500&gt;0),Calc!$Y$8:$Y$500,99999),Kanban_Helper!$B89),Calc!$Y$8:$Y$500,0))," ",Calc!$V$7," ","!"),INDEX(Calc!$D$8:$D$500,MATCH(SMALL(IF((Calc!$K$8:$K$500=Kanban!C$11)*(Calc!$Y$8:$Y$500&gt;0),Calc!$Y$8:$Y$500,99999),Kanban_Helper!$B89),Calc!$Y$8:$Y$500,0))))),"")</f>
        <v/>
      </c>
      <c r="D96" s="170" t="str">
        <f t="array" ref="D96">IFERROR(IF(LEN(D$11)=0,"",IF($C$7&lt;&gt;"All",IF(INDEX(Calc!$V$8:$V$500,MATCH(INDEX(Calc!$D$8:$D$500,MATCH(SMALL(IF((Calc!$C$8:$C$500=Kanban!$C$7)*(Calc!$K$8:$K$500=Kanban!D$11)*(Calc!$Y$8:$Y$500&gt;0),Calc!$Y$8:$Y$500,99999),Kanban_Helper!$B89),Calc!$Y$8:$Y$500,0)),Calc!$D$8:$D$500,0))="Yes",CONCATENATE(INDEX(Calc!$D$8:$D$500,MATCH(SMALL(IF((Calc!$C$8:$C$500=Kanban!$C$7)*(Calc!$K$8:$K$500=Kanban!D$11)*(Calc!$Y$8:$Y$500&gt;0),Calc!$Y$8:$Y$500,99999),Kanban_Helper!$B89),Calc!$Y$8:$Y$500,0))," ",Calc!$V$7," ","!"),INDEX(Calc!$D$8:$D$500,MATCH(SMALL(IF((Calc!$C$8:$C$500=Kanban!$C$7)*(Calc!$K$8:$K$500=Kanban!D$11)*(Calc!$Y$8:$Y$500&gt;0),Calc!$Y$8:$Y$500,99999),Kanban_Helper!$B89),Calc!$Y$8:$Y$500,0))),IF(INDEX(Calc!$V$8:$V$500,MATCH(INDEX(Calc!$D$8:$D$500,MATCH(SMALL(IF((Calc!$K$8:$K$500=Kanban!D$11)*(Calc!$Y$8:$Y$500&gt;0),Calc!$Y$8:$Y$500,99999),Kanban_Helper!$B89),Calc!$Y$8:$Y$500,0)),Calc!$D$8:$D$500,0))="Yes",CONCATENATE(INDEX(Calc!$D$8:$D$500,MATCH(SMALL(IF((Calc!$K$8:$K$500=Kanban!D$11)*(Calc!$Y$8:$Y$500&gt;0),Calc!$Y$8:$Y$500,99999),Kanban_Helper!$B89),Calc!$Y$8:$Y$500,0))," ",Calc!$V$7," ","!"),INDEX(Calc!$D$8:$D$500,MATCH(SMALL(IF((Calc!$K$8:$K$500=Kanban!D$11)*(Calc!$Y$8:$Y$500&gt;0),Calc!$Y$8:$Y$500,99999),Kanban_Helper!$B89),Calc!$Y$8:$Y$500,0))))),"")</f>
        <v/>
      </c>
      <c r="E96" s="170" t="str">
        <f t="array" ref="E96">IFERROR(IF(LEN(E$11)=0,"",IF($C$7&lt;&gt;"All",IF(INDEX(Calc!$V$8:$V$500,MATCH(INDEX(Calc!$D$8:$D$500,MATCH(SMALL(IF((Calc!$C$8:$C$500=Kanban!$C$7)*(Calc!$K$8:$K$500=Kanban!E$11)*(Calc!$Y$8:$Y$500&gt;0),Calc!$Y$8:$Y$500,99999),Kanban_Helper!$B89),Calc!$Y$8:$Y$500,0)),Calc!$D$8:$D$500,0))="Yes",CONCATENATE(INDEX(Calc!$D$8:$D$500,MATCH(SMALL(IF((Calc!$C$8:$C$500=Kanban!$C$7)*(Calc!$K$8:$K$500=Kanban!E$11)*(Calc!$Y$8:$Y$500&gt;0),Calc!$Y$8:$Y$500,99999),Kanban_Helper!$B89),Calc!$Y$8:$Y$500,0))," ",Calc!$V$7," ","!"),INDEX(Calc!$D$8:$D$500,MATCH(SMALL(IF((Calc!$C$8:$C$500=Kanban!$C$7)*(Calc!$K$8:$K$500=Kanban!E$11)*(Calc!$Y$8:$Y$500&gt;0),Calc!$Y$8:$Y$500,99999),Kanban_Helper!$B89),Calc!$Y$8:$Y$500,0))),IF(INDEX(Calc!$V$8:$V$500,MATCH(INDEX(Calc!$D$8:$D$500,MATCH(SMALL(IF((Calc!$K$8:$K$500=Kanban!E$11)*(Calc!$Y$8:$Y$500&gt;0),Calc!$Y$8:$Y$500,99999),Kanban_Helper!$B89),Calc!$Y$8:$Y$500,0)),Calc!$D$8:$D$500,0))="Yes",CONCATENATE(INDEX(Calc!$D$8:$D$500,MATCH(SMALL(IF((Calc!$K$8:$K$500=Kanban!E$11)*(Calc!$Y$8:$Y$500&gt;0),Calc!$Y$8:$Y$500,99999),Kanban_Helper!$B89),Calc!$Y$8:$Y$500,0))," ",Calc!$V$7," ","!"),INDEX(Calc!$D$8:$D$500,MATCH(SMALL(IF((Calc!$K$8:$K$500=Kanban!E$11)*(Calc!$Y$8:$Y$500&gt;0),Calc!$Y$8:$Y$500,99999),Kanban_Helper!$B89),Calc!$Y$8:$Y$500,0))))),"")</f>
        <v/>
      </c>
      <c r="F96" s="170" t="str">
        <f t="array" ref="F96">IFERROR(IF(LEN(F$11)=0,"",IF($C$7&lt;&gt;"All",IF(INDEX(Calc!$V$8:$V$500,MATCH(INDEX(Calc!$D$8:$D$500,MATCH(SMALL(IF((Calc!$C$8:$C$500=Kanban!$C$7)*(Calc!$K$8:$K$500=Kanban!F$11)*(Calc!$Y$8:$Y$500&gt;0),Calc!$Y$8:$Y$500,99999),Kanban_Helper!$B89),Calc!$Y$8:$Y$500,0)),Calc!$D$8:$D$500,0))="Yes",CONCATENATE(INDEX(Calc!$D$8:$D$500,MATCH(SMALL(IF((Calc!$C$8:$C$500=Kanban!$C$7)*(Calc!$K$8:$K$500=Kanban!F$11)*(Calc!$Y$8:$Y$500&gt;0),Calc!$Y$8:$Y$500,99999),Kanban_Helper!$B89),Calc!$Y$8:$Y$500,0))," ",Calc!$V$7," ","!"),INDEX(Calc!$D$8:$D$500,MATCH(SMALL(IF((Calc!$C$8:$C$500=Kanban!$C$7)*(Calc!$K$8:$K$500=Kanban!F$11)*(Calc!$Y$8:$Y$500&gt;0),Calc!$Y$8:$Y$500,99999),Kanban_Helper!$B89),Calc!$Y$8:$Y$500,0))),IF(INDEX(Calc!$V$8:$V$500,MATCH(INDEX(Calc!$D$8:$D$500,MATCH(SMALL(IF((Calc!$K$8:$K$500=Kanban!F$11)*(Calc!$Y$8:$Y$500&gt;0),Calc!$Y$8:$Y$500,99999),Kanban_Helper!$B89),Calc!$Y$8:$Y$500,0)),Calc!$D$8:$D$500,0))="Yes",CONCATENATE(INDEX(Calc!$D$8:$D$500,MATCH(SMALL(IF((Calc!$K$8:$K$500=Kanban!F$11)*(Calc!$Y$8:$Y$500&gt;0),Calc!$Y$8:$Y$500,99999),Kanban_Helper!$B89),Calc!$Y$8:$Y$500,0))," ",Calc!$V$7," ","!"),INDEX(Calc!$D$8:$D$500,MATCH(SMALL(IF((Calc!$K$8:$K$500=Kanban!F$11)*(Calc!$Y$8:$Y$500&gt;0),Calc!$Y$8:$Y$500,99999),Kanban_Helper!$B89),Calc!$Y$8:$Y$500,0))))),"")</f>
        <v/>
      </c>
      <c r="G96" s="170" t="str">
        <f t="array" ref="G96">IFERROR(IF(LEN(G$11)=0,"",IF($C$7&lt;&gt;"All",IF(INDEX(Calc!$V$8:$V$500,MATCH(INDEX(Calc!$D$8:$D$500,MATCH(SMALL(IF((Calc!$C$8:$C$500=Kanban!$C$7)*(Calc!$K$8:$K$500=Kanban!G$11)*(Calc!$Y$8:$Y$500&gt;0),Calc!$Y$8:$Y$500,99999),Kanban_Helper!$B89),Calc!$Y$8:$Y$500,0)),Calc!$D$8:$D$500,0))="Yes",CONCATENATE(INDEX(Calc!$D$8:$D$500,MATCH(SMALL(IF((Calc!$C$8:$C$500=Kanban!$C$7)*(Calc!$K$8:$K$500=Kanban!G$11)*(Calc!$Y$8:$Y$500&gt;0),Calc!$Y$8:$Y$500,99999),Kanban_Helper!$B89),Calc!$Y$8:$Y$500,0))," ",Calc!$V$7," ","!"),INDEX(Calc!$D$8:$D$500,MATCH(SMALL(IF((Calc!$C$8:$C$500=Kanban!$C$7)*(Calc!$K$8:$K$500=Kanban!G$11)*(Calc!$Y$8:$Y$500&gt;0),Calc!$Y$8:$Y$500,99999),Kanban_Helper!$B89),Calc!$Y$8:$Y$500,0))),IF(INDEX(Calc!$V$8:$V$500,MATCH(INDEX(Calc!$D$8:$D$500,MATCH(SMALL(IF((Calc!$K$8:$K$500=Kanban!G$11)*(Calc!$Y$8:$Y$500&gt;0),Calc!$Y$8:$Y$500,99999),Kanban_Helper!$B89),Calc!$Y$8:$Y$500,0)),Calc!$D$8:$D$500,0))="Yes",CONCATENATE(INDEX(Calc!$D$8:$D$500,MATCH(SMALL(IF((Calc!$K$8:$K$500=Kanban!G$11)*(Calc!$Y$8:$Y$500&gt;0),Calc!$Y$8:$Y$500,99999),Kanban_Helper!$B89),Calc!$Y$8:$Y$500,0))," ",Calc!$V$7," ","!"),INDEX(Calc!$D$8:$D$500,MATCH(SMALL(IF((Calc!$K$8:$K$500=Kanban!G$11)*(Calc!$Y$8:$Y$500&gt;0),Calc!$Y$8:$Y$500,99999),Kanban_Helper!$B89),Calc!$Y$8:$Y$500,0))))),"")</f>
        <v/>
      </c>
      <c r="H96" s="170" t="str">
        <f t="array" ref="H96">IFERROR(IF(LEN(H$11)=0,"",IF($C$7&lt;&gt;"All",IF(INDEX(Calc!$V$8:$V$500,MATCH(INDEX(Calc!$D$8:$D$500,MATCH(SMALL(IF((Calc!$C$8:$C$500=Kanban!$C$7)*(Calc!$K$8:$K$500=Kanban!H$11)*(Calc!$Y$8:$Y$500&gt;0),Calc!$Y$8:$Y$500,99999),Kanban_Helper!$B89),Calc!$Y$8:$Y$500,0)),Calc!$D$8:$D$500,0))="Yes",CONCATENATE(INDEX(Calc!$D$8:$D$500,MATCH(SMALL(IF((Calc!$C$8:$C$500=Kanban!$C$7)*(Calc!$K$8:$K$500=Kanban!H$11)*(Calc!$Y$8:$Y$500&gt;0),Calc!$Y$8:$Y$500,99999),Kanban_Helper!$B89),Calc!$Y$8:$Y$500,0))," ",Calc!$V$7," ","!"),INDEX(Calc!$D$8:$D$500,MATCH(SMALL(IF((Calc!$C$8:$C$500=Kanban!$C$7)*(Calc!$K$8:$K$500=Kanban!H$11)*(Calc!$Y$8:$Y$500&gt;0),Calc!$Y$8:$Y$500,99999),Kanban_Helper!$B89),Calc!$Y$8:$Y$500,0))),IF(INDEX(Calc!$V$8:$V$500,MATCH(INDEX(Calc!$D$8:$D$500,MATCH(SMALL(IF((Calc!$K$8:$K$500=Kanban!H$11)*(Calc!$Y$8:$Y$500&gt;0),Calc!$Y$8:$Y$500,99999),Kanban_Helper!$B89),Calc!$Y$8:$Y$500,0)),Calc!$D$8:$D$500,0))="Yes",CONCATENATE(INDEX(Calc!$D$8:$D$500,MATCH(SMALL(IF((Calc!$K$8:$K$500=Kanban!H$11)*(Calc!$Y$8:$Y$500&gt;0),Calc!$Y$8:$Y$500,99999),Kanban_Helper!$B89),Calc!$Y$8:$Y$500,0))," ",Calc!$V$7," ","!"),INDEX(Calc!$D$8:$D$500,MATCH(SMALL(IF((Calc!$K$8:$K$500=Kanban!H$11)*(Calc!$Y$8:$Y$500&gt;0),Calc!$Y$8:$Y$500,99999),Kanban_Helper!$B89),Calc!$Y$8:$Y$500,0))))),"")</f>
        <v/>
      </c>
      <c r="I96" s="39"/>
    </row>
    <row r="97" spans="2:9" x14ac:dyDescent="0.35">
      <c r="B97" s="81"/>
      <c r="C97" s="171" t="str">
        <f t="array" ref="C97">IFERROR(IF(LEN(C$11)=0,"",IF($C$7&lt;&gt;"All",INDEX(Calc!$E$8:$E$500,MATCH(SMALL(IF((Calc!$C$8:$C$500=Kanban!$C$7)*(Calc!$K$8:$K$500=Kanban!C$11)*(Calc!$Y$8:$Y$500&gt;0),Calc!$Y$8:$Y$500,99999),Kanban_Helper!$B90),Calc!$Y$8:$Y$500,0)),INDEX(Calc!$E$8:$E$500,MATCH(SMALL(IF((Calc!$K$8:$K$500=Kanban!C$11)*(Calc!$Y$8:$Y$500&gt;0),Calc!$Y$8:$Y$500,99999),Kanban_Helper!$B90),Calc!$Y$8:$Y$500,0)))),"")</f>
        <v/>
      </c>
      <c r="D97" s="171" t="str">
        <f t="array" ref="D97">IFERROR(IF(LEN(D$11)=0,"",IF($C$7&lt;&gt;"All",INDEX(Calc!$E$8:$E$500,MATCH(SMALL(IF((Calc!$C$8:$C$500=Kanban!$C$7)*(Calc!$K$8:$K$500=Kanban!D$11)*(Calc!$Y$8:$Y$500&gt;0),Calc!$Y$8:$Y$500,99999),Kanban_Helper!$B90),Calc!$Y$8:$Y$500,0)),INDEX(Calc!$E$8:$E$500,MATCH(SMALL(IF((Calc!$K$8:$K$500=Kanban!D$11)*(Calc!$Y$8:$Y$500&gt;0),Calc!$Y$8:$Y$500,99999),Kanban_Helper!$B90),Calc!$Y$8:$Y$500,0)))),"")</f>
        <v/>
      </c>
      <c r="E97" s="171" t="str">
        <f t="array" ref="E97">IFERROR(IF(LEN(E$11)=0,"",IF($C$7&lt;&gt;"All",INDEX(Calc!$E$8:$E$500,MATCH(SMALL(IF((Calc!$C$8:$C$500=Kanban!$C$7)*(Calc!$K$8:$K$500=Kanban!E$11)*(Calc!$Y$8:$Y$500&gt;0),Calc!$Y$8:$Y$500,99999),Kanban_Helper!$B90),Calc!$Y$8:$Y$500,0)),INDEX(Calc!$E$8:$E$500,MATCH(SMALL(IF((Calc!$K$8:$K$500=Kanban!E$11)*(Calc!$Y$8:$Y$500&gt;0),Calc!$Y$8:$Y$500,99999),Kanban_Helper!$B90),Calc!$Y$8:$Y$500,0)))),"")</f>
        <v/>
      </c>
      <c r="F97" s="171" t="str">
        <f t="array" ref="F97">IFERROR(IF(LEN(F$11)=0,"",IF($C$7&lt;&gt;"All",INDEX(Calc!$E$8:$E$500,MATCH(SMALL(IF((Calc!$C$8:$C$500=Kanban!$C$7)*(Calc!$K$8:$K$500=Kanban!F$11)*(Calc!$Y$8:$Y$500&gt;0),Calc!$Y$8:$Y$500,99999),Kanban_Helper!$B90),Calc!$Y$8:$Y$500,0)),INDEX(Calc!$E$8:$E$500,MATCH(SMALL(IF((Calc!$K$8:$K$500=Kanban!F$11)*(Calc!$Y$8:$Y$500&gt;0),Calc!$Y$8:$Y$500,99999),Kanban_Helper!$B90),Calc!$Y$8:$Y$500,0)))),"")</f>
        <v/>
      </c>
      <c r="G97" s="171" t="str">
        <f t="array" ref="G97">IFERROR(IF(LEN(G$11)=0,"",IF($C$7&lt;&gt;"All",INDEX(Calc!$E$8:$E$500,MATCH(SMALL(IF((Calc!$C$8:$C$500=Kanban!$C$7)*(Calc!$K$8:$K$500=Kanban!G$11)*(Calc!$Y$8:$Y$500&gt;0),Calc!$Y$8:$Y$500,99999),Kanban_Helper!$B90),Calc!$Y$8:$Y$500,0)),INDEX(Calc!$E$8:$E$500,MATCH(SMALL(IF((Calc!$K$8:$K$500=Kanban!G$11)*(Calc!$Y$8:$Y$500&gt;0),Calc!$Y$8:$Y$500,99999),Kanban_Helper!$B90),Calc!$Y$8:$Y$500,0)))),"")</f>
        <v/>
      </c>
      <c r="H97" s="171" t="str">
        <f t="array" ref="H97">IFERROR(IF(LEN(H$11)=0,"",IF($C$7&lt;&gt;"All",INDEX(Calc!$E$8:$E$500,MATCH(SMALL(IF((Calc!$C$8:$C$500=Kanban!$C$7)*(Calc!$K$8:$K$500=Kanban!H$11)*(Calc!$Y$8:$Y$500&gt;0),Calc!$Y$8:$Y$500,99999),Kanban_Helper!$B90),Calc!$Y$8:$Y$500,0)),INDEX(Calc!$E$8:$E$500,MATCH(SMALL(IF((Calc!$K$8:$K$500=Kanban!H$11)*(Calc!$Y$8:$Y$500&gt;0),Calc!$Y$8:$Y$500,99999),Kanban_Helper!$B90),Calc!$Y$8:$Y$500,0)))),"")</f>
        <v/>
      </c>
      <c r="I97" s="39"/>
    </row>
    <row r="98" spans="2:9" ht="15" thickBot="1" x14ac:dyDescent="0.4">
      <c r="B98" s="81"/>
      <c r="C98" s="172" t="str">
        <f t="array" ref="C98">IFERROR(IF(LEN(C$11)=0,"",IF($C$7&lt;&gt;"All",IF(LEN(INDEX(Calc!$J$8:$J$500,MATCH(SMALL(IF((Calc!$C$8:$C$500=Kanban!$C$7)*(Calc!$K$8:$K$500=Kanban!C$11)*(Calc!$Y$8:$Y$500&gt;0),Calc!$Y$8:$Y$500,99999),Kanban_Helper!$B91),Calc!$Y$8:$Y$500,0)))=0,"",CONCATENATE(Calc!$AD$6,INDEX(Calc!$J$8:$J$500,MATCH(SMALL(IF((Calc!$C$8:$C$500=Kanban!$C$7)*(Calc!$K$8:$K$500=Kanban!C$11)*(Calc!$Y$8:$Y$500&gt;0),Calc!$Y$8:$Y$500,99999),Kanban_Helper!$B91),Calc!$Y$8:$Y$500,0)))),IF(LEN(INDEX(Calc!$J$8:$J$500,MATCH(SMALL(IF((Calc!$K$8:$K$500=Kanban!C$11)*(Calc!$Y$8:$Y$500&gt;0),Calc!$Y$8:$Y$500,99999),Kanban_Helper!$B91),Calc!$Y$8:$Y$500,0)))=0,"",CONCATENATE(Calc!$AD$6,INDEX(Calc!$J$8:$J$500,MATCH(SMALL(IF((Calc!$K$8:$K$500=Kanban!C$11)*(Calc!$Y$8:$Y$500&gt;0),Calc!$Y$8:$Y$500,99999),Kanban_Helper!$B91),Calc!$Y$8:$Y$500,0)))))),"")</f>
        <v/>
      </c>
      <c r="D98" s="172" t="str">
        <f t="array" ref="D98">IFERROR(IF(LEN(D$11)=0,"",IF($C$7&lt;&gt;"All",IF(LEN(INDEX(Calc!$J$8:$J$500,MATCH(SMALL(IF((Calc!$C$8:$C$500=Kanban!$C$7)*(Calc!$K$8:$K$500=Kanban!D$11)*(Calc!$Y$8:$Y$500&gt;0),Calc!$Y$8:$Y$500,99999),Kanban_Helper!$B91),Calc!$Y$8:$Y$500,0)))=0,"",CONCATENATE(Calc!$AD$6,INDEX(Calc!$J$8:$J$500,MATCH(SMALL(IF((Calc!$C$8:$C$500=Kanban!$C$7)*(Calc!$K$8:$K$500=Kanban!D$11)*(Calc!$Y$8:$Y$500&gt;0),Calc!$Y$8:$Y$500,99999),Kanban_Helper!$B91),Calc!$Y$8:$Y$500,0)))),IF(LEN(INDEX(Calc!$J$8:$J$500,MATCH(SMALL(IF((Calc!$K$8:$K$500=Kanban!D$11)*(Calc!$Y$8:$Y$500&gt;0),Calc!$Y$8:$Y$500,99999),Kanban_Helper!$B91),Calc!$Y$8:$Y$500,0)))=0,"",CONCATENATE(Calc!$AD$6,INDEX(Calc!$J$8:$J$500,MATCH(SMALL(IF((Calc!$K$8:$K$500=Kanban!D$11)*(Calc!$Y$8:$Y$500&gt;0),Calc!$Y$8:$Y$500,99999),Kanban_Helper!$B91),Calc!$Y$8:$Y$500,0)))))),"")</f>
        <v/>
      </c>
      <c r="E98" s="172" t="str">
        <f t="array" ref="E98">IFERROR(IF(LEN(E$11)=0,"",IF($C$7&lt;&gt;"All",IF(LEN(INDEX(Calc!$J$8:$J$500,MATCH(SMALL(IF((Calc!$C$8:$C$500=Kanban!$C$7)*(Calc!$K$8:$K$500=Kanban!E$11)*(Calc!$Y$8:$Y$500&gt;0),Calc!$Y$8:$Y$500,99999),Kanban_Helper!$B91),Calc!$Y$8:$Y$500,0)))=0,"",CONCATENATE(Calc!$AD$6,INDEX(Calc!$J$8:$J$500,MATCH(SMALL(IF((Calc!$C$8:$C$500=Kanban!$C$7)*(Calc!$K$8:$K$500=Kanban!E$11)*(Calc!$Y$8:$Y$500&gt;0),Calc!$Y$8:$Y$500,99999),Kanban_Helper!$B91),Calc!$Y$8:$Y$500,0)))),IF(LEN(INDEX(Calc!$J$8:$J$500,MATCH(SMALL(IF((Calc!$K$8:$K$500=Kanban!E$11)*(Calc!$Y$8:$Y$500&gt;0),Calc!$Y$8:$Y$500,99999),Kanban_Helper!$B91),Calc!$Y$8:$Y$500,0)))=0,"",CONCATENATE(Calc!$AD$6,INDEX(Calc!$J$8:$J$500,MATCH(SMALL(IF((Calc!$K$8:$K$500=Kanban!E$11)*(Calc!$Y$8:$Y$500&gt;0),Calc!$Y$8:$Y$500,99999),Kanban_Helper!$B91),Calc!$Y$8:$Y$500,0)))))),"")</f>
        <v/>
      </c>
      <c r="F98" s="172" t="str">
        <f t="array" ref="F98">IFERROR(IF(LEN(F$11)=0,"",IF($C$7&lt;&gt;"All",IF(LEN(INDEX(Calc!$J$8:$J$500,MATCH(SMALL(IF((Calc!$C$8:$C$500=Kanban!$C$7)*(Calc!$K$8:$K$500=Kanban!F$11)*(Calc!$Y$8:$Y$500&gt;0),Calc!$Y$8:$Y$500,99999),Kanban_Helper!$B91),Calc!$Y$8:$Y$500,0)))=0,"",CONCATENATE(Calc!$AD$6,INDEX(Calc!$J$8:$J$500,MATCH(SMALL(IF((Calc!$C$8:$C$500=Kanban!$C$7)*(Calc!$K$8:$K$500=Kanban!F$11)*(Calc!$Y$8:$Y$500&gt;0),Calc!$Y$8:$Y$500,99999),Kanban_Helper!$B91),Calc!$Y$8:$Y$500,0)))),IF(LEN(INDEX(Calc!$J$8:$J$500,MATCH(SMALL(IF((Calc!$K$8:$K$500=Kanban!F$11)*(Calc!$Y$8:$Y$500&gt;0),Calc!$Y$8:$Y$500,99999),Kanban_Helper!$B91),Calc!$Y$8:$Y$500,0)))=0,"",CONCATENATE(Calc!$AD$6,INDEX(Calc!$J$8:$J$500,MATCH(SMALL(IF((Calc!$K$8:$K$500=Kanban!F$11)*(Calc!$Y$8:$Y$500&gt;0),Calc!$Y$8:$Y$500,99999),Kanban_Helper!$B91),Calc!$Y$8:$Y$500,0)))))),"")</f>
        <v/>
      </c>
      <c r="G98" s="172" t="str">
        <f t="array" ref="G98">IFERROR(IF(LEN(G$11)=0,"",IF($C$7&lt;&gt;"All",IF(LEN(INDEX(Calc!$J$8:$J$500,MATCH(SMALL(IF((Calc!$C$8:$C$500=Kanban!$C$7)*(Calc!$K$8:$K$500=Kanban!G$11)*(Calc!$Y$8:$Y$500&gt;0),Calc!$Y$8:$Y$500,99999),Kanban_Helper!$B91),Calc!$Y$8:$Y$500,0)))=0,"",CONCATENATE(Calc!$AD$6,INDEX(Calc!$J$8:$J$500,MATCH(SMALL(IF((Calc!$C$8:$C$500=Kanban!$C$7)*(Calc!$K$8:$K$500=Kanban!G$11)*(Calc!$Y$8:$Y$500&gt;0),Calc!$Y$8:$Y$500,99999),Kanban_Helper!$B91),Calc!$Y$8:$Y$500,0)))),IF(LEN(INDEX(Calc!$J$8:$J$500,MATCH(SMALL(IF((Calc!$K$8:$K$500=Kanban!G$11)*(Calc!$Y$8:$Y$500&gt;0),Calc!$Y$8:$Y$500,99999),Kanban_Helper!$B91),Calc!$Y$8:$Y$500,0)))=0,"",CONCATENATE(Calc!$AD$6,INDEX(Calc!$J$8:$J$500,MATCH(SMALL(IF((Calc!$K$8:$K$500=Kanban!G$11)*(Calc!$Y$8:$Y$500&gt;0),Calc!$Y$8:$Y$500,99999),Kanban_Helper!$B91),Calc!$Y$8:$Y$500,0)))))),"")</f>
        <v/>
      </c>
      <c r="H98" s="172" t="str">
        <f t="array" ref="H98">IFERROR(IF(LEN(H$11)=0,"",IF($C$7&lt;&gt;"All",IF(LEN(INDEX(Calc!$J$8:$J$500,MATCH(SMALL(IF((Calc!$C$8:$C$500=Kanban!$C$7)*(Calc!$K$8:$K$500=Kanban!H$11)*(Calc!$Y$8:$Y$500&gt;0),Calc!$Y$8:$Y$500,99999),Kanban_Helper!$B91),Calc!$Y$8:$Y$500,0)))=0,"",CONCATENATE(Calc!$AD$6,INDEX(Calc!$J$8:$J$500,MATCH(SMALL(IF((Calc!$C$8:$C$500=Kanban!$C$7)*(Calc!$K$8:$K$500=Kanban!H$11)*(Calc!$Y$8:$Y$500&gt;0),Calc!$Y$8:$Y$500,99999),Kanban_Helper!$B91),Calc!$Y$8:$Y$500,0)))),IF(LEN(INDEX(Calc!$J$8:$J$500,MATCH(SMALL(IF((Calc!$K$8:$K$500=Kanban!H$11)*(Calc!$Y$8:$Y$500&gt;0),Calc!$Y$8:$Y$500,99999),Kanban_Helper!$B91),Calc!$Y$8:$Y$500,0)))=0,"",CONCATENATE(Calc!$AD$6,INDEX(Calc!$J$8:$J$500,MATCH(SMALL(IF((Calc!$K$8:$K$500=Kanban!H$11)*(Calc!$Y$8:$Y$500&gt;0),Calc!$Y$8:$Y$500,99999),Kanban_Helper!$B91),Calc!$Y$8:$Y$500,0)))))),"")</f>
        <v/>
      </c>
      <c r="I98" s="39"/>
    </row>
    <row r="99" spans="2:9" ht="15" thickTop="1" x14ac:dyDescent="0.35">
      <c r="B99" s="81"/>
      <c r="C99" s="170" t="str">
        <f t="array" ref="C99">IFERROR(IF(LEN(C$11)=0,"",IF($C$7&lt;&gt;"All",IF(INDEX(Calc!$V$8:$V$500,MATCH(INDEX(Calc!$D$8:$D$500,MATCH(SMALL(IF((Calc!$C$8:$C$500=Kanban!$C$7)*(Calc!$K$8:$K$500=Kanban!C$11)*(Calc!$Y$8:$Y$500&gt;0),Calc!$Y$8:$Y$500,99999),Kanban_Helper!$B92),Calc!$Y$8:$Y$500,0)),Calc!$D$8:$D$500,0))="Yes",CONCATENATE(INDEX(Calc!$D$8:$D$500,MATCH(SMALL(IF((Calc!$C$8:$C$500=Kanban!$C$7)*(Calc!$K$8:$K$500=Kanban!C$11)*(Calc!$Y$8:$Y$500&gt;0),Calc!$Y$8:$Y$500,99999),Kanban_Helper!$B92),Calc!$Y$8:$Y$500,0))," ",Calc!$V$7," ","!"),INDEX(Calc!$D$8:$D$500,MATCH(SMALL(IF((Calc!$C$8:$C$500=Kanban!$C$7)*(Calc!$K$8:$K$500=Kanban!C$11)*(Calc!$Y$8:$Y$500&gt;0),Calc!$Y$8:$Y$500,99999),Kanban_Helper!$B92),Calc!$Y$8:$Y$500,0))),IF(INDEX(Calc!$V$8:$V$500,MATCH(INDEX(Calc!$D$8:$D$500,MATCH(SMALL(IF((Calc!$K$8:$K$500=Kanban!C$11)*(Calc!$Y$8:$Y$500&gt;0),Calc!$Y$8:$Y$500,99999),Kanban_Helper!$B92),Calc!$Y$8:$Y$500,0)),Calc!$D$8:$D$500,0))="Yes",CONCATENATE(INDEX(Calc!$D$8:$D$500,MATCH(SMALL(IF((Calc!$K$8:$K$500=Kanban!C$11)*(Calc!$Y$8:$Y$500&gt;0),Calc!$Y$8:$Y$500,99999),Kanban_Helper!$B92),Calc!$Y$8:$Y$500,0))," ",Calc!$V$7," ","!"),INDEX(Calc!$D$8:$D$500,MATCH(SMALL(IF((Calc!$K$8:$K$500=Kanban!C$11)*(Calc!$Y$8:$Y$500&gt;0),Calc!$Y$8:$Y$500,99999),Kanban_Helper!$B92),Calc!$Y$8:$Y$500,0))))),"")</f>
        <v/>
      </c>
      <c r="D99" s="170" t="str">
        <f t="array" ref="D99">IFERROR(IF(LEN(D$11)=0,"",IF($C$7&lt;&gt;"All",IF(INDEX(Calc!$V$8:$V$500,MATCH(INDEX(Calc!$D$8:$D$500,MATCH(SMALL(IF((Calc!$C$8:$C$500=Kanban!$C$7)*(Calc!$K$8:$K$500=Kanban!D$11)*(Calc!$Y$8:$Y$500&gt;0),Calc!$Y$8:$Y$500,99999),Kanban_Helper!$B92),Calc!$Y$8:$Y$500,0)),Calc!$D$8:$D$500,0))="Yes",CONCATENATE(INDEX(Calc!$D$8:$D$500,MATCH(SMALL(IF((Calc!$C$8:$C$500=Kanban!$C$7)*(Calc!$K$8:$K$500=Kanban!D$11)*(Calc!$Y$8:$Y$500&gt;0),Calc!$Y$8:$Y$500,99999),Kanban_Helper!$B92),Calc!$Y$8:$Y$500,0))," ",Calc!$V$7," ","!"),INDEX(Calc!$D$8:$D$500,MATCH(SMALL(IF((Calc!$C$8:$C$500=Kanban!$C$7)*(Calc!$K$8:$K$500=Kanban!D$11)*(Calc!$Y$8:$Y$500&gt;0),Calc!$Y$8:$Y$500,99999),Kanban_Helper!$B92),Calc!$Y$8:$Y$500,0))),IF(INDEX(Calc!$V$8:$V$500,MATCH(INDEX(Calc!$D$8:$D$500,MATCH(SMALL(IF((Calc!$K$8:$K$500=Kanban!D$11)*(Calc!$Y$8:$Y$500&gt;0),Calc!$Y$8:$Y$500,99999),Kanban_Helper!$B92),Calc!$Y$8:$Y$500,0)),Calc!$D$8:$D$500,0))="Yes",CONCATENATE(INDEX(Calc!$D$8:$D$500,MATCH(SMALL(IF((Calc!$K$8:$K$500=Kanban!D$11)*(Calc!$Y$8:$Y$500&gt;0),Calc!$Y$8:$Y$500,99999),Kanban_Helper!$B92),Calc!$Y$8:$Y$500,0))," ",Calc!$V$7," ","!"),INDEX(Calc!$D$8:$D$500,MATCH(SMALL(IF((Calc!$K$8:$K$500=Kanban!D$11)*(Calc!$Y$8:$Y$500&gt;0),Calc!$Y$8:$Y$500,99999),Kanban_Helper!$B92),Calc!$Y$8:$Y$500,0))))),"")</f>
        <v/>
      </c>
      <c r="E99" s="170" t="str">
        <f t="array" ref="E99">IFERROR(IF(LEN(E$11)=0,"",IF($C$7&lt;&gt;"All",IF(INDEX(Calc!$V$8:$V$500,MATCH(INDEX(Calc!$D$8:$D$500,MATCH(SMALL(IF((Calc!$C$8:$C$500=Kanban!$C$7)*(Calc!$K$8:$K$500=Kanban!E$11)*(Calc!$Y$8:$Y$500&gt;0),Calc!$Y$8:$Y$500,99999),Kanban_Helper!$B92),Calc!$Y$8:$Y$500,0)),Calc!$D$8:$D$500,0))="Yes",CONCATENATE(INDEX(Calc!$D$8:$D$500,MATCH(SMALL(IF((Calc!$C$8:$C$500=Kanban!$C$7)*(Calc!$K$8:$K$500=Kanban!E$11)*(Calc!$Y$8:$Y$500&gt;0),Calc!$Y$8:$Y$500,99999),Kanban_Helper!$B92),Calc!$Y$8:$Y$500,0))," ",Calc!$V$7," ","!"),INDEX(Calc!$D$8:$D$500,MATCH(SMALL(IF((Calc!$C$8:$C$500=Kanban!$C$7)*(Calc!$K$8:$K$500=Kanban!E$11)*(Calc!$Y$8:$Y$500&gt;0),Calc!$Y$8:$Y$500,99999),Kanban_Helper!$B92),Calc!$Y$8:$Y$500,0))),IF(INDEX(Calc!$V$8:$V$500,MATCH(INDEX(Calc!$D$8:$D$500,MATCH(SMALL(IF((Calc!$K$8:$K$500=Kanban!E$11)*(Calc!$Y$8:$Y$500&gt;0),Calc!$Y$8:$Y$500,99999),Kanban_Helper!$B92),Calc!$Y$8:$Y$500,0)),Calc!$D$8:$D$500,0))="Yes",CONCATENATE(INDEX(Calc!$D$8:$D$500,MATCH(SMALL(IF((Calc!$K$8:$K$500=Kanban!E$11)*(Calc!$Y$8:$Y$500&gt;0),Calc!$Y$8:$Y$500,99999),Kanban_Helper!$B92),Calc!$Y$8:$Y$500,0))," ",Calc!$V$7," ","!"),INDEX(Calc!$D$8:$D$500,MATCH(SMALL(IF((Calc!$K$8:$K$500=Kanban!E$11)*(Calc!$Y$8:$Y$500&gt;0),Calc!$Y$8:$Y$500,99999),Kanban_Helper!$B92),Calc!$Y$8:$Y$500,0))))),"")</f>
        <v/>
      </c>
      <c r="F99" s="170" t="str">
        <f t="array" ref="F99">IFERROR(IF(LEN(F$11)=0,"",IF($C$7&lt;&gt;"All",IF(INDEX(Calc!$V$8:$V$500,MATCH(INDEX(Calc!$D$8:$D$500,MATCH(SMALL(IF((Calc!$C$8:$C$500=Kanban!$C$7)*(Calc!$K$8:$K$500=Kanban!F$11)*(Calc!$Y$8:$Y$500&gt;0),Calc!$Y$8:$Y$500,99999),Kanban_Helper!$B92),Calc!$Y$8:$Y$500,0)),Calc!$D$8:$D$500,0))="Yes",CONCATENATE(INDEX(Calc!$D$8:$D$500,MATCH(SMALL(IF((Calc!$C$8:$C$500=Kanban!$C$7)*(Calc!$K$8:$K$500=Kanban!F$11)*(Calc!$Y$8:$Y$500&gt;0),Calc!$Y$8:$Y$500,99999),Kanban_Helper!$B92),Calc!$Y$8:$Y$500,0))," ",Calc!$V$7," ","!"),INDEX(Calc!$D$8:$D$500,MATCH(SMALL(IF((Calc!$C$8:$C$500=Kanban!$C$7)*(Calc!$K$8:$K$500=Kanban!F$11)*(Calc!$Y$8:$Y$500&gt;0),Calc!$Y$8:$Y$500,99999),Kanban_Helper!$B92),Calc!$Y$8:$Y$500,0))),IF(INDEX(Calc!$V$8:$V$500,MATCH(INDEX(Calc!$D$8:$D$500,MATCH(SMALL(IF((Calc!$K$8:$K$500=Kanban!F$11)*(Calc!$Y$8:$Y$500&gt;0),Calc!$Y$8:$Y$500,99999),Kanban_Helper!$B92),Calc!$Y$8:$Y$500,0)),Calc!$D$8:$D$500,0))="Yes",CONCATENATE(INDEX(Calc!$D$8:$D$500,MATCH(SMALL(IF((Calc!$K$8:$K$500=Kanban!F$11)*(Calc!$Y$8:$Y$500&gt;0),Calc!$Y$8:$Y$500,99999),Kanban_Helper!$B92),Calc!$Y$8:$Y$500,0))," ",Calc!$V$7," ","!"),INDEX(Calc!$D$8:$D$500,MATCH(SMALL(IF((Calc!$K$8:$K$500=Kanban!F$11)*(Calc!$Y$8:$Y$500&gt;0),Calc!$Y$8:$Y$500,99999),Kanban_Helper!$B92),Calc!$Y$8:$Y$500,0))))),"")</f>
        <v/>
      </c>
      <c r="G99" s="170" t="str">
        <f t="array" ref="G99">IFERROR(IF(LEN(G$11)=0,"",IF($C$7&lt;&gt;"All",IF(INDEX(Calc!$V$8:$V$500,MATCH(INDEX(Calc!$D$8:$D$500,MATCH(SMALL(IF((Calc!$C$8:$C$500=Kanban!$C$7)*(Calc!$K$8:$K$500=Kanban!G$11)*(Calc!$Y$8:$Y$500&gt;0),Calc!$Y$8:$Y$500,99999),Kanban_Helper!$B92),Calc!$Y$8:$Y$500,0)),Calc!$D$8:$D$500,0))="Yes",CONCATENATE(INDEX(Calc!$D$8:$D$500,MATCH(SMALL(IF((Calc!$C$8:$C$500=Kanban!$C$7)*(Calc!$K$8:$K$500=Kanban!G$11)*(Calc!$Y$8:$Y$500&gt;0),Calc!$Y$8:$Y$500,99999),Kanban_Helper!$B92),Calc!$Y$8:$Y$500,0))," ",Calc!$V$7," ","!"),INDEX(Calc!$D$8:$D$500,MATCH(SMALL(IF((Calc!$C$8:$C$500=Kanban!$C$7)*(Calc!$K$8:$K$500=Kanban!G$11)*(Calc!$Y$8:$Y$500&gt;0),Calc!$Y$8:$Y$500,99999),Kanban_Helper!$B92),Calc!$Y$8:$Y$500,0))),IF(INDEX(Calc!$V$8:$V$500,MATCH(INDEX(Calc!$D$8:$D$500,MATCH(SMALL(IF((Calc!$K$8:$K$500=Kanban!G$11)*(Calc!$Y$8:$Y$500&gt;0),Calc!$Y$8:$Y$500,99999),Kanban_Helper!$B92),Calc!$Y$8:$Y$500,0)),Calc!$D$8:$D$500,0))="Yes",CONCATENATE(INDEX(Calc!$D$8:$D$500,MATCH(SMALL(IF((Calc!$K$8:$K$500=Kanban!G$11)*(Calc!$Y$8:$Y$500&gt;0),Calc!$Y$8:$Y$500,99999),Kanban_Helper!$B92),Calc!$Y$8:$Y$500,0))," ",Calc!$V$7," ","!"),INDEX(Calc!$D$8:$D$500,MATCH(SMALL(IF((Calc!$K$8:$K$500=Kanban!G$11)*(Calc!$Y$8:$Y$500&gt;0),Calc!$Y$8:$Y$500,99999),Kanban_Helper!$B92),Calc!$Y$8:$Y$500,0))))),"")</f>
        <v/>
      </c>
      <c r="H99" s="170" t="str">
        <f t="array" ref="H99">IFERROR(IF(LEN(H$11)=0,"",IF($C$7&lt;&gt;"All",IF(INDEX(Calc!$V$8:$V$500,MATCH(INDEX(Calc!$D$8:$D$500,MATCH(SMALL(IF((Calc!$C$8:$C$500=Kanban!$C$7)*(Calc!$K$8:$K$500=Kanban!H$11)*(Calc!$Y$8:$Y$500&gt;0),Calc!$Y$8:$Y$500,99999),Kanban_Helper!$B92),Calc!$Y$8:$Y$500,0)),Calc!$D$8:$D$500,0))="Yes",CONCATENATE(INDEX(Calc!$D$8:$D$500,MATCH(SMALL(IF((Calc!$C$8:$C$500=Kanban!$C$7)*(Calc!$K$8:$K$500=Kanban!H$11)*(Calc!$Y$8:$Y$500&gt;0),Calc!$Y$8:$Y$500,99999),Kanban_Helper!$B92),Calc!$Y$8:$Y$500,0))," ",Calc!$V$7," ","!"),INDEX(Calc!$D$8:$D$500,MATCH(SMALL(IF((Calc!$C$8:$C$500=Kanban!$C$7)*(Calc!$K$8:$K$500=Kanban!H$11)*(Calc!$Y$8:$Y$500&gt;0),Calc!$Y$8:$Y$500,99999),Kanban_Helper!$B92),Calc!$Y$8:$Y$500,0))),IF(INDEX(Calc!$V$8:$V$500,MATCH(INDEX(Calc!$D$8:$D$500,MATCH(SMALL(IF((Calc!$K$8:$K$500=Kanban!H$11)*(Calc!$Y$8:$Y$500&gt;0),Calc!$Y$8:$Y$500,99999),Kanban_Helper!$B92),Calc!$Y$8:$Y$500,0)),Calc!$D$8:$D$500,0))="Yes",CONCATENATE(INDEX(Calc!$D$8:$D$500,MATCH(SMALL(IF((Calc!$K$8:$K$500=Kanban!H$11)*(Calc!$Y$8:$Y$500&gt;0),Calc!$Y$8:$Y$500,99999),Kanban_Helper!$B92),Calc!$Y$8:$Y$500,0))," ",Calc!$V$7," ","!"),INDEX(Calc!$D$8:$D$500,MATCH(SMALL(IF((Calc!$K$8:$K$500=Kanban!H$11)*(Calc!$Y$8:$Y$500&gt;0),Calc!$Y$8:$Y$500,99999),Kanban_Helper!$B92),Calc!$Y$8:$Y$500,0))))),"")</f>
        <v/>
      </c>
      <c r="I99" s="39"/>
    </row>
    <row r="100" spans="2:9" x14ac:dyDescent="0.35">
      <c r="B100" s="81"/>
      <c r="C100" s="171" t="str">
        <f t="array" ref="C100">IFERROR(IF(LEN(C$11)=0,"",IF($C$7&lt;&gt;"All",INDEX(Calc!$E$8:$E$500,MATCH(SMALL(IF((Calc!$C$8:$C$500=Kanban!$C$7)*(Calc!$K$8:$K$500=Kanban!C$11)*(Calc!$Y$8:$Y$500&gt;0),Calc!$Y$8:$Y$500,99999),Kanban_Helper!$B93),Calc!$Y$8:$Y$500,0)),INDEX(Calc!$E$8:$E$500,MATCH(SMALL(IF((Calc!$K$8:$K$500=Kanban!C$11)*(Calc!$Y$8:$Y$500&gt;0),Calc!$Y$8:$Y$500,99999),Kanban_Helper!$B93),Calc!$Y$8:$Y$500,0)))),"")</f>
        <v/>
      </c>
      <c r="D100" s="171" t="str">
        <f t="array" ref="D100">IFERROR(IF(LEN(D$11)=0,"",IF($C$7&lt;&gt;"All",INDEX(Calc!$E$8:$E$500,MATCH(SMALL(IF((Calc!$C$8:$C$500=Kanban!$C$7)*(Calc!$K$8:$K$500=Kanban!D$11)*(Calc!$Y$8:$Y$500&gt;0),Calc!$Y$8:$Y$500,99999),Kanban_Helper!$B93),Calc!$Y$8:$Y$500,0)),INDEX(Calc!$E$8:$E$500,MATCH(SMALL(IF((Calc!$K$8:$K$500=Kanban!D$11)*(Calc!$Y$8:$Y$500&gt;0),Calc!$Y$8:$Y$500,99999),Kanban_Helper!$B93),Calc!$Y$8:$Y$500,0)))),"")</f>
        <v/>
      </c>
      <c r="E100" s="171" t="str">
        <f t="array" ref="E100">IFERROR(IF(LEN(E$11)=0,"",IF($C$7&lt;&gt;"All",INDEX(Calc!$E$8:$E$500,MATCH(SMALL(IF((Calc!$C$8:$C$500=Kanban!$C$7)*(Calc!$K$8:$K$500=Kanban!E$11)*(Calc!$Y$8:$Y$500&gt;0),Calc!$Y$8:$Y$500,99999),Kanban_Helper!$B93),Calc!$Y$8:$Y$500,0)),INDEX(Calc!$E$8:$E$500,MATCH(SMALL(IF((Calc!$K$8:$K$500=Kanban!E$11)*(Calc!$Y$8:$Y$500&gt;0),Calc!$Y$8:$Y$500,99999),Kanban_Helper!$B93),Calc!$Y$8:$Y$500,0)))),"")</f>
        <v/>
      </c>
      <c r="F100" s="171" t="str">
        <f t="array" ref="F100">IFERROR(IF(LEN(F$11)=0,"",IF($C$7&lt;&gt;"All",INDEX(Calc!$E$8:$E$500,MATCH(SMALL(IF((Calc!$C$8:$C$500=Kanban!$C$7)*(Calc!$K$8:$K$500=Kanban!F$11)*(Calc!$Y$8:$Y$500&gt;0),Calc!$Y$8:$Y$500,99999),Kanban_Helper!$B93),Calc!$Y$8:$Y$500,0)),INDEX(Calc!$E$8:$E$500,MATCH(SMALL(IF((Calc!$K$8:$K$500=Kanban!F$11)*(Calc!$Y$8:$Y$500&gt;0),Calc!$Y$8:$Y$500,99999),Kanban_Helper!$B93),Calc!$Y$8:$Y$500,0)))),"")</f>
        <v/>
      </c>
      <c r="G100" s="171" t="str">
        <f t="array" ref="G100">IFERROR(IF(LEN(G$11)=0,"",IF($C$7&lt;&gt;"All",INDEX(Calc!$E$8:$E$500,MATCH(SMALL(IF((Calc!$C$8:$C$500=Kanban!$C$7)*(Calc!$K$8:$K$500=Kanban!G$11)*(Calc!$Y$8:$Y$500&gt;0),Calc!$Y$8:$Y$500,99999),Kanban_Helper!$B93),Calc!$Y$8:$Y$500,0)),INDEX(Calc!$E$8:$E$500,MATCH(SMALL(IF((Calc!$K$8:$K$500=Kanban!G$11)*(Calc!$Y$8:$Y$500&gt;0),Calc!$Y$8:$Y$500,99999),Kanban_Helper!$B93),Calc!$Y$8:$Y$500,0)))),"")</f>
        <v/>
      </c>
      <c r="H100" s="171" t="str">
        <f t="array" ref="H100">IFERROR(IF(LEN(H$11)=0,"",IF($C$7&lt;&gt;"All",INDEX(Calc!$E$8:$E$500,MATCH(SMALL(IF((Calc!$C$8:$C$500=Kanban!$C$7)*(Calc!$K$8:$K$500=Kanban!H$11)*(Calc!$Y$8:$Y$500&gt;0),Calc!$Y$8:$Y$500,99999),Kanban_Helper!$B93),Calc!$Y$8:$Y$500,0)),INDEX(Calc!$E$8:$E$500,MATCH(SMALL(IF((Calc!$K$8:$K$500=Kanban!H$11)*(Calc!$Y$8:$Y$500&gt;0),Calc!$Y$8:$Y$500,99999),Kanban_Helper!$B93),Calc!$Y$8:$Y$500,0)))),"")</f>
        <v/>
      </c>
      <c r="I100" s="39"/>
    </row>
    <row r="101" spans="2:9" ht="15" thickBot="1" x14ac:dyDescent="0.4">
      <c r="B101" s="81"/>
      <c r="C101" s="172" t="str">
        <f t="array" ref="C101">IFERROR(IF(LEN(C$11)=0,"",IF($C$7&lt;&gt;"All",IF(LEN(INDEX(Calc!$J$8:$J$500,MATCH(SMALL(IF((Calc!$C$8:$C$500=Kanban!$C$7)*(Calc!$K$8:$K$500=Kanban!C$11)*(Calc!$Y$8:$Y$500&gt;0),Calc!$Y$8:$Y$500,99999),Kanban_Helper!$B94),Calc!$Y$8:$Y$500,0)))=0,"",CONCATENATE(Calc!$AD$6,INDEX(Calc!$J$8:$J$500,MATCH(SMALL(IF((Calc!$C$8:$C$500=Kanban!$C$7)*(Calc!$K$8:$K$500=Kanban!C$11)*(Calc!$Y$8:$Y$500&gt;0),Calc!$Y$8:$Y$500,99999),Kanban_Helper!$B94),Calc!$Y$8:$Y$500,0)))),IF(LEN(INDEX(Calc!$J$8:$J$500,MATCH(SMALL(IF((Calc!$K$8:$K$500=Kanban!C$11)*(Calc!$Y$8:$Y$500&gt;0),Calc!$Y$8:$Y$500,99999),Kanban_Helper!$B94),Calc!$Y$8:$Y$500,0)))=0,"",CONCATENATE(Calc!$AD$6,INDEX(Calc!$J$8:$J$500,MATCH(SMALL(IF((Calc!$K$8:$K$500=Kanban!C$11)*(Calc!$Y$8:$Y$500&gt;0),Calc!$Y$8:$Y$500,99999),Kanban_Helper!$B94),Calc!$Y$8:$Y$500,0)))))),"")</f>
        <v/>
      </c>
      <c r="D101" s="172" t="str">
        <f t="array" ref="D101">IFERROR(IF(LEN(D$11)=0,"",IF($C$7&lt;&gt;"All",IF(LEN(INDEX(Calc!$J$8:$J$500,MATCH(SMALL(IF((Calc!$C$8:$C$500=Kanban!$C$7)*(Calc!$K$8:$K$500=Kanban!D$11)*(Calc!$Y$8:$Y$500&gt;0),Calc!$Y$8:$Y$500,99999),Kanban_Helper!$B94),Calc!$Y$8:$Y$500,0)))=0,"",CONCATENATE(Calc!$AD$6,INDEX(Calc!$J$8:$J$500,MATCH(SMALL(IF((Calc!$C$8:$C$500=Kanban!$C$7)*(Calc!$K$8:$K$500=Kanban!D$11)*(Calc!$Y$8:$Y$500&gt;0),Calc!$Y$8:$Y$500,99999),Kanban_Helper!$B94),Calc!$Y$8:$Y$500,0)))),IF(LEN(INDEX(Calc!$J$8:$J$500,MATCH(SMALL(IF((Calc!$K$8:$K$500=Kanban!D$11)*(Calc!$Y$8:$Y$500&gt;0),Calc!$Y$8:$Y$500,99999),Kanban_Helper!$B94),Calc!$Y$8:$Y$500,0)))=0,"",CONCATENATE(Calc!$AD$6,INDEX(Calc!$J$8:$J$500,MATCH(SMALL(IF((Calc!$K$8:$K$500=Kanban!D$11)*(Calc!$Y$8:$Y$500&gt;0),Calc!$Y$8:$Y$500,99999),Kanban_Helper!$B94),Calc!$Y$8:$Y$500,0)))))),"")</f>
        <v/>
      </c>
      <c r="E101" s="172" t="str">
        <f t="array" ref="E101">IFERROR(IF(LEN(E$11)=0,"",IF($C$7&lt;&gt;"All",IF(LEN(INDEX(Calc!$J$8:$J$500,MATCH(SMALL(IF((Calc!$C$8:$C$500=Kanban!$C$7)*(Calc!$K$8:$K$500=Kanban!E$11)*(Calc!$Y$8:$Y$500&gt;0),Calc!$Y$8:$Y$500,99999),Kanban_Helper!$B94),Calc!$Y$8:$Y$500,0)))=0,"",CONCATENATE(Calc!$AD$6,INDEX(Calc!$J$8:$J$500,MATCH(SMALL(IF((Calc!$C$8:$C$500=Kanban!$C$7)*(Calc!$K$8:$K$500=Kanban!E$11)*(Calc!$Y$8:$Y$500&gt;0),Calc!$Y$8:$Y$500,99999),Kanban_Helper!$B94),Calc!$Y$8:$Y$500,0)))),IF(LEN(INDEX(Calc!$J$8:$J$500,MATCH(SMALL(IF((Calc!$K$8:$K$500=Kanban!E$11)*(Calc!$Y$8:$Y$500&gt;0),Calc!$Y$8:$Y$500,99999),Kanban_Helper!$B94),Calc!$Y$8:$Y$500,0)))=0,"",CONCATENATE(Calc!$AD$6,INDEX(Calc!$J$8:$J$500,MATCH(SMALL(IF((Calc!$K$8:$K$500=Kanban!E$11)*(Calc!$Y$8:$Y$500&gt;0),Calc!$Y$8:$Y$500,99999),Kanban_Helper!$B94),Calc!$Y$8:$Y$500,0)))))),"")</f>
        <v/>
      </c>
      <c r="F101" s="172" t="str">
        <f t="array" ref="F101">IFERROR(IF(LEN(F$11)=0,"",IF($C$7&lt;&gt;"All",IF(LEN(INDEX(Calc!$J$8:$J$500,MATCH(SMALL(IF((Calc!$C$8:$C$500=Kanban!$C$7)*(Calc!$K$8:$K$500=Kanban!F$11)*(Calc!$Y$8:$Y$500&gt;0),Calc!$Y$8:$Y$500,99999),Kanban_Helper!$B94),Calc!$Y$8:$Y$500,0)))=0,"",CONCATENATE(Calc!$AD$6,INDEX(Calc!$J$8:$J$500,MATCH(SMALL(IF((Calc!$C$8:$C$500=Kanban!$C$7)*(Calc!$K$8:$K$500=Kanban!F$11)*(Calc!$Y$8:$Y$500&gt;0),Calc!$Y$8:$Y$500,99999),Kanban_Helper!$B94),Calc!$Y$8:$Y$500,0)))),IF(LEN(INDEX(Calc!$J$8:$J$500,MATCH(SMALL(IF((Calc!$K$8:$K$500=Kanban!F$11)*(Calc!$Y$8:$Y$500&gt;0),Calc!$Y$8:$Y$500,99999),Kanban_Helper!$B94),Calc!$Y$8:$Y$500,0)))=0,"",CONCATENATE(Calc!$AD$6,INDEX(Calc!$J$8:$J$500,MATCH(SMALL(IF((Calc!$K$8:$K$500=Kanban!F$11)*(Calc!$Y$8:$Y$500&gt;0),Calc!$Y$8:$Y$500,99999),Kanban_Helper!$B94),Calc!$Y$8:$Y$500,0)))))),"")</f>
        <v/>
      </c>
      <c r="G101" s="172" t="str">
        <f t="array" ref="G101">IFERROR(IF(LEN(G$11)=0,"",IF($C$7&lt;&gt;"All",IF(LEN(INDEX(Calc!$J$8:$J$500,MATCH(SMALL(IF((Calc!$C$8:$C$500=Kanban!$C$7)*(Calc!$K$8:$K$500=Kanban!G$11)*(Calc!$Y$8:$Y$500&gt;0),Calc!$Y$8:$Y$500,99999),Kanban_Helper!$B94),Calc!$Y$8:$Y$500,0)))=0,"",CONCATENATE(Calc!$AD$6,INDEX(Calc!$J$8:$J$500,MATCH(SMALL(IF((Calc!$C$8:$C$500=Kanban!$C$7)*(Calc!$K$8:$K$500=Kanban!G$11)*(Calc!$Y$8:$Y$500&gt;0),Calc!$Y$8:$Y$500,99999),Kanban_Helper!$B94),Calc!$Y$8:$Y$500,0)))),IF(LEN(INDEX(Calc!$J$8:$J$500,MATCH(SMALL(IF((Calc!$K$8:$K$500=Kanban!G$11)*(Calc!$Y$8:$Y$500&gt;0),Calc!$Y$8:$Y$500,99999),Kanban_Helper!$B94),Calc!$Y$8:$Y$500,0)))=0,"",CONCATENATE(Calc!$AD$6,INDEX(Calc!$J$8:$J$500,MATCH(SMALL(IF((Calc!$K$8:$K$500=Kanban!G$11)*(Calc!$Y$8:$Y$500&gt;0),Calc!$Y$8:$Y$500,99999),Kanban_Helper!$B94),Calc!$Y$8:$Y$500,0)))))),"")</f>
        <v/>
      </c>
      <c r="H101" s="172" t="str">
        <f t="array" ref="H101">IFERROR(IF(LEN(H$11)=0,"",IF($C$7&lt;&gt;"All",IF(LEN(INDEX(Calc!$J$8:$J$500,MATCH(SMALL(IF((Calc!$C$8:$C$500=Kanban!$C$7)*(Calc!$K$8:$K$500=Kanban!H$11)*(Calc!$Y$8:$Y$500&gt;0),Calc!$Y$8:$Y$500,99999),Kanban_Helper!$B94),Calc!$Y$8:$Y$500,0)))=0,"",CONCATENATE(Calc!$AD$6,INDEX(Calc!$J$8:$J$500,MATCH(SMALL(IF((Calc!$C$8:$C$500=Kanban!$C$7)*(Calc!$K$8:$K$500=Kanban!H$11)*(Calc!$Y$8:$Y$500&gt;0),Calc!$Y$8:$Y$500,99999),Kanban_Helper!$B94),Calc!$Y$8:$Y$500,0)))),IF(LEN(INDEX(Calc!$J$8:$J$500,MATCH(SMALL(IF((Calc!$K$8:$K$500=Kanban!H$11)*(Calc!$Y$8:$Y$500&gt;0),Calc!$Y$8:$Y$500,99999),Kanban_Helper!$B94),Calc!$Y$8:$Y$500,0)))=0,"",CONCATENATE(Calc!$AD$6,INDEX(Calc!$J$8:$J$500,MATCH(SMALL(IF((Calc!$K$8:$K$500=Kanban!H$11)*(Calc!$Y$8:$Y$500&gt;0),Calc!$Y$8:$Y$500,99999),Kanban_Helper!$B94),Calc!$Y$8:$Y$500,0)))))),"")</f>
        <v/>
      </c>
      <c r="I101" s="39"/>
    </row>
    <row r="102" spans="2:9" ht="15" thickTop="1" x14ac:dyDescent="0.35">
      <c r="B102" s="81"/>
      <c r="C102" s="170" t="str">
        <f t="array" ref="C102">IFERROR(IF(LEN(C$11)=0,"",IF($C$7&lt;&gt;"All",IF(INDEX(Calc!$V$8:$V$500,MATCH(INDEX(Calc!$D$8:$D$500,MATCH(SMALL(IF((Calc!$C$8:$C$500=Kanban!$C$7)*(Calc!$K$8:$K$500=Kanban!C$11)*(Calc!$Y$8:$Y$500&gt;0),Calc!$Y$8:$Y$500,99999),Kanban_Helper!$B95),Calc!$Y$8:$Y$500,0)),Calc!$D$8:$D$500,0))="Yes",CONCATENATE(INDEX(Calc!$D$8:$D$500,MATCH(SMALL(IF((Calc!$C$8:$C$500=Kanban!$C$7)*(Calc!$K$8:$K$500=Kanban!C$11)*(Calc!$Y$8:$Y$500&gt;0),Calc!$Y$8:$Y$500,99999),Kanban_Helper!$B95),Calc!$Y$8:$Y$500,0))," ",Calc!$V$7," ","!"),INDEX(Calc!$D$8:$D$500,MATCH(SMALL(IF((Calc!$C$8:$C$500=Kanban!$C$7)*(Calc!$K$8:$K$500=Kanban!C$11)*(Calc!$Y$8:$Y$500&gt;0),Calc!$Y$8:$Y$500,99999),Kanban_Helper!$B95),Calc!$Y$8:$Y$500,0))),IF(INDEX(Calc!$V$8:$V$500,MATCH(INDEX(Calc!$D$8:$D$500,MATCH(SMALL(IF((Calc!$K$8:$K$500=Kanban!C$11)*(Calc!$Y$8:$Y$500&gt;0),Calc!$Y$8:$Y$500,99999),Kanban_Helper!$B95),Calc!$Y$8:$Y$500,0)),Calc!$D$8:$D$500,0))="Yes",CONCATENATE(INDEX(Calc!$D$8:$D$500,MATCH(SMALL(IF((Calc!$K$8:$K$500=Kanban!C$11)*(Calc!$Y$8:$Y$500&gt;0),Calc!$Y$8:$Y$500,99999),Kanban_Helper!$B95),Calc!$Y$8:$Y$500,0))," ",Calc!$V$7," ","!"),INDEX(Calc!$D$8:$D$500,MATCH(SMALL(IF((Calc!$K$8:$K$500=Kanban!C$11)*(Calc!$Y$8:$Y$500&gt;0),Calc!$Y$8:$Y$500,99999),Kanban_Helper!$B95),Calc!$Y$8:$Y$500,0))))),"")</f>
        <v/>
      </c>
      <c r="D102" s="170" t="str">
        <f t="array" ref="D102">IFERROR(IF(LEN(D$11)=0,"",IF($C$7&lt;&gt;"All",IF(INDEX(Calc!$V$8:$V$500,MATCH(INDEX(Calc!$D$8:$D$500,MATCH(SMALL(IF((Calc!$C$8:$C$500=Kanban!$C$7)*(Calc!$K$8:$K$500=Kanban!D$11)*(Calc!$Y$8:$Y$500&gt;0),Calc!$Y$8:$Y$500,99999),Kanban_Helper!$B95),Calc!$Y$8:$Y$500,0)),Calc!$D$8:$D$500,0))="Yes",CONCATENATE(INDEX(Calc!$D$8:$D$500,MATCH(SMALL(IF((Calc!$C$8:$C$500=Kanban!$C$7)*(Calc!$K$8:$K$500=Kanban!D$11)*(Calc!$Y$8:$Y$500&gt;0),Calc!$Y$8:$Y$500,99999),Kanban_Helper!$B95),Calc!$Y$8:$Y$500,0))," ",Calc!$V$7," ","!"),INDEX(Calc!$D$8:$D$500,MATCH(SMALL(IF((Calc!$C$8:$C$500=Kanban!$C$7)*(Calc!$K$8:$K$500=Kanban!D$11)*(Calc!$Y$8:$Y$500&gt;0),Calc!$Y$8:$Y$500,99999),Kanban_Helper!$B95),Calc!$Y$8:$Y$500,0))),IF(INDEX(Calc!$V$8:$V$500,MATCH(INDEX(Calc!$D$8:$D$500,MATCH(SMALL(IF((Calc!$K$8:$K$500=Kanban!D$11)*(Calc!$Y$8:$Y$500&gt;0),Calc!$Y$8:$Y$500,99999),Kanban_Helper!$B95),Calc!$Y$8:$Y$500,0)),Calc!$D$8:$D$500,0))="Yes",CONCATENATE(INDEX(Calc!$D$8:$D$500,MATCH(SMALL(IF((Calc!$K$8:$K$500=Kanban!D$11)*(Calc!$Y$8:$Y$500&gt;0),Calc!$Y$8:$Y$500,99999),Kanban_Helper!$B95),Calc!$Y$8:$Y$500,0))," ",Calc!$V$7," ","!"),INDEX(Calc!$D$8:$D$500,MATCH(SMALL(IF((Calc!$K$8:$K$500=Kanban!D$11)*(Calc!$Y$8:$Y$500&gt;0),Calc!$Y$8:$Y$500,99999),Kanban_Helper!$B95),Calc!$Y$8:$Y$500,0))))),"")</f>
        <v/>
      </c>
      <c r="E102" s="170" t="str">
        <f t="array" ref="E102">IFERROR(IF(LEN(E$11)=0,"",IF($C$7&lt;&gt;"All",IF(INDEX(Calc!$V$8:$V$500,MATCH(INDEX(Calc!$D$8:$D$500,MATCH(SMALL(IF((Calc!$C$8:$C$500=Kanban!$C$7)*(Calc!$K$8:$K$500=Kanban!E$11)*(Calc!$Y$8:$Y$500&gt;0),Calc!$Y$8:$Y$500,99999),Kanban_Helper!$B95),Calc!$Y$8:$Y$500,0)),Calc!$D$8:$D$500,0))="Yes",CONCATENATE(INDEX(Calc!$D$8:$D$500,MATCH(SMALL(IF((Calc!$C$8:$C$500=Kanban!$C$7)*(Calc!$K$8:$K$500=Kanban!E$11)*(Calc!$Y$8:$Y$500&gt;0),Calc!$Y$8:$Y$500,99999),Kanban_Helper!$B95),Calc!$Y$8:$Y$500,0))," ",Calc!$V$7," ","!"),INDEX(Calc!$D$8:$D$500,MATCH(SMALL(IF((Calc!$C$8:$C$500=Kanban!$C$7)*(Calc!$K$8:$K$500=Kanban!E$11)*(Calc!$Y$8:$Y$500&gt;0),Calc!$Y$8:$Y$500,99999),Kanban_Helper!$B95),Calc!$Y$8:$Y$500,0))),IF(INDEX(Calc!$V$8:$V$500,MATCH(INDEX(Calc!$D$8:$D$500,MATCH(SMALL(IF((Calc!$K$8:$K$500=Kanban!E$11)*(Calc!$Y$8:$Y$500&gt;0),Calc!$Y$8:$Y$500,99999),Kanban_Helper!$B95),Calc!$Y$8:$Y$500,0)),Calc!$D$8:$D$500,0))="Yes",CONCATENATE(INDEX(Calc!$D$8:$D$500,MATCH(SMALL(IF((Calc!$K$8:$K$500=Kanban!E$11)*(Calc!$Y$8:$Y$500&gt;0),Calc!$Y$8:$Y$500,99999),Kanban_Helper!$B95),Calc!$Y$8:$Y$500,0))," ",Calc!$V$7," ","!"),INDEX(Calc!$D$8:$D$500,MATCH(SMALL(IF((Calc!$K$8:$K$500=Kanban!E$11)*(Calc!$Y$8:$Y$500&gt;0),Calc!$Y$8:$Y$500,99999),Kanban_Helper!$B95),Calc!$Y$8:$Y$500,0))))),"")</f>
        <v/>
      </c>
      <c r="F102" s="170" t="str">
        <f t="array" ref="F102">IFERROR(IF(LEN(F$11)=0,"",IF($C$7&lt;&gt;"All",IF(INDEX(Calc!$V$8:$V$500,MATCH(INDEX(Calc!$D$8:$D$500,MATCH(SMALL(IF((Calc!$C$8:$C$500=Kanban!$C$7)*(Calc!$K$8:$K$500=Kanban!F$11)*(Calc!$Y$8:$Y$500&gt;0),Calc!$Y$8:$Y$500,99999),Kanban_Helper!$B95),Calc!$Y$8:$Y$500,0)),Calc!$D$8:$D$500,0))="Yes",CONCATENATE(INDEX(Calc!$D$8:$D$500,MATCH(SMALL(IF((Calc!$C$8:$C$500=Kanban!$C$7)*(Calc!$K$8:$K$500=Kanban!F$11)*(Calc!$Y$8:$Y$500&gt;0),Calc!$Y$8:$Y$500,99999),Kanban_Helper!$B95),Calc!$Y$8:$Y$500,0))," ",Calc!$V$7," ","!"),INDEX(Calc!$D$8:$D$500,MATCH(SMALL(IF((Calc!$C$8:$C$500=Kanban!$C$7)*(Calc!$K$8:$K$500=Kanban!F$11)*(Calc!$Y$8:$Y$500&gt;0),Calc!$Y$8:$Y$500,99999),Kanban_Helper!$B95),Calc!$Y$8:$Y$500,0))),IF(INDEX(Calc!$V$8:$V$500,MATCH(INDEX(Calc!$D$8:$D$500,MATCH(SMALL(IF((Calc!$K$8:$K$500=Kanban!F$11)*(Calc!$Y$8:$Y$500&gt;0),Calc!$Y$8:$Y$500,99999),Kanban_Helper!$B95),Calc!$Y$8:$Y$500,0)),Calc!$D$8:$D$500,0))="Yes",CONCATENATE(INDEX(Calc!$D$8:$D$500,MATCH(SMALL(IF((Calc!$K$8:$K$500=Kanban!F$11)*(Calc!$Y$8:$Y$500&gt;0),Calc!$Y$8:$Y$500,99999),Kanban_Helper!$B95),Calc!$Y$8:$Y$500,0))," ",Calc!$V$7," ","!"),INDEX(Calc!$D$8:$D$500,MATCH(SMALL(IF((Calc!$K$8:$K$500=Kanban!F$11)*(Calc!$Y$8:$Y$500&gt;0),Calc!$Y$8:$Y$500,99999),Kanban_Helper!$B95),Calc!$Y$8:$Y$500,0))))),"")</f>
        <v/>
      </c>
      <c r="G102" s="170" t="str">
        <f t="array" ref="G102">IFERROR(IF(LEN(G$11)=0,"",IF($C$7&lt;&gt;"All",IF(INDEX(Calc!$V$8:$V$500,MATCH(INDEX(Calc!$D$8:$D$500,MATCH(SMALL(IF((Calc!$C$8:$C$500=Kanban!$C$7)*(Calc!$K$8:$K$500=Kanban!G$11)*(Calc!$Y$8:$Y$500&gt;0),Calc!$Y$8:$Y$500,99999),Kanban_Helper!$B95),Calc!$Y$8:$Y$500,0)),Calc!$D$8:$D$500,0))="Yes",CONCATENATE(INDEX(Calc!$D$8:$D$500,MATCH(SMALL(IF((Calc!$C$8:$C$500=Kanban!$C$7)*(Calc!$K$8:$K$500=Kanban!G$11)*(Calc!$Y$8:$Y$500&gt;0),Calc!$Y$8:$Y$500,99999),Kanban_Helper!$B95),Calc!$Y$8:$Y$500,0))," ",Calc!$V$7," ","!"),INDEX(Calc!$D$8:$D$500,MATCH(SMALL(IF((Calc!$C$8:$C$500=Kanban!$C$7)*(Calc!$K$8:$K$500=Kanban!G$11)*(Calc!$Y$8:$Y$500&gt;0),Calc!$Y$8:$Y$500,99999),Kanban_Helper!$B95),Calc!$Y$8:$Y$500,0))),IF(INDEX(Calc!$V$8:$V$500,MATCH(INDEX(Calc!$D$8:$D$500,MATCH(SMALL(IF((Calc!$K$8:$K$500=Kanban!G$11)*(Calc!$Y$8:$Y$500&gt;0),Calc!$Y$8:$Y$500,99999),Kanban_Helper!$B95),Calc!$Y$8:$Y$500,0)),Calc!$D$8:$D$500,0))="Yes",CONCATENATE(INDEX(Calc!$D$8:$D$500,MATCH(SMALL(IF((Calc!$K$8:$K$500=Kanban!G$11)*(Calc!$Y$8:$Y$500&gt;0),Calc!$Y$8:$Y$500,99999),Kanban_Helper!$B95),Calc!$Y$8:$Y$500,0))," ",Calc!$V$7," ","!"),INDEX(Calc!$D$8:$D$500,MATCH(SMALL(IF((Calc!$K$8:$K$500=Kanban!G$11)*(Calc!$Y$8:$Y$500&gt;0),Calc!$Y$8:$Y$500,99999),Kanban_Helper!$B95),Calc!$Y$8:$Y$500,0))))),"")</f>
        <v/>
      </c>
      <c r="H102" s="170" t="str">
        <f t="array" ref="H102">IFERROR(IF(LEN(H$11)=0,"",IF($C$7&lt;&gt;"All",IF(INDEX(Calc!$V$8:$V$500,MATCH(INDEX(Calc!$D$8:$D$500,MATCH(SMALL(IF((Calc!$C$8:$C$500=Kanban!$C$7)*(Calc!$K$8:$K$500=Kanban!H$11)*(Calc!$Y$8:$Y$500&gt;0),Calc!$Y$8:$Y$500,99999),Kanban_Helper!$B95),Calc!$Y$8:$Y$500,0)),Calc!$D$8:$D$500,0))="Yes",CONCATENATE(INDEX(Calc!$D$8:$D$500,MATCH(SMALL(IF((Calc!$C$8:$C$500=Kanban!$C$7)*(Calc!$K$8:$K$500=Kanban!H$11)*(Calc!$Y$8:$Y$500&gt;0),Calc!$Y$8:$Y$500,99999),Kanban_Helper!$B95),Calc!$Y$8:$Y$500,0))," ",Calc!$V$7," ","!"),INDEX(Calc!$D$8:$D$500,MATCH(SMALL(IF((Calc!$C$8:$C$500=Kanban!$C$7)*(Calc!$K$8:$K$500=Kanban!H$11)*(Calc!$Y$8:$Y$500&gt;0),Calc!$Y$8:$Y$500,99999),Kanban_Helper!$B95),Calc!$Y$8:$Y$500,0))),IF(INDEX(Calc!$V$8:$V$500,MATCH(INDEX(Calc!$D$8:$D$500,MATCH(SMALL(IF((Calc!$K$8:$K$500=Kanban!H$11)*(Calc!$Y$8:$Y$500&gt;0),Calc!$Y$8:$Y$500,99999),Kanban_Helper!$B95),Calc!$Y$8:$Y$500,0)),Calc!$D$8:$D$500,0))="Yes",CONCATENATE(INDEX(Calc!$D$8:$D$500,MATCH(SMALL(IF((Calc!$K$8:$K$500=Kanban!H$11)*(Calc!$Y$8:$Y$500&gt;0),Calc!$Y$8:$Y$500,99999),Kanban_Helper!$B95),Calc!$Y$8:$Y$500,0))," ",Calc!$V$7," ","!"),INDEX(Calc!$D$8:$D$500,MATCH(SMALL(IF((Calc!$K$8:$K$500=Kanban!H$11)*(Calc!$Y$8:$Y$500&gt;0),Calc!$Y$8:$Y$500,99999),Kanban_Helper!$B95),Calc!$Y$8:$Y$500,0))))),"")</f>
        <v/>
      </c>
      <c r="I102" s="39"/>
    </row>
    <row r="103" spans="2:9" x14ac:dyDescent="0.35">
      <c r="B103" s="81"/>
      <c r="C103" s="171" t="str">
        <f t="array" ref="C103">IFERROR(IF(LEN(C$11)=0,"",IF($C$7&lt;&gt;"All",INDEX(Calc!$E$8:$E$500,MATCH(SMALL(IF((Calc!$C$8:$C$500=Kanban!$C$7)*(Calc!$K$8:$K$500=Kanban!C$11)*(Calc!$Y$8:$Y$500&gt;0),Calc!$Y$8:$Y$500,99999),Kanban_Helper!$B96),Calc!$Y$8:$Y$500,0)),INDEX(Calc!$E$8:$E$500,MATCH(SMALL(IF((Calc!$K$8:$K$500=Kanban!C$11)*(Calc!$Y$8:$Y$500&gt;0),Calc!$Y$8:$Y$500,99999),Kanban_Helper!$B96),Calc!$Y$8:$Y$500,0)))),"")</f>
        <v/>
      </c>
      <c r="D103" s="171" t="str">
        <f t="array" ref="D103">IFERROR(IF(LEN(D$11)=0,"",IF($C$7&lt;&gt;"All",INDEX(Calc!$E$8:$E$500,MATCH(SMALL(IF((Calc!$C$8:$C$500=Kanban!$C$7)*(Calc!$K$8:$K$500=Kanban!D$11)*(Calc!$Y$8:$Y$500&gt;0),Calc!$Y$8:$Y$500,99999),Kanban_Helper!$B96),Calc!$Y$8:$Y$500,0)),INDEX(Calc!$E$8:$E$500,MATCH(SMALL(IF((Calc!$K$8:$K$500=Kanban!D$11)*(Calc!$Y$8:$Y$500&gt;0),Calc!$Y$8:$Y$500,99999),Kanban_Helper!$B96),Calc!$Y$8:$Y$500,0)))),"")</f>
        <v/>
      </c>
      <c r="E103" s="171" t="str">
        <f t="array" ref="E103">IFERROR(IF(LEN(E$11)=0,"",IF($C$7&lt;&gt;"All",INDEX(Calc!$E$8:$E$500,MATCH(SMALL(IF((Calc!$C$8:$C$500=Kanban!$C$7)*(Calc!$K$8:$K$500=Kanban!E$11)*(Calc!$Y$8:$Y$500&gt;0),Calc!$Y$8:$Y$500,99999),Kanban_Helper!$B96),Calc!$Y$8:$Y$500,0)),INDEX(Calc!$E$8:$E$500,MATCH(SMALL(IF((Calc!$K$8:$K$500=Kanban!E$11)*(Calc!$Y$8:$Y$500&gt;0),Calc!$Y$8:$Y$500,99999),Kanban_Helper!$B96),Calc!$Y$8:$Y$500,0)))),"")</f>
        <v/>
      </c>
      <c r="F103" s="171" t="str">
        <f t="array" ref="F103">IFERROR(IF(LEN(F$11)=0,"",IF($C$7&lt;&gt;"All",INDEX(Calc!$E$8:$E$500,MATCH(SMALL(IF((Calc!$C$8:$C$500=Kanban!$C$7)*(Calc!$K$8:$K$500=Kanban!F$11)*(Calc!$Y$8:$Y$500&gt;0),Calc!$Y$8:$Y$500,99999),Kanban_Helper!$B96),Calc!$Y$8:$Y$500,0)),INDEX(Calc!$E$8:$E$500,MATCH(SMALL(IF((Calc!$K$8:$K$500=Kanban!F$11)*(Calc!$Y$8:$Y$500&gt;0),Calc!$Y$8:$Y$500,99999),Kanban_Helper!$B96),Calc!$Y$8:$Y$500,0)))),"")</f>
        <v/>
      </c>
      <c r="G103" s="171" t="str">
        <f t="array" ref="G103">IFERROR(IF(LEN(G$11)=0,"",IF($C$7&lt;&gt;"All",INDEX(Calc!$E$8:$E$500,MATCH(SMALL(IF((Calc!$C$8:$C$500=Kanban!$C$7)*(Calc!$K$8:$K$500=Kanban!G$11)*(Calc!$Y$8:$Y$500&gt;0),Calc!$Y$8:$Y$500,99999),Kanban_Helper!$B96),Calc!$Y$8:$Y$500,0)),INDEX(Calc!$E$8:$E$500,MATCH(SMALL(IF((Calc!$K$8:$K$500=Kanban!G$11)*(Calc!$Y$8:$Y$500&gt;0),Calc!$Y$8:$Y$500,99999),Kanban_Helper!$B96),Calc!$Y$8:$Y$500,0)))),"")</f>
        <v/>
      </c>
      <c r="H103" s="171" t="str">
        <f t="array" ref="H103">IFERROR(IF(LEN(H$11)=0,"",IF($C$7&lt;&gt;"All",INDEX(Calc!$E$8:$E$500,MATCH(SMALL(IF((Calc!$C$8:$C$500=Kanban!$C$7)*(Calc!$K$8:$K$500=Kanban!H$11)*(Calc!$Y$8:$Y$500&gt;0),Calc!$Y$8:$Y$500,99999),Kanban_Helper!$B96),Calc!$Y$8:$Y$500,0)),INDEX(Calc!$E$8:$E$500,MATCH(SMALL(IF((Calc!$K$8:$K$500=Kanban!H$11)*(Calc!$Y$8:$Y$500&gt;0),Calc!$Y$8:$Y$500,99999),Kanban_Helper!$B96),Calc!$Y$8:$Y$500,0)))),"")</f>
        <v/>
      </c>
      <c r="I103" s="39"/>
    </row>
    <row r="104" spans="2:9" ht="15" thickBot="1" x14ac:dyDescent="0.4">
      <c r="B104" s="81"/>
      <c r="C104" s="172" t="str">
        <f t="array" ref="C104">IFERROR(IF(LEN(C$11)=0,"",IF($C$7&lt;&gt;"All",IF(LEN(INDEX(Calc!$J$8:$J$500,MATCH(SMALL(IF((Calc!$C$8:$C$500=Kanban!$C$7)*(Calc!$K$8:$K$500=Kanban!C$11)*(Calc!$Y$8:$Y$500&gt;0),Calc!$Y$8:$Y$500,99999),Kanban_Helper!$B97),Calc!$Y$8:$Y$500,0)))=0,"",CONCATENATE(Calc!$AD$6,INDEX(Calc!$J$8:$J$500,MATCH(SMALL(IF((Calc!$C$8:$C$500=Kanban!$C$7)*(Calc!$K$8:$K$500=Kanban!C$11)*(Calc!$Y$8:$Y$500&gt;0),Calc!$Y$8:$Y$500,99999),Kanban_Helper!$B97),Calc!$Y$8:$Y$500,0)))),IF(LEN(INDEX(Calc!$J$8:$J$500,MATCH(SMALL(IF((Calc!$K$8:$K$500=Kanban!C$11)*(Calc!$Y$8:$Y$500&gt;0),Calc!$Y$8:$Y$500,99999),Kanban_Helper!$B97),Calc!$Y$8:$Y$500,0)))=0,"",CONCATENATE(Calc!$AD$6,INDEX(Calc!$J$8:$J$500,MATCH(SMALL(IF((Calc!$K$8:$K$500=Kanban!C$11)*(Calc!$Y$8:$Y$500&gt;0),Calc!$Y$8:$Y$500,99999),Kanban_Helper!$B97),Calc!$Y$8:$Y$500,0)))))),"")</f>
        <v/>
      </c>
      <c r="D104" s="172" t="str">
        <f t="array" ref="D104">IFERROR(IF(LEN(D$11)=0,"",IF($C$7&lt;&gt;"All",IF(LEN(INDEX(Calc!$J$8:$J$500,MATCH(SMALL(IF((Calc!$C$8:$C$500=Kanban!$C$7)*(Calc!$K$8:$K$500=Kanban!D$11)*(Calc!$Y$8:$Y$500&gt;0),Calc!$Y$8:$Y$500,99999),Kanban_Helper!$B97),Calc!$Y$8:$Y$500,0)))=0,"",CONCATENATE(Calc!$AD$6,INDEX(Calc!$J$8:$J$500,MATCH(SMALL(IF((Calc!$C$8:$C$500=Kanban!$C$7)*(Calc!$K$8:$K$500=Kanban!D$11)*(Calc!$Y$8:$Y$500&gt;0),Calc!$Y$8:$Y$500,99999),Kanban_Helper!$B97),Calc!$Y$8:$Y$500,0)))),IF(LEN(INDEX(Calc!$J$8:$J$500,MATCH(SMALL(IF((Calc!$K$8:$K$500=Kanban!D$11)*(Calc!$Y$8:$Y$500&gt;0),Calc!$Y$8:$Y$500,99999),Kanban_Helper!$B97),Calc!$Y$8:$Y$500,0)))=0,"",CONCATENATE(Calc!$AD$6,INDEX(Calc!$J$8:$J$500,MATCH(SMALL(IF((Calc!$K$8:$K$500=Kanban!D$11)*(Calc!$Y$8:$Y$500&gt;0),Calc!$Y$8:$Y$500,99999),Kanban_Helper!$B97),Calc!$Y$8:$Y$500,0)))))),"")</f>
        <v/>
      </c>
      <c r="E104" s="172" t="str">
        <f t="array" ref="E104">IFERROR(IF(LEN(E$11)=0,"",IF($C$7&lt;&gt;"All",IF(LEN(INDEX(Calc!$J$8:$J$500,MATCH(SMALL(IF((Calc!$C$8:$C$500=Kanban!$C$7)*(Calc!$K$8:$K$500=Kanban!E$11)*(Calc!$Y$8:$Y$500&gt;0),Calc!$Y$8:$Y$500,99999),Kanban_Helper!$B97),Calc!$Y$8:$Y$500,0)))=0,"",CONCATENATE(Calc!$AD$6,INDEX(Calc!$J$8:$J$500,MATCH(SMALL(IF((Calc!$C$8:$C$500=Kanban!$C$7)*(Calc!$K$8:$K$500=Kanban!E$11)*(Calc!$Y$8:$Y$500&gt;0),Calc!$Y$8:$Y$500,99999),Kanban_Helper!$B97),Calc!$Y$8:$Y$500,0)))),IF(LEN(INDEX(Calc!$J$8:$J$500,MATCH(SMALL(IF((Calc!$K$8:$K$500=Kanban!E$11)*(Calc!$Y$8:$Y$500&gt;0),Calc!$Y$8:$Y$500,99999),Kanban_Helper!$B97),Calc!$Y$8:$Y$500,0)))=0,"",CONCATENATE(Calc!$AD$6,INDEX(Calc!$J$8:$J$500,MATCH(SMALL(IF((Calc!$K$8:$K$500=Kanban!E$11)*(Calc!$Y$8:$Y$500&gt;0),Calc!$Y$8:$Y$500,99999),Kanban_Helper!$B97),Calc!$Y$8:$Y$500,0)))))),"")</f>
        <v/>
      </c>
      <c r="F104" s="172" t="str">
        <f t="array" ref="F104">IFERROR(IF(LEN(F$11)=0,"",IF($C$7&lt;&gt;"All",IF(LEN(INDEX(Calc!$J$8:$J$500,MATCH(SMALL(IF((Calc!$C$8:$C$500=Kanban!$C$7)*(Calc!$K$8:$K$500=Kanban!F$11)*(Calc!$Y$8:$Y$500&gt;0),Calc!$Y$8:$Y$500,99999),Kanban_Helper!$B97),Calc!$Y$8:$Y$500,0)))=0,"",CONCATENATE(Calc!$AD$6,INDEX(Calc!$J$8:$J$500,MATCH(SMALL(IF((Calc!$C$8:$C$500=Kanban!$C$7)*(Calc!$K$8:$K$500=Kanban!F$11)*(Calc!$Y$8:$Y$500&gt;0),Calc!$Y$8:$Y$500,99999),Kanban_Helper!$B97),Calc!$Y$8:$Y$500,0)))),IF(LEN(INDEX(Calc!$J$8:$J$500,MATCH(SMALL(IF((Calc!$K$8:$K$500=Kanban!F$11)*(Calc!$Y$8:$Y$500&gt;0),Calc!$Y$8:$Y$500,99999),Kanban_Helper!$B97),Calc!$Y$8:$Y$500,0)))=0,"",CONCATENATE(Calc!$AD$6,INDEX(Calc!$J$8:$J$500,MATCH(SMALL(IF((Calc!$K$8:$K$500=Kanban!F$11)*(Calc!$Y$8:$Y$500&gt;0),Calc!$Y$8:$Y$500,99999),Kanban_Helper!$B97),Calc!$Y$8:$Y$500,0)))))),"")</f>
        <v/>
      </c>
      <c r="G104" s="172" t="str">
        <f t="array" ref="G104">IFERROR(IF(LEN(G$11)=0,"",IF($C$7&lt;&gt;"All",IF(LEN(INDEX(Calc!$J$8:$J$500,MATCH(SMALL(IF((Calc!$C$8:$C$500=Kanban!$C$7)*(Calc!$K$8:$K$500=Kanban!G$11)*(Calc!$Y$8:$Y$500&gt;0),Calc!$Y$8:$Y$500,99999),Kanban_Helper!$B97),Calc!$Y$8:$Y$500,0)))=0,"",CONCATENATE(Calc!$AD$6,INDEX(Calc!$J$8:$J$500,MATCH(SMALL(IF((Calc!$C$8:$C$500=Kanban!$C$7)*(Calc!$K$8:$K$500=Kanban!G$11)*(Calc!$Y$8:$Y$500&gt;0),Calc!$Y$8:$Y$500,99999),Kanban_Helper!$B97),Calc!$Y$8:$Y$500,0)))),IF(LEN(INDEX(Calc!$J$8:$J$500,MATCH(SMALL(IF((Calc!$K$8:$K$500=Kanban!G$11)*(Calc!$Y$8:$Y$500&gt;0),Calc!$Y$8:$Y$500,99999),Kanban_Helper!$B97),Calc!$Y$8:$Y$500,0)))=0,"",CONCATENATE(Calc!$AD$6,INDEX(Calc!$J$8:$J$500,MATCH(SMALL(IF((Calc!$K$8:$K$500=Kanban!G$11)*(Calc!$Y$8:$Y$500&gt;0),Calc!$Y$8:$Y$500,99999),Kanban_Helper!$B97),Calc!$Y$8:$Y$500,0)))))),"")</f>
        <v/>
      </c>
      <c r="H104" s="172" t="str">
        <f t="array" ref="H104">IFERROR(IF(LEN(H$11)=0,"",IF($C$7&lt;&gt;"All",IF(LEN(INDEX(Calc!$J$8:$J$500,MATCH(SMALL(IF((Calc!$C$8:$C$500=Kanban!$C$7)*(Calc!$K$8:$K$500=Kanban!H$11)*(Calc!$Y$8:$Y$500&gt;0),Calc!$Y$8:$Y$500,99999),Kanban_Helper!$B97),Calc!$Y$8:$Y$500,0)))=0,"",CONCATENATE(Calc!$AD$6,INDEX(Calc!$J$8:$J$500,MATCH(SMALL(IF((Calc!$C$8:$C$500=Kanban!$C$7)*(Calc!$K$8:$K$500=Kanban!H$11)*(Calc!$Y$8:$Y$500&gt;0),Calc!$Y$8:$Y$500,99999),Kanban_Helper!$B97),Calc!$Y$8:$Y$500,0)))),IF(LEN(INDEX(Calc!$J$8:$J$500,MATCH(SMALL(IF((Calc!$K$8:$K$500=Kanban!H$11)*(Calc!$Y$8:$Y$500&gt;0),Calc!$Y$8:$Y$500,99999),Kanban_Helper!$B97),Calc!$Y$8:$Y$500,0)))=0,"",CONCATENATE(Calc!$AD$6,INDEX(Calc!$J$8:$J$500,MATCH(SMALL(IF((Calc!$K$8:$K$500=Kanban!H$11)*(Calc!$Y$8:$Y$500&gt;0),Calc!$Y$8:$Y$500,99999),Kanban_Helper!$B97),Calc!$Y$8:$Y$500,0)))))),"")</f>
        <v/>
      </c>
      <c r="I104" s="39"/>
    </row>
    <row r="105" spans="2:9" ht="15" thickTop="1" x14ac:dyDescent="0.35">
      <c r="B105" s="81"/>
      <c r="C105" s="170" t="str">
        <f t="array" ref="C105">IFERROR(IF(LEN(C$11)=0,"",IF($C$7&lt;&gt;"All",IF(INDEX(Calc!$V$8:$V$500,MATCH(INDEX(Calc!$D$8:$D$500,MATCH(SMALL(IF((Calc!$C$8:$C$500=Kanban!$C$7)*(Calc!$K$8:$K$500=Kanban!C$11)*(Calc!$Y$8:$Y$500&gt;0),Calc!$Y$8:$Y$500,99999),Kanban_Helper!$B98),Calc!$Y$8:$Y$500,0)),Calc!$D$8:$D$500,0))="Yes",CONCATENATE(INDEX(Calc!$D$8:$D$500,MATCH(SMALL(IF((Calc!$C$8:$C$500=Kanban!$C$7)*(Calc!$K$8:$K$500=Kanban!C$11)*(Calc!$Y$8:$Y$500&gt;0),Calc!$Y$8:$Y$500,99999),Kanban_Helper!$B98),Calc!$Y$8:$Y$500,0))," ",Calc!$V$7," ","!"),INDEX(Calc!$D$8:$D$500,MATCH(SMALL(IF((Calc!$C$8:$C$500=Kanban!$C$7)*(Calc!$K$8:$K$500=Kanban!C$11)*(Calc!$Y$8:$Y$500&gt;0),Calc!$Y$8:$Y$500,99999),Kanban_Helper!$B98),Calc!$Y$8:$Y$500,0))),IF(INDEX(Calc!$V$8:$V$500,MATCH(INDEX(Calc!$D$8:$D$500,MATCH(SMALL(IF((Calc!$K$8:$K$500=Kanban!C$11)*(Calc!$Y$8:$Y$500&gt;0),Calc!$Y$8:$Y$500,99999),Kanban_Helper!$B98),Calc!$Y$8:$Y$500,0)),Calc!$D$8:$D$500,0))="Yes",CONCATENATE(INDEX(Calc!$D$8:$D$500,MATCH(SMALL(IF((Calc!$K$8:$K$500=Kanban!C$11)*(Calc!$Y$8:$Y$500&gt;0),Calc!$Y$8:$Y$500,99999),Kanban_Helper!$B98),Calc!$Y$8:$Y$500,0))," ",Calc!$V$7," ","!"),INDEX(Calc!$D$8:$D$500,MATCH(SMALL(IF((Calc!$K$8:$K$500=Kanban!C$11)*(Calc!$Y$8:$Y$500&gt;0),Calc!$Y$8:$Y$500,99999),Kanban_Helper!$B98),Calc!$Y$8:$Y$500,0))))),"")</f>
        <v/>
      </c>
      <c r="D105" s="170" t="str">
        <f t="array" ref="D105">IFERROR(IF(LEN(D$11)=0,"",IF($C$7&lt;&gt;"All",IF(INDEX(Calc!$V$8:$V$500,MATCH(INDEX(Calc!$D$8:$D$500,MATCH(SMALL(IF((Calc!$C$8:$C$500=Kanban!$C$7)*(Calc!$K$8:$K$500=Kanban!D$11)*(Calc!$Y$8:$Y$500&gt;0),Calc!$Y$8:$Y$500,99999),Kanban_Helper!$B98),Calc!$Y$8:$Y$500,0)),Calc!$D$8:$D$500,0))="Yes",CONCATENATE(INDEX(Calc!$D$8:$D$500,MATCH(SMALL(IF((Calc!$C$8:$C$500=Kanban!$C$7)*(Calc!$K$8:$K$500=Kanban!D$11)*(Calc!$Y$8:$Y$500&gt;0),Calc!$Y$8:$Y$500,99999),Kanban_Helper!$B98),Calc!$Y$8:$Y$500,0))," ",Calc!$V$7," ","!"),INDEX(Calc!$D$8:$D$500,MATCH(SMALL(IF((Calc!$C$8:$C$500=Kanban!$C$7)*(Calc!$K$8:$K$500=Kanban!D$11)*(Calc!$Y$8:$Y$500&gt;0),Calc!$Y$8:$Y$500,99999),Kanban_Helper!$B98),Calc!$Y$8:$Y$500,0))),IF(INDEX(Calc!$V$8:$V$500,MATCH(INDEX(Calc!$D$8:$D$500,MATCH(SMALL(IF((Calc!$K$8:$K$500=Kanban!D$11)*(Calc!$Y$8:$Y$500&gt;0),Calc!$Y$8:$Y$500,99999),Kanban_Helper!$B98),Calc!$Y$8:$Y$500,0)),Calc!$D$8:$D$500,0))="Yes",CONCATENATE(INDEX(Calc!$D$8:$D$500,MATCH(SMALL(IF((Calc!$K$8:$K$500=Kanban!D$11)*(Calc!$Y$8:$Y$500&gt;0),Calc!$Y$8:$Y$500,99999),Kanban_Helper!$B98),Calc!$Y$8:$Y$500,0))," ",Calc!$V$7," ","!"),INDEX(Calc!$D$8:$D$500,MATCH(SMALL(IF((Calc!$K$8:$K$500=Kanban!D$11)*(Calc!$Y$8:$Y$500&gt;0),Calc!$Y$8:$Y$500,99999),Kanban_Helper!$B98),Calc!$Y$8:$Y$500,0))))),"")</f>
        <v/>
      </c>
      <c r="E105" s="170" t="str">
        <f t="array" ref="E105">IFERROR(IF(LEN(E$11)=0,"",IF($C$7&lt;&gt;"All",IF(INDEX(Calc!$V$8:$V$500,MATCH(INDEX(Calc!$D$8:$D$500,MATCH(SMALL(IF((Calc!$C$8:$C$500=Kanban!$C$7)*(Calc!$K$8:$K$500=Kanban!E$11)*(Calc!$Y$8:$Y$500&gt;0),Calc!$Y$8:$Y$500,99999),Kanban_Helper!$B98),Calc!$Y$8:$Y$500,0)),Calc!$D$8:$D$500,0))="Yes",CONCATENATE(INDEX(Calc!$D$8:$D$500,MATCH(SMALL(IF((Calc!$C$8:$C$500=Kanban!$C$7)*(Calc!$K$8:$K$500=Kanban!E$11)*(Calc!$Y$8:$Y$500&gt;0),Calc!$Y$8:$Y$500,99999),Kanban_Helper!$B98),Calc!$Y$8:$Y$500,0))," ",Calc!$V$7," ","!"),INDEX(Calc!$D$8:$D$500,MATCH(SMALL(IF((Calc!$C$8:$C$500=Kanban!$C$7)*(Calc!$K$8:$K$500=Kanban!E$11)*(Calc!$Y$8:$Y$500&gt;0),Calc!$Y$8:$Y$500,99999),Kanban_Helper!$B98),Calc!$Y$8:$Y$500,0))),IF(INDEX(Calc!$V$8:$V$500,MATCH(INDEX(Calc!$D$8:$D$500,MATCH(SMALL(IF((Calc!$K$8:$K$500=Kanban!E$11)*(Calc!$Y$8:$Y$500&gt;0),Calc!$Y$8:$Y$500,99999),Kanban_Helper!$B98),Calc!$Y$8:$Y$500,0)),Calc!$D$8:$D$500,0))="Yes",CONCATENATE(INDEX(Calc!$D$8:$D$500,MATCH(SMALL(IF((Calc!$K$8:$K$500=Kanban!E$11)*(Calc!$Y$8:$Y$500&gt;0),Calc!$Y$8:$Y$500,99999),Kanban_Helper!$B98),Calc!$Y$8:$Y$500,0))," ",Calc!$V$7," ","!"),INDEX(Calc!$D$8:$D$500,MATCH(SMALL(IF((Calc!$K$8:$K$500=Kanban!E$11)*(Calc!$Y$8:$Y$500&gt;0),Calc!$Y$8:$Y$500,99999),Kanban_Helper!$B98),Calc!$Y$8:$Y$500,0))))),"")</f>
        <v/>
      </c>
      <c r="F105" s="170" t="str">
        <f t="array" ref="F105">IFERROR(IF(LEN(F$11)=0,"",IF($C$7&lt;&gt;"All",IF(INDEX(Calc!$V$8:$V$500,MATCH(INDEX(Calc!$D$8:$D$500,MATCH(SMALL(IF((Calc!$C$8:$C$500=Kanban!$C$7)*(Calc!$K$8:$K$500=Kanban!F$11)*(Calc!$Y$8:$Y$500&gt;0),Calc!$Y$8:$Y$500,99999),Kanban_Helper!$B98),Calc!$Y$8:$Y$500,0)),Calc!$D$8:$D$500,0))="Yes",CONCATENATE(INDEX(Calc!$D$8:$D$500,MATCH(SMALL(IF((Calc!$C$8:$C$500=Kanban!$C$7)*(Calc!$K$8:$K$500=Kanban!F$11)*(Calc!$Y$8:$Y$500&gt;0),Calc!$Y$8:$Y$500,99999),Kanban_Helper!$B98),Calc!$Y$8:$Y$500,0))," ",Calc!$V$7," ","!"),INDEX(Calc!$D$8:$D$500,MATCH(SMALL(IF((Calc!$C$8:$C$500=Kanban!$C$7)*(Calc!$K$8:$K$500=Kanban!F$11)*(Calc!$Y$8:$Y$500&gt;0),Calc!$Y$8:$Y$500,99999),Kanban_Helper!$B98),Calc!$Y$8:$Y$500,0))),IF(INDEX(Calc!$V$8:$V$500,MATCH(INDEX(Calc!$D$8:$D$500,MATCH(SMALL(IF((Calc!$K$8:$K$500=Kanban!F$11)*(Calc!$Y$8:$Y$500&gt;0),Calc!$Y$8:$Y$500,99999),Kanban_Helper!$B98),Calc!$Y$8:$Y$500,0)),Calc!$D$8:$D$500,0))="Yes",CONCATENATE(INDEX(Calc!$D$8:$D$500,MATCH(SMALL(IF((Calc!$K$8:$K$500=Kanban!F$11)*(Calc!$Y$8:$Y$500&gt;0),Calc!$Y$8:$Y$500,99999),Kanban_Helper!$B98),Calc!$Y$8:$Y$500,0))," ",Calc!$V$7," ","!"),INDEX(Calc!$D$8:$D$500,MATCH(SMALL(IF((Calc!$K$8:$K$500=Kanban!F$11)*(Calc!$Y$8:$Y$500&gt;0),Calc!$Y$8:$Y$500,99999),Kanban_Helper!$B98),Calc!$Y$8:$Y$500,0))))),"")</f>
        <v/>
      </c>
      <c r="G105" s="170" t="str">
        <f t="array" ref="G105">IFERROR(IF(LEN(G$11)=0,"",IF($C$7&lt;&gt;"All",IF(INDEX(Calc!$V$8:$V$500,MATCH(INDEX(Calc!$D$8:$D$500,MATCH(SMALL(IF((Calc!$C$8:$C$500=Kanban!$C$7)*(Calc!$K$8:$K$500=Kanban!G$11)*(Calc!$Y$8:$Y$500&gt;0),Calc!$Y$8:$Y$500,99999),Kanban_Helper!$B98),Calc!$Y$8:$Y$500,0)),Calc!$D$8:$D$500,0))="Yes",CONCATENATE(INDEX(Calc!$D$8:$D$500,MATCH(SMALL(IF((Calc!$C$8:$C$500=Kanban!$C$7)*(Calc!$K$8:$K$500=Kanban!G$11)*(Calc!$Y$8:$Y$500&gt;0),Calc!$Y$8:$Y$500,99999),Kanban_Helper!$B98),Calc!$Y$8:$Y$500,0))," ",Calc!$V$7," ","!"),INDEX(Calc!$D$8:$D$500,MATCH(SMALL(IF((Calc!$C$8:$C$500=Kanban!$C$7)*(Calc!$K$8:$K$500=Kanban!G$11)*(Calc!$Y$8:$Y$500&gt;0),Calc!$Y$8:$Y$500,99999),Kanban_Helper!$B98),Calc!$Y$8:$Y$500,0))),IF(INDEX(Calc!$V$8:$V$500,MATCH(INDEX(Calc!$D$8:$D$500,MATCH(SMALL(IF((Calc!$K$8:$K$500=Kanban!G$11)*(Calc!$Y$8:$Y$500&gt;0),Calc!$Y$8:$Y$500,99999),Kanban_Helper!$B98),Calc!$Y$8:$Y$500,0)),Calc!$D$8:$D$500,0))="Yes",CONCATENATE(INDEX(Calc!$D$8:$D$500,MATCH(SMALL(IF((Calc!$K$8:$K$500=Kanban!G$11)*(Calc!$Y$8:$Y$500&gt;0),Calc!$Y$8:$Y$500,99999),Kanban_Helper!$B98),Calc!$Y$8:$Y$500,0))," ",Calc!$V$7," ","!"),INDEX(Calc!$D$8:$D$500,MATCH(SMALL(IF((Calc!$K$8:$K$500=Kanban!G$11)*(Calc!$Y$8:$Y$500&gt;0),Calc!$Y$8:$Y$500,99999),Kanban_Helper!$B98),Calc!$Y$8:$Y$500,0))))),"")</f>
        <v/>
      </c>
      <c r="H105" s="170" t="str">
        <f t="array" ref="H105">IFERROR(IF(LEN(H$11)=0,"",IF($C$7&lt;&gt;"All",IF(INDEX(Calc!$V$8:$V$500,MATCH(INDEX(Calc!$D$8:$D$500,MATCH(SMALL(IF((Calc!$C$8:$C$500=Kanban!$C$7)*(Calc!$K$8:$K$500=Kanban!H$11)*(Calc!$Y$8:$Y$500&gt;0),Calc!$Y$8:$Y$500,99999),Kanban_Helper!$B98),Calc!$Y$8:$Y$500,0)),Calc!$D$8:$D$500,0))="Yes",CONCATENATE(INDEX(Calc!$D$8:$D$500,MATCH(SMALL(IF((Calc!$C$8:$C$500=Kanban!$C$7)*(Calc!$K$8:$K$500=Kanban!H$11)*(Calc!$Y$8:$Y$500&gt;0),Calc!$Y$8:$Y$500,99999),Kanban_Helper!$B98),Calc!$Y$8:$Y$500,0))," ",Calc!$V$7," ","!"),INDEX(Calc!$D$8:$D$500,MATCH(SMALL(IF((Calc!$C$8:$C$500=Kanban!$C$7)*(Calc!$K$8:$K$500=Kanban!H$11)*(Calc!$Y$8:$Y$500&gt;0),Calc!$Y$8:$Y$500,99999),Kanban_Helper!$B98),Calc!$Y$8:$Y$500,0))),IF(INDEX(Calc!$V$8:$V$500,MATCH(INDEX(Calc!$D$8:$D$500,MATCH(SMALL(IF((Calc!$K$8:$K$500=Kanban!H$11)*(Calc!$Y$8:$Y$500&gt;0),Calc!$Y$8:$Y$500,99999),Kanban_Helper!$B98),Calc!$Y$8:$Y$500,0)),Calc!$D$8:$D$500,0))="Yes",CONCATENATE(INDEX(Calc!$D$8:$D$500,MATCH(SMALL(IF((Calc!$K$8:$K$500=Kanban!H$11)*(Calc!$Y$8:$Y$500&gt;0),Calc!$Y$8:$Y$500,99999),Kanban_Helper!$B98),Calc!$Y$8:$Y$500,0))," ",Calc!$V$7," ","!"),INDEX(Calc!$D$8:$D$500,MATCH(SMALL(IF((Calc!$K$8:$K$500=Kanban!H$11)*(Calc!$Y$8:$Y$500&gt;0),Calc!$Y$8:$Y$500,99999),Kanban_Helper!$B98),Calc!$Y$8:$Y$500,0))))),"")</f>
        <v/>
      </c>
      <c r="I105" s="39"/>
    </row>
    <row r="106" spans="2:9" x14ac:dyDescent="0.35">
      <c r="B106" s="81"/>
      <c r="C106" s="171" t="str">
        <f t="array" ref="C106">IFERROR(IF(LEN(C$11)=0,"",IF($C$7&lt;&gt;"All",INDEX(Calc!$E$8:$E$500,MATCH(SMALL(IF((Calc!$C$8:$C$500=Kanban!$C$7)*(Calc!$K$8:$K$500=Kanban!C$11)*(Calc!$Y$8:$Y$500&gt;0),Calc!$Y$8:$Y$500,99999),Kanban_Helper!$B99),Calc!$Y$8:$Y$500,0)),INDEX(Calc!$E$8:$E$500,MATCH(SMALL(IF((Calc!$K$8:$K$500=Kanban!C$11)*(Calc!$Y$8:$Y$500&gt;0),Calc!$Y$8:$Y$500,99999),Kanban_Helper!$B99),Calc!$Y$8:$Y$500,0)))),"")</f>
        <v/>
      </c>
      <c r="D106" s="171" t="str">
        <f t="array" ref="D106">IFERROR(IF(LEN(D$11)=0,"",IF($C$7&lt;&gt;"All",INDEX(Calc!$E$8:$E$500,MATCH(SMALL(IF((Calc!$C$8:$C$500=Kanban!$C$7)*(Calc!$K$8:$K$500=Kanban!D$11)*(Calc!$Y$8:$Y$500&gt;0),Calc!$Y$8:$Y$500,99999),Kanban_Helper!$B99),Calc!$Y$8:$Y$500,0)),INDEX(Calc!$E$8:$E$500,MATCH(SMALL(IF((Calc!$K$8:$K$500=Kanban!D$11)*(Calc!$Y$8:$Y$500&gt;0),Calc!$Y$8:$Y$500,99999),Kanban_Helper!$B99),Calc!$Y$8:$Y$500,0)))),"")</f>
        <v/>
      </c>
      <c r="E106" s="171" t="str">
        <f t="array" ref="E106">IFERROR(IF(LEN(E$11)=0,"",IF($C$7&lt;&gt;"All",INDEX(Calc!$E$8:$E$500,MATCH(SMALL(IF((Calc!$C$8:$C$500=Kanban!$C$7)*(Calc!$K$8:$K$500=Kanban!E$11)*(Calc!$Y$8:$Y$500&gt;0),Calc!$Y$8:$Y$500,99999),Kanban_Helper!$B99),Calc!$Y$8:$Y$500,0)),INDEX(Calc!$E$8:$E$500,MATCH(SMALL(IF((Calc!$K$8:$K$500=Kanban!E$11)*(Calc!$Y$8:$Y$500&gt;0),Calc!$Y$8:$Y$500,99999),Kanban_Helper!$B99),Calc!$Y$8:$Y$500,0)))),"")</f>
        <v/>
      </c>
      <c r="F106" s="171" t="str">
        <f t="array" ref="F106">IFERROR(IF(LEN(F$11)=0,"",IF($C$7&lt;&gt;"All",INDEX(Calc!$E$8:$E$500,MATCH(SMALL(IF((Calc!$C$8:$C$500=Kanban!$C$7)*(Calc!$K$8:$K$500=Kanban!F$11)*(Calc!$Y$8:$Y$500&gt;0),Calc!$Y$8:$Y$500,99999),Kanban_Helper!$B99),Calc!$Y$8:$Y$500,0)),INDEX(Calc!$E$8:$E$500,MATCH(SMALL(IF((Calc!$K$8:$K$500=Kanban!F$11)*(Calc!$Y$8:$Y$500&gt;0),Calc!$Y$8:$Y$500,99999),Kanban_Helper!$B99),Calc!$Y$8:$Y$500,0)))),"")</f>
        <v/>
      </c>
      <c r="G106" s="171" t="str">
        <f t="array" ref="G106">IFERROR(IF(LEN(G$11)=0,"",IF($C$7&lt;&gt;"All",INDEX(Calc!$E$8:$E$500,MATCH(SMALL(IF((Calc!$C$8:$C$500=Kanban!$C$7)*(Calc!$K$8:$K$500=Kanban!G$11)*(Calc!$Y$8:$Y$500&gt;0),Calc!$Y$8:$Y$500,99999),Kanban_Helper!$B99),Calc!$Y$8:$Y$500,0)),INDEX(Calc!$E$8:$E$500,MATCH(SMALL(IF((Calc!$K$8:$K$500=Kanban!G$11)*(Calc!$Y$8:$Y$500&gt;0),Calc!$Y$8:$Y$500,99999),Kanban_Helper!$B99),Calc!$Y$8:$Y$500,0)))),"")</f>
        <v/>
      </c>
      <c r="H106" s="171" t="str">
        <f t="array" ref="H106">IFERROR(IF(LEN(H$11)=0,"",IF($C$7&lt;&gt;"All",INDEX(Calc!$E$8:$E$500,MATCH(SMALL(IF((Calc!$C$8:$C$500=Kanban!$C$7)*(Calc!$K$8:$K$500=Kanban!H$11)*(Calc!$Y$8:$Y$500&gt;0),Calc!$Y$8:$Y$500,99999),Kanban_Helper!$B99),Calc!$Y$8:$Y$500,0)),INDEX(Calc!$E$8:$E$500,MATCH(SMALL(IF((Calc!$K$8:$K$500=Kanban!H$11)*(Calc!$Y$8:$Y$500&gt;0),Calc!$Y$8:$Y$500,99999),Kanban_Helper!$B99),Calc!$Y$8:$Y$500,0)))),"")</f>
        <v/>
      </c>
      <c r="I106" s="39"/>
    </row>
    <row r="107" spans="2:9" ht="15" thickBot="1" x14ac:dyDescent="0.4">
      <c r="B107" s="81"/>
      <c r="C107" s="172" t="str">
        <f t="array" ref="C107">IFERROR(IF(LEN(C$11)=0,"",IF($C$7&lt;&gt;"All",IF(LEN(INDEX(Calc!$J$8:$J$500,MATCH(SMALL(IF((Calc!$C$8:$C$500=Kanban!$C$7)*(Calc!$K$8:$K$500=Kanban!C$11)*(Calc!$Y$8:$Y$500&gt;0),Calc!$Y$8:$Y$500,99999),Kanban_Helper!$B100),Calc!$Y$8:$Y$500,0)))=0,"",CONCATENATE(Calc!$AD$6,INDEX(Calc!$J$8:$J$500,MATCH(SMALL(IF((Calc!$C$8:$C$500=Kanban!$C$7)*(Calc!$K$8:$K$500=Kanban!C$11)*(Calc!$Y$8:$Y$500&gt;0),Calc!$Y$8:$Y$500,99999),Kanban_Helper!$B100),Calc!$Y$8:$Y$500,0)))),IF(LEN(INDEX(Calc!$J$8:$J$500,MATCH(SMALL(IF((Calc!$K$8:$K$500=Kanban!C$11)*(Calc!$Y$8:$Y$500&gt;0),Calc!$Y$8:$Y$500,99999),Kanban_Helper!$B100),Calc!$Y$8:$Y$500,0)))=0,"",CONCATENATE(Calc!$AD$6,INDEX(Calc!$J$8:$J$500,MATCH(SMALL(IF((Calc!$K$8:$K$500=Kanban!C$11)*(Calc!$Y$8:$Y$500&gt;0),Calc!$Y$8:$Y$500,99999),Kanban_Helper!$B100),Calc!$Y$8:$Y$500,0)))))),"")</f>
        <v/>
      </c>
      <c r="D107" s="172" t="str">
        <f t="array" ref="D107">IFERROR(IF(LEN(D$11)=0,"",IF($C$7&lt;&gt;"All",IF(LEN(INDEX(Calc!$J$8:$J$500,MATCH(SMALL(IF((Calc!$C$8:$C$500=Kanban!$C$7)*(Calc!$K$8:$K$500=Kanban!D$11)*(Calc!$Y$8:$Y$500&gt;0),Calc!$Y$8:$Y$500,99999),Kanban_Helper!$B100),Calc!$Y$8:$Y$500,0)))=0,"",CONCATENATE(Calc!$AD$6,INDEX(Calc!$J$8:$J$500,MATCH(SMALL(IF((Calc!$C$8:$C$500=Kanban!$C$7)*(Calc!$K$8:$K$500=Kanban!D$11)*(Calc!$Y$8:$Y$500&gt;0),Calc!$Y$8:$Y$500,99999),Kanban_Helper!$B100),Calc!$Y$8:$Y$500,0)))),IF(LEN(INDEX(Calc!$J$8:$J$500,MATCH(SMALL(IF((Calc!$K$8:$K$500=Kanban!D$11)*(Calc!$Y$8:$Y$500&gt;0),Calc!$Y$8:$Y$500,99999),Kanban_Helper!$B100),Calc!$Y$8:$Y$500,0)))=0,"",CONCATENATE(Calc!$AD$6,INDEX(Calc!$J$8:$J$500,MATCH(SMALL(IF((Calc!$K$8:$K$500=Kanban!D$11)*(Calc!$Y$8:$Y$500&gt;0),Calc!$Y$8:$Y$500,99999),Kanban_Helper!$B100),Calc!$Y$8:$Y$500,0)))))),"")</f>
        <v/>
      </c>
      <c r="E107" s="172" t="str">
        <f t="array" ref="E107">IFERROR(IF(LEN(E$11)=0,"",IF($C$7&lt;&gt;"All",IF(LEN(INDEX(Calc!$J$8:$J$500,MATCH(SMALL(IF((Calc!$C$8:$C$500=Kanban!$C$7)*(Calc!$K$8:$K$500=Kanban!E$11)*(Calc!$Y$8:$Y$500&gt;0),Calc!$Y$8:$Y$500,99999),Kanban_Helper!$B100),Calc!$Y$8:$Y$500,0)))=0,"",CONCATENATE(Calc!$AD$6,INDEX(Calc!$J$8:$J$500,MATCH(SMALL(IF((Calc!$C$8:$C$500=Kanban!$C$7)*(Calc!$K$8:$K$500=Kanban!E$11)*(Calc!$Y$8:$Y$500&gt;0),Calc!$Y$8:$Y$500,99999),Kanban_Helper!$B100),Calc!$Y$8:$Y$500,0)))),IF(LEN(INDEX(Calc!$J$8:$J$500,MATCH(SMALL(IF((Calc!$K$8:$K$500=Kanban!E$11)*(Calc!$Y$8:$Y$500&gt;0),Calc!$Y$8:$Y$500,99999),Kanban_Helper!$B100),Calc!$Y$8:$Y$500,0)))=0,"",CONCATENATE(Calc!$AD$6,INDEX(Calc!$J$8:$J$500,MATCH(SMALL(IF((Calc!$K$8:$K$500=Kanban!E$11)*(Calc!$Y$8:$Y$500&gt;0),Calc!$Y$8:$Y$500,99999),Kanban_Helper!$B100),Calc!$Y$8:$Y$500,0)))))),"")</f>
        <v/>
      </c>
      <c r="F107" s="172" t="str">
        <f t="array" ref="F107">IFERROR(IF(LEN(F$11)=0,"",IF($C$7&lt;&gt;"All",IF(LEN(INDEX(Calc!$J$8:$J$500,MATCH(SMALL(IF((Calc!$C$8:$C$500=Kanban!$C$7)*(Calc!$K$8:$K$500=Kanban!F$11)*(Calc!$Y$8:$Y$500&gt;0),Calc!$Y$8:$Y$500,99999),Kanban_Helper!$B100),Calc!$Y$8:$Y$500,0)))=0,"",CONCATENATE(Calc!$AD$6,INDEX(Calc!$J$8:$J$500,MATCH(SMALL(IF((Calc!$C$8:$C$500=Kanban!$C$7)*(Calc!$K$8:$K$500=Kanban!F$11)*(Calc!$Y$8:$Y$500&gt;0),Calc!$Y$8:$Y$500,99999),Kanban_Helper!$B100),Calc!$Y$8:$Y$500,0)))),IF(LEN(INDEX(Calc!$J$8:$J$500,MATCH(SMALL(IF((Calc!$K$8:$K$500=Kanban!F$11)*(Calc!$Y$8:$Y$500&gt;0),Calc!$Y$8:$Y$500,99999),Kanban_Helper!$B100),Calc!$Y$8:$Y$500,0)))=0,"",CONCATENATE(Calc!$AD$6,INDEX(Calc!$J$8:$J$500,MATCH(SMALL(IF((Calc!$K$8:$K$500=Kanban!F$11)*(Calc!$Y$8:$Y$500&gt;0),Calc!$Y$8:$Y$500,99999),Kanban_Helper!$B100),Calc!$Y$8:$Y$500,0)))))),"")</f>
        <v/>
      </c>
      <c r="G107" s="172" t="str">
        <f t="array" ref="G107">IFERROR(IF(LEN(G$11)=0,"",IF($C$7&lt;&gt;"All",IF(LEN(INDEX(Calc!$J$8:$J$500,MATCH(SMALL(IF((Calc!$C$8:$C$500=Kanban!$C$7)*(Calc!$K$8:$K$500=Kanban!G$11)*(Calc!$Y$8:$Y$500&gt;0),Calc!$Y$8:$Y$500,99999),Kanban_Helper!$B100),Calc!$Y$8:$Y$500,0)))=0,"",CONCATENATE(Calc!$AD$6,INDEX(Calc!$J$8:$J$500,MATCH(SMALL(IF((Calc!$C$8:$C$500=Kanban!$C$7)*(Calc!$K$8:$K$500=Kanban!G$11)*(Calc!$Y$8:$Y$500&gt;0),Calc!$Y$8:$Y$500,99999),Kanban_Helper!$B100),Calc!$Y$8:$Y$500,0)))),IF(LEN(INDEX(Calc!$J$8:$J$500,MATCH(SMALL(IF((Calc!$K$8:$K$500=Kanban!G$11)*(Calc!$Y$8:$Y$500&gt;0),Calc!$Y$8:$Y$500,99999),Kanban_Helper!$B100),Calc!$Y$8:$Y$500,0)))=0,"",CONCATENATE(Calc!$AD$6,INDEX(Calc!$J$8:$J$500,MATCH(SMALL(IF((Calc!$K$8:$K$500=Kanban!G$11)*(Calc!$Y$8:$Y$500&gt;0),Calc!$Y$8:$Y$500,99999),Kanban_Helper!$B100),Calc!$Y$8:$Y$500,0)))))),"")</f>
        <v/>
      </c>
      <c r="H107" s="172" t="str">
        <f t="array" ref="H107">IFERROR(IF(LEN(H$11)=0,"",IF($C$7&lt;&gt;"All",IF(LEN(INDEX(Calc!$J$8:$J$500,MATCH(SMALL(IF((Calc!$C$8:$C$500=Kanban!$C$7)*(Calc!$K$8:$K$500=Kanban!H$11)*(Calc!$Y$8:$Y$500&gt;0),Calc!$Y$8:$Y$500,99999),Kanban_Helper!$B100),Calc!$Y$8:$Y$500,0)))=0,"",CONCATENATE(Calc!$AD$6,INDEX(Calc!$J$8:$J$500,MATCH(SMALL(IF((Calc!$C$8:$C$500=Kanban!$C$7)*(Calc!$K$8:$K$500=Kanban!H$11)*(Calc!$Y$8:$Y$500&gt;0),Calc!$Y$8:$Y$500,99999),Kanban_Helper!$B100),Calc!$Y$8:$Y$500,0)))),IF(LEN(INDEX(Calc!$J$8:$J$500,MATCH(SMALL(IF((Calc!$K$8:$K$500=Kanban!H$11)*(Calc!$Y$8:$Y$500&gt;0),Calc!$Y$8:$Y$500,99999),Kanban_Helper!$B100),Calc!$Y$8:$Y$500,0)))=0,"",CONCATENATE(Calc!$AD$6,INDEX(Calc!$J$8:$J$500,MATCH(SMALL(IF((Calc!$K$8:$K$500=Kanban!H$11)*(Calc!$Y$8:$Y$500&gt;0),Calc!$Y$8:$Y$500,99999),Kanban_Helper!$B100),Calc!$Y$8:$Y$500,0)))))),"")</f>
        <v/>
      </c>
      <c r="I107" s="39"/>
    </row>
    <row r="108" spans="2:9" ht="15" thickTop="1" x14ac:dyDescent="0.35">
      <c r="B108" s="81"/>
      <c r="C108" s="170" t="str">
        <f t="array" ref="C108">IFERROR(IF(LEN(C$11)=0,"",IF($C$7&lt;&gt;"All",IF(INDEX(Calc!$V$8:$V$500,MATCH(INDEX(Calc!$D$8:$D$500,MATCH(SMALL(IF((Calc!$C$8:$C$500=Kanban!$C$7)*(Calc!$K$8:$K$500=Kanban!C$11)*(Calc!$Y$8:$Y$500&gt;0),Calc!$Y$8:$Y$500,99999),Kanban_Helper!$B101),Calc!$Y$8:$Y$500,0)),Calc!$D$8:$D$500,0))="Yes",CONCATENATE(INDEX(Calc!$D$8:$D$500,MATCH(SMALL(IF((Calc!$C$8:$C$500=Kanban!$C$7)*(Calc!$K$8:$K$500=Kanban!C$11)*(Calc!$Y$8:$Y$500&gt;0),Calc!$Y$8:$Y$500,99999),Kanban_Helper!$B101),Calc!$Y$8:$Y$500,0))," ",Calc!$V$7," ","!"),INDEX(Calc!$D$8:$D$500,MATCH(SMALL(IF((Calc!$C$8:$C$500=Kanban!$C$7)*(Calc!$K$8:$K$500=Kanban!C$11)*(Calc!$Y$8:$Y$500&gt;0),Calc!$Y$8:$Y$500,99999),Kanban_Helper!$B101),Calc!$Y$8:$Y$500,0))),IF(INDEX(Calc!$V$8:$V$500,MATCH(INDEX(Calc!$D$8:$D$500,MATCH(SMALL(IF((Calc!$K$8:$K$500=Kanban!C$11)*(Calc!$Y$8:$Y$500&gt;0),Calc!$Y$8:$Y$500,99999),Kanban_Helper!$B101),Calc!$Y$8:$Y$500,0)),Calc!$D$8:$D$500,0))="Yes",CONCATENATE(INDEX(Calc!$D$8:$D$500,MATCH(SMALL(IF((Calc!$K$8:$K$500=Kanban!C$11)*(Calc!$Y$8:$Y$500&gt;0),Calc!$Y$8:$Y$500,99999),Kanban_Helper!$B101),Calc!$Y$8:$Y$500,0))," ",Calc!$V$7," ","!"),INDEX(Calc!$D$8:$D$500,MATCH(SMALL(IF((Calc!$K$8:$K$500=Kanban!C$11)*(Calc!$Y$8:$Y$500&gt;0),Calc!$Y$8:$Y$500,99999),Kanban_Helper!$B101),Calc!$Y$8:$Y$500,0))))),"")</f>
        <v/>
      </c>
      <c r="D108" s="170" t="str">
        <f t="array" ref="D108">IFERROR(IF(LEN(D$11)=0,"",IF($C$7&lt;&gt;"All",IF(INDEX(Calc!$V$8:$V$500,MATCH(INDEX(Calc!$D$8:$D$500,MATCH(SMALL(IF((Calc!$C$8:$C$500=Kanban!$C$7)*(Calc!$K$8:$K$500=Kanban!D$11)*(Calc!$Y$8:$Y$500&gt;0),Calc!$Y$8:$Y$500,99999),Kanban_Helper!$B101),Calc!$Y$8:$Y$500,0)),Calc!$D$8:$D$500,0))="Yes",CONCATENATE(INDEX(Calc!$D$8:$D$500,MATCH(SMALL(IF((Calc!$C$8:$C$500=Kanban!$C$7)*(Calc!$K$8:$K$500=Kanban!D$11)*(Calc!$Y$8:$Y$500&gt;0),Calc!$Y$8:$Y$500,99999),Kanban_Helper!$B101),Calc!$Y$8:$Y$500,0))," ",Calc!$V$7," ","!"),INDEX(Calc!$D$8:$D$500,MATCH(SMALL(IF((Calc!$C$8:$C$500=Kanban!$C$7)*(Calc!$K$8:$K$500=Kanban!D$11)*(Calc!$Y$8:$Y$500&gt;0),Calc!$Y$8:$Y$500,99999),Kanban_Helper!$B101),Calc!$Y$8:$Y$500,0))),IF(INDEX(Calc!$V$8:$V$500,MATCH(INDEX(Calc!$D$8:$D$500,MATCH(SMALL(IF((Calc!$K$8:$K$500=Kanban!D$11)*(Calc!$Y$8:$Y$500&gt;0),Calc!$Y$8:$Y$500,99999),Kanban_Helper!$B101),Calc!$Y$8:$Y$500,0)),Calc!$D$8:$D$500,0))="Yes",CONCATENATE(INDEX(Calc!$D$8:$D$500,MATCH(SMALL(IF((Calc!$K$8:$K$500=Kanban!D$11)*(Calc!$Y$8:$Y$500&gt;0),Calc!$Y$8:$Y$500,99999),Kanban_Helper!$B101),Calc!$Y$8:$Y$500,0))," ",Calc!$V$7," ","!"),INDEX(Calc!$D$8:$D$500,MATCH(SMALL(IF((Calc!$K$8:$K$500=Kanban!D$11)*(Calc!$Y$8:$Y$500&gt;0),Calc!$Y$8:$Y$500,99999),Kanban_Helper!$B101),Calc!$Y$8:$Y$500,0))))),"")</f>
        <v/>
      </c>
      <c r="E108" s="170" t="str">
        <f t="array" ref="E108">IFERROR(IF(LEN(E$11)=0,"",IF($C$7&lt;&gt;"All",IF(INDEX(Calc!$V$8:$V$500,MATCH(INDEX(Calc!$D$8:$D$500,MATCH(SMALL(IF((Calc!$C$8:$C$500=Kanban!$C$7)*(Calc!$K$8:$K$500=Kanban!E$11)*(Calc!$Y$8:$Y$500&gt;0),Calc!$Y$8:$Y$500,99999),Kanban_Helper!$B101),Calc!$Y$8:$Y$500,0)),Calc!$D$8:$D$500,0))="Yes",CONCATENATE(INDEX(Calc!$D$8:$D$500,MATCH(SMALL(IF((Calc!$C$8:$C$500=Kanban!$C$7)*(Calc!$K$8:$K$500=Kanban!E$11)*(Calc!$Y$8:$Y$500&gt;0),Calc!$Y$8:$Y$500,99999),Kanban_Helper!$B101),Calc!$Y$8:$Y$500,0))," ",Calc!$V$7," ","!"),INDEX(Calc!$D$8:$D$500,MATCH(SMALL(IF((Calc!$C$8:$C$500=Kanban!$C$7)*(Calc!$K$8:$K$500=Kanban!E$11)*(Calc!$Y$8:$Y$500&gt;0),Calc!$Y$8:$Y$500,99999),Kanban_Helper!$B101),Calc!$Y$8:$Y$500,0))),IF(INDEX(Calc!$V$8:$V$500,MATCH(INDEX(Calc!$D$8:$D$500,MATCH(SMALL(IF((Calc!$K$8:$K$500=Kanban!E$11)*(Calc!$Y$8:$Y$500&gt;0),Calc!$Y$8:$Y$500,99999),Kanban_Helper!$B101),Calc!$Y$8:$Y$500,0)),Calc!$D$8:$D$500,0))="Yes",CONCATENATE(INDEX(Calc!$D$8:$D$500,MATCH(SMALL(IF((Calc!$K$8:$K$500=Kanban!E$11)*(Calc!$Y$8:$Y$500&gt;0),Calc!$Y$8:$Y$500,99999),Kanban_Helper!$B101),Calc!$Y$8:$Y$500,0))," ",Calc!$V$7," ","!"),INDEX(Calc!$D$8:$D$500,MATCH(SMALL(IF((Calc!$K$8:$K$500=Kanban!E$11)*(Calc!$Y$8:$Y$500&gt;0),Calc!$Y$8:$Y$500,99999),Kanban_Helper!$B101),Calc!$Y$8:$Y$500,0))))),"")</f>
        <v/>
      </c>
      <c r="F108" s="170" t="str">
        <f t="array" ref="F108">IFERROR(IF(LEN(F$11)=0,"",IF($C$7&lt;&gt;"All",IF(INDEX(Calc!$V$8:$V$500,MATCH(INDEX(Calc!$D$8:$D$500,MATCH(SMALL(IF((Calc!$C$8:$C$500=Kanban!$C$7)*(Calc!$K$8:$K$500=Kanban!F$11)*(Calc!$Y$8:$Y$500&gt;0),Calc!$Y$8:$Y$500,99999),Kanban_Helper!$B101),Calc!$Y$8:$Y$500,0)),Calc!$D$8:$D$500,0))="Yes",CONCATENATE(INDEX(Calc!$D$8:$D$500,MATCH(SMALL(IF((Calc!$C$8:$C$500=Kanban!$C$7)*(Calc!$K$8:$K$500=Kanban!F$11)*(Calc!$Y$8:$Y$500&gt;0),Calc!$Y$8:$Y$500,99999),Kanban_Helper!$B101),Calc!$Y$8:$Y$500,0))," ",Calc!$V$7," ","!"),INDEX(Calc!$D$8:$D$500,MATCH(SMALL(IF((Calc!$C$8:$C$500=Kanban!$C$7)*(Calc!$K$8:$K$500=Kanban!F$11)*(Calc!$Y$8:$Y$500&gt;0),Calc!$Y$8:$Y$500,99999),Kanban_Helper!$B101),Calc!$Y$8:$Y$500,0))),IF(INDEX(Calc!$V$8:$V$500,MATCH(INDEX(Calc!$D$8:$D$500,MATCH(SMALL(IF((Calc!$K$8:$K$500=Kanban!F$11)*(Calc!$Y$8:$Y$500&gt;0),Calc!$Y$8:$Y$500,99999),Kanban_Helper!$B101),Calc!$Y$8:$Y$500,0)),Calc!$D$8:$D$500,0))="Yes",CONCATENATE(INDEX(Calc!$D$8:$D$500,MATCH(SMALL(IF((Calc!$K$8:$K$500=Kanban!F$11)*(Calc!$Y$8:$Y$500&gt;0),Calc!$Y$8:$Y$500,99999),Kanban_Helper!$B101),Calc!$Y$8:$Y$500,0))," ",Calc!$V$7," ","!"),INDEX(Calc!$D$8:$D$500,MATCH(SMALL(IF((Calc!$K$8:$K$500=Kanban!F$11)*(Calc!$Y$8:$Y$500&gt;0),Calc!$Y$8:$Y$500,99999),Kanban_Helper!$B101),Calc!$Y$8:$Y$500,0))))),"")</f>
        <v/>
      </c>
      <c r="G108" s="170" t="str">
        <f t="array" ref="G108">IFERROR(IF(LEN(G$11)=0,"",IF($C$7&lt;&gt;"All",IF(INDEX(Calc!$V$8:$V$500,MATCH(INDEX(Calc!$D$8:$D$500,MATCH(SMALL(IF((Calc!$C$8:$C$500=Kanban!$C$7)*(Calc!$K$8:$K$500=Kanban!G$11)*(Calc!$Y$8:$Y$500&gt;0),Calc!$Y$8:$Y$500,99999),Kanban_Helper!$B101),Calc!$Y$8:$Y$500,0)),Calc!$D$8:$D$500,0))="Yes",CONCATENATE(INDEX(Calc!$D$8:$D$500,MATCH(SMALL(IF((Calc!$C$8:$C$500=Kanban!$C$7)*(Calc!$K$8:$K$500=Kanban!G$11)*(Calc!$Y$8:$Y$500&gt;0),Calc!$Y$8:$Y$500,99999),Kanban_Helper!$B101),Calc!$Y$8:$Y$500,0))," ",Calc!$V$7," ","!"),INDEX(Calc!$D$8:$D$500,MATCH(SMALL(IF((Calc!$C$8:$C$500=Kanban!$C$7)*(Calc!$K$8:$K$500=Kanban!G$11)*(Calc!$Y$8:$Y$500&gt;0),Calc!$Y$8:$Y$500,99999),Kanban_Helper!$B101),Calc!$Y$8:$Y$500,0))),IF(INDEX(Calc!$V$8:$V$500,MATCH(INDEX(Calc!$D$8:$D$500,MATCH(SMALL(IF((Calc!$K$8:$K$500=Kanban!G$11)*(Calc!$Y$8:$Y$500&gt;0),Calc!$Y$8:$Y$500,99999),Kanban_Helper!$B101),Calc!$Y$8:$Y$500,0)),Calc!$D$8:$D$500,0))="Yes",CONCATENATE(INDEX(Calc!$D$8:$D$500,MATCH(SMALL(IF((Calc!$K$8:$K$500=Kanban!G$11)*(Calc!$Y$8:$Y$500&gt;0),Calc!$Y$8:$Y$500,99999),Kanban_Helper!$B101),Calc!$Y$8:$Y$500,0))," ",Calc!$V$7," ","!"),INDEX(Calc!$D$8:$D$500,MATCH(SMALL(IF((Calc!$K$8:$K$500=Kanban!G$11)*(Calc!$Y$8:$Y$500&gt;0),Calc!$Y$8:$Y$500,99999),Kanban_Helper!$B101),Calc!$Y$8:$Y$500,0))))),"")</f>
        <v/>
      </c>
      <c r="H108" s="170" t="str">
        <f t="array" ref="H108">IFERROR(IF(LEN(H$11)=0,"",IF($C$7&lt;&gt;"All",IF(INDEX(Calc!$V$8:$V$500,MATCH(INDEX(Calc!$D$8:$D$500,MATCH(SMALL(IF((Calc!$C$8:$C$500=Kanban!$C$7)*(Calc!$K$8:$K$500=Kanban!H$11)*(Calc!$Y$8:$Y$500&gt;0),Calc!$Y$8:$Y$500,99999),Kanban_Helper!$B101),Calc!$Y$8:$Y$500,0)),Calc!$D$8:$D$500,0))="Yes",CONCATENATE(INDEX(Calc!$D$8:$D$500,MATCH(SMALL(IF((Calc!$C$8:$C$500=Kanban!$C$7)*(Calc!$K$8:$K$500=Kanban!H$11)*(Calc!$Y$8:$Y$500&gt;0),Calc!$Y$8:$Y$500,99999),Kanban_Helper!$B101),Calc!$Y$8:$Y$500,0))," ",Calc!$V$7," ","!"),INDEX(Calc!$D$8:$D$500,MATCH(SMALL(IF((Calc!$C$8:$C$500=Kanban!$C$7)*(Calc!$K$8:$K$500=Kanban!H$11)*(Calc!$Y$8:$Y$500&gt;0),Calc!$Y$8:$Y$500,99999),Kanban_Helper!$B101),Calc!$Y$8:$Y$500,0))),IF(INDEX(Calc!$V$8:$V$500,MATCH(INDEX(Calc!$D$8:$D$500,MATCH(SMALL(IF((Calc!$K$8:$K$500=Kanban!H$11)*(Calc!$Y$8:$Y$500&gt;0),Calc!$Y$8:$Y$500,99999),Kanban_Helper!$B101),Calc!$Y$8:$Y$500,0)),Calc!$D$8:$D$500,0))="Yes",CONCATENATE(INDEX(Calc!$D$8:$D$500,MATCH(SMALL(IF((Calc!$K$8:$K$500=Kanban!H$11)*(Calc!$Y$8:$Y$500&gt;0),Calc!$Y$8:$Y$500,99999),Kanban_Helper!$B101),Calc!$Y$8:$Y$500,0))," ",Calc!$V$7," ","!"),INDEX(Calc!$D$8:$D$500,MATCH(SMALL(IF((Calc!$K$8:$K$500=Kanban!H$11)*(Calc!$Y$8:$Y$500&gt;0),Calc!$Y$8:$Y$500,99999),Kanban_Helper!$B101),Calc!$Y$8:$Y$500,0))))),"")</f>
        <v/>
      </c>
      <c r="I108" s="39"/>
    </row>
    <row r="109" spans="2:9" x14ac:dyDescent="0.35">
      <c r="B109" s="81"/>
      <c r="C109" s="171" t="str">
        <f t="array" ref="C109">IFERROR(IF(LEN(C$11)=0,"",IF($C$7&lt;&gt;"All",INDEX(Calc!$E$8:$E$500,MATCH(SMALL(IF((Calc!$C$8:$C$500=Kanban!$C$7)*(Calc!$K$8:$K$500=Kanban!C$11)*(Calc!$Y$8:$Y$500&gt;0),Calc!$Y$8:$Y$500,99999),Kanban_Helper!$B102),Calc!$Y$8:$Y$500,0)),INDEX(Calc!$E$8:$E$500,MATCH(SMALL(IF((Calc!$K$8:$K$500=Kanban!C$11)*(Calc!$Y$8:$Y$500&gt;0),Calc!$Y$8:$Y$500,99999),Kanban_Helper!$B102),Calc!$Y$8:$Y$500,0)))),"")</f>
        <v/>
      </c>
      <c r="D109" s="171" t="str">
        <f t="array" ref="D109">IFERROR(IF(LEN(D$11)=0,"",IF($C$7&lt;&gt;"All",INDEX(Calc!$E$8:$E$500,MATCH(SMALL(IF((Calc!$C$8:$C$500=Kanban!$C$7)*(Calc!$K$8:$K$500=Kanban!D$11)*(Calc!$Y$8:$Y$500&gt;0),Calc!$Y$8:$Y$500,99999),Kanban_Helper!$B102),Calc!$Y$8:$Y$500,0)),INDEX(Calc!$E$8:$E$500,MATCH(SMALL(IF((Calc!$K$8:$K$500=Kanban!D$11)*(Calc!$Y$8:$Y$500&gt;0),Calc!$Y$8:$Y$500,99999),Kanban_Helper!$B102),Calc!$Y$8:$Y$500,0)))),"")</f>
        <v/>
      </c>
      <c r="E109" s="171" t="str">
        <f t="array" ref="E109">IFERROR(IF(LEN(E$11)=0,"",IF($C$7&lt;&gt;"All",INDEX(Calc!$E$8:$E$500,MATCH(SMALL(IF((Calc!$C$8:$C$500=Kanban!$C$7)*(Calc!$K$8:$K$500=Kanban!E$11)*(Calc!$Y$8:$Y$500&gt;0),Calc!$Y$8:$Y$500,99999),Kanban_Helper!$B102),Calc!$Y$8:$Y$500,0)),INDEX(Calc!$E$8:$E$500,MATCH(SMALL(IF((Calc!$K$8:$K$500=Kanban!E$11)*(Calc!$Y$8:$Y$500&gt;0),Calc!$Y$8:$Y$500,99999),Kanban_Helper!$B102),Calc!$Y$8:$Y$500,0)))),"")</f>
        <v/>
      </c>
      <c r="F109" s="171" t="str">
        <f t="array" ref="F109">IFERROR(IF(LEN(F$11)=0,"",IF($C$7&lt;&gt;"All",INDEX(Calc!$E$8:$E$500,MATCH(SMALL(IF((Calc!$C$8:$C$500=Kanban!$C$7)*(Calc!$K$8:$K$500=Kanban!F$11)*(Calc!$Y$8:$Y$500&gt;0),Calc!$Y$8:$Y$500,99999),Kanban_Helper!$B102),Calc!$Y$8:$Y$500,0)),INDEX(Calc!$E$8:$E$500,MATCH(SMALL(IF((Calc!$K$8:$K$500=Kanban!F$11)*(Calc!$Y$8:$Y$500&gt;0),Calc!$Y$8:$Y$500,99999),Kanban_Helper!$B102),Calc!$Y$8:$Y$500,0)))),"")</f>
        <v/>
      </c>
      <c r="G109" s="171" t="str">
        <f t="array" ref="G109">IFERROR(IF(LEN(G$11)=0,"",IF($C$7&lt;&gt;"All",INDEX(Calc!$E$8:$E$500,MATCH(SMALL(IF((Calc!$C$8:$C$500=Kanban!$C$7)*(Calc!$K$8:$K$500=Kanban!G$11)*(Calc!$Y$8:$Y$500&gt;0),Calc!$Y$8:$Y$500,99999),Kanban_Helper!$B102),Calc!$Y$8:$Y$500,0)),INDEX(Calc!$E$8:$E$500,MATCH(SMALL(IF((Calc!$K$8:$K$500=Kanban!G$11)*(Calc!$Y$8:$Y$500&gt;0),Calc!$Y$8:$Y$500,99999),Kanban_Helper!$B102),Calc!$Y$8:$Y$500,0)))),"")</f>
        <v/>
      </c>
      <c r="H109" s="171" t="str">
        <f t="array" ref="H109">IFERROR(IF(LEN(H$11)=0,"",IF($C$7&lt;&gt;"All",INDEX(Calc!$E$8:$E$500,MATCH(SMALL(IF((Calc!$C$8:$C$500=Kanban!$C$7)*(Calc!$K$8:$K$500=Kanban!H$11)*(Calc!$Y$8:$Y$500&gt;0),Calc!$Y$8:$Y$500,99999),Kanban_Helper!$B102),Calc!$Y$8:$Y$500,0)),INDEX(Calc!$E$8:$E$500,MATCH(SMALL(IF((Calc!$K$8:$K$500=Kanban!H$11)*(Calc!$Y$8:$Y$500&gt;0),Calc!$Y$8:$Y$500,99999),Kanban_Helper!$B102),Calc!$Y$8:$Y$500,0)))),"")</f>
        <v/>
      </c>
      <c r="I109" s="39"/>
    </row>
    <row r="110" spans="2:9" ht="15" thickBot="1" x14ac:dyDescent="0.4">
      <c r="B110" s="81"/>
      <c r="C110" s="172" t="str">
        <f t="array" ref="C110">IFERROR(IF(LEN(C$11)=0,"",IF($C$7&lt;&gt;"All",IF(LEN(INDEX(Calc!$J$8:$J$500,MATCH(SMALL(IF((Calc!$C$8:$C$500=Kanban!$C$7)*(Calc!$K$8:$K$500=Kanban!C$11)*(Calc!$Y$8:$Y$500&gt;0),Calc!$Y$8:$Y$500,99999),Kanban_Helper!$B103),Calc!$Y$8:$Y$500,0)))=0,"",CONCATENATE(Calc!$AD$6,INDEX(Calc!$J$8:$J$500,MATCH(SMALL(IF((Calc!$C$8:$C$500=Kanban!$C$7)*(Calc!$K$8:$K$500=Kanban!C$11)*(Calc!$Y$8:$Y$500&gt;0),Calc!$Y$8:$Y$500,99999),Kanban_Helper!$B103),Calc!$Y$8:$Y$500,0)))),IF(LEN(INDEX(Calc!$J$8:$J$500,MATCH(SMALL(IF((Calc!$K$8:$K$500=Kanban!C$11)*(Calc!$Y$8:$Y$500&gt;0),Calc!$Y$8:$Y$500,99999),Kanban_Helper!$B103),Calc!$Y$8:$Y$500,0)))=0,"",CONCATENATE(Calc!$AD$6,INDEX(Calc!$J$8:$J$500,MATCH(SMALL(IF((Calc!$K$8:$K$500=Kanban!C$11)*(Calc!$Y$8:$Y$500&gt;0),Calc!$Y$8:$Y$500,99999),Kanban_Helper!$B103),Calc!$Y$8:$Y$500,0)))))),"")</f>
        <v/>
      </c>
      <c r="D110" s="172" t="str">
        <f t="array" ref="D110">IFERROR(IF(LEN(D$11)=0,"",IF($C$7&lt;&gt;"All",IF(LEN(INDEX(Calc!$J$8:$J$500,MATCH(SMALL(IF((Calc!$C$8:$C$500=Kanban!$C$7)*(Calc!$K$8:$K$500=Kanban!D$11)*(Calc!$Y$8:$Y$500&gt;0),Calc!$Y$8:$Y$500,99999),Kanban_Helper!$B103),Calc!$Y$8:$Y$500,0)))=0,"",CONCATENATE(Calc!$AD$6,INDEX(Calc!$J$8:$J$500,MATCH(SMALL(IF((Calc!$C$8:$C$500=Kanban!$C$7)*(Calc!$K$8:$K$500=Kanban!D$11)*(Calc!$Y$8:$Y$500&gt;0),Calc!$Y$8:$Y$500,99999),Kanban_Helper!$B103),Calc!$Y$8:$Y$500,0)))),IF(LEN(INDEX(Calc!$J$8:$J$500,MATCH(SMALL(IF((Calc!$K$8:$K$500=Kanban!D$11)*(Calc!$Y$8:$Y$500&gt;0),Calc!$Y$8:$Y$500,99999),Kanban_Helper!$B103),Calc!$Y$8:$Y$500,0)))=0,"",CONCATENATE(Calc!$AD$6,INDEX(Calc!$J$8:$J$500,MATCH(SMALL(IF((Calc!$K$8:$K$500=Kanban!D$11)*(Calc!$Y$8:$Y$500&gt;0),Calc!$Y$8:$Y$500,99999),Kanban_Helper!$B103),Calc!$Y$8:$Y$500,0)))))),"")</f>
        <v/>
      </c>
      <c r="E110" s="172" t="str">
        <f t="array" ref="E110">IFERROR(IF(LEN(E$11)=0,"",IF($C$7&lt;&gt;"All",IF(LEN(INDEX(Calc!$J$8:$J$500,MATCH(SMALL(IF((Calc!$C$8:$C$500=Kanban!$C$7)*(Calc!$K$8:$K$500=Kanban!E$11)*(Calc!$Y$8:$Y$500&gt;0),Calc!$Y$8:$Y$500,99999),Kanban_Helper!$B103),Calc!$Y$8:$Y$500,0)))=0,"",CONCATENATE(Calc!$AD$6,INDEX(Calc!$J$8:$J$500,MATCH(SMALL(IF((Calc!$C$8:$C$500=Kanban!$C$7)*(Calc!$K$8:$K$500=Kanban!E$11)*(Calc!$Y$8:$Y$500&gt;0),Calc!$Y$8:$Y$500,99999),Kanban_Helper!$B103),Calc!$Y$8:$Y$500,0)))),IF(LEN(INDEX(Calc!$J$8:$J$500,MATCH(SMALL(IF((Calc!$K$8:$K$500=Kanban!E$11)*(Calc!$Y$8:$Y$500&gt;0),Calc!$Y$8:$Y$500,99999),Kanban_Helper!$B103),Calc!$Y$8:$Y$500,0)))=0,"",CONCATENATE(Calc!$AD$6,INDEX(Calc!$J$8:$J$500,MATCH(SMALL(IF((Calc!$K$8:$K$500=Kanban!E$11)*(Calc!$Y$8:$Y$500&gt;0),Calc!$Y$8:$Y$500,99999),Kanban_Helper!$B103),Calc!$Y$8:$Y$500,0)))))),"")</f>
        <v/>
      </c>
      <c r="F110" s="172" t="str">
        <f t="array" ref="F110">IFERROR(IF(LEN(F$11)=0,"",IF($C$7&lt;&gt;"All",IF(LEN(INDEX(Calc!$J$8:$J$500,MATCH(SMALL(IF((Calc!$C$8:$C$500=Kanban!$C$7)*(Calc!$K$8:$K$500=Kanban!F$11)*(Calc!$Y$8:$Y$500&gt;0),Calc!$Y$8:$Y$500,99999),Kanban_Helper!$B103),Calc!$Y$8:$Y$500,0)))=0,"",CONCATENATE(Calc!$AD$6,INDEX(Calc!$J$8:$J$500,MATCH(SMALL(IF((Calc!$C$8:$C$500=Kanban!$C$7)*(Calc!$K$8:$K$500=Kanban!F$11)*(Calc!$Y$8:$Y$500&gt;0),Calc!$Y$8:$Y$500,99999),Kanban_Helper!$B103),Calc!$Y$8:$Y$500,0)))),IF(LEN(INDEX(Calc!$J$8:$J$500,MATCH(SMALL(IF((Calc!$K$8:$K$500=Kanban!F$11)*(Calc!$Y$8:$Y$500&gt;0),Calc!$Y$8:$Y$500,99999),Kanban_Helper!$B103),Calc!$Y$8:$Y$500,0)))=0,"",CONCATENATE(Calc!$AD$6,INDEX(Calc!$J$8:$J$500,MATCH(SMALL(IF((Calc!$K$8:$K$500=Kanban!F$11)*(Calc!$Y$8:$Y$500&gt;0),Calc!$Y$8:$Y$500,99999),Kanban_Helper!$B103),Calc!$Y$8:$Y$500,0)))))),"")</f>
        <v/>
      </c>
      <c r="G110" s="172" t="str">
        <f t="array" ref="G110">IFERROR(IF(LEN(G$11)=0,"",IF($C$7&lt;&gt;"All",IF(LEN(INDEX(Calc!$J$8:$J$500,MATCH(SMALL(IF((Calc!$C$8:$C$500=Kanban!$C$7)*(Calc!$K$8:$K$500=Kanban!G$11)*(Calc!$Y$8:$Y$500&gt;0),Calc!$Y$8:$Y$500,99999),Kanban_Helper!$B103),Calc!$Y$8:$Y$500,0)))=0,"",CONCATENATE(Calc!$AD$6,INDEX(Calc!$J$8:$J$500,MATCH(SMALL(IF((Calc!$C$8:$C$500=Kanban!$C$7)*(Calc!$K$8:$K$500=Kanban!G$11)*(Calc!$Y$8:$Y$500&gt;0),Calc!$Y$8:$Y$500,99999),Kanban_Helper!$B103),Calc!$Y$8:$Y$500,0)))),IF(LEN(INDEX(Calc!$J$8:$J$500,MATCH(SMALL(IF((Calc!$K$8:$K$500=Kanban!G$11)*(Calc!$Y$8:$Y$500&gt;0),Calc!$Y$8:$Y$500,99999),Kanban_Helper!$B103),Calc!$Y$8:$Y$500,0)))=0,"",CONCATENATE(Calc!$AD$6,INDEX(Calc!$J$8:$J$500,MATCH(SMALL(IF((Calc!$K$8:$K$500=Kanban!G$11)*(Calc!$Y$8:$Y$500&gt;0),Calc!$Y$8:$Y$500,99999),Kanban_Helper!$B103),Calc!$Y$8:$Y$500,0)))))),"")</f>
        <v/>
      </c>
      <c r="H110" s="172" t="str">
        <f t="array" ref="H110">IFERROR(IF(LEN(H$11)=0,"",IF($C$7&lt;&gt;"All",IF(LEN(INDEX(Calc!$J$8:$J$500,MATCH(SMALL(IF((Calc!$C$8:$C$500=Kanban!$C$7)*(Calc!$K$8:$K$500=Kanban!H$11)*(Calc!$Y$8:$Y$500&gt;0),Calc!$Y$8:$Y$500,99999),Kanban_Helper!$B103),Calc!$Y$8:$Y$500,0)))=0,"",CONCATENATE(Calc!$AD$6,INDEX(Calc!$J$8:$J$500,MATCH(SMALL(IF((Calc!$C$8:$C$500=Kanban!$C$7)*(Calc!$K$8:$K$500=Kanban!H$11)*(Calc!$Y$8:$Y$500&gt;0),Calc!$Y$8:$Y$500,99999),Kanban_Helper!$B103),Calc!$Y$8:$Y$500,0)))),IF(LEN(INDEX(Calc!$J$8:$J$500,MATCH(SMALL(IF((Calc!$K$8:$K$500=Kanban!H$11)*(Calc!$Y$8:$Y$500&gt;0),Calc!$Y$8:$Y$500,99999),Kanban_Helper!$B103),Calc!$Y$8:$Y$500,0)))=0,"",CONCATENATE(Calc!$AD$6,INDEX(Calc!$J$8:$J$500,MATCH(SMALL(IF((Calc!$K$8:$K$500=Kanban!H$11)*(Calc!$Y$8:$Y$500&gt;0),Calc!$Y$8:$Y$500,99999),Kanban_Helper!$B103),Calc!$Y$8:$Y$500,0)))))),"")</f>
        <v/>
      </c>
      <c r="I110" s="39"/>
    </row>
    <row r="111" spans="2:9" ht="15" thickTop="1" x14ac:dyDescent="0.35">
      <c r="B111" s="81"/>
      <c r="C111" s="170" t="str">
        <f t="array" ref="C111">IFERROR(IF(LEN(C$11)=0,"",IF($C$7&lt;&gt;"All",IF(INDEX(Calc!$V$8:$V$500,MATCH(INDEX(Calc!$D$8:$D$500,MATCH(SMALL(IF((Calc!$C$8:$C$500=Kanban!$C$7)*(Calc!$K$8:$K$500=Kanban!C$11)*(Calc!$Y$8:$Y$500&gt;0),Calc!$Y$8:$Y$500,99999),Kanban_Helper!$B104),Calc!$Y$8:$Y$500,0)),Calc!$D$8:$D$500,0))="Yes",CONCATENATE(INDEX(Calc!$D$8:$D$500,MATCH(SMALL(IF((Calc!$C$8:$C$500=Kanban!$C$7)*(Calc!$K$8:$K$500=Kanban!C$11)*(Calc!$Y$8:$Y$500&gt;0),Calc!$Y$8:$Y$500,99999),Kanban_Helper!$B104),Calc!$Y$8:$Y$500,0))," ",Calc!$V$7," ","!"),INDEX(Calc!$D$8:$D$500,MATCH(SMALL(IF((Calc!$C$8:$C$500=Kanban!$C$7)*(Calc!$K$8:$K$500=Kanban!C$11)*(Calc!$Y$8:$Y$500&gt;0),Calc!$Y$8:$Y$500,99999),Kanban_Helper!$B104),Calc!$Y$8:$Y$500,0))),IF(INDEX(Calc!$V$8:$V$500,MATCH(INDEX(Calc!$D$8:$D$500,MATCH(SMALL(IF((Calc!$K$8:$K$500=Kanban!C$11)*(Calc!$Y$8:$Y$500&gt;0),Calc!$Y$8:$Y$500,99999),Kanban_Helper!$B104),Calc!$Y$8:$Y$500,0)),Calc!$D$8:$D$500,0))="Yes",CONCATENATE(INDEX(Calc!$D$8:$D$500,MATCH(SMALL(IF((Calc!$K$8:$K$500=Kanban!C$11)*(Calc!$Y$8:$Y$500&gt;0),Calc!$Y$8:$Y$500,99999),Kanban_Helper!$B104),Calc!$Y$8:$Y$500,0))," ",Calc!$V$7," ","!"),INDEX(Calc!$D$8:$D$500,MATCH(SMALL(IF((Calc!$K$8:$K$500=Kanban!C$11)*(Calc!$Y$8:$Y$500&gt;0),Calc!$Y$8:$Y$500,99999),Kanban_Helper!$B104),Calc!$Y$8:$Y$500,0))))),"")</f>
        <v/>
      </c>
      <c r="D111" s="170" t="str">
        <f t="array" ref="D111">IFERROR(IF(LEN(D$11)=0,"",IF($C$7&lt;&gt;"All",IF(INDEX(Calc!$V$8:$V$500,MATCH(INDEX(Calc!$D$8:$D$500,MATCH(SMALL(IF((Calc!$C$8:$C$500=Kanban!$C$7)*(Calc!$K$8:$K$500=Kanban!D$11)*(Calc!$Y$8:$Y$500&gt;0),Calc!$Y$8:$Y$500,99999),Kanban_Helper!$B104),Calc!$Y$8:$Y$500,0)),Calc!$D$8:$D$500,0))="Yes",CONCATENATE(INDEX(Calc!$D$8:$D$500,MATCH(SMALL(IF((Calc!$C$8:$C$500=Kanban!$C$7)*(Calc!$K$8:$K$500=Kanban!D$11)*(Calc!$Y$8:$Y$500&gt;0),Calc!$Y$8:$Y$500,99999),Kanban_Helper!$B104),Calc!$Y$8:$Y$500,0))," ",Calc!$V$7," ","!"),INDEX(Calc!$D$8:$D$500,MATCH(SMALL(IF((Calc!$C$8:$C$500=Kanban!$C$7)*(Calc!$K$8:$K$500=Kanban!D$11)*(Calc!$Y$8:$Y$500&gt;0),Calc!$Y$8:$Y$500,99999),Kanban_Helper!$B104),Calc!$Y$8:$Y$500,0))),IF(INDEX(Calc!$V$8:$V$500,MATCH(INDEX(Calc!$D$8:$D$500,MATCH(SMALL(IF((Calc!$K$8:$K$500=Kanban!D$11)*(Calc!$Y$8:$Y$500&gt;0),Calc!$Y$8:$Y$500,99999),Kanban_Helper!$B104),Calc!$Y$8:$Y$500,0)),Calc!$D$8:$D$500,0))="Yes",CONCATENATE(INDEX(Calc!$D$8:$D$500,MATCH(SMALL(IF((Calc!$K$8:$K$500=Kanban!D$11)*(Calc!$Y$8:$Y$500&gt;0),Calc!$Y$8:$Y$500,99999),Kanban_Helper!$B104),Calc!$Y$8:$Y$500,0))," ",Calc!$V$7," ","!"),INDEX(Calc!$D$8:$D$500,MATCH(SMALL(IF((Calc!$K$8:$K$500=Kanban!D$11)*(Calc!$Y$8:$Y$500&gt;0),Calc!$Y$8:$Y$500,99999),Kanban_Helper!$B104),Calc!$Y$8:$Y$500,0))))),"")</f>
        <v/>
      </c>
      <c r="E111" s="170" t="str">
        <f t="array" ref="E111">IFERROR(IF(LEN(E$11)=0,"",IF($C$7&lt;&gt;"All",IF(INDEX(Calc!$V$8:$V$500,MATCH(INDEX(Calc!$D$8:$D$500,MATCH(SMALL(IF((Calc!$C$8:$C$500=Kanban!$C$7)*(Calc!$K$8:$K$500=Kanban!E$11)*(Calc!$Y$8:$Y$500&gt;0),Calc!$Y$8:$Y$500,99999),Kanban_Helper!$B104),Calc!$Y$8:$Y$500,0)),Calc!$D$8:$D$500,0))="Yes",CONCATENATE(INDEX(Calc!$D$8:$D$500,MATCH(SMALL(IF((Calc!$C$8:$C$500=Kanban!$C$7)*(Calc!$K$8:$K$500=Kanban!E$11)*(Calc!$Y$8:$Y$500&gt;0),Calc!$Y$8:$Y$500,99999),Kanban_Helper!$B104),Calc!$Y$8:$Y$500,0))," ",Calc!$V$7," ","!"),INDEX(Calc!$D$8:$D$500,MATCH(SMALL(IF((Calc!$C$8:$C$500=Kanban!$C$7)*(Calc!$K$8:$K$500=Kanban!E$11)*(Calc!$Y$8:$Y$500&gt;0),Calc!$Y$8:$Y$500,99999),Kanban_Helper!$B104),Calc!$Y$8:$Y$500,0))),IF(INDEX(Calc!$V$8:$V$500,MATCH(INDEX(Calc!$D$8:$D$500,MATCH(SMALL(IF((Calc!$K$8:$K$500=Kanban!E$11)*(Calc!$Y$8:$Y$500&gt;0),Calc!$Y$8:$Y$500,99999),Kanban_Helper!$B104),Calc!$Y$8:$Y$500,0)),Calc!$D$8:$D$500,0))="Yes",CONCATENATE(INDEX(Calc!$D$8:$D$500,MATCH(SMALL(IF((Calc!$K$8:$K$500=Kanban!E$11)*(Calc!$Y$8:$Y$500&gt;0),Calc!$Y$8:$Y$500,99999),Kanban_Helper!$B104),Calc!$Y$8:$Y$500,0))," ",Calc!$V$7," ","!"),INDEX(Calc!$D$8:$D$500,MATCH(SMALL(IF((Calc!$K$8:$K$500=Kanban!E$11)*(Calc!$Y$8:$Y$500&gt;0),Calc!$Y$8:$Y$500,99999),Kanban_Helper!$B104),Calc!$Y$8:$Y$500,0))))),"")</f>
        <v/>
      </c>
      <c r="F111" s="170" t="str">
        <f t="array" ref="F111">IFERROR(IF(LEN(F$11)=0,"",IF($C$7&lt;&gt;"All",IF(INDEX(Calc!$V$8:$V$500,MATCH(INDEX(Calc!$D$8:$D$500,MATCH(SMALL(IF((Calc!$C$8:$C$500=Kanban!$C$7)*(Calc!$K$8:$K$500=Kanban!F$11)*(Calc!$Y$8:$Y$500&gt;0),Calc!$Y$8:$Y$500,99999),Kanban_Helper!$B104),Calc!$Y$8:$Y$500,0)),Calc!$D$8:$D$500,0))="Yes",CONCATENATE(INDEX(Calc!$D$8:$D$500,MATCH(SMALL(IF((Calc!$C$8:$C$500=Kanban!$C$7)*(Calc!$K$8:$K$500=Kanban!F$11)*(Calc!$Y$8:$Y$500&gt;0),Calc!$Y$8:$Y$500,99999),Kanban_Helper!$B104),Calc!$Y$8:$Y$500,0))," ",Calc!$V$7," ","!"),INDEX(Calc!$D$8:$D$500,MATCH(SMALL(IF((Calc!$C$8:$C$500=Kanban!$C$7)*(Calc!$K$8:$K$500=Kanban!F$11)*(Calc!$Y$8:$Y$500&gt;0),Calc!$Y$8:$Y$500,99999),Kanban_Helper!$B104),Calc!$Y$8:$Y$500,0))),IF(INDEX(Calc!$V$8:$V$500,MATCH(INDEX(Calc!$D$8:$D$500,MATCH(SMALL(IF((Calc!$K$8:$K$500=Kanban!F$11)*(Calc!$Y$8:$Y$500&gt;0),Calc!$Y$8:$Y$500,99999),Kanban_Helper!$B104),Calc!$Y$8:$Y$500,0)),Calc!$D$8:$D$500,0))="Yes",CONCATENATE(INDEX(Calc!$D$8:$D$500,MATCH(SMALL(IF((Calc!$K$8:$K$500=Kanban!F$11)*(Calc!$Y$8:$Y$500&gt;0),Calc!$Y$8:$Y$500,99999),Kanban_Helper!$B104),Calc!$Y$8:$Y$500,0))," ",Calc!$V$7," ","!"),INDEX(Calc!$D$8:$D$500,MATCH(SMALL(IF((Calc!$K$8:$K$500=Kanban!F$11)*(Calc!$Y$8:$Y$500&gt;0),Calc!$Y$8:$Y$500,99999),Kanban_Helper!$B104),Calc!$Y$8:$Y$500,0))))),"")</f>
        <v/>
      </c>
      <c r="G111" s="170" t="str">
        <f t="array" ref="G111">IFERROR(IF(LEN(G$11)=0,"",IF($C$7&lt;&gt;"All",IF(INDEX(Calc!$V$8:$V$500,MATCH(INDEX(Calc!$D$8:$D$500,MATCH(SMALL(IF((Calc!$C$8:$C$500=Kanban!$C$7)*(Calc!$K$8:$K$500=Kanban!G$11)*(Calc!$Y$8:$Y$500&gt;0),Calc!$Y$8:$Y$500,99999),Kanban_Helper!$B104),Calc!$Y$8:$Y$500,0)),Calc!$D$8:$D$500,0))="Yes",CONCATENATE(INDEX(Calc!$D$8:$D$500,MATCH(SMALL(IF((Calc!$C$8:$C$500=Kanban!$C$7)*(Calc!$K$8:$K$500=Kanban!G$11)*(Calc!$Y$8:$Y$500&gt;0),Calc!$Y$8:$Y$500,99999),Kanban_Helper!$B104),Calc!$Y$8:$Y$500,0))," ",Calc!$V$7," ","!"),INDEX(Calc!$D$8:$D$500,MATCH(SMALL(IF((Calc!$C$8:$C$500=Kanban!$C$7)*(Calc!$K$8:$K$500=Kanban!G$11)*(Calc!$Y$8:$Y$500&gt;0),Calc!$Y$8:$Y$500,99999),Kanban_Helper!$B104),Calc!$Y$8:$Y$500,0))),IF(INDEX(Calc!$V$8:$V$500,MATCH(INDEX(Calc!$D$8:$D$500,MATCH(SMALL(IF((Calc!$K$8:$K$500=Kanban!G$11)*(Calc!$Y$8:$Y$500&gt;0),Calc!$Y$8:$Y$500,99999),Kanban_Helper!$B104),Calc!$Y$8:$Y$500,0)),Calc!$D$8:$D$500,0))="Yes",CONCATENATE(INDEX(Calc!$D$8:$D$500,MATCH(SMALL(IF((Calc!$K$8:$K$500=Kanban!G$11)*(Calc!$Y$8:$Y$500&gt;0),Calc!$Y$8:$Y$500,99999),Kanban_Helper!$B104),Calc!$Y$8:$Y$500,0))," ",Calc!$V$7," ","!"),INDEX(Calc!$D$8:$D$500,MATCH(SMALL(IF((Calc!$K$8:$K$500=Kanban!G$11)*(Calc!$Y$8:$Y$500&gt;0),Calc!$Y$8:$Y$500,99999),Kanban_Helper!$B104),Calc!$Y$8:$Y$500,0))))),"")</f>
        <v/>
      </c>
      <c r="H111" s="170" t="str">
        <f t="array" ref="H111">IFERROR(IF(LEN(H$11)=0,"",IF($C$7&lt;&gt;"All",IF(INDEX(Calc!$V$8:$V$500,MATCH(INDEX(Calc!$D$8:$D$500,MATCH(SMALL(IF((Calc!$C$8:$C$500=Kanban!$C$7)*(Calc!$K$8:$K$500=Kanban!H$11)*(Calc!$Y$8:$Y$500&gt;0),Calc!$Y$8:$Y$500,99999),Kanban_Helper!$B104),Calc!$Y$8:$Y$500,0)),Calc!$D$8:$D$500,0))="Yes",CONCATENATE(INDEX(Calc!$D$8:$D$500,MATCH(SMALL(IF((Calc!$C$8:$C$500=Kanban!$C$7)*(Calc!$K$8:$K$500=Kanban!H$11)*(Calc!$Y$8:$Y$500&gt;0),Calc!$Y$8:$Y$500,99999),Kanban_Helper!$B104),Calc!$Y$8:$Y$500,0))," ",Calc!$V$7," ","!"),INDEX(Calc!$D$8:$D$500,MATCH(SMALL(IF((Calc!$C$8:$C$500=Kanban!$C$7)*(Calc!$K$8:$K$500=Kanban!H$11)*(Calc!$Y$8:$Y$500&gt;0),Calc!$Y$8:$Y$500,99999),Kanban_Helper!$B104),Calc!$Y$8:$Y$500,0))),IF(INDEX(Calc!$V$8:$V$500,MATCH(INDEX(Calc!$D$8:$D$500,MATCH(SMALL(IF((Calc!$K$8:$K$500=Kanban!H$11)*(Calc!$Y$8:$Y$500&gt;0),Calc!$Y$8:$Y$500,99999),Kanban_Helper!$B104),Calc!$Y$8:$Y$500,0)),Calc!$D$8:$D$500,0))="Yes",CONCATENATE(INDEX(Calc!$D$8:$D$500,MATCH(SMALL(IF((Calc!$K$8:$K$500=Kanban!H$11)*(Calc!$Y$8:$Y$500&gt;0),Calc!$Y$8:$Y$500,99999),Kanban_Helper!$B104),Calc!$Y$8:$Y$500,0))," ",Calc!$V$7," ","!"),INDEX(Calc!$D$8:$D$500,MATCH(SMALL(IF((Calc!$K$8:$K$500=Kanban!H$11)*(Calc!$Y$8:$Y$500&gt;0),Calc!$Y$8:$Y$500,99999),Kanban_Helper!$B104),Calc!$Y$8:$Y$500,0))))),"")</f>
        <v/>
      </c>
      <c r="I111" s="39"/>
    </row>
    <row r="112" spans="2:9" x14ac:dyDescent="0.35">
      <c r="B112" s="81"/>
      <c r="C112" s="171" t="str">
        <f t="array" ref="C112">IFERROR(IF(LEN(C$11)=0,"",IF($C$7&lt;&gt;"All",INDEX(Calc!$E$8:$E$500,MATCH(SMALL(IF((Calc!$C$8:$C$500=Kanban!$C$7)*(Calc!$K$8:$K$500=Kanban!C$11)*(Calc!$Y$8:$Y$500&gt;0),Calc!$Y$8:$Y$500,99999),Kanban_Helper!$B105),Calc!$Y$8:$Y$500,0)),INDEX(Calc!$E$8:$E$500,MATCH(SMALL(IF((Calc!$K$8:$K$500=Kanban!C$11)*(Calc!$Y$8:$Y$500&gt;0),Calc!$Y$8:$Y$500,99999),Kanban_Helper!$B105),Calc!$Y$8:$Y$500,0)))),"")</f>
        <v/>
      </c>
      <c r="D112" s="171" t="str">
        <f t="array" ref="D112">IFERROR(IF(LEN(D$11)=0,"",IF($C$7&lt;&gt;"All",INDEX(Calc!$E$8:$E$500,MATCH(SMALL(IF((Calc!$C$8:$C$500=Kanban!$C$7)*(Calc!$K$8:$K$500=Kanban!D$11)*(Calc!$Y$8:$Y$500&gt;0),Calc!$Y$8:$Y$500,99999),Kanban_Helper!$B105),Calc!$Y$8:$Y$500,0)),INDEX(Calc!$E$8:$E$500,MATCH(SMALL(IF((Calc!$K$8:$K$500=Kanban!D$11)*(Calc!$Y$8:$Y$500&gt;0),Calc!$Y$8:$Y$500,99999),Kanban_Helper!$B105),Calc!$Y$8:$Y$500,0)))),"")</f>
        <v/>
      </c>
      <c r="E112" s="171" t="str">
        <f t="array" ref="E112">IFERROR(IF(LEN(E$11)=0,"",IF($C$7&lt;&gt;"All",INDEX(Calc!$E$8:$E$500,MATCH(SMALL(IF((Calc!$C$8:$C$500=Kanban!$C$7)*(Calc!$K$8:$K$500=Kanban!E$11)*(Calc!$Y$8:$Y$500&gt;0),Calc!$Y$8:$Y$500,99999),Kanban_Helper!$B105),Calc!$Y$8:$Y$500,0)),INDEX(Calc!$E$8:$E$500,MATCH(SMALL(IF((Calc!$K$8:$K$500=Kanban!E$11)*(Calc!$Y$8:$Y$500&gt;0),Calc!$Y$8:$Y$500,99999),Kanban_Helper!$B105),Calc!$Y$8:$Y$500,0)))),"")</f>
        <v/>
      </c>
      <c r="F112" s="171" t="str">
        <f t="array" ref="F112">IFERROR(IF(LEN(F$11)=0,"",IF($C$7&lt;&gt;"All",INDEX(Calc!$E$8:$E$500,MATCH(SMALL(IF((Calc!$C$8:$C$500=Kanban!$C$7)*(Calc!$K$8:$K$500=Kanban!F$11)*(Calc!$Y$8:$Y$500&gt;0),Calc!$Y$8:$Y$500,99999),Kanban_Helper!$B105),Calc!$Y$8:$Y$500,0)),INDEX(Calc!$E$8:$E$500,MATCH(SMALL(IF((Calc!$K$8:$K$500=Kanban!F$11)*(Calc!$Y$8:$Y$500&gt;0),Calc!$Y$8:$Y$500,99999),Kanban_Helper!$B105),Calc!$Y$8:$Y$500,0)))),"")</f>
        <v/>
      </c>
      <c r="G112" s="171" t="str">
        <f t="array" ref="G112">IFERROR(IF(LEN(G$11)=0,"",IF($C$7&lt;&gt;"All",INDEX(Calc!$E$8:$E$500,MATCH(SMALL(IF((Calc!$C$8:$C$500=Kanban!$C$7)*(Calc!$K$8:$K$500=Kanban!G$11)*(Calc!$Y$8:$Y$500&gt;0),Calc!$Y$8:$Y$500,99999),Kanban_Helper!$B105),Calc!$Y$8:$Y$500,0)),INDEX(Calc!$E$8:$E$500,MATCH(SMALL(IF((Calc!$K$8:$K$500=Kanban!G$11)*(Calc!$Y$8:$Y$500&gt;0),Calc!$Y$8:$Y$500,99999),Kanban_Helper!$B105),Calc!$Y$8:$Y$500,0)))),"")</f>
        <v/>
      </c>
      <c r="H112" s="171" t="str">
        <f t="array" ref="H112">IFERROR(IF(LEN(H$11)=0,"",IF($C$7&lt;&gt;"All",INDEX(Calc!$E$8:$E$500,MATCH(SMALL(IF((Calc!$C$8:$C$500=Kanban!$C$7)*(Calc!$K$8:$K$500=Kanban!H$11)*(Calc!$Y$8:$Y$500&gt;0),Calc!$Y$8:$Y$500,99999),Kanban_Helper!$B105),Calc!$Y$8:$Y$500,0)),INDEX(Calc!$E$8:$E$500,MATCH(SMALL(IF((Calc!$K$8:$K$500=Kanban!H$11)*(Calc!$Y$8:$Y$500&gt;0),Calc!$Y$8:$Y$500,99999),Kanban_Helper!$B105),Calc!$Y$8:$Y$500,0)))),"")</f>
        <v/>
      </c>
      <c r="I112" s="39"/>
    </row>
    <row r="113" spans="2:9" ht="15" thickBot="1" x14ac:dyDescent="0.4">
      <c r="B113" s="81"/>
      <c r="C113" s="172" t="str">
        <f t="array" ref="C113">IFERROR(IF(LEN(C$11)=0,"",IF($C$7&lt;&gt;"All",IF(LEN(INDEX(Calc!$J$8:$J$500,MATCH(SMALL(IF((Calc!$C$8:$C$500=Kanban!$C$7)*(Calc!$K$8:$K$500=Kanban!C$11)*(Calc!$Y$8:$Y$500&gt;0),Calc!$Y$8:$Y$500,99999),Kanban_Helper!$B106),Calc!$Y$8:$Y$500,0)))=0,"",CONCATENATE(Calc!$AD$6,INDEX(Calc!$J$8:$J$500,MATCH(SMALL(IF((Calc!$C$8:$C$500=Kanban!$C$7)*(Calc!$K$8:$K$500=Kanban!C$11)*(Calc!$Y$8:$Y$500&gt;0),Calc!$Y$8:$Y$500,99999),Kanban_Helper!$B106),Calc!$Y$8:$Y$500,0)))),IF(LEN(INDEX(Calc!$J$8:$J$500,MATCH(SMALL(IF((Calc!$K$8:$K$500=Kanban!C$11)*(Calc!$Y$8:$Y$500&gt;0),Calc!$Y$8:$Y$500,99999),Kanban_Helper!$B106),Calc!$Y$8:$Y$500,0)))=0,"",CONCATENATE(Calc!$AD$6,INDEX(Calc!$J$8:$J$500,MATCH(SMALL(IF((Calc!$K$8:$K$500=Kanban!C$11)*(Calc!$Y$8:$Y$500&gt;0),Calc!$Y$8:$Y$500,99999),Kanban_Helper!$B106),Calc!$Y$8:$Y$500,0)))))),"")</f>
        <v/>
      </c>
      <c r="D113" s="172" t="str">
        <f t="array" ref="D113">IFERROR(IF(LEN(D$11)=0,"",IF($C$7&lt;&gt;"All",IF(LEN(INDEX(Calc!$J$8:$J$500,MATCH(SMALL(IF((Calc!$C$8:$C$500=Kanban!$C$7)*(Calc!$K$8:$K$500=Kanban!D$11)*(Calc!$Y$8:$Y$500&gt;0),Calc!$Y$8:$Y$500,99999),Kanban_Helper!$B106),Calc!$Y$8:$Y$500,0)))=0,"",CONCATENATE(Calc!$AD$6,INDEX(Calc!$J$8:$J$500,MATCH(SMALL(IF((Calc!$C$8:$C$500=Kanban!$C$7)*(Calc!$K$8:$K$500=Kanban!D$11)*(Calc!$Y$8:$Y$500&gt;0),Calc!$Y$8:$Y$500,99999),Kanban_Helper!$B106),Calc!$Y$8:$Y$500,0)))),IF(LEN(INDEX(Calc!$J$8:$J$500,MATCH(SMALL(IF((Calc!$K$8:$K$500=Kanban!D$11)*(Calc!$Y$8:$Y$500&gt;0),Calc!$Y$8:$Y$500,99999),Kanban_Helper!$B106),Calc!$Y$8:$Y$500,0)))=0,"",CONCATENATE(Calc!$AD$6,INDEX(Calc!$J$8:$J$500,MATCH(SMALL(IF((Calc!$K$8:$K$500=Kanban!D$11)*(Calc!$Y$8:$Y$500&gt;0),Calc!$Y$8:$Y$500,99999),Kanban_Helper!$B106),Calc!$Y$8:$Y$500,0)))))),"")</f>
        <v/>
      </c>
      <c r="E113" s="172" t="str">
        <f t="array" ref="E113">IFERROR(IF(LEN(E$11)=0,"",IF($C$7&lt;&gt;"All",IF(LEN(INDEX(Calc!$J$8:$J$500,MATCH(SMALL(IF((Calc!$C$8:$C$500=Kanban!$C$7)*(Calc!$K$8:$K$500=Kanban!E$11)*(Calc!$Y$8:$Y$500&gt;0),Calc!$Y$8:$Y$500,99999),Kanban_Helper!$B106),Calc!$Y$8:$Y$500,0)))=0,"",CONCATENATE(Calc!$AD$6,INDEX(Calc!$J$8:$J$500,MATCH(SMALL(IF((Calc!$C$8:$C$500=Kanban!$C$7)*(Calc!$K$8:$K$500=Kanban!E$11)*(Calc!$Y$8:$Y$500&gt;0),Calc!$Y$8:$Y$500,99999),Kanban_Helper!$B106),Calc!$Y$8:$Y$500,0)))),IF(LEN(INDEX(Calc!$J$8:$J$500,MATCH(SMALL(IF((Calc!$K$8:$K$500=Kanban!E$11)*(Calc!$Y$8:$Y$500&gt;0),Calc!$Y$8:$Y$500,99999),Kanban_Helper!$B106),Calc!$Y$8:$Y$500,0)))=0,"",CONCATENATE(Calc!$AD$6,INDEX(Calc!$J$8:$J$500,MATCH(SMALL(IF((Calc!$K$8:$K$500=Kanban!E$11)*(Calc!$Y$8:$Y$500&gt;0),Calc!$Y$8:$Y$500,99999),Kanban_Helper!$B106),Calc!$Y$8:$Y$500,0)))))),"")</f>
        <v/>
      </c>
      <c r="F113" s="172" t="str">
        <f t="array" ref="F113">IFERROR(IF(LEN(F$11)=0,"",IF($C$7&lt;&gt;"All",IF(LEN(INDEX(Calc!$J$8:$J$500,MATCH(SMALL(IF((Calc!$C$8:$C$500=Kanban!$C$7)*(Calc!$K$8:$K$500=Kanban!F$11)*(Calc!$Y$8:$Y$500&gt;0),Calc!$Y$8:$Y$500,99999),Kanban_Helper!$B106),Calc!$Y$8:$Y$500,0)))=0,"",CONCATENATE(Calc!$AD$6,INDEX(Calc!$J$8:$J$500,MATCH(SMALL(IF((Calc!$C$8:$C$500=Kanban!$C$7)*(Calc!$K$8:$K$500=Kanban!F$11)*(Calc!$Y$8:$Y$500&gt;0),Calc!$Y$8:$Y$500,99999),Kanban_Helper!$B106),Calc!$Y$8:$Y$500,0)))),IF(LEN(INDEX(Calc!$J$8:$J$500,MATCH(SMALL(IF((Calc!$K$8:$K$500=Kanban!F$11)*(Calc!$Y$8:$Y$500&gt;0),Calc!$Y$8:$Y$500,99999),Kanban_Helper!$B106),Calc!$Y$8:$Y$500,0)))=0,"",CONCATENATE(Calc!$AD$6,INDEX(Calc!$J$8:$J$500,MATCH(SMALL(IF((Calc!$K$8:$K$500=Kanban!F$11)*(Calc!$Y$8:$Y$500&gt;0),Calc!$Y$8:$Y$500,99999),Kanban_Helper!$B106),Calc!$Y$8:$Y$500,0)))))),"")</f>
        <v/>
      </c>
      <c r="G113" s="172" t="str">
        <f t="array" ref="G113">IFERROR(IF(LEN(G$11)=0,"",IF($C$7&lt;&gt;"All",IF(LEN(INDEX(Calc!$J$8:$J$500,MATCH(SMALL(IF((Calc!$C$8:$C$500=Kanban!$C$7)*(Calc!$K$8:$K$500=Kanban!G$11)*(Calc!$Y$8:$Y$500&gt;0),Calc!$Y$8:$Y$500,99999),Kanban_Helper!$B106),Calc!$Y$8:$Y$500,0)))=0,"",CONCATENATE(Calc!$AD$6,INDEX(Calc!$J$8:$J$500,MATCH(SMALL(IF((Calc!$C$8:$C$500=Kanban!$C$7)*(Calc!$K$8:$K$500=Kanban!G$11)*(Calc!$Y$8:$Y$500&gt;0),Calc!$Y$8:$Y$500,99999),Kanban_Helper!$B106),Calc!$Y$8:$Y$500,0)))),IF(LEN(INDEX(Calc!$J$8:$J$500,MATCH(SMALL(IF((Calc!$K$8:$K$500=Kanban!G$11)*(Calc!$Y$8:$Y$500&gt;0),Calc!$Y$8:$Y$500,99999),Kanban_Helper!$B106),Calc!$Y$8:$Y$500,0)))=0,"",CONCATENATE(Calc!$AD$6,INDEX(Calc!$J$8:$J$500,MATCH(SMALL(IF((Calc!$K$8:$K$500=Kanban!G$11)*(Calc!$Y$8:$Y$500&gt;0),Calc!$Y$8:$Y$500,99999),Kanban_Helper!$B106),Calc!$Y$8:$Y$500,0)))))),"")</f>
        <v/>
      </c>
      <c r="H113" s="172" t="str">
        <f t="array" ref="H113">IFERROR(IF(LEN(H$11)=0,"",IF($C$7&lt;&gt;"All",IF(LEN(INDEX(Calc!$J$8:$J$500,MATCH(SMALL(IF((Calc!$C$8:$C$500=Kanban!$C$7)*(Calc!$K$8:$K$500=Kanban!H$11)*(Calc!$Y$8:$Y$500&gt;0),Calc!$Y$8:$Y$500,99999),Kanban_Helper!$B106),Calc!$Y$8:$Y$500,0)))=0,"",CONCATENATE(Calc!$AD$6,INDEX(Calc!$J$8:$J$500,MATCH(SMALL(IF((Calc!$C$8:$C$500=Kanban!$C$7)*(Calc!$K$8:$K$500=Kanban!H$11)*(Calc!$Y$8:$Y$500&gt;0),Calc!$Y$8:$Y$500,99999),Kanban_Helper!$B106),Calc!$Y$8:$Y$500,0)))),IF(LEN(INDEX(Calc!$J$8:$J$500,MATCH(SMALL(IF((Calc!$K$8:$K$500=Kanban!H$11)*(Calc!$Y$8:$Y$500&gt;0),Calc!$Y$8:$Y$500,99999),Kanban_Helper!$B106),Calc!$Y$8:$Y$500,0)))=0,"",CONCATENATE(Calc!$AD$6,INDEX(Calc!$J$8:$J$500,MATCH(SMALL(IF((Calc!$K$8:$K$500=Kanban!H$11)*(Calc!$Y$8:$Y$500&gt;0),Calc!$Y$8:$Y$500,99999),Kanban_Helper!$B106),Calc!$Y$8:$Y$500,0)))))),"")</f>
        <v/>
      </c>
      <c r="I113" s="39"/>
    </row>
    <row r="114" spans="2:9" ht="15" thickTop="1" x14ac:dyDescent="0.35">
      <c r="B114" s="81"/>
      <c r="C114" s="170" t="str">
        <f t="array" ref="C114">IFERROR(IF(LEN(C$11)=0,"",IF($C$7&lt;&gt;"All",IF(INDEX(Calc!$V$8:$V$500,MATCH(INDEX(Calc!$D$8:$D$500,MATCH(SMALL(IF((Calc!$C$8:$C$500=Kanban!$C$7)*(Calc!$K$8:$K$500=Kanban!C$11)*(Calc!$Y$8:$Y$500&gt;0),Calc!$Y$8:$Y$500,99999),Kanban_Helper!$B107),Calc!$Y$8:$Y$500,0)),Calc!$D$8:$D$500,0))="Yes",CONCATENATE(INDEX(Calc!$D$8:$D$500,MATCH(SMALL(IF((Calc!$C$8:$C$500=Kanban!$C$7)*(Calc!$K$8:$K$500=Kanban!C$11)*(Calc!$Y$8:$Y$500&gt;0),Calc!$Y$8:$Y$500,99999),Kanban_Helper!$B107),Calc!$Y$8:$Y$500,0))," ",Calc!$V$7," ","!"),INDEX(Calc!$D$8:$D$500,MATCH(SMALL(IF((Calc!$C$8:$C$500=Kanban!$C$7)*(Calc!$K$8:$K$500=Kanban!C$11)*(Calc!$Y$8:$Y$500&gt;0),Calc!$Y$8:$Y$500,99999),Kanban_Helper!$B107),Calc!$Y$8:$Y$500,0))),IF(INDEX(Calc!$V$8:$V$500,MATCH(INDEX(Calc!$D$8:$D$500,MATCH(SMALL(IF((Calc!$K$8:$K$500=Kanban!C$11)*(Calc!$Y$8:$Y$500&gt;0),Calc!$Y$8:$Y$500,99999),Kanban_Helper!$B107),Calc!$Y$8:$Y$500,0)),Calc!$D$8:$D$500,0))="Yes",CONCATENATE(INDEX(Calc!$D$8:$D$500,MATCH(SMALL(IF((Calc!$K$8:$K$500=Kanban!C$11)*(Calc!$Y$8:$Y$500&gt;0),Calc!$Y$8:$Y$500,99999),Kanban_Helper!$B107),Calc!$Y$8:$Y$500,0))," ",Calc!$V$7," ","!"),INDEX(Calc!$D$8:$D$500,MATCH(SMALL(IF((Calc!$K$8:$K$500=Kanban!C$11)*(Calc!$Y$8:$Y$500&gt;0),Calc!$Y$8:$Y$500,99999),Kanban_Helper!$B107),Calc!$Y$8:$Y$500,0))))),"")</f>
        <v/>
      </c>
      <c r="D114" s="170" t="str">
        <f t="array" ref="D114">IFERROR(IF(LEN(D$11)=0,"",IF($C$7&lt;&gt;"All",IF(INDEX(Calc!$V$8:$V$500,MATCH(INDEX(Calc!$D$8:$D$500,MATCH(SMALL(IF((Calc!$C$8:$C$500=Kanban!$C$7)*(Calc!$K$8:$K$500=Kanban!D$11)*(Calc!$Y$8:$Y$500&gt;0),Calc!$Y$8:$Y$500,99999),Kanban_Helper!$B107),Calc!$Y$8:$Y$500,0)),Calc!$D$8:$D$500,0))="Yes",CONCATENATE(INDEX(Calc!$D$8:$D$500,MATCH(SMALL(IF((Calc!$C$8:$C$500=Kanban!$C$7)*(Calc!$K$8:$K$500=Kanban!D$11)*(Calc!$Y$8:$Y$500&gt;0),Calc!$Y$8:$Y$500,99999),Kanban_Helper!$B107),Calc!$Y$8:$Y$500,0))," ",Calc!$V$7," ","!"),INDEX(Calc!$D$8:$D$500,MATCH(SMALL(IF((Calc!$C$8:$C$500=Kanban!$C$7)*(Calc!$K$8:$K$500=Kanban!D$11)*(Calc!$Y$8:$Y$500&gt;0),Calc!$Y$8:$Y$500,99999),Kanban_Helper!$B107),Calc!$Y$8:$Y$500,0))),IF(INDEX(Calc!$V$8:$V$500,MATCH(INDEX(Calc!$D$8:$D$500,MATCH(SMALL(IF((Calc!$K$8:$K$500=Kanban!D$11)*(Calc!$Y$8:$Y$500&gt;0),Calc!$Y$8:$Y$500,99999),Kanban_Helper!$B107),Calc!$Y$8:$Y$500,0)),Calc!$D$8:$D$500,0))="Yes",CONCATENATE(INDEX(Calc!$D$8:$D$500,MATCH(SMALL(IF((Calc!$K$8:$K$500=Kanban!D$11)*(Calc!$Y$8:$Y$500&gt;0),Calc!$Y$8:$Y$500,99999),Kanban_Helper!$B107),Calc!$Y$8:$Y$500,0))," ",Calc!$V$7," ","!"),INDEX(Calc!$D$8:$D$500,MATCH(SMALL(IF((Calc!$K$8:$K$500=Kanban!D$11)*(Calc!$Y$8:$Y$500&gt;0),Calc!$Y$8:$Y$500,99999),Kanban_Helper!$B107),Calc!$Y$8:$Y$500,0))))),"")</f>
        <v/>
      </c>
      <c r="E114" s="170" t="str">
        <f t="array" ref="E114">IFERROR(IF(LEN(E$11)=0,"",IF($C$7&lt;&gt;"All",IF(INDEX(Calc!$V$8:$V$500,MATCH(INDEX(Calc!$D$8:$D$500,MATCH(SMALL(IF((Calc!$C$8:$C$500=Kanban!$C$7)*(Calc!$K$8:$K$500=Kanban!E$11)*(Calc!$Y$8:$Y$500&gt;0),Calc!$Y$8:$Y$500,99999),Kanban_Helper!$B107),Calc!$Y$8:$Y$500,0)),Calc!$D$8:$D$500,0))="Yes",CONCATENATE(INDEX(Calc!$D$8:$D$500,MATCH(SMALL(IF((Calc!$C$8:$C$500=Kanban!$C$7)*(Calc!$K$8:$K$500=Kanban!E$11)*(Calc!$Y$8:$Y$500&gt;0),Calc!$Y$8:$Y$500,99999),Kanban_Helper!$B107),Calc!$Y$8:$Y$500,0))," ",Calc!$V$7," ","!"),INDEX(Calc!$D$8:$D$500,MATCH(SMALL(IF((Calc!$C$8:$C$500=Kanban!$C$7)*(Calc!$K$8:$K$500=Kanban!E$11)*(Calc!$Y$8:$Y$500&gt;0),Calc!$Y$8:$Y$500,99999),Kanban_Helper!$B107),Calc!$Y$8:$Y$500,0))),IF(INDEX(Calc!$V$8:$V$500,MATCH(INDEX(Calc!$D$8:$D$500,MATCH(SMALL(IF((Calc!$K$8:$K$500=Kanban!E$11)*(Calc!$Y$8:$Y$500&gt;0),Calc!$Y$8:$Y$500,99999),Kanban_Helper!$B107),Calc!$Y$8:$Y$500,0)),Calc!$D$8:$D$500,0))="Yes",CONCATENATE(INDEX(Calc!$D$8:$D$500,MATCH(SMALL(IF((Calc!$K$8:$K$500=Kanban!E$11)*(Calc!$Y$8:$Y$500&gt;0),Calc!$Y$8:$Y$500,99999),Kanban_Helper!$B107),Calc!$Y$8:$Y$500,0))," ",Calc!$V$7," ","!"),INDEX(Calc!$D$8:$D$500,MATCH(SMALL(IF((Calc!$K$8:$K$500=Kanban!E$11)*(Calc!$Y$8:$Y$500&gt;0),Calc!$Y$8:$Y$500,99999),Kanban_Helper!$B107),Calc!$Y$8:$Y$500,0))))),"")</f>
        <v/>
      </c>
      <c r="F114" s="170" t="str">
        <f t="array" ref="F114">IFERROR(IF(LEN(F$11)=0,"",IF($C$7&lt;&gt;"All",IF(INDEX(Calc!$V$8:$V$500,MATCH(INDEX(Calc!$D$8:$D$500,MATCH(SMALL(IF((Calc!$C$8:$C$500=Kanban!$C$7)*(Calc!$K$8:$K$500=Kanban!F$11)*(Calc!$Y$8:$Y$500&gt;0),Calc!$Y$8:$Y$500,99999),Kanban_Helper!$B107),Calc!$Y$8:$Y$500,0)),Calc!$D$8:$D$500,0))="Yes",CONCATENATE(INDEX(Calc!$D$8:$D$500,MATCH(SMALL(IF((Calc!$C$8:$C$500=Kanban!$C$7)*(Calc!$K$8:$K$500=Kanban!F$11)*(Calc!$Y$8:$Y$500&gt;0),Calc!$Y$8:$Y$500,99999),Kanban_Helper!$B107),Calc!$Y$8:$Y$500,0))," ",Calc!$V$7," ","!"),INDEX(Calc!$D$8:$D$500,MATCH(SMALL(IF((Calc!$C$8:$C$500=Kanban!$C$7)*(Calc!$K$8:$K$500=Kanban!F$11)*(Calc!$Y$8:$Y$500&gt;0),Calc!$Y$8:$Y$500,99999),Kanban_Helper!$B107),Calc!$Y$8:$Y$500,0))),IF(INDEX(Calc!$V$8:$V$500,MATCH(INDEX(Calc!$D$8:$D$500,MATCH(SMALL(IF((Calc!$K$8:$K$500=Kanban!F$11)*(Calc!$Y$8:$Y$500&gt;0),Calc!$Y$8:$Y$500,99999),Kanban_Helper!$B107),Calc!$Y$8:$Y$500,0)),Calc!$D$8:$D$500,0))="Yes",CONCATENATE(INDEX(Calc!$D$8:$D$500,MATCH(SMALL(IF((Calc!$K$8:$K$500=Kanban!F$11)*(Calc!$Y$8:$Y$500&gt;0),Calc!$Y$8:$Y$500,99999),Kanban_Helper!$B107),Calc!$Y$8:$Y$500,0))," ",Calc!$V$7," ","!"),INDEX(Calc!$D$8:$D$500,MATCH(SMALL(IF((Calc!$K$8:$K$500=Kanban!F$11)*(Calc!$Y$8:$Y$500&gt;0),Calc!$Y$8:$Y$500,99999),Kanban_Helper!$B107),Calc!$Y$8:$Y$500,0))))),"")</f>
        <v/>
      </c>
      <c r="G114" s="170" t="str">
        <f t="array" ref="G114">IFERROR(IF(LEN(G$11)=0,"",IF($C$7&lt;&gt;"All",IF(INDEX(Calc!$V$8:$V$500,MATCH(INDEX(Calc!$D$8:$D$500,MATCH(SMALL(IF((Calc!$C$8:$C$500=Kanban!$C$7)*(Calc!$K$8:$K$500=Kanban!G$11)*(Calc!$Y$8:$Y$500&gt;0),Calc!$Y$8:$Y$500,99999),Kanban_Helper!$B107),Calc!$Y$8:$Y$500,0)),Calc!$D$8:$D$500,0))="Yes",CONCATENATE(INDEX(Calc!$D$8:$D$500,MATCH(SMALL(IF((Calc!$C$8:$C$500=Kanban!$C$7)*(Calc!$K$8:$K$500=Kanban!G$11)*(Calc!$Y$8:$Y$500&gt;0),Calc!$Y$8:$Y$500,99999),Kanban_Helper!$B107),Calc!$Y$8:$Y$500,0))," ",Calc!$V$7," ","!"),INDEX(Calc!$D$8:$D$500,MATCH(SMALL(IF((Calc!$C$8:$C$500=Kanban!$C$7)*(Calc!$K$8:$K$500=Kanban!G$11)*(Calc!$Y$8:$Y$500&gt;0),Calc!$Y$8:$Y$500,99999),Kanban_Helper!$B107),Calc!$Y$8:$Y$500,0))),IF(INDEX(Calc!$V$8:$V$500,MATCH(INDEX(Calc!$D$8:$D$500,MATCH(SMALL(IF((Calc!$K$8:$K$500=Kanban!G$11)*(Calc!$Y$8:$Y$500&gt;0),Calc!$Y$8:$Y$500,99999),Kanban_Helper!$B107),Calc!$Y$8:$Y$500,0)),Calc!$D$8:$D$500,0))="Yes",CONCATENATE(INDEX(Calc!$D$8:$D$500,MATCH(SMALL(IF((Calc!$K$8:$K$500=Kanban!G$11)*(Calc!$Y$8:$Y$500&gt;0),Calc!$Y$8:$Y$500,99999),Kanban_Helper!$B107),Calc!$Y$8:$Y$500,0))," ",Calc!$V$7," ","!"),INDEX(Calc!$D$8:$D$500,MATCH(SMALL(IF((Calc!$K$8:$K$500=Kanban!G$11)*(Calc!$Y$8:$Y$500&gt;0),Calc!$Y$8:$Y$500,99999),Kanban_Helper!$B107),Calc!$Y$8:$Y$500,0))))),"")</f>
        <v/>
      </c>
      <c r="H114" s="170" t="str">
        <f t="array" ref="H114">IFERROR(IF(LEN(H$11)=0,"",IF($C$7&lt;&gt;"All",IF(INDEX(Calc!$V$8:$V$500,MATCH(INDEX(Calc!$D$8:$D$500,MATCH(SMALL(IF((Calc!$C$8:$C$500=Kanban!$C$7)*(Calc!$K$8:$K$500=Kanban!H$11)*(Calc!$Y$8:$Y$500&gt;0),Calc!$Y$8:$Y$500,99999),Kanban_Helper!$B107),Calc!$Y$8:$Y$500,0)),Calc!$D$8:$D$500,0))="Yes",CONCATENATE(INDEX(Calc!$D$8:$D$500,MATCH(SMALL(IF((Calc!$C$8:$C$500=Kanban!$C$7)*(Calc!$K$8:$K$500=Kanban!H$11)*(Calc!$Y$8:$Y$500&gt;0),Calc!$Y$8:$Y$500,99999),Kanban_Helper!$B107),Calc!$Y$8:$Y$500,0))," ",Calc!$V$7," ","!"),INDEX(Calc!$D$8:$D$500,MATCH(SMALL(IF((Calc!$C$8:$C$500=Kanban!$C$7)*(Calc!$K$8:$K$500=Kanban!H$11)*(Calc!$Y$8:$Y$500&gt;0),Calc!$Y$8:$Y$500,99999),Kanban_Helper!$B107),Calc!$Y$8:$Y$500,0))),IF(INDEX(Calc!$V$8:$V$500,MATCH(INDEX(Calc!$D$8:$D$500,MATCH(SMALL(IF((Calc!$K$8:$K$500=Kanban!H$11)*(Calc!$Y$8:$Y$500&gt;0),Calc!$Y$8:$Y$500,99999),Kanban_Helper!$B107),Calc!$Y$8:$Y$500,0)),Calc!$D$8:$D$500,0))="Yes",CONCATENATE(INDEX(Calc!$D$8:$D$500,MATCH(SMALL(IF((Calc!$K$8:$K$500=Kanban!H$11)*(Calc!$Y$8:$Y$500&gt;0),Calc!$Y$8:$Y$500,99999),Kanban_Helper!$B107),Calc!$Y$8:$Y$500,0))," ",Calc!$V$7," ","!"),INDEX(Calc!$D$8:$D$500,MATCH(SMALL(IF((Calc!$K$8:$K$500=Kanban!H$11)*(Calc!$Y$8:$Y$500&gt;0),Calc!$Y$8:$Y$500,99999),Kanban_Helper!$B107),Calc!$Y$8:$Y$500,0))))),"")</f>
        <v/>
      </c>
      <c r="I114" s="39"/>
    </row>
    <row r="115" spans="2:9" x14ac:dyDescent="0.35">
      <c r="B115" s="81"/>
      <c r="C115" s="171" t="str">
        <f t="array" ref="C115">IFERROR(IF(LEN(C$11)=0,"",IF($C$7&lt;&gt;"All",INDEX(Calc!$E$8:$E$500,MATCH(SMALL(IF((Calc!$C$8:$C$500=Kanban!$C$7)*(Calc!$K$8:$K$500=Kanban!C$11)*(Calc!$Y$8:$Y$500&gt;0),Calc!$Y$8:$Y$500,99999),Kanban_Helper!$B108),Calc!$Y$8:$Y$500,0)),INDEX(Calc!$E$8:$E$500,MATCH(SMALL(IF((Calc!$K$8:$K$500=Kanban!C$11)*(Calc!$Y$8:$Y$500&gt;0),Calc!$Y$8:$Y$500,99999),Kanban_Helper!$B108),Calc!$Y$8:$Y$500,0)))),"")</f>
        <v/>
      </c>
      <c r="D115" s="171" t="str">
        <f t="array" ref="D115">IFERROR(IF(LEN(D$11)=0,"",IF($C$7&lt;&gt;"All",INDEX(Calc!$E$8:$E$500,MATCH(SMALL(IF((Calc!$C$8:$C$500=Kanban!$C$7)*(Calc!$K$8:$K$500=Kanban!D$11)*(Calc!$Y$8:$Y$500&gt;0),Calc!$Y$8:$Y$500,99999),Kanban_Helper!$B108),Calc!$Y$8:$Y$500,0)),INDEX(Calc!$E$8:$E$500,MATCH(SMALL(IF((Calc!$K$8:$K$500=Kanban!D$11)*(Calc!$Y$8:$Y$500&gt;0),Calc!$Y$8:$Y$500,99999),Kanban_Helper!$B108),Calc!$Y$8:$Y$500,0)))),"")</f>
        <v/>
      </c>
      <c r="E115" s="171" t="str">
        <f t="array" ref="E115">IFERROR(IF(LEN(E$11)=0,"",IF($C$7&lt;&gt;"All",INDEX(Calc!$E$8:$E$500,MATCH(SMALL(IF((Calc!$C$8:$C$500=Kanban!$C$7)*(Calc!$K$8:$K$500=Kanban!E$11)*(Calc!$Y$8:$Y$500&gt;0),Calc!$Y$8:$Y$500,99999),Kanban_Helper!$B108),Calc!$Y$8:$Y$500,0)),INDEX(Calc!$E$8:$E$500,MATCH(SMALL(IF((Calc!$K$8:$K$500=Kanban!E$11)*(Calc!$Y$8:$Y$500&gt;0),Calc!$Y$8:$Y$500,99999),Kanban_Helper!$B108),Calc!$Y$8:$Y$500,0)))),"")</f>
        <v/>
      </c>
      <c r="F115" s="171" t="str">
        <f t="array" ref="F115">IFERROR(IF(LEN(F$11)=0,"",IF($C$7&lt;&gt;"All",INDEX(Calc!$E$8:$E$500,MATCH(SMALL(IF((Calc!$C$8:$C$500=Kanban!$C$7)*(Calc!$K$8:$K$500=Kanban!F$11)*(Calc!$Y$8:$Y$500&gt;0),Calc!$Y$8:$Y$500,99999),Kanban_Helper!$B108),Calc!$Y$8:$Y$500,0)),INDEX(Calc!$E$8:$E$500,MATCH(SMALL(IF((Calc!$K$8:$K$500=Kanban!F$11)*(Calc!$Y$8:$Y$500&gt;0),Calc!$Y$8:$Y$500,99999),Kanban_Helper!$B108),Calc!$Y$8:$Y$500,0)))),"")</f>
        <v/>
      </c>
      <c r="G115" s="171" t="str">
        <f t="array" ref="G115">IFERROR(IF(LEN(G$11)=0,"",IF($C$7&lt;&gt;"All",INDEX(Calc!$E$8:$E$500,MATCH(SMALL(IF((Calc!$C$8:$C$500=Kanban!$C$7)*(Calc!$K$8:$K$500=Kanban!G$11)*(Calc!$Y$8:$Y$500&gt;0),Calc!$Y$8:$Y$500,99999),Kanban_Helper!$B108),Calc!$Y$8:$Y$500,0)),INDEX(Calc!$E$8:$E$500,MATCH(SMALL(IF((Calc!$K$8:$K$500=Kanban!G$11)*(Calc!$Y$8:$Y$500&gt;0),Calc!$Y$8:$Y$500,99999),Kanban_Helper!$B108),Calc!$Y$8:$Y$500,0)))),"")</f>
        <v/>
      </c>
      <c r="H115" s="171" t="str">
        <f t="array" ref="H115">IFERROR(IF(LEN(H$11)=0,"",IF($C$7&lt;&gt;"All",INDEX(Calc!$E$8:$E$500,MATCH(SMALL(IF((Calc!$C$8:$C$500=Kanban!$C$7)*(Calc!$K$8:$K$500=Kanban!H$11)*(Calc!$Y$8:$Y$500&gt;0),Calc!$Y$8:$Y$500,99999),Kanban_Helper!$B108),Calc!$Y$8:$Y$500,0)),INDEX(Calc!$E$8:$E$500,MATCH(SMALL(IF((Calc!$K$8:$K$500=Kanban!H$11)*(Calc!$Y$8:$Y$500&gt;0),Calc!$Y$8:$Y$500,99999),Kanban_Helper!$B108),Calc!$Y$8:$Y$500,0)))),"")</f>
        <v/>
      </c>
      <c r="I115" s="39"/>
    </row>
    <row r="116" spans="2:9" ht="15" thickBot="1" x14ac:dyDescent="0.4">
      <c r="B116" s="81"/>
      <c r="C116" s="172" t="str">
        <f t="array" ref="C116">IFERROR(IF(LEN(C$11)=0,"",IF($C$7&lt;&gt;"All",IF(LEN(INDEX(Calc!$J$8:$J$500,MATCH(SMALL(IF((Calc!$C$8:$C$500=Kanban!$C$7)*(Calc!$K$8:$K$500=Kanban!C$11)*(Calc!$Y$8:$Y$500&gt;0),Calc!$Y$8:$Y$500,99999),Kanban_Helper!$B109),Calc!$Y$8:$Y$500,0)))=0,"",CONCATENATE(Calc!$AD$6,INDEX(Calc!$J$8:$J$500,MATCH(SMALL(IF((Calc!$C$8:$C$500=Kanban!$C$7)*(Calc!$K$8:$K$500=Kanban!C$11)*(Calc!$Y$8:$Y$500&gt;0),Calc!$Y$8:$Y$500,99999),Kanban_Helper!$B109),Calc!$Y$8:$Y$500,0)))),IF(LEN(INDEX(Calc!$J$8:$J$500,MATCH(SMALL(IF((Calc!$K$8:$K$500=Kanban!C$11)*(Calc!$Y$8:$Y$500&gt;0),Calc!$Y$8:$Y$500,99999),Kanban_Helper!$B109),Calc!$Y$8:$Y$500,0)))=0,"",CONCATENATE(Calc!$AD$6,INDEX(Calc!$J$8:$J$500,MATCH(SMALL(IF((Calc!$K$8:$K$500=Kanban!C$11)*(Calc!$Y$8:$Y$500&gt;0),Calc!$Y$8:$Y$500,99999),Kanban_Helper!$B109),Calc!$Y$8:$Y$500,0)))))),"")</f>
        <v/>
      </c>
      <c r="D116" s="172" t="str">
        <f t="array" ref="D116">IFERROR(IF(LEN(D$11)=0,"",IF($C$7&lt;&gt;"All",IF(LEN(INDEX(Calc!$J$8:$J$500,MATCH(SMALL(IF((Calc!$C$8:$C$500=Kanban!$C$7)*(Calc!$K$8:$K$500=Kanban!D$11)*(Calc!$Y$8:$Y$500&gt;0),Calc!$Y$8:$Y$500,99999),Kanban_Helper!$B109),Calc!$Y$8:$Y$500,0)))=0,"",CONCATENATE(Calc!$AD$6,INDEX(Calc!$J$8:$J$500,MATCH(SMALL(IF((Calc!$C$8:$C$500=Kanban!$C$7)*(Calc!$K$8:$K$500=Kanban!D$11)*(Calc!$Y$8:$Y$500&gt;0),Calc!$Y$8:$Y$500,99999),Kanban_Helper!$B109),Calc!$Y$8:$Y$500,0)))),IF(LEN(INDEX(Calc!$J$8:$J$500,MATCH(SMALL(IF((Calc!$K$8:$K$500=Kanban!D$11)*(Calc!$Y$8:$Y$500&gt;0),Calc!$Y$8:$Y$500,99999),Kanban_Helper!$B109),Calc!$Y$8:$Y$500,0)))=0,"",CONCATENATE(Calc!$AD$6,INDEX(Calc!$J$8:$J$500,MATCH(SMALL(IF((Calc!$K$8:$K$500=Kanban!D$11)*(Calc!$Y$8:$Y$500&gt;0),Calc!$Y$8:$Y$500,99999),Kanban_Helper!$B109),Calc!$Y$8:$Y$500,0)))))),"")</f>
        <v/>
      </c>
      <c r="E116" s="172" t="str">
        <f t="array" ref="E116">IFERROR(IF(LEN(E$11)=0,"",IF($C$7&lt;&gt;"All",IF(LEN(INDEX(Calc!$J$8:$J$500,MATCH(SMALL(IF((Calc!$C$8:$C$500=Kanban!$C$7)*(Calc!$K$8:$K$500=Kanban!E$11)*(Calc!$Y$8:$Y$500&gt;0),Calc!$Y$8:$Y$500,99999),Kanban_Helper!$B109),Calc!$Y$8:$Y$500,0)))=0,"",CONCATENATE(Calc!$AD$6,INDEX(Calc!$J$8:$J$500,MATCH(SMALL(IF((Calc!$C$8:$C$500=Kanban!$C$7)*(Calc!$K$8:$K$500=Kanban!E$11)*(Calc!$Y$8:$Y$500&gt;0),Calc!$Y$8:$Y$500,99999),Kanban_Helper!$B109),Calc!$Y$8:$Y$500,0)))),IF(LEN(INDEX(Calc!$J$8:$J$500,MATCH(SMALL(IF((Calc!$K$8:$K$500=Kanban!E$11)*(Calc!$Y$8:$Y$500&gt;0),Calc!$Y$8:$Y$500,99999),Kanban_Helper!$B109),Calc!$Y$8:$Y$500,0)))=0,"",CONCATENATE(Calc!$AD$6,INDEX(Calc!$J$8:$J$500,MATCH(SMALL(IF((Calc!$K$8:$K$500=Kanban!E$11)*(Calc!$Y$8:$Y$500&gt;0),Calc!$Y$8:$Y$500,99999),Kanban_Helper!$B109),Calc!$Y$8:$Y$500,0)))))),"")</f>
        <v/>
      </c>
      <c r="F116" s="172" t="str">
        <f t="array" ref="F116">IFERROR(IF(LEN(F$11)=0,"",IF($C$7&lt;&gt;"All",IF(LEN(INDEX(Calc!$J$8:$J$500,MATCH(SMALL(IF((Calc!$C$8:$C$500=Kanban!$C$7)*(Calc!$K$8:$K$500=Kanban!F$11)*(Calc!$Y$8:$Y$500&gt;0),Calc!$Y$8:$Y$500,99999),Kanban_Helper!$B109),Calc!$Y$8:$Y$500,0)))=0,"",CONCATENATE(Calc!$AD$6,INDEX(Calc!$J$8:$J$500,MATCH(SMALL(IF((Calc!$C$8:$C$500=Kanban!$C$7)*(Calc!$K$8:$K$500=Kanban!F$11)*(Calc!$Y$8:$Y$500&gt;0),Calc!$Y$8:$Y$500,99999),Kanban_Helper!$B109),Calc!$Y$8:$Y$500,0)))),IF(LEN(INDEX(Calc!$J$8:$J$500,MATCH(SMALL(IF((Calc!$K$8:$K$500=Kanban!F$11)*(Calc!$Y$8:$Y$500&gt;0),Calc!$Y$8:$Y$500,99999),Kanban_Helper!$B109),Calc!$Y$8:$Y$500,0)))=0,"",CONCATENATE(Calc!$AD$6,INDEX(Calc!$J$8:$J$500,MATCH(SMALL(IF((Calc!$K$8:$K$500=Kanban!F$11)*(Calc!$Y$8:$Y$500&gt;0),Calc!$Y$8:$Y$500,99999),Kanban_Helper!$B109),Calc!$Y$8:$Y$500,0)))))),"")</f>
        <v/>
      </c>
      <c r="G116" s="172" t="str">
        <f t="array" ref="G116">IFERROR(IF(LEN(G$11)=0,"",IF($C$7&lt;&gt;"All",IF(LEN(INDEX(Calc!$J$8:$J$500,MATCH(SMALL(IF((Calc!$C$8:$C$500=Kanban!$C$7)*(Calc!$K$8:$K$500=Kanban!G$11)*(Calc!$Y$8:$Y$500&gt;0),Calc!$Y$8:$Y$500,99999),Kanban_Helper!$B109),Calc!$Y$8:$Y$500,0)))=0,"",CONCATENATE(Calc!$AD$6,INDEX(Calc!$J$8:$J$500,MATCH(SMALL(IF((Calc!$C$8:$C$500=Kanban!$C$7)*(Calc!$K$8:$K$500=Kanban!G$11)*(Calc!$Y$8:$Y$500&gt;0),Calc!$Y$8:$Y$500,99999),Kanban_Helper!$B109),Calc!$Y$8:$Y$500,0)))),IF(LEN(INDEX(Calc!$J$8:$J$500,MATCH(SMALL(IF((Calc!$K$8:$K$500=Kanban!G$11)*(Calc!$Y$8:$Y$500&gt;0),Calc!$Y$8:$Y$500,99999),Kanban_Helper!$B109),Calc!$Y$8:$Y$500,0)))=0,"",CONCATENATE(Calc!$AD$6,INDEX(Calc!$J$8:$J$500,MATCH(SMALL(IF((Calc!$K$8:$K$500=Kanban!G$11)*(Calc!$Y$8:$Y$500&gt;0),Calc!$Y$8:$Y$500,99999),Kanban_Helper!$B109),Calc!$Y$8:$Y$500,0)))))),"")</f>
        <v/>
      </c>
      <c r="H116" s="172" t="str">
        <f t="array" ref="H116">IFERROR(IF(LEN(H$11)=0,"",IF($C$7&lt;&gt;"All",IF(LEN(INDEX(Calc!$J$8:$J$500,MATCH(SMALL(IF((Calc!$C$8:$C$500=Kanban!$C$7)*(Calc!$K$8:$K$500=Kanban!H$11)*(Calc!$Y$8:$Y$500&gt;0),Calc!$Y$8:$Y$500,99999),Kanban_Helper!$B109),Calc!$Y$8:$Y$500,0)))=0,"",CONCATENATE(Calc!$AD$6,INDEX(Calc!$J$8:$J$500,MATCH(SMALL(IF((Calc!$C$8:$C$500=Kanban!$C$7)*(Calc!$K$8:$K$500=Kanban!H$11)*(Calc!$Y$8:$Y$500&gt;0),Calc!$Y$8:$Y$500,99999),Kanban_Helper!$B109),Calc!$Y$8:$Y$500,0)))),IF(LEN(INDEX(Calc!$J$8:$J$500,MATCH(SMALL(IF((Calc!$K$8:$K$500=Kanban!H$11)*(Calc!$Y$8:$Y$500&gt;0),Calc!$Y$8:$Y$500,99999),Kanban_Helper!$B109),Calc!$Y$8:$Y$500,0)))=0,"",CONCATENATE(Calc!$AD$6,INDEX(Calc!$J$8:$J$500,MATCH(SMALL(IF((Calc!$K$8:$K$500=Kanban!H$11)*(Calc!$Y$8:$Y$500&gt;0),Calc!$Y$8:$Y$500,99999),Kanban_Helper!$B109),Calc!$Y$8:$Y$500,0)))))),"")</f>
        <v/>
      </c>
      <c r="I116" s="39"/>
    </row>
    <row r="117" spans="2:9" ht="15" thickTop="1" x14ac:dyDescent="0.35">
      <c r="B117" s="81"/>
      <c r="C117" s="170" t="str">
        <f t="array" ref="C117">IFERROR(IF(LEN(C$11)=0,"",IF($C$7&lt;&gt;"All",IF(INDEX(Calc!$V$8:$V$500,MATCH(INDEX(Calc!$D$8:$D$500,MATCH(SMALL(IF((Calc!$C$8:$C$500=Kanban!$C$7)*(Calc!$K$8:$K$500=Kanban!C$11)*(Calc!$Y$8:$Y$500&gt;0),Calc!$Y$8:$Y$500,99999),Kanban_Helper!$B110),Calc!$Y$8:$Y$500,0)),Calc!$D$8:$D$500,0))="Yes",CONCATENATE(INDEX(Calc!$D$8:$D$500,MATCH(SMALL(IF((Calc!$C$8:$C$500=Kanban!$C$7)*(Calc!$K$8:$K$500=Kanban!C$11)*(Calc!$Y$8:$Y$500&gt;0),Calc!$Y$8:$Y$500,99999),Kanban_Helper!$B110),Calc!$Y$8:$Y$500,0))," ",Calc!$V$7," ","!"),INDEX(Calc!$D$8:$D$500,MATCH(SMALL(IF((Calc!$C$8:$C$500=Kanban!$C$7)*(Calc!$K$8:$K$500=Kanban!C$11)*(Calc!$Y$8:$Y$500&gt;0),Calc!$Y$8:$Y$500,99999),Kanban_Helper!$B110),Calc!$Y$8:$Y$500,0))),IF(INDEX(Calc!$V$8:$V$500,MATCH(INDEX(Calc!$D$8:$D$500,MATCH(SMALL(IF((Calc!$K$8:$K$500=Kanban!C$11)*(Calc!$Y$8:$Y$500&gt;0),Calc!$Y$8:$Y$500,99999),Kanban_Helper!$B110),Calc!$Y$8:$Y$500,0)),Calc!$D$8:$D$500,0))="Yes",CONCATENATE(INDEX(Calc!$D$8:$D$500,MATCH(SMALL(IF((Calc!$K$8:$K$500=Kanban!C$11)*(Calc!$Y$8:$Y$500&gt;0),Calc!$Y$8:$Y$500,99999),Kanban_Helper!$B110),Calc!$Y$8:$Y$500,0))," ",Calc!$V$7," ","!"),INDEX(Calc!$D$8:$D$500,MATCH(SMALL(IF((Calc!$K$8:$K$500=Kanban!C$11)*(Calc!$Y$8:$Y$500&gt;0),Calc!$Y$8:$Y$500,99999),Kanban_Helper!$B110),Calc!$Y$8:$Y$500,0))))),"")</f>
        <v/>
      </c>
      <c r="D117" s="170" t="str">
        <f t="array" ref="D117">IFERROR(IF(LEN(D$11)=0,"",IF($C$7&lt;&gt;"All",IF(INDEX(Calc!$V$8:$V$500,MATCH(INDEX(Calc!$D$8:$D$500,MATCH(SMALL(IF((Calc!$C$8:$C$500=Kanban!$C$7)*(Calc!$K$8:$K$500=Kanban!D$11)*(Calc!$Y$8:$Y$500&gt;0),Calc!$Y$8:$Y$500,99999),Kanban_Helper!$B110),Calc!$Y$8:$Y$500,0)),Calc!$D$8:$D$500,0))="Yes",CONCATENATE(INDEX(Calc!$D$8:$D$500,MATCH(SMALL(IF((Calc!$C$8:$C$500=Kanban!$C$7)*(Calc!$K$8:$K$500=Kanban!D$11)*(Calc!$Y$8:$Y$500&gt;0),Calc!$Y$8:$Y$500,99999),Kanban_Helper!$B110),Calc!$Y$8:$Y$500,0))," ",Calc!$V$7," ","!"),INDEX(Calc!$D$8:$D$500,MATCH(SMALL(IF((Calc!$C$8:$C$500=Kanban!$C$7)*(Calc!$K$8:$K$500=Kanban!D$11)*(Calc!$Y$8:$Y$500&gt;0),Calc!$Y$8:$Y$500,99999),Kanban_Helper!$B110),Calc!$Y$8:$Y$500,0))),IF(INDEX(Calc!$V$8:$V$500,MATCH(INDEX(Calc!$D$8:$D$500,MATCH(SMALL(IF((Calc!$K$8:$K$500=Kanban!D$11)*(Calc!$Y$8:$Y$500&gt;0),Calc!$Y$8:$Y$500,99999),Kanban_Helper!$B110),Calc!$Y$8:$Y$500,0)),Calc!$D$8:$D$500,0))="Yes",CONCATENATE(INDEX(Calc!$D$8:$D$500,MATCH(SMALL(IF((Calc!$K$8:$K$500=Kanban!D$11)*(Calc!$Y$8:$Y$500&gt;0),Calc!$Y$8:$Y$500,99999),Kanban_Helper!$B110),Calc!$Y$8:$Y$500,0))," ",Calc!$V$7," ","!"),INDEX(Calc!$D$8:$D$500,MATCH(SMALL(IF((Calc!$K$8:$K$500=Kanban!D$11)*(Calc!$Y$8:$Y$500&gt;0),Calc!$Y$8:$Y$500,99999),Kanban_Helper!$B110),Calc!$Y$8:$Y$500,0))))),"")</f>
        <v/>
      </c>
      <c r="E117" s="170" t="str">
        <f t="array" ref="E117">IFERROR(IF(LEN(E$11)=0,"",IF($C$7&lt;&gt;"All",IF(INDEX(Calc!$V$8:$V$500,MATCH(INDEX(Calc!$D$8:$D$500,MATCH(SMALL(IF((Calc!$C$8:$C$500=Kanban!$C$7)*(Calc!$K$8:$K$500=Kanban!E$11)*(Calc!$Y$8:$Y$500&gt;0),Calc!$Y$8:$Y$500,99999),Kanban_Helper!$B110),Calc!$Y$8:$Y$500,0)),Calc!$D$8:$D$500,0))="Yes",CONCATENATE(INDEX(Calc!$D$8:$D$500,MATCH(SMALL(IF((Calc!$C$8:$C$500=Kanban!$C$7)*(Calc!$K$8:$K$500=Kanban!E$11)*(Calc!$Y$8:$Y$500&gt;0),Calc!$Y$8:$Y$500,99999),Kanban_Helper!$B110),Calc!$Y$8:$Y$500,0))," ",Calc!$V$7," ","!"),INDEX(Calc!$D$8:$D$500,MATCH(SMALL(IF((Calc!$C$8:$C$500=Kanban!$C$7)*(Calc!$K$8:$K$500=Kanban!E$11)*(Calc!$Y$8:$Y$500&gt;0),Calc!$Y$8:$Y$500,99999),Kanban_Helper!$B110),Calc!$Y$8:$Y$500,0))),IF(INDEX(Calc!$V$8:$V$500,MATCH(INDEX(Calc!$D$8:$D$500,MATCH(SMALL(IF((Calc!$K$8:$K$500=Kanban!E$11)*(Calc!$Y$8:$Y$500&gt;0),Calc!$Y$8:$Y$500,99999),Kanban_Helper!$B110),Calc!$Y$8:$Y$500,0)),Calc!$D$8:$D$500,0))="Yes",CONCATENATE(INDEX(Calc!$D$8:$D$500,MATCH(SMALL(IF((Calc!$K$8:$K$500=Kanban!E$11)*(Calc!$Y$8:$Y$500&gt;0),Calc!$Y$8:$Y$500,99999),Kanban_Helper!$B110),Calc!$Y$8:$Y$500,0))," ",Calc!$V$7," ","!"),INDEX(Calc!$D$8:$D$500,MATCH(SMALL(IF((Calc!$K$8:$K$500=Kanban!E$11)*(Calc!$Y$8:$Y$500&gt;0),Calc!$Y$8:$Y$500,99999),Kanban_Helper!$B110),Calc!$Y$8:$Y$500,0))))),"")</f>
        <v/>
      </c>
      <c r="F117" s="170" t="str">
        <f t="array" ref="F117">IFERROR(IF(LEN(F$11)=0,"",IF($C$7&lt;&gt;"All",IF(INDEX(Calc!$V$8:$V$500,MATCH(INDEX(Calc!$D$8:$D$500,MATCH(SMALL(IF((Calc!$C$8:$C$500=Kanban!$C$7)*(Calc!$K$8:$K$500=Kanban!F$11)*(Calc!$Y$8:$Y$500&gt;0),Calc!$Y$8:$Y$500,99999),Kanban_Helper!$B110),Calc!$Y$8:$Y$500,0)),Calc!$D$8:$D$500,0))="Yes",CONCATENATE(INDEX(Calc!$D$8:$D$500,MATCH(SMALL(IF((Calc!$C$8:$C$500=Kanban!$C$7)*(Calc!$K$8:$K$500=Kanban!F$11)*(Calc!$Y$8:$Y$500&gt;0),Calc!$Y$8:$Y$500,99999),Kanban_Helper!$B110),Calc!$Y$8:$Y$500,0))," ",Calc!$V$7," ","!"),INDEX(Calc!$D$8:$D$500,MATCH(SMALL(IF((Calc!$C$8:$C$500=Kanban!$C$7)*(Calc!$K$8:$K$500=Kanban!F$11)*(Calc!$Y$8:$Y$500&gt;0),Calc!$Y$8:$Y$500,99999),Kanban_Helper!$B110),Calc!$Y$8:$Y$500,0))),IF(INDEX(Calc!$V$8:$V$500,MATCH(INDEX(Calc!$D$8:$D$500,MATCH(SMALL(IF((Calc!$K$8:$K$500=Kanban!F$11)*(Calc!$Y$8:$Y$500&gt;0),Calc!$Y$8:$Y$500,99999),Kanban_Helper!$B110),Calc!$Y$8:$Y$500,0)),Calc!$D$8:$D$500,0))="Yes",CONCATENATE(INDEX(Calc!$D$8:$D$500,MATCH(SMALL(IF((Calc!$K$8:$K$500=Kanban!F$11)*(Calc!$Y$8:$Y$500&gt;0),Calc!$Y$8:$Y$500,99999),Kanban_Helper!$B110),Calc!$Y$8:$Y$500,0))," ",Calc!$V$7," ","!"),INDEX(Calc!$D$8:$D$500,MATCH(SMALL(IF((Calc!$K$8:$K$500=Kanban!F$11)*(Calc!$Y$8:$Y$500&gt;0),Calc!$Y$8:$Y$500,99999),Kanban_Helper!$B110),Calc!$Y$8:$Y$500,0))))),"")</f>
        <v/>
      </c>
      <c r="G117" s="170" t="str">
        <f t="array" ref="G117">IFERROR(IF(LEN(G$11)=0,"",IF($C$7&lt;&gt;"All",IF(INDEX(Calc!$V$8:$V$500,MATCH(INDEX(Calc!$D$8:$D$500,MATCH(SMALL(IF((Calc!$C$8:$C$500=Kanban!$C$7)*(Calc!$K$8:$K$500=Kanban!G$11)*(Calc!$Y$8:$Y$500&gt;0),Calc!$Y$8:$Y$500,99999),Kanban_Helper!$B110),Calc!$Y$8:$Y$500,0)),Calc!$D$8:$D$500,0))="Yes",CONCATENATE(INDEX(Calc!$D$8:$D$500,MATCH(SMALL(IF((Calc!$C$8:$C$500=Kanban!$C$7)*(Calc!$K$8:$K$500=Kanban!G$11)*(Calc!$Y$8:$Y$500&gt;0),Calc!$Y$8:$Y$500,99999),Kanban_Helper!$B110),Calc!$Y$8:$Y$500,0))," ",Calc!$V$7," ","!"),INDEX(Calc!$D$8:$D$500,MATCH(SMALL(IF((Calc!$C$8:$C$500=Kanban!$C$7)*(Calc!$K$8:$K$500=Kanban!G$11)*(Calc!$Y$8:$Y$500&gt;0),Calc!$Y$8:$Y$500,99999),Kanban_Helper!$B110),Calc!$Y$8:$Y$500,0))),IF(INDEX(Calc!$V$8:$V$500,MATCH(INDEX(Calc!$D$8:$D$500,MATCH(SMALL(IF((Calc!$K$8:$K$500=Kanban!G$11)*(Calc!$Y$8:$Y$500&gt;0),Calc!$Y$8:$Y$500,99999),Kanban_Helper!$B110),Calc!$Y$8:$Y$500,0)),Calc!$D$8:$D$500,0))="Yes",CONCATENATE(INDEX(Calc!$D$8:$D$500,MATCH(SMALL(IF((Calc!$K$8:$K$500=Kanban!G$11)*(Calc!$Y$8:$Y$500&gt;0),Calc!$Y$8:$Y$500,99999),Kanban_Helper!$B110),Calc!$Y$8:$Y$500,0))," ",Calc!$V$7," ","!"),INDEX(Calc!$D$8:$D$500,MATCH(SMALL(IF((Calc!$K$8:$K$500=Kanban!G$11)*(Calc!$Y$8:$Y$500&gt;0),Calc!$Y$8:$Y$500,99999),Kanban_Helper!$B110),Calc!$Y$8:$Y$500,0))))),"")</f>
        <v/>
      </c>
      <c r="H117" s="170" t="str">
        <f t="array" ref="H117">IFERROR(IF(LEN(H$11)=0,"",IF($C$7&lt;&gt;"All",IF(INDEX(Calc!$V$8:$V$500,MATCH(INDEX(Calc!$D$8:$D$500,MATCH(SMALL(IF((Calc!$C$8:$C$500=Kanban!$C$7)*(Calc!$K$8:$K$500=Kanban!H$11)*(Calc!$Y$8:$Y$500&gt;0),Calc!$Y$8:$Y$500,99999),Kanban_Helper!$B110),Calc!$Y$8:$Y$500,0)),Calc!$D$8:$D$500,0))="Yes",CONCATENATE(INDEX(Calc!$D$8:$D$500,MATCH(SMALL(IF((Calc!$C$8:$C$500=Kanban!$C$7)*(Calc!$K$8:$K$500=Kanban!H$11)*(Calc!$Y$8:$Y$500&gt;0),Calc!$Y$8:$Y$500,99999),Kanban_Helper!$B110),Calc!$Y$8:$Y$500,0))," ",Calc!$V$7," ","!"),INDEX(Calc!$D$8:$D$500,MATCH(SMALL(IF((Calc!$C$8:$C$500=Kanban!$C$7)*(Calc!$K$8:$K$500=Kanban!H$11)*(Calc!$Y$8:$Y$500&gt;0),Calc!$Y$8:$Y$500,99999),Kanban_Helper!$B110),Calc!$Y$8:$Y$500,0))),IF(INDEX(Calc!$V$8:$V$500,MATCH(INDEX(Calc!$D$8:$D$500,MATCH(SMALL(IF((Calc!$K$8:$K$500=Kanban!H$11)*(Calc!$Y$8:$Y$500&gt;0),Calc!$Y$8:$Y$500,99999),Kanban_Helper!$B110),Calc!$Y$8:$Y$500,0)),Calc!$D$8:$D$500,0))="Yes",CONCATENATE(INDEX(Calc!$D$8:$D$500,MATCH(SMALL(IF((Calc!$K$8:$K$500=Kanban!H$11)*(Calc!$Y$8:$Y$500&gt;0),Calc!$Y$8:$Y$500,99999),Kanban_Helper!$B110),Calc!$Y$8:$Y$500,0))," ",Calc!$V$7," ","!"),INDEX(Calc!$D$8:$D$500,MATCH(SMALL(IF((Calc!$K$8:$K$500=Kanban!H$11)*(Calc!$Y$8:$Y$500&gt;0),Calc!$Y$8:$Y$500,99999),Kanban_Helper!$B110),Calc!$Y$8:$Y$500,0))))),"")</f>
        <v/>
      </c>
      <c r="I117" s="39"/>
    </row>
    <row r="118" spans="2:9" x14ac:dyDescent="0.35">
      <c r="B118" s="81"/>
      <c r="C118" s="171" t="str">
        <f t="array" ref="C118">IFERROR(IF(LEN(C$11)=0,"",IF($C$7&lt;&gt;"All",INDEX(Calc!$E$8:$E$500,MATCH(SMALL(IF((Calc!$C$8:$C$500=Kanban!$C$7)*(Calc!$K$8:$K$500=Kanban!C$11)*(Calc!$Y$8:$Y$500&gt;0),Calc!$Y$8:$Y$500,99999),Kanban_Helper!$B111),Calc!$Y$8:$Y$500,0)),INDEX(Calc!$E$8:$E$500,MATCH(SMALL(IF((Calc!$K$8:$K$500=Kanban!C$11)*(Calc!$Y$8:$Y$500&gt;0),Calc!$Y$8:$Y$500,99999),Kanban_Helper!$B111),Calc!$Y$8:$Y$500,0)))),"")</f>
        <v/>
      </c>
      <c r="D118" s="171" t="str">
        <f t="array" ref="D118">IFERROR(IF(LEN(D$11)=0,"",IF($C$7&lt;&gt;"All",INDEX(Calc!$E$8:$E$500,MATCH(SMALL(IF((Calc!$C$8:$C$500=Kanban!$C$7)*(Calc!$K$8:$K$500=Kanban!D$11)*(Calc!$Y$8:$Y$500&gt;0),Calc!$Y$8:$Y$500,99999),Kanban_Helper!$B111),Calc!$Y$8:$Y$500,0)),INDEX(Calc!$E$8:$E$500,MATCH(SMALL(IF((Calc!$K$8:$K$500=Kanban!D$11)*(Calc!$Y$8:$Y$500&gt;0),Calc!$Y$8:$Y$500,99999),Kanban_Helper!$B111),Calc!$Y$8:$Y$500,0)))),"")</f>
        <v/>
      </c>
      <c r="E118" s="171" t="str">
        <f t="array" ref="E118">IFERROR(IF(LEN(E$11)=0,"",IF($C$7&lt;&gt;"All",INDEX(Calc!$E$8:$E$500,MATCH(SMALL(IF((Calc!$C$8:$C$500=Kanban!$C$7)*(Calc!$K$8:$K$500=Kanban!E$11)*(Calc!$Y$8:$Y$500&gt;0),Calc!$Y$8:$Y$500,99999),Kanban_Helper!$B111),Calc!$Y$8:$Y$500,0)),INDEX(Calc!$E$8:$E$500,MATCH(SMALL(IF((Calc!$K$8:$K$500=Kanban!E$11)*(Calc!$Y$8:$Y$500&gt;0),Calc!$Y$8:$Y$500,99999),Kanban_Helper!$B111),Calc!$Y$8:$Y$500,0)))),"")</f>
        <v/>
      </c>
      <c r="F118" s="171" t="str">
        <f t="array" ref="F118">IFERROR(IF(LEN(F$11)=0,"",IF($C$7&lt;&gt;"All",INDEX(Calc!$E$8:$E$500,MATCH(SMALL(IF((Calc!$C$8:$C$500=Kanban!$C$7)*(Calc!$K$8:$K$500=Kanban!F$11)*(Calc!$Y$8:$Y$500&gt;0),Calc!$Y$8:$Y$500,99999),Kanban_Helper!$B111),Calc!$Y$8:$Y$500,0)),INDEX(Calc!$E$8:$E$500,MATCH(SMALL(IF((Calc!$K$8:$K$500=Kanban!F$11)*(Calc!$Y$8:$Y$500&gt;0),Calc!$Y$8:$Y$500,99999),Kanban_Helper!$B111),Calc!$Y$8:$Y$500,0)))),"")</f>
        <v/>
      </c>
      <c r="G118" s="171" t="str">
        <f t="array" ref="G118">IFERROR(IF(LEN(G$11)=0,"",IF($C$7&lt;&gt;"All",INDEX(Calc!$E$8:$E$500,MATCH(SMALL(IF((Calc!$C$8:$C$500=Kanban!$C$7)*(Calc!$K$8:$K$500=Kanban!G$11)*(Calc!$Y$8:$Y$500&gt;0),Calc!$Y$8:$Y$500,99999),Kanban_Helper!$B111),Calc!$Y$8:$Y$500,0)),INDEX(Calc!$E$8:$E$500,MATCH(SMALL(IF((Calc!$K$8:$K$500=Kanban!G$11)*(Calc!$Y$8:$Y$500&gt;0),Calc!$Y$8:$Y$500,99999),Kanban_Helper!$B111),Calc!$Y$8:$Y$500,0)))),"")</f>
        <v/>
      </c>
      <c r="H118" s="171" t="str">
        <f t="array" ref="H118">IFERROR(IF(LEN(H$11)=0,"",IF($C$7&lt;&gt;"All",INDEX(Calc!$E$8:$E$500,MATCH(SMALL(IF((Calc!$C$8:$C$500=Kanban!$C$7)*(Calc!$K$8:$K$500=Kanban!H$11)*(Calc!$Y$8:$Y$500&gt;0),Calc!$Y$8:$Y$500,99999),Kanban_Helper!$B111),Calc!$Y$8:$Y$500,0)),INDEX(Calc!$E$8:$E$500,MATCH(SMALL(IF((Calc!$K$8:$K$500=Kanban!H$11)*(Calc!$Y$8:$Y$500&gt;0),Calc!$Y$8:$Y$500,99999),Kanban_Helper!$B111),Calc!$Y$8:$Y$500,0)))),"")</f>
        <v/>
      </c>
      <c r="I118" s="39"/>
    </row>
    <row r="119" spans="2:9" ht="15" thickBot="1" x14ac:dyDescent="0.4">
      <c r="B119" s="81"/>
      <c r="C119" s="172" t="str">
        <f t="array" ref="C119">IFERROR(IF(LEN(C$11)=0,"",IF($C$7&lt;&gt;"All",IF(LEN(INDEX(Calc!$J$8:$J$500,MATCH(SMALL(IF((Calc!$C$8:$C$500=Kanban!$C$7)*(Calc!$K$8:$K$500=Kanban!C$11)*(Calc!$Y$8:$Y$500&gt;0),Calc!$Y$8:$Y$500,99999),Kanban_Helper!$B112),Calc!$Y$8:$Y$500,0)))=0,"",CONCATENATE(Calc!$AD$6,INDEX(Calc!$J$8:$J$500,MATCH(SMALL(IF((Calc!$C$8:$C$500=Kanban!$C$7)*(Calc!$K$8:$K$500=Kanban!C$11)*(Calc!$Y$8:$Y$500&gt;0),Calc!$Y$8:$Y$500,99999),Kanban_Helper!$B112),Calc!$Y$8:$Y$500,0)))),IF(LEN(INDEX(Calc!$J$8:$J$500,MATCH(SMALL(IF((Calc!$K$8:$K$500=Kanban!C$11)*(Calc!$Y$8:$Y$500&gt;0),Calc!$Y$8:$Y$500,99999),Kanban_Helper!$B112),Calc!$Y$8:$Y$500,0)))=0,"",CONCATENATE(Calc!$AD$6,INDEX(Calc!$J$8:$J$500,MATCH(SMALL(IF((Calc!$K$8:$K$500=Kanban!C$11)*(Calc!$Y$8:$Y$500&gt;0),Calc!$Y$8:$Y$500,99999),Kanban_Helper!$B112),Calc!$Y$8:$Y$500,0)))))),"")</f>
        <v/>
      </c>
      <c r="D119" s="172" t="str">
        <f t="array" ref="D119">IFERROR(IF(LEN(D$11)=0,"",IF($C$7&lt;&gt;"All",IF(LEN(INDEX(Calc!$J$8:$J$500,MATCH(SMALL(IF((Calc!$C$8:$C$500=Kanban!$C$7)*(Calc!$K$8:$K$500=Kanban!D$11)*(Calc!$Y$8:$Y$500&gt;0),Calc!$Y$8:$Y$500,99999),Kanban_Helper!$B112),Calc!$Y$8:$Y$500,0)))=0,"",CONCATENATE(Calc!$AD$6,INDEX(Calc!$J$8:$J$500,MATCH(SMALL(IF((Calc!$C$8:$C$500=Kanban!$C$7)*(Calc!$K$8:$K$500=Kanban!D$11)*(Calc!$Y$8:$Y$500&gt;0),Calc!$Y$8:$Y$500,99999),Kanban_Helper!$B112),Calc!$Y$8:$Y$500,0)))),IF(LEN(INDEX(Calc!$J$8:$J$500,MATCH(SMALL(IF((Calc!$K$8:$K$500=Kanban!D$11)*(Calc!$Y$8:$Y$500&gt;0),Calc!$Y$8:$Y$500,99999),Kanban_Helper!$B112),Calc!$Y$8:$Y$500,0)))=0,"",CONCATENATE(Calc!$AD$6,INDEX(Calc!$J$8:$J$500,MATCH(SMALL(IF((Calc!$K$8:$K$500=Kanban!D$11)*(Calc!$Y$8:$Y$500&gt;0),Calc!$Y$8:$Y$500,99999),Kanban_Helper!$B112),Calc!$Y$8:$Y$500,0)))))),"")</f>
        <v/>
      </c>
      <c r="E119" s="172" t="str">
        <f t="array" ref="E119">IFERROR(IF(LEN(E$11)=0,"",IF($C$7&lt;&gt;"All",IF(LEN(INDEX(Calc!$J$8:$J$500,MATCH(SMALL(IF((Calc!$C$8:$C$500=Kanban!$C$7)*(Calc!$K$8:$K$500=Kanban!E$11)*(Calc!$Y$8:$Y$500&gt;0),Calc!$Y$8:$Y$500,99999),Kanban_Helper!$B112),Calc!$Y$8:$Y$500,0)))=0,"",CONCATENATE(Calc!$AD$6,INDEX(Calc!$J$8:$J$500,MATCH(SMALL(IF((Calc!$C$8:$C$500=Kanban!$C$7)*(Calc!$K$8:$K$500=Kanban!E$11)*(Calc!$Y$8:$Y$500&gt;0),Calc!$Y$8:$Y$500,99999),Kanban_Helper!$B112),Calc!$Y$8:$Y$500,0)))),IF(LEN(INDEX(Calc!$J$8:$J$500,MATCH(SMALL(IF((Calc!$K$8:$K$500=Kanban!E$11)*(Calc!$Y$8:$Y$500&gt;0),Calc!$Y$8:$Y$500,99999),Kanban_Helper!$B112),Calc!$Y$8:$Y$500,0)))=0,"",CONCATENATE(Calc!$AD$6,INDEX(Calc!$J$8:$J$500,MATCH(SMALL(IF((Calc!$K$8:$K$500=Kanban!E$11)*(Calc!$Y$8:$Y$500&gt;0),Calc!$Y$8:$Y$500,99999),Kanban_Helper!$B112),Calc!$Y$8:$Y$500,0)))))),"")</f>
        <v/>
      </c>
      <c r="F119" s="172" t="str">
        <f t="array" ref="F119">IFERROR(IF(LEN(F$11)=0,"",IF($C$7&lt;&gt;"All",IF(LEN(INDEX(Calc!$J$8:$J$500,MATCH(SMALL(IF((Calc!$C$8:$C$500=Kanban!$C$7)*(Calc!$K$8:$K$500=Kanban!F$11)*(Calc!$Y$8:$Y$500&gt;0),Calc!$Y$8:$Y$500,99999),Kanban_Helper!$B112),Calc!$Y$8:$Y$500,0)))=0,"",CONCATENATE(Calc!$AD$6,INDEX(Calc!$J$8:$J$500,MATCH(SMALL(IF((Calc!$C$8:$C$500=Kanban!$C$7)*(Calc!$K$8:$K$500=Kanban!F$11)*(Calc!$Y$8:$Y$500&gt;0),Calc!$Y$8:$Y$500,99999),Kanban_Helper!$B112),Calc!$Y$8:$Y$500,0)))),IF(LEN(INDEX(Calc!$J$8:$J$500,MATCH(SMALL(IF((Calc!$K$8:$K$500=Kanban!F$11)*(Calc!$Y$8:$Y$500&gt;0),Calc!$Y$8:$Y$500,99999),Kanban_Helper!$B112),Calc!$Y$8:$Y$500,0)))=0,"",CONCATENATE(Calc!$AD$6,INDEX(Calc!$J$8:$J$500,MATCH(SMALL(IF((Calc!$K$8:$K$500=Kanban!F$11)*(Calc!$Y$8:$Y$500&gt;0),Calc!$Y$8:$Y$500,99999),Kanban_Helper!$B112),Calc!$Y$8:$Y$500,0)))))),"")</f>
        <v/>
      </c>
      <c r="G119" s="172" t="str">
        <f t="array" ref="G119">IFERROR(IF(LEN(G$11)=0,"",IF($C$7&lt;&gt;"All",IF(LEN(INDEX(Calc!$J$8:$J$500,MATCH(SMALL(IF((Calc!$C$8:$C$500=Kanban!$C$7)*(Calc!$K$8:$K$500=Kanban!G$11)*(Calc!$Y$8:$Y$500&gt;0),Calc!$Y$8:$Y$500,99999),Kanban_Helper!$B112),Calc!$Y$8:$Y$500,0)))=0,"",CONCATENATE(Calc!$AD$6,INDEX(Calc!$J$8:$J$500,MATCH(SMALL(IF((Calc!$C$8:$C$500=Kanban!$C$7)*(Calc!$K$8:$K$500=Kanban!G$11)*(Calc!$Y$8:$Y$500&gt;0),Calc!$Y$8:$Y$500,99999),Kanban_Helper!$B112),Calc!$Y$8:$Y$500,0)))),IF(LEN(INDEX(Calc!$J$8:$J$500,MATCH(SMALL(IF((Calc!$K$8:$K$500=Kanban!G$11)*(Calc!$Y$8:$Y$500&gt;0),Calc!$Y$8:$Y$500,99999),Kanban_Helper!$B112),Calc!$Y$8:$Y$500,0)))=0,"",CONCATENATE(Calc!$AD$6,INDEX(Calc!$J$8:$J$500,MATCH(SMALL(IF((Calc!$K$8:$K$500=Kanban!G$11)*(Calc!$Y$8:$Y$500&gt;0),Calc!$Y$8:$Y$500,99999),Kanban_Helper!$B112),Calc!$Y$8:$Y$500,0)))))),"")</f>
        <v/>
      </c>
      <c r="H119" s="172" t="str">
        <f t="array" ref="H119">IFERROR(IF(LEN(H$11)=0,"",IF($C$7&lt;&gt;"All",IF(LEN(INDEX(Calc!$J$8:$J$500,MATCH(SMALL(IF((Calc!$C$8:$C$500=Kanban!$C$7)*(Calc!$K$8:$K$500=Kanban!H$11)*(Calc!$Y$8:$Y$500&gt;0),Calc!$Y$8:$Y$500,99999),Kanban_Helper!$B112),Calc!$Y$8:$Y$500,0)))=0,"",CONCATENATE(Calc!$AD$6,INDEX(Calc!$J$8:$J$500,MATCH(SMALL(IF((Calc!$C$8:$C$500=Kanban!$C$7)*(Calc!$K$8:$K$500=Kanban!H$11)*(Calc!$Y$8:$Y$500&gt;0),Calc!$Y$8:$Y$500,99999),Kanban_Helper!$B112),Calc!$Y$8:$Y$500,0)))),IF(LEN(INDEX(Calc!$J$8:$J$500,MATCH(SMALL(IF((Calc!$K$8:$K$500=Kanban!H$11)*(Calc!$Y$8:$Y$500&gt;0),Calc!$Y$8:$Y$500,99999),Kanban_Helper!$B112),Calc!$Y$8:$Y$500,0)))=0,"",CONCATENATE(Calc!$AD$6,INDEX(Calc!$J$8:$J$500,MATCH(SMALL(IF((Calc!$K$8:$K$500=Kanban!H$11)*(Calc!$Y$8:$Y$500&gt;0),Calc!$Y$8:$Y$500,99999),Kanban_Helper!$B112),Calc!$Y$8:$Y$500,0)))))),"")</f>
        <v/>
      </c>
      <c r="I119" s="39"/>
    </row>
    <row r="120" spans="2:9" ht="15" thickTop="1" x14ac:dyDescent="0.35">
      <c r="B120" s="81"/>
      <c r="C120" s="170" t="str">
        <f t="array" ref="C120">IFERROR(IF(LEN(C$11)=0,"",IF($C$7&lt;&gt;"All",IF(INDEX(Calc!$V$8:$V$500,MATCH(INDEX(Calc!$D$8:$D$500,MATCH(SMALL(IF((Calc!$C$8:$C$500=Kanban!$C$7)*(Calc!$K$8:$K$500=Kanban!C$11)*(Calc!$Y$8:$Y$500&gt;0),Calc!$Y$8:$Y$500,99999),Kanban_Helper!$B113),Calc!$Y$8:$Y$500,0)),Calc!$D$8:$D$500,0))="Yes",CONCATENATE(INDEX(Calc!$D$8:$D$500,MATCH(SMALL(IF((Calc!$C$8:$C$500=Kanban!$C$7)*(Calc!$K$8:$K$500=Kanban!C$11)*(Calc!$Y$8:$Y$500&gt;0),Calc!$Y$8:$Y$500,99999),Kanban_Helper!$B113),Calc!$Y$8:$Y$500,0))," ",Calc!$V$7," ","!"),INDEX(Calc!$D$8:$D$500,MATCH(SMALL(IF((Calc!$C$8:$C$500=Kanban!$C$7)*(Calc!$K$8:$K$500=Kanban!C$11)*(Calc!$Y$8:$Y$500&gt;0),Calc!$Y$8:$Y$500,99999),Kanban_Helper!$B113),Calc!$Y$8:$Y$500,0))),IF(INDEX(Calc!$V$8:$V$500,MATCH(INDEX(Calc!$D$8:$D$500,MATCH(SMALL(IF((Calc!$K$8:$K$500=Kanban!C$11)*(Calc!$Y$8:$Y$500&gt;0),Calc!$Y$8:$Y$500,99999),Kanban_Helper!$B113),Calc!$Y$8:$Y$500,0)),Calc!$D$8:$D$500,0))="Yes",CONCATENATE(INDEX(Calc!$D$8:$D$500,MATCH(SMALL(IF((Calc!$K$8:$K$500=Kanban!C$11)*(Calc!$Y$8:$Y$500&gt;0),Calc!$Y$8:$Y$500,99999),Kanban_Helper!$B113),Calc!$Y$8:$Y$500,0))," ",Calc!$V$7," ","!"),INDEX(Calc!$D$8:$D$500,MATCH(SMALL(IF((Calc!$K$8:$K$500=Kanban!C$11)*(Calc!$Y$8:$Y$500&gt;0),Calc!$Y$8:$Y$500,99999),Kanban_Helper!$B113),Calc!$Y$8:$Y$500,0))))),"")</f>
        <v/>
      </c>
      <c r="D120" s="170" t="str">
        <f t="array" ref="D120">IFERROR(IF(LEN(D$11)=0,"",IF($C$7&lt;&gt;"All",IF(INDEX(Calc!$V$8:$V$500,MATCH(INDEX(Calc!$D$8:$D$500,MATCH(SMALL(IF((Calc!$C$8:$C$500=Kanban!$C$7)*(Calc!$K$8:$K$500=Kanban!D$11)*(Calc!$Y$8:$Y$500&gt;0),Calc!$Y$8:$Y$500,99999),Kanban_Helper!$B113),Calc!$Y$8:$Y$500,0)),Calc!$D$8:$D$500,0))="Yes",CONCATENATE(INDEX(Calc!$D$8:$D$500,MATCH(SMALL(IF((Calc!$C$8:$C$500=Kanban!$C$7)*(Calc!$K$8:$K$500=Kanban!D$11)*(Calc!$Y$8:$Y$500&gt;0),Calc!$Y$8:$Y$500,99999),Kanban_Helper!$B113),Calc!$Y$8:$Y$500,0))," ",Calc!$V$7," ","!"),INDEX(Calc!$D$8:$D$500,MATCH(SMALL(IF((Calc!$C$8:$C$500=Kanban!$C$7)*(Calc!$K$8:$K$500=Kanban!D$11)*(Calc!$Y$8:$Y$500&gt;0),Calc!$Y$8:$Y$500,99999),Kanban_Helper!$B113),Calc!$Y$8:$Y$500,0))),IF(INDEX(Calc!$V$8:$V$500,MATCH(INDEX(Calc!$D$8:$D$500,MATCH(SMALL(IF((Calc!$K$8:$K$500=Kanban!D$11)*(Calc!$Y$8:$Y$500&gt;0),Calc!$Y$8:$Y$500,99999),Kanban_Helper!$B113),Calc!$Y$8:$Y$500,0)),Calc!$D$8:$D$500,0))="Yes",CONCATENATE(INDEX(Calc!$D$8:$D$500,MATCH(SMALL(IF((Calc!$K$8:$K$500=Kanban!D$11)*(Calc!$Y$8:$Y$500&gt;0),Calc!$Y$8:$Y$500,99999),Kanban_Helper!$B113),Calc!$Y$8:$Y$500,0))," ",Calc!$V$7," ","!"),INDEX(Calc!$D$8:$D$500,MATCH(SMALL(IF((Calc!$K$8:$K$500=Kanban!D$11)*(Calc!$Y$8:$Y$500&gt;0),Calc!$Y$8:$Y$500,99999),Kanban_Helper!$B113),Calc!$Y$8:$Y$500,0))))),"")</f>
        <v/>
      </c>
      <c r="E120" s="170" t="str">
        <f t="array" ref="E120">IFERROR(IF(LEN(E$11)=0,"",IF($C$7&lt;&gt;"All",IF(INDEX(Calc!$V$8:$V$500,MATCH(INDEX(Calc!$D$8:$D$500,MATCH(SMALL(IF((Calc!$C$8:$C$500=Kanban!$C$7)*(Calc!$K$8:$K$500=Kanban!E$11)*(Calc!$Y$8:$Y$500&gt;0),Calc!$Y$8:$Y$500,99999),Kanban_Helper!$B113),Calc!$Y$8:$Y$500,0)),Calc!$D$8:$D$500,0))="Yes",CONCATENATE(INDEX(Calc!$D$8:$D$500,MATCH(SMALL(IF((Calc!$C$8:$C$500=Kanban!$C$7)*(Calc!$K$8:$K$500=Kanban!E$11)*(Calc!$Y$8:$Y$500&gt;0),Calc!$Y$8:$Y$500,99999),Kanban_Helper!$B113),Calc!$Y$8:$Y$500,0))," ",Calc!$V$7," ","!"),INDEX(Calc!$D$8:$D$500,MATCH(SMALL(IF((Calc!$C$8:$C$500=Kanban!$C$7)*(Calc!$K$8:$K$500=Kanban!E$11)*(Calc!$Y$8:$Y$500&gt;0),Calc!$Y$8:$Y$500,99999),Kanban_Helper!$B113),Calc!$Y$8:$Y$500,0))),IF(INDEX(Calc!$V$8:$V$500,MATCH(INDEX(Calc!$D$8:$D$500,MATCH(SMALL(IF((Calc!$K$8:$K$500=Kanban!E$11)*(Calc!$Y$8:$Y$500&gt;0),Calc!$Y$8:$Y$500,99999),Kanban_Helper!$B113),Calc!$Y$8:$Y$500,0)),Calc!$D$8:$D$500,0))="Yes",CONCATENATE(INDEX(Calc!$D$8:$D$500,MATCH(SMALL(IF((Calc!$K$8:$K$500=Kanban!E$11)*(Calc!$Y$8:$Y$500&gt;0),Calc!$Y$8:$Y$500,99999),Kanban_Helper!$B113),Calc!$Y$8:$Y$500,0))," ",Calc!$V$7," ","!"),INDEX(Calc!$D$8:$D$500,MATCH(SMALL(IF((Calc!$K$8:$K$500=Kanban!E$11)*(Calc!$Y$8:$Y$500&gt;0),Calc!$Y$8:$Y$500,99999),Kanban_Helper!$B113),Calc!$Y$8:$Y$500,0))))),"")</f>
        <v/>
      </c>
      <c r="F120" s="170" t="str">
        <f t="array" ref="F120">IFERROR(IF(LEN(F$11)=0,"",IF($C$7&lt;&gt;"All",IF(INDEX(Calc!$V$8:$V$500,MATCH(INDEX(Calc!$D$8:$D$500,MATCH(SMALL(IF((Calc!$C$8:$C$500=Kanban!$C$7)*(Calc!$K$8:$K$500=Kanban!F$11)*(Calc!$Y$8:$Y$500&gt;0),Calc!$Y$8:$Y$500,99999),Kanban_Helper!$B113),Calc!$Y$8:$Y$500,0)),Calc!$D$8:$D$500,0))="Yes",CONCATENATE(INDEX(Calc!$D$8:$D$500,MATCH(SMALL(IF((Calc!$C$8:$C$500=Kanban!$C$7)*(Calc!$K$8:$K$500=Kanban!F$11)*(Calc!$Y$8:$Y$500&gt;0),Calc!$Y$8:$Y$500,99999),Kanban_Helper!$B113),Calc!$Y$8:$Y$500,0))," ",Calc!$V$7," ","!"),INDEX(Calc!$D$8:$D$500,MATCH(SMALL(IF((Calc!$C$8:$C$500=Kanban!$C$7)*(Calc!$K$8:$K$500=Kanban!F$11)*(Calc!$Y$8:$Y$500&gt;0),Calc!$Y$8:$Y$500,99999),Kanban_Helper!$B113),Calc!$Y$8:$Y$500,0))),IF(INDEX(Calc!$V$8:$V$500,MATCH(INDEX(Calc!$D$8:$D$500,MATCH(SMALL(IF((Calc!$K$8:$K$500=Kanban!F$11)*(Calc!$Y$8:$Y$500&gt;0),Calc!$Y$8:$Y$500,99999),Kanban_Helper!$B113),Calc!$Y$8:$Y$500,0)),Calc!$D$8:$D$500,0))="Yes",CONCATENATE(INDEX(Calc!$D$8:$D$500,MATCH(SMALL(IF((Calc!$K$8:$K$500=Kanban!F$11)*(Calc!$Y$8:$Y$500&gt;0),Calc!$Y$8:$Y$500,99999),Kanban_Helper!$B113),Calc!$Y$8:$Y$500,0))," ",Calc!$V$7," ","!"),INDEX(Calc!$D$8:$D$500,MATCH(SMALL(IF((Calc!$K$8:$K$500=Kanban!F$11)*(Calc!$Y$8:$Y$500&gt;0),Calc!$Y$8:$Y$500,99999),Kanban_Helper!$B113),Calc!$Y$8:$Y$500,0))))),"")</f>
        <v/>
      </c>
      <c r="G120" s="170" t="str">
        <f t="array" ref="G120">IFERROR(IF(LEN(G$11)=0,"",IF($C$7&lt;&gt;"All",IF(INDEX(Calc!$V$8:$V$500,MATCH(INDEX(Calc!$D$8:$D$500,MATCH(SMALL(IF((Calc!$C$8:$C$500=Kanban!$C$7)*(Calc!$K$8:$K$500=Kanban!G$11)*(Calc!$Y$8:$Y$500&gt;0),Calc!$Y$8:$Y$500,99999),Kanban_Helper!$B113),Calc!$Y$8:$Y$500,0)),Calc!$D$8:$D$500,0))="Yes",CONCATENATE(INDEX(Calc!$D$8:$D$500,MATCH(SMALL(IF((Calc!$C$8:$C$500=Kanban!$C$7)*(Calc!$K$8:$K$500=Kanban!G$11)*(Calc!$Y$8:$Y$500&gt;0),Calc!$Y$8:$Y$500,99999),Kanban_Helper!$B113),Calc!$Y$8:$Y$500,0))," ",Calc!$V$7," ","!"),INDEX(Calc!$D$8:$D$500,MATCH(SMALL(IF((Calc!$C$8:$C$500=Kanban!$C$7)*(Calc!$K$8:$K$500=Kanban!G$11)*(Calc!$Y$8:$Y$500&gt;0),Calc!$Y$8:$Y$500,99999),Kanban_Helper!$B113),Calc!$Y$8:$Y$500,0))),IF(INDEX(Calc!$V$8:$V$500,MATCH(INDEX(Calc!$D$8:$D$500,MATCH(SMALL(IF((Calc!$K$8:$K$500=Kanban!G$11)*(Calc!$Y$8:$Y$500&gt;0),Calc!$Y$8:$Y$500,99999),Kanban_Helper!$B113),Calc!$Y$8:$Y$500,0)),Calc!$D$8:$D$500,0))="Yes",CONCATENATE(INDEX(Calc!$D$8:$D$500,MATCH(SMALL(IF((Calc!$K$8:$K$500=Kanban!G$11)*(Calc!$Y$8:$Y$500&gt;0),Calc!$Y$8:$Y$500,99999),Kanban_Helper!$B113),Calc!$Y$8:$Y$500,0))," ",Calc!$V$7," ","!"),INDEX(Calc!$D$8:$D$500,MATCH(SMALL(IF((Calc!$K$8:$K$500=Kanban!G$11)*(Calc!$Y$8:$Y$500&gt;0),Calc!$Y$8:$Y$500,99999),Kanban_Helper!$B113),Calc!$Y$8:$Y$500,0))))),"")</f>
        <v/>
      </c>
      <c r="H120" s="170" t="str">
        <f t="array" ref="H120">IFERROR(IF(LEN(H$11)=0,"",IF($C$7&lt;&gt;"All",IF(INDEX(Calc!$V$8:$V$500,MATCH(INDEX(Calc!$D$8:$D$500,MATCH(SMALL(IF((Calc!$C$8:$C$500=Kanban!$C$7)*(Calc!$K$8:$K$500=Kanban!H$11)*(Calc!$Y$8:$Y$500&gt;0),Calc!$Y$8:$Y$500,99999),Kanban_Helper!$B113),Calc!$Y$8:$Y$500,0)),Calc!$D$8:$D$500,0))="Yes",CONCATENATE(INDEX(Calc!$D$8:$D$500,MATCH(SMALL(IF((Calc!$C$8:$C$500=Kanban!$C$7)*(Calc!$K$8:$K$500=Kanban!H$11)*(Calc!$Y$8:$Y$500&gt;0),Calc!$Y$8:$Y$500,99999),Kanban_Helper!$B113),Calc!$Y$8:$Y$500,0))," ",Calc!$V$7," ","!"),INDEX(Calc!$D$8:$D$500,MATCH(SMALL(IF((Calc!$C$8:$C$500=Kanban!$C$7)*(Calc!$K$8:$K$500=Kanban!H$11)*(Calc!$Y$8:$Y$500&gt;0),Calc!$Y$8:$Y$500,99999),Kanban_Helper!$B113),Calc!$Y$8:$Y$500,0))),IF(INDEX(Calc!$V$8:$V$500,MATCH(INDEX(Calc!$D$8:$D$500,MATCH(SMALL(IF((Calc!$K$8:$K$500=Kanban!H$11)*(Calc!$Y$8:$Y$500&gt;0),Calc!$Y$8:$Y$500,99999),Kanban_Helper!$B113),Calc!$Y$8:$Y$500,0)),Calc!$D$8:$D$500,0))="Yes",CONCATENATE(INDEX(Calc!$D$8:$D$500,MATCH(SMALL(IF((Calc!$K$8:$K$500=Kanban!H$11)*(Calc!$Y$8:$Y$500&gt;0),Calc!$Y$8:$Y$500,99999),Kanban_Helper!$B113),Calc!$Y$8:$Y$500,0))," ",Calc!$V$7," ","!"),INDEX(Calc!$D$8:$D$500,MATCH(SMALL(IF((Calc!$K$8:$K$500=Kanban!H$11)*(Calc!$Y$8:$Y$500&gt;0),Calc!$Y$8:$Y$500,99999),Kanban_Helper!$B113),Calc!$Y$8:$Y$500,0))))),"")</f>
        <v/>
      </c>
      <c r="I120" s="39"/>
    </row>
    <row r="121" spans="2:9" x14ac:dyDescent="0.35">
      <c r="B121" s="81"/>
      <c r="C121" s="171" t="str">
        <f t="array" ref="C121">IFERROR(IF(LEN(C$11)=0,"",IF($C$7&lt;&gt;"All",INDEX(Calc!$E$8:$E$500,MATCH(SMALL(IF((Calc!$C$8:$C$500=Kanban!$C$7)*(Calc!$K$8:$K$500=Kanban!C$11)*(Calc!$Y$8:$Y$500&gt;0),Calc!$Y$8:$Y$500,99999),Kanban_Helper!$B114),Calc!$Y$8:$Y$500,0)),INDEX(Calc!$E$8:$E$500,MATCH(SMALL(IF((Calc!$K$8:$K$500=Kanban!C$11)*(Calc!$Y$8:$Y$500&gt;0),Calc!$Y$8:$Y$500,99999),Kanban_Helper!$B114),Calc!$Y$8:$Y$500,0)))),"")</f>
        <v/>
      </c>
      <c r="D121" s="171" t="str">
        <f t="array" ref="D121">IFERROR(IF(LEN(D$11)=0,"",IF($C$7&lt;&gt;"All",INDEX(Calc!$E$8:$E$500,MATCH(SMALL(IF((Calc!$C$8:$C$500=Kanban!$C$7)*(Calc!$K$8:$K$500=Kanban!D$11)*(Calc!$Y$8:$Y$500&gt;0),Calc!$Y$8:$Y$500,99999),Kanban_Helper!$B114),Calc!$Y$8:$Y$500,0)),INDEX(Calc!$E$8:$E$500,MATCH(SMALL(IF((Calc!$K$8:$K$500=Kanban!D$11)*(Calc!$Y$8:$Y$500&gt;0),Calc!$Y$8:$Y$500,99999),Kanban_Helper!$B114),Calc!$Y$8:$Y$500,0)))),"")</f>
        <v/>
      </c>
      <c r="E121" s="171" t="str">
        <f t="array" ref="E121">IFERROR(IF(LEN(E$11)=0,"",IF($C$7&lt;&gt;"All",INDEX(Calc!$E$8:$E$500,MATCH(SMALL(IF((Calc!$C$8:$C$500=Kanban!$C$7)*(Calc!$K$8:$K$500=Kanban!E$11)*(Calc!$Y$8:$Y$500&gt;0),Calc!$Y$8:$Y$500,99999),Kanban_Helper!$B114),Calc!$Y$8:$Y$500,0)),INDEX(Calc!$E$8:$E$500,MATCH(SMALL(IF((Calc!$K$8:$K$500=Kanban!E$11)*(Calc!$Y$8:$Y$500&gt;0),Calc!$Y$8:$Y$500,99999),Kanban_Helper!$B114),Calc!$Y$8:$Y$500,0)))),"")</f>
        <v/>
      </c>
      <c r="F121" s="171" t="str">
        <f t="array" ref="F121">IFERROR(IF(LEN(F$11)=0,"",IF($C$7&lt;&gt;"All",INDEX(Calc!$E$8:$E$500,MATCH(SMALL(IF((Calc!$C$8:$C$500=Kanban!$C$7)*(Calc!$K$8:$K$500=Kanban!F$11)*(Calc!$Y$8:$Y$500&gt;0),Calc!$Y$8:$Y$500,99999),Kanban_Helper!$B114),Calc!$Y$8:$Y$500,0)),INDEX(Calc!$E$8:$E$500,MATCH(SMALL(IF((Calc!$K$8:$K$500=Kanban!F$11)*(Calc!$Y$8:$Y$500&gt;0),Calc!$Y$8:$Y$500,99999),Kanban_Helper!$B114),Calc!$Y$8:$Y$500,0)))),"")</f>
        <v/>
      </c>
      <c r="G121" s="171" t="str">
        <f t="array" ref="G121">IFERROR(IF(LEN(G$11)=0,"",IF($C$7&lt;&gt;"All",INDEX(Calc!$E$8:$E$500,MATCH(SMALL(IF((Calc!$C$8:$C$500=Kanban!$C$7)*(Calc!$K$8:$K$500=Kanban!G$11)*(Calc!$Y$8:$Y$500&gt;0),Calc!$Y$8:$Y$500,99999),Kanban_Helper!$B114),Calc!$Y$8:$Y$500,0)),INDEX(Calc!$E$8:$E$500,MATCH(SMALL(IF((Calc!$K$8:$K$500=Kanban!G$11)*(Calc!$Y$8:$Y$500&gt;0),Calc!$Y$8:$Y$500,99999),Kanban_Helper!$B114),Calc!$Y$8:$Y$500,0)))),"")</f>
        <v/>
      </c>
      <c r="H121" s="171" t="str">
        <f t="array" ref="H121">IFERROR(IF(LEN(H$11)=0,"",IF($C$7&lt;&gt;"All",INDEX(Calc!$E$8:$E$500,MATCH(SMALL(IF((Calc!$C$8:$C$500=Kanban!$C$7)*(Calc!$K$8:$K$500=Kanban!H$11)*(Calc!$Y$8:$Y$500&gt;0),Calc!$Y$8:$Y$500,99999),Kanban_Helper!$B114),Calc!$Y$8:$Y$500,0)),INDEX(Calc!$E$8:$E$500,MATCH(SMALL(IF((Calc!$K$8:$K$500=Kanban!H$11)*(Calc!$Y$8:$Y$500&gt;0),Calc!$Y$8:$Y$500,99999),Kanban_Helper!$B114),Calc!$Y$8:$Y$500,0)))),"")</f>
        <v/>
      </c>
      <c r="I121" s="39"/>
    </row>
    <row r="122" spans="2:9" ht="15" thickBot="1" x14ac:dyDescent="0.4">
      <c r="B122" s="81"/>
      <c r="C122" s="172" t="str">
        <f t="array" ref="C122">IFERROR(IF(LEN(C$11)=0,"",IF($C$7&lt;&gt;"All",IF(LEN(INDEX(Calc!$J$8:$J$500,MATCH(SMALL(IF((Calc!$C$8:$C$500=Kanban!$C$7)*(Calc!$K$8:$K$500=Kanban!C$11)*(Calc!$Y$8:$Y$500&gt;0),Calc!$Y$8:$Y$500,99999),Kanban_Helper!$B115),Calc!$Y$8:$Y$500,0)))=0,"",CONCATENATE(Calc!$AD$6,INDEX(Calc!$J$8:$J$500,MATCH(SMALL(IF((Calc!$C$8:$C$500=Kanban!$C$7)*(Calc!$K$8:$K$500=Kanban!C$11)*(Calc!$Y$8:$Y$500&gt;0),Calc!$Y$8:$Y$500,99999),Kanban_Helper!$B115),Calc!$Y$8:$Y$500,0)))),IF(LEN(INDEX(Calc!$J$8:$J$500,MATCH(SMALL(IF((Calc!$K$8:$K$500=Kanban!C$11)*(Calc!$Y$8:$Y$500&gt;0),Calc!$Y$8:$Y$500,99999),Kanban_Helper!$B115),Calc!$Y$8:$Y$500,0)))=0,"",CONCATENATE(Calc!$AD$6,INDEX(Calc!$J$8:$J$500,MATCH(SMALL(IF((Calc!$K$8:$K$500=Kanban!C$11)*(Calc!$Y$8:$Y$500&gt;0),Calc!$Y$8:$Y$500,99999),Kanban_Helper!$B115),Calc!$Y$8:$Y$500,0)))))),"")</f>
        <v/>
      </c>
      <c r="D122" s="172" t="str">
        <f t="array" ref="D122">IFERROR(IF(LEN(D$11)=0,"",IF($C$7&lt;&gt;"All",IF(LEN(INDEX(Calc!$J$8:$J$500,MATCH(SMALL(IF((Calc!$C$8:$C$500=Kanban!$C$7)*(Calc!$K$8:$K$500=Kanban!D$11)*(Calc!$Y$8:$Y$500&gt;0),Calc!$Y$8:$Y$500,99999),Kanban_Helper!$B115),Calc!$Y$8:$Y$500,0)))=0,"",CONCATENATE(Calc!$AD$6,INDEX(Calc!$J$8:$J$500,MATCH(SMALL(IF((Calc!$C$8:$C$500=Kanban!$C$7)*(Calc!$K$8:$K$500=Kanban!D$11)*(Calc!$Y$8:$Y$500&gt;0),Calc!$Y$8:$Y$500,99999),Kanban_Helper!$B115),Calc!$Y$8:$Y$500,0)))),IF(LEN(INDEX(Calc!$J$8:$J$500,MATCH(SMALL(IF((Calc!$K$8:$K$500=Kanban!D$11)*(Calc!$Y$8:$Y$500&gt;0),Calc!$Y$8:$Y$500,99999),Kanban_Helper!$B115),Calc!$Y$8:$Y$500,0)))=0,"",CONCATENATE(Calc!$AD$6,INDEX(Calc!$J$8:$J$500,MATCH(SMALL(IF((Calc!$K$8:$K$500=Kanban!D$11)*(Calc!$Y$8:$Y$500&gt;0),Calc!$Y$8:$Y$500,99999),Kanban_Helper!$B115),Calc!$Y$8:$Y$500,0)))))),"")</f>
        <v/>
      </c>
      <c r="E122" s="172" t="str">
        <f t="array" ref="E122">IFERROR(IF(LEN(E$11)=0,"",IF($C$7&lt;&gt;"All",IF(LEN(INDEX(Calc!$J$8:$J$500,MATCH(SMALL(IF((Calc!$C$8:$C$500=Kanban!$C$7)*(Calc!$K$8:$K$500=Kanban!E$11)*(Calc!$Y$8:$Y$500&gt;0),Calc!$Y$8:$Y$500,99999),Kanban_Helper!$B115),Calc!$Y$8:$Y$500,0)))=0,"",CONCATENATE(Calc!$AD$6,INDEX(Calc!$J$8:$J$500,MATCH(SMALL(IF((Calc!$C$8:$C$500=Kanban!$C$7)*(Calc!$K$8:$K$500=Kanban!E$11)*(Calc!$Y$8:$Y$500&gt;0),Calc!$Y$8:$Y$500,99999),Kanban_Helper!$B115),Calc!$Y$8:$Y$500,0)))),IF(LEN(INDEX(Calc!$J$8:$J$500,MATCH(SMALL(IF((Calc!$K$8:$K$500=Kanban!E$11)*(Calc!$Y$8:$Y$500&gt;0),Calc!$Y$8:$Y$500,99999),Kanban_Helper!$B115),Calc!$Y$8:$Y$500,0)))=0,"",CONCATENATE(Calc!$AD$6,INDEX(Calc!$J$8:$J$500,MATCH(SMALL(IF((Calc!$K$8:$K$500=Kanban!E$11)*(Calc!$Y$8:$Y$500&gt;0),Calc!$Y$8:$Y$500,99999),Kanban_Helper!$B115),Calc!$Y$8:$Y$500,0)))))),"")</f>
        <v/>
      </c>
      <c r="F122" s="172" t="str">
        <f t="array" ref="F122">IFERROR(IF(LEN(F$11)=0,"",IF($C$7&lt;&gt;"All",IF(LEN(INDEX(Calc!$J$8:$J$500,MATCH(SMALL(IF((Calc!$C$8:$C$500=Kanban!$C$7)*(Calc!$K$8:$K$500=Kanban!F$11)*(Calc!$Y$8:$Y$500&gt;0),Calc!$Y$8:$Y$500,99999),Kanban_Helper!$B115),Calc!$Y$8:$Y$500,0)))=0,"",CONCATENATE(Calc!$AD$6,INDEX(Calc!$J$8:$J$500,MATCH(SMALL(IF((Calc!$C$8:$C$500=Kanban!$C$7)*(Calc!$K$8:$K$500=Kanban!F$11)*(Calc!$Y$8:$Y$500&gt;0),Calc!$Y$8:$Y$500,99999),Kanban_Helper!$B115),Calc!$Y$8:$Y$500,0)))),IF(LEN(INDEX(Calc!$J$8:$J$500,MATCH(SMALL(IF((Calc!$K$8:$K$500=Kanban!F$11)*(Calc!$Y$8:$Y$500&gt;0),Calc!$Y$8:$Y$500,99999),Kanban_Helper!$B115),Calc!$Y$8:$Y$500,0)))=0,"",CONCATENATE(Calc!$AD$6,INDEX(Calc!$J$8:$J$500,MATCH(SMALL(IF((Calc!$K$8:$K$500=Kanban!F$11)*(Calc!$Y$8:$Y$500&gt;0),Calc!$Y$8:$Y$500,99999),Kanban_Helper!$B115),Calc!$Y$8:$Y$500,0)))))),"")</f>
        <v/>
      </c>
      <c r="G122" s="172" t="str">
        <f t="array" ref="G122">IFERROR(IF(LEN(G$11)=0,"",IF($C$7&lt;&gt;"All",IF(LEN(INDEX(Calc!$J$8:$J$500,MATCH(SMALL(IF((Calc!$C$8:$C$500=Kanban!$C$7)*(Calc!$K$8:$K$500=Kanban!G$11)*(Calc!$Y$8:$Y$500&gt;0),Calc!$Y$8:$Y$500,99999),Kanban_Helper!$B115),Calc!$Y$8:$Y$500,0)))=0,"",CONCATENATE(Calc!$AD$6,INDEX(Calc!$J$8:$J$500,MATCH(SMALL(IF((Calc!$C$8:$C$500=Kanban!$C$7)*(Calc!$K$8:$K$500=Kanban!G$11)*(Calc!$Y$8:$Y$500&gt;0),Calc!$Y$8:$Y$500,99999),Kanban_Helper!$B115),Calc!$Y$8:$Y$500,0)))),IF(LEN(INDEX(Calc!$J$8:$J$500,MATCH(SMALL(IF((Calc!$K$8:$K$500=Kanban!G$11)*(Calc!$Y$8:$Y$500&gt;0),Calc!$Y$8:$Y$500,99999),Kanban_Helper!$B115),Calc!$Y$8:$Y$500,0)))=0,"",CONCATENATE(Calc!$AD$6,INDEX(Calc!$J$8:$J$500,MATCH(SMALL(IF((Calc!$K$8:$K$500=Kanban!G$11)*(Calc!$Y$8:$Y$500&gt;0),Calc!$Y$8:$Y$500,99999),Kanban_Helper!$B115),Calc!$Y$8:$Y$500,0)))))),"")</f>
        <v/>
      </c>
      <c r="H122" s="172" t="str">
        <f t="array" ref="H122">IFERROR(IF(LEN(H$11)=0,"",IF($C$7&lt;&gt;"All",IF(LEN(INDEX(Calc!$J$8:$J$500,MATCH(SMALL(IF((Calc!$C$8:$C$500=Kanban!$C$7)*(Calc!$K$8:$K$500=Kanban!H$11)*(Calc!$Y$8:$Y$500&gt;0),Calc!$Y$8:$Y$500,99999),Kanban_Helper!$B115),Calc!$Y$8:$Y$500,0)))=0,"",CONCATENATE(Calc!$AD$6,INDEX(Calc!$J$8:$J$500,MATCH(SMALL(IF((Calc!$C$8:$C$500=Kanban!$C$7)*(Calc!$K$8:$K$500=Kanban!H$11)*(Calc!$Y$8:$Y$500&gt;0),Calc!$Y$8:$Y$500,99999),Kanban_Helper!$B115),Calc!$Y$8:$Y$500,0)))),IF(LEN(INDEX(Calc!$J$8:$J$500,MATCH(SMALL(IF((Calc!$K$8:$K$500=Kanban!H$11)*(Calc!$Y$8:$Y$500&gt;0),Calc!$Y$8:$Y$500,99999),Kanban_Helper!$B115),Calc!$Y$8:$Y$500,0)))=0,"",CONCATENATE(Calc!$AD$6,INDEX(Calc!$J$8:$J$500,MATCH(SMALL(IF((Calc!$K$8:$K$500=Kanban!H$11)*(Calc!$Y$8:$Y$500&gt;0),Calc!$Y$8:$Y$500,99999),Kanban_Helper!$B115),Calc!$Y$8:$Y$500,0)))))),"")</f>
        <v/>
      </c>
      <c r="I122" s="39"/>
    </row>
    <row r="123" spans="2:9" ht="15" thickTop="1" x14ac:dyDescent="0.35">
      <c r="B123" s="81"/>
      <c r="C123" s="170" t="str">
        <f t="array" ref="C123">IFERROR(IF(LEN(C$11)=0,"",IF($C$7&lt;&gt;"All",IF(INDEX(Calc!$V$8:$V$500,MATCH(INDEX(Calc!$D$8:$D$500,MATCH(SMALL(IF((Calc!$C$8:$C$500=Kanban!$C$7)*(Calc!$K$8:$K$500=Kanban!C$11)*(Calc!$Y$8:$Y$500&gt;0),Calc!$Y$8:$Y$500,99999),Kanban_Helper!$B116),Calc!$Y$8:$Y$500,0)),Calc!$D$8:$D$500,0))="Yes",CONCATENATE(INDEX(Calc!$D$8:$D$500,MATCH(SMALL(IF((Calc!$C$8:$C$500=Kanban!$C$7)*(Calc!$K$8:$K$500=Kanban!C$11)*(Calc!$Y$8:$Y$500&gt;0),Calc!$Y$8:$Y$500,99999),Kanban_Helper!$B116),Calc!$Y$8:$Y$500,0))," ",Calc!$V$7," ","!"),INDEX(Calc!$D$8:$D$500,MATCH(SMALL(IF((Calc!$C$8:$C$500=Kanban!$C$7)*(Calc!$K$8:$K$500=Kanban!C$11)*(Calc!$Y$8:$Y$500&gt;0),Calc!$Y$8:$Y$500,99999),Kanban_Helper!$B116),Calc!$Y$8:$Y$500,0))),IF(INDEX(Calc!$V$8:$V$500,MATCH(INDEX(Calc!$D$8:$D$500,MATCH(SMALL(IF((Calc!$K$8:$K$500=Kanban!C$11)*(Calc!$Y$8:$Y$500&gt;0),Calc!$Y$8:$Y$500,99999),Kanban_Helper!$B116),Calc!$Y$8:$Y$500,0)),Calc!$D$8:$D$500,0))="Yes",CONCATENATE(INDEX(Calc!$D$8:$D$500,MATCH(SMALL(IF((Calc!$K$8:$K$500=Kanban!C$11)*(Calc!$Y$8:$Y$500&gt;0),Calc!$Y$8:$Y$500,99999),Kanban_Helper!$B116),Calc!$Y$8:$Y$500,0))," ",Calc!$V$7," ","!"),INDEX(Calc!$D$8:$D$500,MATCH(SMALL(IF((Calc!$K$8:$K$500=Kanban!C$11)*(Calc!$Y$8:$Y$500&gt;0),Calc!$Y$8:$Y$500,99999),Kanban_Helper!$B116),Calc!$Y$8:$Y$500,0))))),"")</f>
        <v/>
      </c>
      <c r="D123" s="170" t="str">
        <f t="array" ref="D123">IFERROR(IF(LEN(D$11)=0,"",IF($C$7&lt;&gt;"All",IF(INDEX(Calc!$V$8:$V$500,MATCH(INDEX(Calc!$D$8:$D$500,MATCH(SMALL(IF((Calc!$C$8:$C$500=Kanban!$C$7)*(Calc!$K$8:$K$500=Kanban!D$11)*(Calc!$Y$8:$Y$500&gt;0),Calc!$Y$8:$Y$500,99999),Kanban_Helper!$B116),Calc!$Y$8:$Y$500,0)),Calc!$D$8:$D$500,0))="Yes",CONCATENATE(INDEX(Calc!$D$8:$D$500,MATCH(SMALL(IF((Calc!$C$8:$C$500=Kanban!$C$7)*(Calc!$K$8:$K$500=Kanban!D$11)*(Calc!$Y$8:$Y$500&gt;0),Calc!$Y$8:$Y$500,99999),Kanban_Helper!$B116),Calc!$Y$8:$Y$500,0))," ",Calc!$V$7," ","!"),INDEX(Calc!$D$8:$D$500,MATCH(SMALL(IF((Calc!$C$8:$C$500=Kanban!$C$7)*(Calc!$K$8:$K$500=Kanban!D$11)*(Calc!$Y$8:$Y$500&gt;0),Calc!$Y$8:$Y$500,99999),Kanban_Helper!$B116),Calc!$Y$8:$Y$500,0))),IF(INDEX(Calc!$V$8:$V$500,MATCH(INDEX(Calc!$D$8:$D$500,MATCH(SMALL(IF((Calc!$K$8:$K$500=Kanban!D$11)*(Calc!$Y$8:$Y$500&gt;0),Calc!$Y$8:$Y$500,99999),Kanban_Helper!$B116),Calc!$Y$8:$Y$500,0)),Calc!$D$8:$D$500,0))="Yes",CONCATENATE(INDEX(Calc!$D$8:$D$500,MATCH(SMALL(IF((Calc!$K$8:$K$500=Kanban!D$11)*(Calc!$Y$8:$Y$500&gt;0),Calc!$Y$8:$Y$500,99999),Kanban_Helper!$B116),Calc!$Y$8:$Y$500,0))," ",Calc!$V$7," ","!"),INDEX(Calc!$D$8:$D$500,MATCH(SMALL(IF((Calc!$K$8:$K$500=Kanban!D$11)*(Calc!$Y$8:$Y$500&gt;0),Calc!$Y$8:$Y$500,99999),Kanban_Helper!$B116),Calc!$Y$8:$Y$500,0))))),"")</f>
        <v/>
      </c>
      <c r="E123" s="170" t="str">
        <f t="array" ref="E123">IFERROR(IF(LEN(E$11)=0,"",IF($C$7&lt;&gt;"All",IF(INDEX(Calc!$V$8:$V$500,MATCH(INDEX(Calc!$D$8:$D$500,MATCH(SMALL(IF((Calc!$C$8:$C$500=Kanban!$C$7)*(Calc!$K$8:$K$500=Kanban!E$11)*(Calc!$Y$8:$Y$500&gt;0),Calc!$Y$8:$Y$500,99999),Kanban_Helper!$B116),Calc!$Y$8:$Y$500,0)),Calc!$D$8:$D$500,0))="Yes",CONCATENATE(INDEX(Calc!$D$8:$D$500,MATCH(SMALL(IF((Calc!$C$8:$C$500=Kanban!$C$7)*(Calc!$K$8:$K$500=Kanban!E$11)*(Calc!$Y$8:$Y$500&gt;0),Calc!$Y$8:$Y$500,99999),Kanban_Helper!$B116),Calc!$Y$8:$Y$500,0))," ",Calc!$V$7," ","!"),INDEX(Calc!$D$8:$D$500,MATCH(SMALL(IF((Calc!$C$8:$C$500=Kanban!$C$7)*(Calc!$K$8:$K$500=Kanban!E$11)*(Calc!$Y$8:$Y$500&gt;0),Calc!$Y$8:$Y$500,99999),Kanban_Helper!$B116),Calc!$Y$8:$Y$500,0))),IF(INDEX(Calc!$V$8:$V$500,MATCH(INDEX(Calc!$D$8:$D$500,MATCH(SMALL(IF((Calc!$K$8:$K$500=Kanban!E$11)*(Calc!$Y$8:$Y$500&gt;0),Calc!$Y$8:$Y$500,99999),Kanban_Helper!$B116),Calc!$Y$8:$Y$500,0)),Calc!$D$8:$D$500,0))="Yes",CONCATENATE(INDEX(Calc!$D$8:$D$500,MATCH(SMALL(IF((Calc!$K$8:$K$500=Kanban!E$11)*(Calc!$Y$8:$Y$500&gt;0),Calc!$Y$8:$Y$500,99999),Kanban_Helper!$B116),Calc!$Y$8:$Y$500,0))," ",Calc!$V$7," ","!"),INDEX(Calc!$D$8:$D$500,MATCH(SMALL(IF((Calc!$K$8:$K$500=Kanban!E$11)*(Calc!$Y$8:$Y$500&gt;0),Calc!$Y$8:$Y$500,99999),Kanban_Helper!$B116),Calc!$Y$8:$Y$500,0))))),"")</f>
        <v/>
      </c>
      <c r="F123" s="170" t="str">
        <f t="array" ref="F123">IFERROR(IF(LEN(F$11)=0,"",IF($C$7&lt;&gt;"All",IF(INDEX(Calc!$V$8:$V$500,MATCH(INDEX(Calc!$D$8:$D$500,MATCH(SMALL(IF((Calc!$C$8:$C$500=Kanban!$C$7)*(Calc!$K$8:$K$500=Kanban!F$11)*(Calc!$Y$8:$Y$500&gt;0),Calc!$Y$8:$Y$500,99999),Kanban_Helper!$B116),Calc!$Y$8:$Y$500,0)),Calc!$D$8:$D$500,0))="Yes",CONCATENATE(INDEX(Calc!$D$8:$D$500,MATCH(SMALL(IF((Calc!$C$8:$C$500=Kanban!$C$7)*(Calc!$K$8:$K$500=Kanban!F$11)*(Calc!$Y$8:$Y$500&gt;0),Calc!$Y$8:$Y$500,99999),Kanban_Helper!$B116),Calc!$Y$8:$Y$500,0))," ",Calc!$V$7," ","!"),INDEX(Calc!$D$8:$D$500,MATCH(SMALL(IF((Calc!$C$8:$C$500=Kanban!$C$7)*(Calc!$K$8:$K$500=Kanban!F$11)*(Calc!$Y$8:$Y$500&gt;0),Calc!$Y$8:$Y$500,99999),Kanban_Helper!$B116),Calc!$Y$8:$Y$500,0))),IF(INDEX(Calc!$V$8:$V$500,MATCH(INDEX(Calc!$D$8:$D$500,MATCH(SMALL(IF((Calc!$K$8:$K$500=Kanban!F$11)*(Calc!$Y$8:$Y$500&gt;0),Calc!$Y$8:$Y$500,99999),Kanban_Helper!$B116),Calc!$Y$8:$Y$500,0)),Calc!$D$8:$D$500,0))="Yes",CONCATENATE(INDEX(Calc!$D$8:$D$500,MATCH(SMALL(IF((Calc!$K$8:$K$500=Kanban!F$11)*(Calc!$Y$8:$Y$500&gt;0),Calc!$Y$8:$Y$500,99999),Kanban_Helper!$B116),Calc!$Y$8:$Y$500,0))," ",Calc!$V$7," ","!"),INDEX(Calc!$D$8:$D$500,MATCH(SMALL(IF((Calc!$K$8:$K$500=Kanban!F$11)*(Calc!$Y$8:$Y$500&gt;0),Calc!$Y$8:$Y$500,99999),Kanban_Helper!$B116),Calc!$Y$8:$Y$500,0))))),"")</f>
        <v/>
      </c>
      <c r="G123" s="170" t="str">
        <f t="array" ref="G123">IFERROR(IF(LEN(G$11)=0,"",IF($C$7&lt;&gt;"All",IF(INDEX(Calc!$V$8:$V$500,MATCH(INDEX(Calc!$D$8:$D$500,MATCH(SMALL(IF((Calc!$C$8:$C$500=Kanban!$C$7)*(Calc!$K$8:$K$500=Kanban!G$11)*(Calc!$Y$8:$Y$500&gt;0),Calc!$Y$8:$Y$500,99999),Kanban_Helper!$B116),Calc!$Y$8:$Y$500,0)),Calc!$D$8:$D$500,0))="Yes",CONCATENATE(INDEX(Calc!$D$8:$D$500,MATCH(SMALL(IF((Calc!$C$8:$C$500=Kanban!$C$7)*(Calc!$K$8:$K$500=Kanban!G$11)*(Calc!$Y$8:$Y$500&gt;0),Calc!$Y$8:$Y$500,99999),Kanban_Helper!$B116),Calc!$Y$8:$Y$500,0))," ",Calc!$V$7," ","!"),INDEX(Calc!$D$8:$D$500,MATCH(SMALL(IF((Calc!$C$8:$C$500=Kanban!$C$7)*(Calc!$K$8:$K$500=Kanban!G$11)*(Calc!$Y$8:$Y$500&gt;0),Calc!$Y$8:$Y$500,99999),Kanban_Helper!$B116),Calc!$Y$8:$Y$500,0))),IF(INDEX(Calc!$V$8:$V$500,MATCH(INDEX(Calc!$D$8:$D$500,MATCH(SMALL(IF((Calc!$K$8:$K$500=Kanban!G$11)*(Calc!$Y$8:$Y$500&gt;0),Calc!$Y$8:$Y$500,99999),Kanban_Helper!$B116),Calc!$Y$8:$Y$500,0)),Calc!$D$8:$D$500,0))="Yes",CONCATENATE(INDEX(Calc!$D$8:$D$500,MATCH(SMALL(IF((Calc!$K$8:$K$500=Kanban!G$11)*(Calc!$Y$8:$Y$500&gt;0),Calc!$Y$8:$Y$500,99999),Kanban_Helper!$B116),Calc!$Y$8:$Y$500,0))," ",Calc!$V$7," ","!"),INDEX(Calc!$D$8:$D$500,MATCH(SMALL(IF((Calc!$K$8:$K$500=Kanban!G$11)*(Calc!$Y$8:$Y$500&gt;0),Calc!$Y$8:$Y$500,99999),Kanban_Helper!$B116),Calc!$Y$8:$Y$500,0))))),"")</f>
        <v/>
      </c>
      <c r="H123" s="170" t="str">
        <f t="array" ref="H123">IFERROR(IF(LEN(H$11)=0,"",IF($C$7&lt;&gt;"All",IF(INDEX(Calc!$V$8:$V$500,MATCH(INDEX(Calc!$D$8:$D$500,MATCH(SMALL(IF((Calc!$C$8:$C$500=Kanban!$C$7)*(Calc!$K$8:$K$500=Kanban!H$11)*(Calc!$Y$8:$Y$500&gt;0),Calc!$Y$8:$Y$500,99999),Kanban_Helper!$B116),Calc!$Y$8:$Y$500,0)),Calc!$D$8:$D$500,0))="Yes",CONCATENATE(INDEX(Calc!$D$8:$D$500,MATCH(SMALL(IF((Calc!$C$8:$C$500=Kanban!$C$7)*(Calc!$K$8:$K$500=Kanban!H$11)*(Calc!$Y$8:$Y$500&gt;0),Calc!$Y$8:$Y$500,99999),Kanban_Helper!$B116),Calc!$Y$8:$Y$500,0))," ",Calc!$V$7," ","!"),INDEX(Calc!$D$8:$D$500,MATCH(SMALL(IF((Calc!$C$8:$C$500=Kanban!$C$7)*(Calc!$K$8:$K$500=Kanban!H$11)*(Calc!$Y$8:$Y$500&gt;0),Calc!$Y$8:$Y$500,99999),Kanban_Helper!$B116),Calc!$Y$8:$Y$500,0))),IF(INDEX(Calc!$V$8:$V$500,MATCH(INDEX(Calc!$D$8:$D$500,MATCH(SMALL(IF((Calc!$K$8:$K$500=Kanban!H$11)*(Calc!$Y$8:$Y$500&gt;0),Calc!$Y$8:$Y$500,99999),Kanban_Helper!$B116),Calc!$Y$8:$Y$500,0)),Calc!$D$8:$D$500,0))="Yes",CONCATENATE(INDEX(Calc!$D$8:$D$500,MATCH(SMALL(IF((Calc!$K$8:$K$500=Kanban!H$11)*(Calc!$Y$8:$Y$500&gt;0),Calc!$Y$8:$Y$500,99999),Kanban_Helper!$B116),Calc!$Y$8:$Y$500,0))," ",Calc!$V$7," ","!"),INDEX(Calc!$D$8:$D$500,MATCH(SMALL(IF((Calc!$K$8:$K$500=Kanban!H$11)*(Calc!$Y$8:$Y$500&gt;0),Calc!$Y$8:$Y$500,99999),Kanban_Helper!$B116),Calc!$Y$8:$Y$500,0))))),"")</f>
        <v/>
      </c>
      <c r="I123" s="39"/>
    </row>
    <row r="124" spans="2:9" x14ac:dyDescent="0.35">
      <c r="B124" s="81"/>
      <c r="C124" s="171" t="str">
        <f t="array" ref="C124">IFERROR(IF(LEN(C$11)=0,"",IF($C$7&lt;&gt;"All",INDEX(Calc!$E$8:$E$500,MATCH(SMALL(IF((Calc!$C$8:$C$500=Kanban!$C$7)*(Calc!$K$8:$K$500=Kanban!C$11)*(Calc!$Y$8:$Y$500&gt;0),Calc!$Y$8:$Y$500,99999),Kanban_Helper!$B117),Calc!$Y$8:$Y$500,0)),INDEX(Calc!$E$8:$E$500,MATCH(SMALL(IF((Calc!$K$8:$K$500=Kanban!C$11)*(Calc!$Y$8:$Y$500&gt;0),Calc!$Y$8:$Y$500,99999),Kanban_Helper!$B117),Calc!$Y$8:$Y$500,0)))),"")</f>
        <v/>
      </c>
      <c r="D124" s="171" t="str">
        <f t="array" ref="D124">IFERROR(IF(LEN(D$11)=0,"",IF($C$7&lt;&gt;"All",INDEX(Calc!$E$8:$E$500,MATCH(SMALL(IF((Calc!$C$8:$C$500=Kanban!$C$7)*(Calc!$K$8:$K$500=Kanban!D$11)*(Calc!$Y$8:$Y$500&gt;0),Calc!$Y$8:$Y$500,99999),Kanban_Helper!$B117),Calc!$Y$8:$Y$500,0)),INDEX(Calc!$E$8:$E$500,MATCH(SMALL(IF((Calc!$K$8:$K$500=Kanban!D$11)*(Calc!$Y$8:$Y$500&gt;0),Calc!$Y$8:$Y$500,99999),Kanban_Helper!$B117),Calc!$Y$8:$Y$500,0)))),"")</f>
        <v/>
      </c>
      <c r="E124" s="171" t="str">
        <f t="array" ref="E124">IFERROR(IF(LEN(E$11)=0,"",IF($C$7&lt;&gt;"All",INDEX(Calc!$E$8:$E$500,MATCH(SMALL(IF((Calc!$C$8:$C$500=Kanban!$C$7)*(Calc!$K$8:$K$500=Kanban!E$11)*(Calc!$Y$8:$Y$500&gt;0),Calc!$Y$8:$Y$500,99999),Kanban_Helper!$B117),Calc!$Y$8:$Y$500,0)),INDEX(Calc!$E$8:$E$500,MATCH(SMALL(IF((Calc!$K$8:$K$500=Kanban!E$11)*(Calc!$Y$8:$Y$500&gt;0),Calc!$Y$8:$Y$500,99999),Kanban_Helper!$B117),Calc!$Y$8:$Y$500,0)))),"")</f>
        <v/>
      </c>
      <c r="F124" s="171" t="str">
        <f t="array" ref="F124">IFERROR(IF(LEN(F$11)=0,"",IF($C$7&lt;&gt;"All",INDEX(Calc!$E$8:$E$500,MATCH(SMALL(IF((Calc!$C$8:$C$500=Kanban!$C$7)*(Calc!$K$8:$K$500=Kanban!F$11)*(Calc!$Y$8:$Y$500&gt;0),Calc!$Y$8:$Y$500,99999),Kanban_Helper!$B117),Calc!$Y$8:$Y$500,0)),INDEX(Calc!$E$8:$E$500,MATCH(SMALL(IF((Calc!$K$8:$K$500=Kanban!F$11)*(Calc!$Y$8:$Y$500&gt;0),Calc!$Y$8:$Y$500,99999),Kanban_Helper!$B117),Calc!$Y$8:$Y$500,0)))),"")</f>
        <v/>
      </c>
      <c r="G124" s="171" t="str">
        <f t="array" ref="G124">IFERROR(IF(LEN(G$11)=0,"",IF($C$7&lt;&gt;"All",INDEX(Calc!$E$8:$E$500,MATCH(SMALL(IF((Calc!$C$8:$C$500=Kanban!$C$7)*(Calc!$K$8:$K$500=Kanban!G$11)*(Calc!$Y$8:$Y$500&gt;0),Calc!$Y$8:$Y$500,99999),Kanban_Helper!$B117),Calc!$Y$8:$Y$500,0)),INDEX(Calc!$E$8:$E$500,MATCH(SMALL(IF((Calc!$K$8:$K$500=Kanban!G$11)*(Calc!$Y$8:$Y$500&gt;0),Calc!$Y$8:$Y$500,99999),Kanban_Helper!$B117),Calc!$Y$8:$Y$500,0)))),"")</f>
        <v/>
      </c>
      <c r="H124" s="171" t="str">
        <f t="array" ref="H124">IFERROR(IF(LEN(H$11)=0,"",IF($C$7&lt;&gt;"All",INDEX(Calc!$E$8:$E$500,MATCH(SMALL(IF((Calc!$C$8:$C$500=Kanban!$C$7)*(Calc!$K$8:$K$500=Kanban!H$11)*(Calc!$Y$8:$Y$500&gt;0),Calc!$Y$8:$Y$500,99999),Kanban_Helper!$B117),Calc!$Y$8:$Y$500,0)),INDEX(Calc!$E$8:$E$500,MATCH(SMALL(IF((Calc!$K$8:$K$500=Kanban!H$11)*(Calc!$Y$8:$Y$500&gt;0),Calc!$Y$8:$Y$500,99999),Kanban_Helper!$B117),Calc!$Y$8:$Y$500,0)))),"")</f>
        <v/>
      </c>
      <c r="I124" s="39"/>
    </row>
    <row r="125" spans="2:9" ht="15" thickBot="1" x14ac:dyDescent="0.4">
      <c r="B125" s="81"/>
      <c r="C125" s="172" t="str">
        <f t="array" ref="C125">IFERROR(IF(LEN(C$11)=0,"",IF($C$7&lt;&gt;"All",IF(LEN(INDEX(Calc!$J$8:$J$500,MATCH(SMALL(IF((Calc!$C$8:$C$500=Kanban!$C$7)*(Calc!$K$8:$K$500=Kanban!C$11)*(Calc!$Y$8:$Y$500&gt;0),Calc!$Y$8:$Y$500,99999),Kanban_Helper!$B118),Calc!$Y$8:$Y$500,0)))=0,"",CONCATENATE(Calc!$AD$6,INDEX(Calc!$J$8:$J$500,MATCH(SMALL(IF((Calc!$C$8:$C$500=Kanban!$C$7)*(Calc!$K$8:$K$500=Kanban!C$11)*(Calc!$Y$8:$Y$500&gt;0),Calc!$Y$8:$Y$500,99999),Kanban_Helper!$B118),Calc!$Y$8:$Y$500,0)))),IF(LEN(INDEX(Calc!$J$8:$J$500,MATCH(SMALL(IF((Calc!$K$8:$K$500=Kanban!C$11)*(Calc!$Y$8:$Y$500&gt;0),Calc!$Y$8:$Y$500,99999),Kanban_Helper!$B118),Calc!$Y$8:$Y$500,0)))=0,"",CONCATENATE(Calc!$AD$6,INDEX(Calc!$J$8:$J$500,MATCH(SMALL(IF((Calc!$K$8:$K$500=Kanban!C$11)*(Calc!$Y$8:$Y$500&gt;0),Calc!$Y$8:$Y$500,99999),Kanban_Helper!$B118),Calc!$Y$8:$Y$500,0)))))),"")</f>
        <v/>
      </c>
      <c r="D125" s="172" t="str">
        <f t="array" ref="D125">IFERROR(IF(LEN(D$11)=0,"",IF($C$7&lt;&gt;"All",IF(LEN(INDEX(Calc!$J$8:$J$500,MATCH(SMALL(IF((Calc!$C$8:$C$500=Kanban!$C$7)*(Calc!$K$8:$K$500=Kanban!D$11)*(Calc!$Y$8:$Y$500&gt;0),Calc!$Y$8:$Y$500,99999),Kanban_Helper!$B118),Calc!$Y$8:$Y$500,0)))=0,"",CONCATENATE(Calc!$AD$6,INDEX(Calc!$J$8:$J$500,MATCH(SMALL(IF((Calc!$C$8:$C$500=Kanban!$C$7)*(Calc!$K$8:$K$500=Kanban!D$11)*(Calc!$Y$8:$Y$500&gt;0),Calc!$Y$8:$Y$500,99999),Kanban_Helper!$B118),Calc!$Y$8:$Y$500,0)))),IF(LEN(INDEX(Calc!$J$8:$J$500,MATCH(SMALL(IF((Calc!$K$8:$K$500=Kanban!D$11)*(Calc!$Y$8:$Y$500&gt;0),Calc!$Y$8:$Y$500,99999),Kanban_Helper!$B118),Calc!$Y$8:$Y$500,0)))=0,"",CONCATENATE(Calc!$AD$6,INDEX(Calc!$J$8:$J$500,MATCH(SMALL(IF((Calc!$K$8:$K$500=Kanban!D$11)*(Calc!$Y$8:$Y$500&gt;0),Calc!$Y$8:$Y$500,99999),Kanban_Helper!$B118),Calc!$Y$8:$Y$500,0)))))),"")</f>
        <v/>
      </c>
      <c r="E125" s="172" t="str">
        <f t="array" ref="E125">IFERROR(IF(LEN(E$11)=0,"",IF($C$7&lt;&gt;"All",IF(LEN(INDEX(Calc!$J$8:$J$500,MATCH(SMALL(IF((Calc!$C$8:$C$500=Kanban!$C$7)*(Calc!$K$8:$K$500=Kanban!E$11)*(Calc!$Y$8:$Y$500&gt;0),Calc!$Y$8:$Y$500,99999),Kanban_Helper!$B118),Calc!$Y$8:$Y$500,0)))=0,"",CONCATENATE(Calc!$AD$6,INDEX(Calc!$J$8:$J$500,MATCH(SMALL(IF((Calc!$C$8:$C$500=Kanban!$C$7)*(Calc!$K$8:$K$500=Kanban!E$11)*(Calc!$Y$8:$Y$500&gt;0),Calc!$Y$8:$Y$500,99999),Kanban_Helper!$B118),Calc!$Y$8:$Y$500,0)))),IF(LEN(INDEX(Calc!$J$8:$J$500,MATCH(SMALL(IF((Calc!$K$8:$K$500=Kanban!E$11)*(Calc!$Y$8:$Y$500&gt;0),Calc!$Y$8:$Y$500,99999),Kanban_Helper!$B118),Calc!$Y$8:$Y$500,0)))=0,"",CONCATENATE(Calc!$AD$6,INDEX(Calc!$J$8:$J$500,MATCH(SMALL(IF((Calc!$K$8:$K$500=Kanban!E$11)*(Calc!$Y$8:$Y$500&gt;0),Calc!$Y$8:$Y$500,99999),Kanban_Helper!$B118),Calc!$Y$8:$Y$500,0)))))),"")</f>
        <v/>
      </c>
      <c r="F125" s="172" t="str">
        <f t="array" ref="F125">IFERROR(IF(LEN(F$11)=0,"",IF($C$7&lt;&gt;"All",IF(LEN(INDEX(Calc!$J$8:$J$500,MATCH(SMALL(IF((Calc!$C$8:$C$500=Kanban!$C$7)*(Calc!$K$8:$K$500=Kanban!F$11)*(Calc!$Y$8:$Y$500&gt;0),Calc!$Y$8:$Y$500,99999),Kanban_Helper!$B118),Calc!$Y$8:$Y$500,0)))=0,"",CONCATENATE(Calc!$AD$6,INDEX(Calc!$J$8:$J$500,MATCH(SMALL(IF((Calc!$C$8:$C$500=Kanban!$C$7)*(Calc!$K$8:$K$500=Kanban!F$11)*(Calc!$Y$8:$Y$500&gt;0),Calc!$Y$8:$Y$500,99999),Kanban_Helper!$B118),Calc!$Y$8:$Y$500,0)))),IF(LEN(INDEX(Calc!$J$8:$J$500,MATCH(SMALL(IF((Calc!$K$8:$K$500=Kanban!F$11)*(Calc!$Y$8:$Y$500&gt;0),Calc!$Y$8:$Y$500,99999),Kanban_Helper!$B118),Calc!$Y$8:$Y$500,0)))=0,"",CONCATENATE(Calc!$AD$6,INDEX(Calc!$J$8:$J$500,MATCH(SMALL(IF((Calc!$K$8:$K$500=Kanban!F$11)*(Calc!$Y$8:$Y$500&gt;0),Calc!$Y$8:$Y$500,99999),Kanban_Helper!$B118),Calc!$Y$8:$Y$500,0)))))),"")</f>
        <v/>
      </c>
      <c r="G125" s="172" t="str">
        <f t="array" ref="G125">IFERROR(IF(LEN(G$11)=0,"",IF($C$7&lt;&gt;"All",IF(LEN(INDEX(Calc!$J$8:$J$500,MATCH(SMALL(IF((Calc!$C$8:$C$500=Kanban!$C$7)*(Calc!$K$8:$K$500=Kanban!G$11)*(Calc!$Y$8:$Y$500&gt;0),Calc!$Y$8:$Y$500,99999),Kanban_Helper!$B118),Calc!$Y$8:$Y$500,0)))=0,"",CONCATENATE(Calc!$AD$6,INDEX(Calc!$J$8:$J$500,MATCH(SMALL(IF((Calc!$C$8:$C$500=Kanban!$C$7)*(Calc!$K$8:$K$500=Kanban!G$11)*(Calc!$Y$8:$Y$500&gt;0),Calc!$Y$8:$Y$500,99999),Kanban_Helper!$B118),Calc!$Y$8:$Y$500,0)))),IF(LEN(INDEX(Calc!$J$8:$J$500,MATCH(SMALL(IF((Calc!$K$8:$K$500=Kanban!G$11)*(Calc!$Y$8:$Y$500&gt;0),Calc!$Y$8:$Y$500,99999),Kanban_Helper!$B118),Calc!$Y$8:$Y$500,0)))=0,"",CONCATENATE(Calc!$AD$6,INDEX(Calc!$J$8:$J$500,MATCH(SMALL(IF((Calc!$K$8:$K$500=Kanban!G$11)*(Calc!$Y$8:$Y$500&gt;0),Calc!$Y$8:$Y$500,99999),Kanban_Helper!$B118),Calc!$Y$8:$Y$500,0)))))),"")</f>
        <v/>
      </c>
      <c r="H125" s="172" t="str">
        <f t="array" ref="H125">IFERROR(IF(LEN(H$11)=0,"",IF($C$7&lt;&gt;"All",IF(LEN(INDEX(Calc!$J$8:$J$500,MATCH(SMALL(IF((Calc!$C$8:$C$500=Kanban!$C$7)*(Calc!$K$8:$K$500=Kanban!H$11)*(Calc!$Y$8:$Y$500&gt;0),Calc!$Y$8:$Y$500,99999),Kanban_Helper!$B118),Calc!$Y$8:$Y$500,0)))=0,"",CONCATENATE(Calc!$AD$6,INDEX(Calc!$J$8:$J$500,MATCH(SMALL(IF((Calc!$C$8:$C$500=Kanban!$C$7)*(Calc!$K$8:$K$500=Kanban!H$11)*(Calc!$Y$8:$Y$500&gt;0),Calc!$Y$8:$Y$500,99999),Kanban_Helper!$B118),Calc!$Y$8:$Y$500,0)))),IF(LEN(INDEX(Calc!$J$8:$J$500,MATCH(SMALL(IF((Calc!$K$8:$K$500=Kanban!H$11)*(Calc!$Y$8:$Y$500&gt;0),Calc!$Y$8:$Y$500,99999),Kanban_Helper!$B118),Calc!$Y$8:$Y$500,0)))=0,"",CONCATENATE(Calc!$AD$6,INDEX(Calc!$J$8:$J$500,MATCH(SMALL(IF((Calc!$K$8:$K$500=Kanban!H$11)*(Calc!$Y$8:$Y$500&gt;0),Calc!$Y$8:$Y$500,99999),Kanban_Helper!$B118),Calc!$Y$8:$Y$500,0)))))),"")</f>
        <v/>
      </c>
      <c r="I125" s="39"/>
    </row>
    <row r="126" spans="2:9" ht="15" thickTop="1" x14ac:dyDescent="0.35">
      <c r="B126" s="81"/>
      <c r="C126" s="170" t="str">
        <f t="array" ref="C126">IFERROR(IF(LEN(C$11)=0,"",IF($C$7&lt;&gt;"All",IF(INDEX(Calc!$V$8:$V$500,MATCH(INDEX(Calc!$D$8:$D$500,MATCH(SMALL(IF((Calc!$C$8:$C$500=Kanban!$C$7)*(Calc!$K$8:$K$500=Kanban!C$11)*(Calc!$Y$8:$Y$500&gt;0),Calc!$Y$8:$Y$500,99999),Kanban_Helper!$B119),Calc!$Y$8:$Y$500,0)),Calc!$D$8:$D$500,0))="Yes",CONCATENATE(INDEX(Calc!$D$8:$D$500,MATCH(SMALL(IF((Calc!$C$8:$C$500=Kanban!$C$7)*(Calc!$K$8:$K$500=Kanban!C$11)*(Calc!$Y$8:$Y$500&gt;0),Calc!$Y$8:$Y$500,99999),Kanban_Helper!$B119),Calc!$Y$8:$Y$500,0))," ",Calc!$V$7," ","!"),INDEX(Calc!$D$8:$D$500,MATCH(SMALL(IF((Calc!$C$8:$C$500=Kanban!$C$7)*(Calc!$K$8:$K$500=Kanban!C$11)*(Calc!$Y$8:$Y$500&gt;0),Calc!$Y$8:$Y$500,99999),Kanban_Helper!$B119),Calc!$Y$8:$Y$500,0))),IF(INDEX(Calc!$V$8:$V$500,MATCH(INDEX(Calc!$D$8:$D$500,MATCH(SMALL(IF((Calc!$K$8:$K$500=Kanban!C$11)*(Calc!$Y$8:$Y$500&gt;0),Calc!$Y$8:$Y$500,99999),Kanban_Helper!$B119),Calc!$Y$8:$Y$500,0)),Calc!$D$8:$D$500,0))="Yes",CONCATENATE(INDEX(Calc!$D$8:$D$500,MATCH(SMALL(IF((Calc!$K$8:$K$500=Kanban!C$11)*(Calc!$Y$8:$Y$500&gt;0),Calc!$Y$8:$Y$500,99999),Kanban_Helper!$B119),Calc!$Y$8:$Y$500,0))," ",Calc!$V$7," ","!"),INDEX(Calc!$D$8:$D$500,MATCH(SMALL(IF((Calc!$K$8:$K$500=Kanban!C$11)*(Calc!$Y$8:$Y$500&gt;0),Calc!$Y$8:$Y$500,99999),Kanban_Helper!$B119),Calc!$Y$8:$Y$500,0))))),"")</f>
        <v/>
      </c>
      <c r="D126" s="170" t="str">
        <f t="array" ref="D126">IFERROR(IF(LEN(D$11)=0,"",IF($C$7&lt;&gt;"All",IF(INDEX(Calc!$V$8:$V$500,MATCH(INDEX(Calc!$D$8:$D$500,MATCH(SMALL(IF((Calc!$C$8:$C$500=Kanban!$C$7)*(Calc!$K$8:$K$500=Kanban!D$11)*(Calc!$Y$8:$Y$500&gt;0),Calc!$Y$8:$Y$500,99999),Kanban_Helper!$B119),Calc!$Y$8:$Y$500,0)),Calc!$D$8:$D$500,0))="Yes",CONCATENATE(INDEX(Calc!$D$8:$D$500,MATCH(SMALL(IF((Calc!$C$8:$C$500=Kanban!$C$7)*(Calc!$K$8:$K$500=Kanban!D$11)*(Calc!$Y$8:$Y$500&gt;0),Calc!$Y$8:$Y$500,99999),Kanban_Helper!$B119),Calc!$Y$8:$Y$500,0))," ",Calc!$V$7," ","!"),INDEX(Calc!$D$8:$D$500,MATCH(SMALL(IF((Calc!$C$8:$C$500=Kanban!$C$7)*(Calc!$K$8:$K$500=Kanban!D$11)*(Calc!$Y$8:$Y$500&gt;0),Calc!$Y$8:$Y$500,99999),Kanban_Helper!$B119),Calc!$Y$8:$Y$500,0))),IF(INDEX(Calc!$V$8:$V$500,MATCH(INDEX(Calc!$D$8:$D$500,MATCH(SMALL(IF((Calc!$K$8:$K$500=Kanban!D$11)*(Calc!$Y$8:$Y$500&gt;0),Calc!$Y$8:$Y$500,99999),Kanban_Helper!$B119),Calc!$Y$8:$Y$500,0)),Calc!$D$8:$D$500,0))="Yes",CONCATENATE(INDEX(Calc!$D$8:$D$500,MATCH(SMALL(IF((Calc!$K$8:$K$500=Kanban!D$11)*(Calc!$Y$8:$Y$500&gt;0),Calc!$Y$8:$Y$500,99999),Kanban_Helper!$B119),Calc!$Y$8:$Y$500,0))," ",Calc!$V$7," ","!"),INDEX(Calc!$D$8:$D$500,MATCH(SMALL(IF((Calc!$K$8:$K$500=Kanban!D$11)*(Calc!$Y$8:$Y$500&gt;0),Calc!$Y$8:$Y$500,99999),Kanban_Helper!$B119),Calc!$Y$8:$Y$500,0))))),"")</f>
        <v/>
      </c>
      <c r="E126" s="170" t="str">
        <f t="array" ref="E126">IFERROR(IF(LEN(E$11)=0,"",IF($C$7&lt;&gt;"All",IF(INDEX(Calc!$V$8:$V$500,MATCH(INDEX(Calc!$D$8:$D$500,MATCH(SMALL(IF((Calc!$C$8:$C$500=Kanban!$C$7)*(Calc!$K$8:$K$500=Kanban!E$11)*(Calc!$Y$8:$Y$500&gt;0),Calc!$Y$8:$Y$500,99999),Kanban_Helper!$B119),Calc!$Y$8:$Y$500,0)),Calc!$D$8:$D$500,0))="Yes",CONCATENATE(INDEX(Calc!$D$8:$D$500,MATCH(SMALL(IF((Calc!$C$8:$C$500=Kanban!$C$7)*(Calc!$K$8:$K$500=Kanban!E$11)*(Calc!$Y$8:$Y$500&gt;0),Calc!$Y$8:$Y$500,99999),Kanban_Helper!$B119),Calc!$Y$8:$Y$500,0))," ",Calc!$V$7," ","!"),INDEX(Calc!$D$8:$D$500,MATCH(SMALL(IF((Calc!$C$8:$C$500=Kanban!$C$7)*(Calc!$K$8:$K$500=Kanban!E$11)*(Calc!$Y$8:$Y$500&gt;0),Calc!$Y$8:$Y$500,99999),Kanban_Helper!$B119),Calc!$Y$8:$Y$500,0))),IF(INDEX(Calc!$V$8:$V$500,MATCH(INDEX(Calc!$D$8:$D$500,MATCH(SMALL(IF((Calc!$K$8:$K$500=Kanban!E$11)*(Calc!$Y$8:$Y$500&gt;0),Calc!$Y$8:$Y$500,99999),Kanban_Helper!$B119),Calc!$Y$8:$Y$500,0)),Calc!$D$8:$D$500,0))="Yes",CONCATENATE(INDEX(Calc!$D$8:$D$500,MATCH(SMALL(IF((Calc!$K$8:$K$500=Kanban!E$11)*(Calc!$Y$8:$Y$500&gt;0),Calc!$Y$8:$Y$500,99999),Kanban_Helper!$B119),Calc!$Y$8:$Y$500,0))," ",Calc!$V$7," ","!"),INDEX(Calc!$D$8:$D$500,MATCH(SMALL(IF((Calc!$K$8:$K$500=Kanban!E$11)*(Calc!$Y$8:$Y$500&gt;0),Calc!$Y$8:$Y$500,99999),Kanban_Helper!$B119),Calc!$Y$8:$Y$500,0))))),"")</f>
        <v/>
      </c>
      <c r="F126" s="170" t="str">
        <f t="array" ref="F126">IFERROR(IF(LEN(F$11)=0,"",IF($C$7&lt;&gt;"All",IF(INDEX(Calc!$V$8:$V$500,MATCH(INDEX(Calc!$D$8:$D$500,MATCH(SMALL(IF((Calc!$C$8:$C$500=Kanban!$C$7)*(Calc!$K$8:$K$500=Kanban!F$11)*(Calc!$Y$8:$Y$500&gt;0),Calc!$Y$8:$Y$500,99999),Kanban_Helper!$B119),Calc!$Y$8:$Y$500,0)),Calc!$D$8:$D$500,0))="Yes",CONCATENATE(INDEX(Calc!$D$8:$D$500,MATCH(SMALL(IF((Calc!$C$8:$C$500=Kanban!$C$7)*(Calc!$K$8:$K$500=Kanban!F$11)*(Calc!$Y$8:$Y$500&gt;0),Calc!$Y$8:$Y$500,99999),Kanban_Helper!$B119),Calc!$Y$8:$Y$500,0))," ",Calc!$V$7," ","!"),INDEX(Calc!$D$8:$D$500,MATCH(SMALL(IF((Calc!$C$8:$C$500=Kanban!$C$7)*(Calc!$K$8:$K$500=Kanban!F$11)*(Calc!$Y$8:$Y$500&gt;0),Calc!$Y$8:$Y$500,99999),Kanban_Helper!$B119),Calc!$Y$8:$Y$500,0))),IF(INDEX(Calc!$V$8:$V$500,MATCH(INDEX(Calc!$D$8:$D$500,MATCH(SMALL(IF((Calc!$K$8:$K$500=Kanban!F$11)*(Calc!$Y$8:$Y$500&gt;0),Calc!$Y$8:$Y$500,99999),Kanban_Helper!$B119),Calc!$Y$8:$Y$500,0)),Calc!$D$8:$D$500,0))="Yes",CONCATENATE(INDEX(Calc!$D$8:$D$500,MATCH(SMALL(IF((Calc!$K$8:$K$500=Kanban!F$11)*(Calc!$Y$8:$Y$500&gt;0),Calc!$Y$8:$Y$500,99999),Kanban_Helper!$B119),Calc!$Y$8:$Y$500,0))," ",Calc!$V$7," ","!"),INDEX(Calc!$D$8:$D$500,MATCH(SMALL(IF((Calc!$K$8:$K$500=Kanban!F$11)*(Calc!$Y$8:$Y$500&gt;0),Calc!$Y$8:$Y$500,99999),Kanban_Helper!$B119),Calc!$Y$8:$Y$500,0))))),"")</f>
        <v/>
      </c>
      <c r="G126" s="170" t="str">
        <f t="array" ref="G126">IFERROR(IF(LEN(G$11)=0,"",IF($C$7&lt;&gt;"All",IF(INDEX(Calc!$V$8:$V$500,MATCH(INDEX(Calc!$D$8:$D$500,MATCH(SMALL(IF((Calc!$C$8:$C$500=Kanban!$C$7)*(Calc!$K$8:$K$500=Kanban!G$11)*(Calc!$Y$8:$Y$500&gt;0),Calc!$Y$8:$Y$500,99999),Kanban_Helper!$B119),Calc!$Y$8:$Y$500,0)),Calc!$D$8:$D$500,0))="Yes",CONCATENATE(INDEX(Calc!$D$8:$D$500,MATCH(SMALL(IF((Calc!$C$8:$C$500=Kanban!$C$7)*(Calc!$K$8:$K$500=Kanban!G$11)*(Calc!$Y$8:$Y$500&gt;0),Calc!$Y$8:$Y$500,99999),Kanban_Helper!$B119),Calc!$Y$8:$Y$500,0))," ",Calc!$V$7," ","!"),INDEX(Calc!$D$8:$D$500,MATCH(SMALL(IF((Calc!$C$8:$C$500=Kanban!$C$7)*(Calc!$K$8:$K$500=Kanban!G$11)*(Calc!$Y$8:$Y$500&gt;0),Calc!$Y$8:$Y$500,99999),Kanban_Helper!$B119),Calc!$Y$8:$Y$500,0))),IF(INDEX(Calc!$V$8:$V$500,MATCH(INDEX(Calc!$D$8:$D$500,MATCH(SMALL(IF((Calc!$K$8:$K$500=Kanban!G$11)*(Calc!$Y$8:$Y$500&gt;0),Calc!$Y$8:$Y$500,99999),Kanban_Helper!$B119),Calc!$Y$8:$Y$500,0)),Calc!$D$8:$D$500,0))="Yes",CONCATENATE(INDEX(Calc!$D$8:$D$500,MATCH(SMALL(IF((Calc!$K$8:$K$500=Kanban!G$11)*(Calc!$Y$8:$Y$500&gt;0),Calc!$Y$8:$Y$500,99999),Kanban_Helper!$B119),Calc!$Y$8:$Y$500,0))," ",Calc!$V$7," ","!"),INDEX(Calc!$D$8:$D$500,MATCH(SMALL(IF((Calc!$K$8:$K$500=Kanban!G$11)*(Calc!$Y$8:$Y$500&gt;0),Calc!$Y$8:$Y$500,99999),Kanban_Helper!$B119),Calc!$Y$8:$Y$500,0))))),"")</f>
        <v/>
      </c>
      <c r="H126" s="170" t="str">
        <f t="array" ref="H126">IFERROR(IF(LEN(H$11)=0,"",IF($C$7&lt;&gt;"All",IF(INDEX(Calc!$V$8:$V$500,MATCH(INDEX(Calc!$D$8:$D$500,MATCH(SMALL(IF((Calc!$C$8:$C$500=Kanban!$C$7)*(Calc!$K$8:$K$500=Kanban!H$11)*(Calc!$Y$8:$Y$500&gt;0),Calc!$Y$8:$Y$500,99999),Kanban_Helper!$B119),Calc!$Y$8:$Y$500,0)),Calc!$D$8:$D$500,0))="Yes",CONCATENATE(INDEX(Calc!$D$8:$D$500,MATCH(SMALL(IF((Calc!$C$8:$C$500=Kanban!$C$7)*(Calc!$K$8:$K$500=Kanban!H$11)*(Calc!$Y$8:$Y$500&gt;0),Calc!$Y$8:$Y$500,99999),Kanban_Helper!$B119),Calc!$Y$8:$Y$500,0))," ",Calc!$V$7," ","!"),INDEX(Calc!$D$8:$D$500,MATCH(SMALL(IF((Calc!$C$8:$C$500=Kanban!$C$7)*(Calc!$K$8:$K$500=Kanban!H$11)*(Calc!$Y$8:$Y$500&gt;0),Calc!$Y$8:$Y$500,99999),Kanban_Helper!$B119),Calc!$Y$8:$Y$500,0))),IF(INDEX(Calc!$V$8:$V$500,MATCH(INDEX(Calc!$D$8:$D$500,MATCH(SMALL(IF((Calc!$K$8:$K$500=Kanban!H$11)*(Calc!$Y$8:$Y$500&gt;0),Calc!$Y$8:$Y$500,99999),Kanban_Helper!$B119),Calc!$Y$8:$Y$500,0)),Calc!$D$8:$D$500,0))="Yes",CONCATENATE(INDEX(Calc!$D$8:$D$500,MATCH(SMALL(IF((Calc!$K$8:$K$500=Kanban!H$11)*(Calc!$Y$8:$Y$500&gt;0),Calc!$Y$8:$Y$500,99999),Kanban_Helper!$B119),Calc!$Y$8:$Y$500,0))," ",Calc!$V$7," ","!"),INDEX(Calc!$D$8:$D$500,MATCH(SMALL(IF((Calc!$K$8:$K$500=Kanban!H$11)*(Calc!$Y$8:$Y$500&gt;0),Calc!$Y$8:$Y$500,99999),Kanban_Helper!$B119),Calc!$Y$8:$Y$500,0))))),"")</f>
        <v/>
      </c>
      <c r="I126" s="39"/>
    </row>
    <row r="127" spans="2:9" x14ac:dyDescent="0.35">
      <c r="B127" s="81"/>
      <c r="C127" s="171" t="str">
        <f t="array" ref="C127">IFERROR(IF(LEN(C$11)=0,"",IF($C$7&lt;&gt;"All",INDEX(Calc!$E$8:$E$500,MATCH(SMALL(IF((Calc!$C$8:$C$500=Kanban!$C$7)*(Calc!$K$8:$K$500=Kanban!C$11)*(Calc!$Y$8:$Y$500&gt;0),Calc!$Y$8:$Y$500,99999),Kanban_Helper!$B120),Calc!$Y$8:$Y$500,0)),INDEX(Calc!$E$8:$E$500,MATCH(SMALL(IF((Calc!$K$8:$K$500=Kanban!C$11)*(Calc!$Y$8:$Y$500&gt;0),Calc!$Y$8:$Y$500,99999),Kanban_Helper!$B120),Calc!$Y$8:$Y$500,0)))),"")</f>
        <v/>
      </c>
      <c r="D127" s="171" t="str">
        <f t="array" ref="D127">IFERROR(IF(LEN(D$11)=0,"",IF($C$7&lt;&gt;"All",INDEX(Calc!$E$8:$E$500,MATCH(SMALL(IF((Calc!$C$8:$C$500=Kanban!$C$7)*(Calc!$K$8:$K$500=Kanban!D$11)*(Calc!$Y$8:$Y$500&gt;0),Calc!$Y$8:$Y$500,99999),Kanban_Helper!$B120),Calc!$Y$8:$Y$500,0)),INDEX(Calc!$E$8:$E$500,MATCH(SMALL(IF((Calc!$K$8:$K$500=Kanban!D$11)*(Calc!$Y$8:$Y$500&gt;0),Calc!$Y$8:$Y$500,99999),Kanban_Helper!$B120),Calc!$Y$8:$Y$500,0)))),"")</f>
        <v/>
      </c>
      <c r="E127" s="171" t="str">
        <f t="array" ref="E127">IFERROR(IF(LEN(E$11)=0,"",IF($C$7&lt;&gt;"All",INDEX(Calc!$E$8:$E$500,MATCH(SMALL(IF((Calc!$C$8:$C$500=Kanban!$C$7)*(Calc!$K$8:$K$500=Kanban!E$11)*(Calc!$Y$8:$Y$500&gt;0),Calc!$Y$8:$Y$500,99999),Kanban_Helper!$B120),Calc!$Y$8:$Y$500,0)),INDEX(Calc!$E$8:$E$500,MATCH(SMALL(IF((Calc!$K$8:$K$500=Kanban!E$11)*(Calc!$Y$8:$Y$500&gt;0),Calc!$Y$8:$Y$500,99999),Kanban_Helper!$B120),Calc!$Y$8:$Y$500,0)))),"")</f>
        <v/>
      </c>
      <c r="F127" s="171" t="str">
        <f t="array" ref="F127">IFERROR(IF(LEN(F$11)=0,"",IF($C$7&lt;&gt;"All",INDEX(Calc!$E$8:$E$500,MATCH(SMALL(IF((Calc!$C$8:$C$500=Kanban!$C$7)*(Calc!$K$8:$K$500=Kanban!F$11)*(Calc!$Y$8:$Y$500&gt;0),Calc!$Y$8:$Y$500,99999),Kanban_Helper!$B120),Calc!$Y$8:$Y$500,0)),INDEX(Calc!$E$8:$E$500,MATCH(SMALL(IF((Calc!$K$8:$K$500=Kanban!F$11)*(Calc!$Y$8:$Y$500&gt;0),Calc!$Y$8:$Y$500,99999),Kanban_Helper!$B120),Calc!$Y$8:$Y$500,0)))),"")</f>
        <v/>
      </c>
      <c r="G127" s="171" t="str">
        <f t="array" ref="G127">IFERROR(IF(LEN(G$11)=0,"",IF($C$7&lt;&gt;"All",INDEX(Calc!$E$8:$E$500,MATCH(SMALL(IF((Calc!$C$8:$C$500=Kanban!$C$7)*(Calc!$K$8:$K$500=Kanban!G$11)*(Calc!$Y$8:$Y$500&gt;0),Calc!$Y$8:$Y$500,99999),Kanban_Helper!$B120),Calc!$Y$8:$Y$500,0)),INDEX(Calc!$E$8:$E$500,MATCH(SMALL(IF((Calc!$K$8:$K$500=Kanban!G$11)*(Calc!$Y$8:$Y$500&gt;0),Calc!$Y$8:$Y$500,99999),Kanban_Helper!$B120),Calc!$Y$8:$Y$500,0)))),"")</f>
        <v/>
      </c>
      <c r="H127" s="171" t="str">
        <f t="array" ref="H127">IFERROR(IF(LEN(H$11)=0,"",IF($C$7&lt;&gt;"All",INDEX(Calc!$E$8:$E$500,MATCH(SMALL(IF((Calc!$C$8:$C$500=Kanban!$C$7)*(Calc!$K$8:$K$500=Kanban!H$11)*(Calc!$Y$8:$Y$500&gt;0),Calc!$Y$8:$Y$500,99999),Kanban_Helper!$B120),Calc!$Y$8:$Y$500,0)),INDEX(Calc!$E$8:$E$500,MATCH(SMALL(IF((Calc!$K$8:$K$500=Kanban!H$11)*(Calc!$Y$8:$Y$500&gt;0),Calc!$Y$8:$Y$500,99999),Kanban_Helper!$B120),Calc!$Y$8:$Y$500,0)))),"")</f>
        <v/>
      </c>
      <c r="I127" s="39"/>
    </row>
    <row r="128" spans="2:9" ht="15" thickBot="1" x14ac:dyDescent="0.4">
      <c r="B128" s="81"/>
      <c r="C128" s="172" t="str">
        <f t="array" ref="C128">IFERROR(IF(LEN(C$11)=0,"",IF($C$7&lt;&gt;"All",IF(LEN(INDEX(Calc!$J$8:$J$500,MATCH(SMALL(IF((Calc!$C$8:$C$500=Kanban!$C$7)*(Calc!$K$8:$K$500=Kanban!C$11)*(Calc!$Y$8:$Y$500&gt;0),Calc!$Y$8:$Y$500,99999),Kanban_Helper!$B121),Calc!$Y$8:$Y$500,0)))=0,"",CONCATENATE(Calc!$AD$6,INDEX(Calc!$J$8:$J$500,MATCH(SMALL(IF((Calc!$C$8:$C$500=Kanban!$C$7)*(Calc!$K$8:$K$500=Kanban!C$11)*(Calc!$Y$8:$Y$500&gt;0),Calc!$Y$8:$Y$500,99999),Kanban_Helper!$B121),Calc!$Y$8:$Y$500,0)))),IF(LEN(INDEX(Calc!$J$8:$J$500,MATCH(SMALL(IF((Calc!$K$8:$K$500=Kanban!C$11)*(Calc!$Y$8:$Y$500&gt;0),Calc!$Y$8:$Y$500,99999),Kanban_Helper!$B121),Calc!$Y$8:$Y$500,0)))=0,"",CONCATENATE(Calc!$AD$6,INDEX(Calc!$J$8:$J$500,MATCH(SMALL(IF((Calc!$K$8:$K$500=Kanban!C$11)*(Calc!$Y$8:$Y$500&gt;0),Calc!$Y$8:$Y$500,99999),Kanban_Helper!$B121),Calc!$Y$8:$Y$500,0)))))),"")</f>
        <v/>
      </c>
      <c r="D128" s="172" t="str">
        <f t="array" ref="D128">IFERROR(IF(LEN(D$11)=0,"",IF($C$7&lt;&gt;"All",IF(LEN(INDEX(Calc!$J$8:$J$500,MATCH(SMALL(IF((Calc!$C$8:$C$500=Kanban!$C$7)*(Calc!$K$8:$K$500=Kanban!D$11)*(Calc!$Y$8:$Y$500&gt;0),Calc!$Y$8:$Y$500,99999),Kanban_Helper!$B121),Calc!$Y$8:$Y$500,0)))=0,"",CONCATENATE(Calc!$AD$6,INDEX(Calc!$J$8:$J$500,MATCH(SMALL(IF((Calc!$C$8:$C$500=Kanban!$C$7)*(Calc!$K$8:$K$500=Kanban!D$11)*(Calc!$Y$8:$Y$500&gt;0),Calc!$Y$8:$Y$500,99999),Kanban_Helper!$B121),Calc!$Y$8:$Y$500,0)))),IF(LEN(INDEX(Calc!$J$8:$J$500,MATCH(SMALL(IF((Calc!$K$8:$K$500=Kanban!D$11)*(Calc!$Y$8:$Y$500&gt;0),Calc!$Y$8:$Y$500,99999),Kanban_Helper!$B121),Calc!$Y$8:$Y$500,0)))=0,"",CONCATENATE(Calc!$AD$6,INDEX(Calc!$J$8:$J$500,MATCH(SMALL(IF((Calc!$K$8:$K$500=Kanban!D$11)*(Calc!$Y$8:$Y$500&gt;0),Calc!$Y$8:$Y$500,99999),Kanban_Helper!$B121),Calc!$Y$8:$Y$500,0)))))),"")</f>
        <v/>
      </c>
      <c r="E128" s="172" t="str">
        <f t="array" ref="E128">IFERROR(IF(LEN(E$11)=0,"",IF($C$7&lt;&gt;"All",IF(LEN(INDEX(Calc!$J$8:$J$500,MATCH(SMALL(IF((Calc!$C$8:$C$500=Kanban!$C$7)*(Calc!$K$8:$K$500=Kanban!E$11)*(Calc!$Y$8:$Y$500&gt;0),Calc!$Y$8:$Y$500,99999),Kanban_Helper!$B121),Calc!$Y$8:$Y$500,0)))=0,"",CONCATENATE(Calc!$AD$6,INDEX(Calc!$J$8:$J$500,MATCH(SMALL(IF((Calc!$C$8:$C$500=Kanban!$C$7)*(Calc!$K$8:$K$500=Kanban!E$11)*(Calc!$Y$8:$Y$500&gt;0),Calc!$Y$8:$Y$500,99999),Kanban_Helper!$B121),Calc!$Y$8:$Y$500,0)))),IF(LEN(INDEX(Calc!$J$8:$J$500,MATCH(SMALL(IF((Calc!$K$8:$K$500=Kanban!E$11)*(Calc!$Y$8:$Y$500&gt;0),Calc!$Y$8:$Y$500,99999),Kanban_Helper!$B121),Calc!$Y$8:$Y$500,0)))=0,"",CONCATENATE(Calc!$AD$6,INDEX(Calc!$J$8:$J$500,MATCH(SMALL(IF((Calc!$K$8:$K$500=Kanban!E$11)*(Calc!$Y$8:$Y$500&gt;0),Calc!$Y$8:$Y$500,99999),Kanban_Helper!$B121),Calc!$Y$8:$Y$500,0)))))),"")</f>
        <v/>
      </c>
      <c r="F128" s="172" t="str">
        <f t="array" ref="F128">IFERROR(IF(LEN(F$11)=0,"",IF($C$7&lt;&gt;"All",IF(LEN(INDEX(Calc!$J$8:$J$500,MATCH(SMALL(IF((Calc!$C$8:$C$500=Kanban!$C$7)*(Calc!$K$8:$K$500=Kanban!F$11)*(Calc!$Y$8:$Y$500&gt;0),Calc!$Y$8:$Y$500,99999),Kanban_Helper!$B121),Calc!$Y$8:$Y$500,0)))=0,"",CONCATENATE(Calc!$AD$6,INDEX(Calc!$J$8:$J$500,MATCH(SMALL(IF((Calc!$C$8:$C$500=Kanban!$C$7)*(Calc!$K$8:$K$500=Kanban!F$11)*(Calc!$Y$8:$Y$500&gt;0),Calc!$Y$8:$Y$500,99999),Kanban_Helper!$B121),Calc!$Y$8:$Y$500,0)))),IF(LEN(INDEX(Calc!$J$8:$J$500,MATCH(SMALL(IF((Calc!$K$8:$K$500=Kanban!F$11)*(Calc!$Y$8:$Y$500&gt;0),Calc!$Y$8:$Y$500,99999),Kanban_Helper!$B121),Calc!$Y$8:$Y$500,0)))=0,"",CONCATENATE(Calc!$AD$6,INDEX(Calc!$J$8:$J$500,MATCH(SMALL(IF((Calc!$K$8:$K$500=Kanban!F$11)*(Calc!$Y$8:$Y$500&gt;0),Calc!$Y$8:$Y$500,99999),Kanban_Helper!$B121),Calc!$Y$8:$Y$500,0)))))),"")</f>
        <v/>
      </c>
      <c r="G128" s="172" t="str">
        <f t="array" ref="G128">IFERROR(IF(LEN(G$11)=0,"",IF($C$7&lt;&gt;"All",IF(LEN(INDEX(Calc!$J$8:$J$500,MATCH(SMALL(IF((Calc!$C$8:$C$500=Kanban!$C$7)*(Calc!$K$8:$K$500=Kanban!G$11)*(Calc!$Y$8:$Y$500&gt;0),Calc!$Y$8:$Y$500,99999),Kanban_Helper!$B121),Calc!$Y$8:$Y$500,0)))=0,"",CONCATENATE(Calc!$AD$6,INDEX(Calc!$J$8:$J$500,MATCH(SMALL(IF((Calc!$C$8:$C$500=Kanban!$C$7)*(Calc!$K$8:$K$500=Kanban!G$11)*(Calc!$Y$8:$Y$500&gt;0),Calc!$Y$8:$Y$500,99999),Kanban_Helper!$B121),Calc!$Y$8:$Y$500,0)))),IF(LEN(INDEX(Calc!$J$8:$J$500,MATCH(SMALL(IF((Calc!$K$8:$K$500=Kanban!G$11)*(Calc!$Y$8:$Y$500&gt;0),Calc!$Y$8:$Y$500,99999),Kanban_Helper!$B121),Calc!$Y$8:$Y$500,0)))=0,"",CONCATENATE(Calc!$AD$6,INDEX(Calc!$J$8:$J$500,MATCH(SMALL(IF((Calc!$K$8:$K$500=Kanban!G$11)*(Calc!$Y$8:$Y$500&gt;0),Calc!$Y$8:$Y$500,99999),Kanban_Helper!$B121),Calc!$Y$8:$Y$500,0)))))),"")</f>
        <v/>
      </c>
      <c r="H128" s="172" t="str">
        <f t="array" ref="H128">IFERROR(IF(LEN(H$11)=0,"",IF($C$7&lt;&gt;"All",IF(LEN(INDEX(Calc!$J$8:$J$500,MATCH(SMALL(IF((Calc!$C$8:$C$500=Kanban!$C$7)*(Calc!$K$8:$K$500=Kanban!H$11)*(Calc!$Y$8:$Y$500&gt;0),Calc!$Y$8:$Y$500,99999),Kanban_Helper!$B121),Calc!$Y$8:$Y$500,0)))=0,"",CONCATENATE(Calc!$AD$6,INDEX(Calc!$J$8:$J$500,MATCH(SMALL(IF((Calc!$C$8:$C$500=Kanban!$C$7)*(Calc!$K$8:$K$500=Kanban!H$11)*(Calc!$Y$8:$Y$500&gt;0),Calc!$Y$8:$Y$500,99999),Kanban_Helper!$B121),Calc!$Y$8:$Y$500,0)))),IF(LEN(INDEX(Calc!$J$8:$J$500,MATCH(SMALL(IF((Calc!$K$8:$K$500=Kanban!H$11)*(Calc!$Y$8:$Y$500&gt;0),Calc!$Y$8:$Y$500,99999),Kanban_Helper!$B121),Calc!$Y$8:$Y$500,0)))=0,"",CONCATENATE(Calc!$AD$6,INDEX(Calc!$J$8:$J$500,MATCH(SMALL(IF((Calc!$K$8:$K$500=Kanban!H$11)*(Calc!$Y$8:$Y$500&gt;0),Calc!$Y$8:$Y$500,99999),Kanban_Helper!$B121),Calc!$Y$8:$Y$500,0)))))),"")</f>
        <v/>
      </c>
      <c r="I128" s="39"/>
    </row>
    <row r="129" spans="2:9" ht="15" thickTop="1" x14ac:dyDescent="0.35">
      <c r="B129" s="81"/>
      <c r="C129" s="170" t="str">
        <f t="array" ref="C129">IFERROR(IF(LEN(C$11)=0,"",IF($C$7&lt;&gt;"All",IF(INDEX(Calc!$V$8:$V$500,MATCH(INDEX(Calc!$D$8:$D$500,MATCH(SMALL(IF((Calc!$C$8:$C$500=Kanban!$C$7)*(Calc!$K$8:$K$500=Kanban!C$11)*(Calc!$Y$8:$Y$500&gt;0),Calc!$Y$8:$Y$500,99999),Kanban_Helper!$B122),Calc!$Y$8:$Y$500,0)),Calc!$D$8:$D$500,0))="Yes",CONCATENATE(INDEX(Calc!$D$8:$D$500,MATCH(SMALL(IF((Calc!$C$8:$C$500=Kanban!$C$7)*(Calc!$K$8:$K$500=Kanban!C$11)*(Calc!$Y$8:$Y$500&gt;0),Calc!$Y$8:$Y$500,99999),Kanban_Helper!$B122),Calc!$Y$8:$Y$500,0))," ",Calc!$V$7," ","!"),INDEX(Calc!$D$8:$D$500,MATCH(SMALL(IF((Calc!$C$8:$C$500=Kanban!$C$7)*(Calc!$K$8:$K$500=Kanban!C$11)*(Calc!$Y$8:$Y$500&gt;0),Calc!$Y$8:$Y$500,99999),Kanban_Helper!$B122),Calc!$Y$8:$Y$500,0))),IF(INDEX(Calc!$V$8:$V$500,MATCH(INDEX(Calc!$D$8:$D$500,MATCH(SMALL(IF((Calc!$K$8:$K$500=Kanban!C$11)*(Calc!$Y$8:$Y$500&gt;0),Calc!$Y$8:$Y$500,99999),Kanban_Helper!$B122),Calc!$Y$8:$Y$500,0)),Calc!$D$8:$D$500,0))="Yes",CONCATENATE(INDEX(Calc!$D$8:$D$500,MATCH(SMALL(IF((Calc!$K$8:$K$500=Kanban!C$11)*(Calc!$Y$8:$Y$500&gt;0),Calc!$Y$8:$Y$500,99999),Kanban_Helper!$B122),Calc!$Y$8:$Y$500,0))," ",Calc!$V$7," ","!"),INDEX(Calc!$D$8:$D$500,MATCH(SMALL(IF((Calc!$K$8:$K$500=Kanban!C$11)*(Calc!$Y$8:$Y$500&gt;0),Calc!$Y$8:$Y$500,99999),Kanban_Helper!$B122),Calc!$Y$8:$Y$500,0))))),"")</f>
        <v/>
      </c>
      <c r="D129" s="170" t="str">
        <f t="array" ref="D129">IFERROR(IF(LEN(D$11)=0,"",IF($C$7&lt;&gt;"All",IF(INDEX(Calc!$V$8:$V$500,MATCH(INDEX(Calc!$D$8:$D$500,MATCH(SMALL(IF((Calc!$C$8:$C$500=Kanban!$C$7)*(Calc!$K$8:$K$500=Kanban!D$11)*(Calc!$Y$8:$Y$500&gt;0),Calc!$Y$8:$Y$500,99999),Kanban_Helper!$B122),Calc!$Y$8:$Y$500,0)),Calc!$D$8:$D$500,0))="Yes",CONCATENATE(INDEX(Calc!$D$8:$D$500,MATCH(SMALL(IF((Calc!$C$8:$C$500=Kanban!$C$7)*(Calc!$K$8:$K$500=Kanban!D$11)*(Calc!$Y$8:$Y$500&gt;0),Calc!$Y$8:$Y$500,99999),Kanban_Helper!$B122),Calc!$Y$8:$Y$500,0))," ",Calc!$V$7," ","!"),INDEX(Calc!$D$8:$D$500,MATCH(SMALL(IF((Calc!$C$8:$C$500=Kanban!$C$7)*(Calc!$K$8:$K$500=Kanban!D$11)*(Calc!$Y$8:$Y$500&gt;0),Calc!$Y$8:$Y$500,99999),Kanban_Helper!$B122),Calc!$Y$8:$Y$500,0))),IF(INDEX(Calc!$V$8:$V$500,MATCH(INDEX(Calc!$D$8:$D$500,MATCH(SMALL(IF((Calc!$K$8:$K$500=Kanban!D$11)*(Calc!$Y$8:$Y$500&gt;0),Calc!$Y$8:$Y$500,99999),Kanban_Helper!$B122),Calc!$Y$8:$Y$500,0)),Calc!$D$8:$D$500,0))="Yes",CONCATENATE(INDEX(Calc!$D$8:$D$500,MATCH(SMALL(IF((Calc!$K$8:$K$500=Kanban!D$11)*(Calc!$Y$8:$Y$500&gt;0),Calc!$Y$8:$Y$500,99999),Kanban_Helper!$B122),Calc!$Y$8:$Y$500,0))," ",Calc!$V$7," ","!"),INDEX(Calc!$D$8:$D$500,MATCH(SMALL(IF((Calc!$K$8:$K$500=Kanban!D$11)*(Calc!$Y$8:$Y$500&gt;0),Calc!$Y$8:$Y$500,99999),Kanban_Helper!$B122),Calc!$Y$8:$Y$500,0))))),"")</f>
        <v/>
      </c>
      <c r="E129" s="170" t="str">
        <f t="array" ref="E129">IFERROR(IF(LEN(E$11)=0,"",IF($C$7&lt;&gt;"All",IF(INDEX(Calc!$V$8:$V$500,MATCH(INDEX(Calc!$D$8:$D$500,MATCH(SMALL(IF((Calc!$C$8:$C$500=Kanban!$C$7)*(Calc!$K$8:$K$500=Kanban!E$11)*(Calc!$Y$8:$Y$500&gt;0),Calc!$Y$8:$Y$500,99999),Kanban_Helper!$B122),Calc!$Y$8:$Y$500,0)),Calc!$D$8:$D$500,0))="Yes",CONCATENATE(INDEX(Calc!$D$8:$D$500,MATCH(SMALL(IF((Calc!$C$8:$C$500=Kanban!$C$7)*(Calc!$K$8:$K$500=Kanban!E$11)*(Calc!$Y$8:$Y$500&gt;0),Calc!$Y$8:$Y$500,99999),Kanban_Helper!$B122),Calc!$Y$8:$Y$500,0))," ",Calc!$V$7," ","!"),INDEX(Calc!$D$8:$D$500,MATCH(SMALL(IF((Calc!$C$8:$C$500=Kanban!$C$7)*(Calc!$K$8:$K$500=Kanban!E$11)*(Calc!$Y$8:$Y$500&gt;0),Calc!$Y$8:$Y$500,99999),Kanban_Helper!$B122),Calc!$Y$8:$Y$500,0))),IF(INDEX(Calc!$V$8:$V$500,MATCH(INDEX(Calc!$D$8:$D$500,MATCH(SMALL(IF((Calc!$K$8:$K$500=Kanban!E$11)*(Calc!$Y$8:$Y$500&gt;0),Calc!$Y$8:$Y$500,99999),Kanban_Helper!$B122),Calc!$Y$8:$Y$500,0)),Calc!$D$8:$D$500,0))="Yes",CONCATENATE(INDEX(Calc!$D$8:$D$500,MATCH(SMALL(IF((Calc!$K$8:$K$500=Kanban!E$11)*(Calc!$Y$8:$Y$500&gt;0),Calc!$Y$8:$Y$500,99999),Kanban_Helper!$B122),Calc!$Y$8:$Y$500,0))," ",Calc!$V$7," ","!"),INDEX(Calc!$D$8:$D$500,MATCH(SMALL(IF((Calc!$K$8:$K$500=Kanban!E$11)*(Calc!$Y$8:$Y$500&gt;0),Calc!$Y$8:$Y$500,99999),Kanban_Helper!$B122),Calc!$Y$8:$Y$500,0))))),"")</f>
        <v/>
      </c>
      <c r="F129" s="170" t="str">
        <f t="array" ref="F129">IFERROR(IF(LEN(F$11)=0,"",IF($C$7&lt;&gt;"All",IF(INDEX(Calc!$V$8:$V$500,MATCH(INDEX(Calc!$D$8:$D$500,MATCH(SMALL(IF((Calc!$C$8:$C$500=Kanban!$C$7)*(Calc!$K$8:$K$500=Kanban!F$11)*(Calc!$Y$8:$Y$500&gt;0),Calc!$Y$8:$Y$500,99999),Kanban_Helper!$B122),Calc!$Y$8:$Y$500,0)),Calc!$D$8:$D$500,0))="Yes",CONCATENATE(INDEX(Calc!$D$8:$D$500,MATCH(SMALL(IF((Calc!$C$8:$C$500=Kanban!$C$7)*(Calc!$K$8:$K$500=Kanban!F$11)*(Calc!$Y$8:$Y$500&gt;0),Calc!$Y$8:$Y$500,99999),Kanban_Helper!$B122),Calc!$Y$8:$Y$500,0))," ",Calc!$V$7," ","!"),INDEX(Calc!$D$8:$D$500,MATCH(SMALL(IF((Calc!$C$8:$C$500=Kanban!$C$7)*(Calc!$K$8:$K$500=Kanban!F$11)*(Calc!$Y$8:$Y$500&gt;0),Calc!$Y$8:$Y$500,99999),Kanban_Helper!$B122),Calc!$Y$8:$Y$500,0))),IF(INDEX(Calc!$V$8:$V$500,MATCH(INDEX(Calc!$D$8:$D$500,MATCH(SMALL(IF((Calc!$K$8:$K$500=Kanban!F$11)*(Calc!$Y$8:$Y$500&gt;0),Calc!$Y$8:$Y$500,99999),Kanban_Helper!$B122),Calc!$Y$8:$Y$500,0)),Calc!$D$8:$D$500,0))="Yes",CONCATENATE(INDEX(Calc!$D$8:$D$500,MATCH(SMALL(IF((Calc!$K$8:$K$500=Kanban!F$11)*(Calc!$Y$8:$Y$500&gt;0),Calc!$Y$8:$Y$500,99999),Kanban_Helper!$B122),Calc!$Y$8:$Y$500,0))," ",Calc!$V$7," ","!"),INDEX(Calc!$D$8:$D$500,MATCH(SMALL(IF((Calc!$K$8:$K$500=Kanban!F$11)*(Calc!$Y$8:$Y$500&gt;0),Calc!$Y$8:$Y$500,99999),Kanban_Helper!$B122),Calc!$Y$8:$Y$500,0))))),"")</f>
        <v/>
      </c>
      <c r="G129" s="170" t="str">
        <f t="array" ref="G129">IFERROR(IF(LEN(G$11)=0,"",IF($C$7&lt;&gt;"All",IF(INDEX(Calc!$V$8:$V$500,MATCH(INDEX(Calc!$D$8:$D$500,MATCH(SMALL(IF((Calc!$C$8:$C$500=Kanban!$C$7)*(Calc!$K$8:$K$500=Kanban!G$11)*(Calc!$Y$8:$Y$500&gt;0),Calc!$Y$8:$Y$500,99999),Kanban_Helper!$B122),Calc!$Y$8:$Y$500,0)),Calc!$D$8:$D$500,0))="Yes",CONCATENATE(INDEX(Calc!$D$8:$D$500,MATCH(SMALL(IF((Calc!$C$8:$C$500=Kanban!$C$7)*(Calc!$K$8:$K$500=Kanban!G$11)*(Calc!$Y$8:$Y$500&gt;0),Calc!$Y$8:$Y$500,99999),Kanban_Helper!$B122),Calc!$Y$8:$Y$500,0))," ",Calc!$V$7," ","!"),INDEX(Calc!$D$8:$D$500,MATCH(SMALL(IF((Calc!$C$8:$C$500=Kanban!$C$7)*(Calc!$K$8:$K$500=Kanban!G$11)*(Calc!$Y$8:$Y$500&gt;0),Calc!$Y$8:$Y$500,99999),Kanban_Helper!$B122),Calc!$Y$8:$Y$500,0))),IF(INDEX(Calc!$V$8:$V$500,MATCH(INDEX(Calc!$D$8:$D$500,MATCH(SMALL(IF((Calc!$K$8:$K$500=Kanban!G$11)*(Calc!$Y$8:$Y$500&gt;0),Calc!$Y$8:$Y$500,99999),Kanban_Helper!$B122),Calc!$Y$8:$Y$500,0)),Calc!$D$8:$D$500,0))="Yes",CONCATENATE(INDEX(Calc!$D$8:$D$500,MATCH(SMALL(IF((Calc!$K$8:$K$500=Kanban!G$11)*(Calc!$Y$8:$Y$500&gt;0),Calc!$Y$8:$Y$500,99999),Kanban_Helper!$B122),Calc!$Y$8:$Y$500,0))," ",Calc!$V$7," ","!"),INDEX(Calc!$D$8:$D$500,MATCH(SMALL(IF((Calc!$K$8:$K$500=Kanban!G$11)*(Calc!$Y$8:$Y$500&gt;0),Calc!$Y$8:$Y$500,99999),Kanban_Helper!$B122),Calc!$Y$8:$Y$500,0))))),"")</f>
        <v/>
      </c>
      <c r="H129" s="170" t="str">
        <f t="array" ref="H129">IFERROR(IF(LEN(H$11)=0,"",IF($C$7&lt;&gt;"All",IF(INDEX(Calc!$V$8:$V$500,MATCH(INDEX(Calc!$D$8:$D$500,MATCH(SMALL(IF((Calc!$C$8:$C$500=Kanban!$C$7)*(Calc!$K$8:$K$500=Kanban!H$11)*(Calc!$Y$8:$Y$500&gt;0),Calc!$Y$8:$Y$500,99999),Kanban_Helper!$B122),Calc!$Y$8:$Y$500,0)),Calc!$D$8:$D$500,0))="Yes",CONCATENATE(INDEX(Calc!$D$8:$D$500,MATCH(SMALL(IF((Calc!$C$8:$C$500=Kanban!$C$7)*(Calc!$K$8:$K$500=Kanban!H$11)*(Calc!$Y$8:$Y$500&gt;0),Calc!$Y$8:$Y$500,99999),Kanban_Helper!$B122),Calc!$Y$8:$Y$500,0))," ",Calc!$V$7," ","!"),INDEX(Calc!$D$8:$D$500,MATCH(SMALL(IF((Calc!$C$8:$C$500=Kanban!$C$7)*(Calc!$K$8:$K$500=Kanban!H$11)*(Calc!$Y$8:$Y$500&gt;0),Calc!$Y$8:$Y$500,99999),Kanban_Helper!$B122),Calc!$Y$8:$Y$500,0))),IF(INDEX(Calc!$V$8:$V$500,MATCH(INDEX(Calc!$D$8:$D$500,MATCH(SMALL(IF((Calc!$K$8:$K$500=Kanban!H$11)*(Calc!$Y$8:$Y$500&gt;0),Calc!$Y$8:$Y$500,99999),Kanban_Helper!$B122),Calc!$Y$8:$Y$500,0)),Calc!$D$8:$D$500,0))="Yes",CONCATENATE(INDEX(Calc!$D$8:$D$500,MATCH(SMALL(IF((Calc!$K$8:$K$500=Kanban!H$11)*(Calc!$Y$8:$Y$500&gt;0),Calc!$Y$8:$Y$500,99999),Kanban_Helper!$B122),Calc!$Y$8:$Y$500,0))," ",Calc!$V$7," ","!"),INDEX(Calc!$D$8:$D$500,MATCH(SMALL(IF((Calc!$K$8:$K$500=Kanban!H$11)*(Calc!$Y$8:$Y$500&gt;0),Calc!$Y$8:$Y$500,99999),Kanban_Helper!$B122),Calc!$Y$8:$Y$500,0))))),"")</f>
        <v/>
      </c>
      <c r="I129" s="39"/>
    </row>
    <row r="130" spans="2:9" x14ac:dyDescent="0.35">
      <c r="B130" s="81"/>
      <c r="C130" s="171" t="str">
        <f t="array" ref="C130">IFERROR(IF(LEN(C$11)=0,"",IF($C$7&lt;&gt;"All",INDEX(Calc!$E$8:$E$500,MATCH(SMALL(IF((Calc!$C$8:$C$500=Kanban!$C$7)*(Calc!$K$8:$K$500=Kanban!C$11)*(Calc!$Y$8:$Y$500&gt;0),Calc!$Y$8:$Y$500,99999),Kanban_Helper!$B123),Calc!$Y$8:$Y$500,0)),INDEX(Calc!$E$8:$E$500,MATCH(SMALL(IF((Calc!$K$8:$K$500=Kanban!C$11)*(Calc!$Y$8:$Y$500&gt;0),Calc!$Y$8:$Y$500,99999),Kanban_Helper!$B123),Calc!$Y$8:$Y$500,0)))),"")</f>
        <v/>
      </c>
      <c r="D130" s="171" t="str">
        <f t="array" ref="D130">IFERROR(IF(LEN(D$11)=0,"",IF($C$7&lt;&gt;"All",INDEX(Calc!$E$8:$E$500,MATCH(SMALL(IF((Calc!$C$8:$C$500=Kanban!$C$7)*(Calc!$K$8:$K$500=Kanban!D$11)*(Calc!$Y$8:$Y$500&gt;0),Calc!$Y$8:$Y$500,99999),Kanban_Helper!$B123),Calc!$Y$8:$Y$500,0)),INDEX(Calc!$E$8:$E$500,MATCH(SMALL(IF((Calc!$K$8:$K$500=Kanban!D$11)*(Calc!$Y$8:$Y$500&gt;0),Calc!$Y$8:$Y$500,99999),Kanban_Helper!$B123),Calc!$Y$8:$Y$500,0)))),"")</f>
        <v/>
      </c>
      <c r="E130" s="171" t="str">
        <f t="array" ref="E130">IFERROR(IF(LEN(E$11)=0,"",IF($C$7&lt;&gt;"All",INDEX(Calc!$E$8:$E$500,MATCH(SMALL(IF((Calc!$C$8:$C$500=Kanban!$C$7)*(Calc!$K$8:$K$500=Kanban!E$11)*(Calc!$Y$8:$Y$500&gt;0),Calc!$Y$8:$Y$500,99999),Kanban_Helper!$B123),Calc!$Y$8:$Y$500,0)),INDEX(Calc!$E$8:$E$500,MATCH(SMALL(IF((Calc!$K$8:$K$500=Kanban!E$11)*(Calc!$Y$8:$Y$500&gt;0),Calc!$Y$8:$Y$500,99999),Kanban_Helper!$B123),Calc!$Y$8:$Y$500,0)))),"")</f>
        <v/>
      </c>
      <c r="F130" s="171" t="str">
        <f t="array" ref="F130">IFERROR(IF(LEN(F$11)=0,"",IF($C$7&lt;&gt;"All",INDEX(Calc!$E$8:$E$500,MATCH(SMALL(IF((Calc!$C$8:$C$500=Kanban!$C$7)*(Calc!$K$8:$K$500=Kanban!F$11)*(Calc!$Y$8:$Y$500&gt;0),Calc!$Y$8:$Y$500,99999),Kanban_Helper!$B123),Calc!$Y$8:$Y$500,0)),INDEX(Calc!$E$8:$E$500,MATCH(SMALL(IF((Calc!$K$8:$K$500=Kanban!F$11)*(Calc!$Y$8:$Y$500&gt;0),Calc!$Y$8:$Y$500,99999),Kanban_Helper!$B123),Calc!$Y$8:$Y$500,0)))),"")</f>
        <v/>
      </c>
      <c r="G130" s="171" t="str">
        <f t="array" ref="G130">IFERROR(IF(LEN(G$11)=0,"",IF($C$7&lt;&gt;"All",INDEX(Calc!$E$8:$E$500,MATCH(SMALL(IF((Calc!$C$8:$C$500=Kanban!$C$7)*(Calc!$K$8:$K$500=Kanban!G$11)*(Calc!$Y$8:$Y$500&gt;0),Calc!$Y$8:$Y$500,99999),Kanban_Helper!$B123),Calc!$Y$8:$Y$500,0)),INDEX(Calc!$E$8:$E$500,MATCH(SMALL(IF((Calc!$K$8:$K$500=Kanban!G$11)*(Calc!$Y$8:$Y$500&gt;0),Calc!$Y$8:$Y$500,99999),Kanban_Helper!$B123),Calc!$Y$8:$Y$500,0)))),"")</f>
        <v/>
      </c>
      <c r="H130" s="171" t="str">
        <f t="array" ref="H130">IFERROR(IF(LEN(H$11)=0,"",IF($C$7&lt;&gt;"All",INDEX(Calc!$E$8:$E$500,MATCH(SMALL(IF((Calc!$C$8:$C$500=Kanban!$C$7)*(Calc!$K$8:$K$500=Kanban!H$11)*(Calc!$Y$8:$Y$500&gt;0),Calc!$Y$8:$Y$500,99999),Kanban_Helper!$B123),Calc!$Y$8:$Y$500,0)),INDEX(Calc!$E$8:$E$500,MATCH(SMALL(IF((Calc!$K$8:$K$500=Kanban!H$11)*(Calc!$Y$8:$Y$500&gt;0),Calc!$Y$8:$Y$500,99999),Kanban_Helper!$B123),Calc!$Y$8:$Y$500,0)))),"")</f>
        <v/>
      </c>
      <c r="I130" s="39"/>
    </row>
    <row r="131" spans="2:9" ht="15" thickBot="1" x14ac:dyDescent="0.4">
      <c r="B131" s="81"/>
      <c r="C131" s="172" t="str">
        <f t="array" ref="C131">IFERROR(IF(LEN(C$11)=0,"",IF($C$7&lt;&gt;"All",IF(LEN(INDEX(Calc!$J$8:$J$500,MATCH(SMALL(IF((Calc!$C$8:$C$500=Kanban!$C$7)*(Calc!$K$8:$K$500=Kanban!C$11)*(Calc!$Y$8:$Y$500&gt;0),Calc!$Y$8:$Y$500,99999),Kanban_Helper!$B124),Calc!$Y$8:$Y$500,0)))=0,"",CONCATENATE(Calc!$AD$6,INDEX(Calc!$J$8:$J$500,MATCH(SMALL(IF((Calc!$C$8:$C$500=Kanban!$C$7)*(Calc!$K$8:$K$500=Kanban!C$11)*(Calc!$Y$8:$Y$500&gt;0),Calc!$Y$8:$Y$500,99999),Kanban_Helper!$B124),Calc!$Y$8:$Y$500,0)))),IF(LEN(INDEX(Calc!$J$8:$J$500,MATCH(SMALL(IF((Calc!$K$8:$K$500=Kanban!C$11)*(Calc!$Y$8:$Y$500&gt;0),Calc!$Y$8:$Y$500,99999),Kanban_Helper!$B124),Calc!$Y$8:$Y$500,0)))=0,"",CONCATENATE(Calc!$AD$6,INDEX(Calc!$J$8:$J$500,MATCH(SMALL(IF((Calc!$K$8:$K$500=Kanban!C$11)*(Calc!$Y$8:$Y$500&gt;0),Calc!$Y$8:$Y$500,99999),Kanban_Helper!$B124),Calc!$Y$8:$Y$500,0)))))),"")</f>
        <v/>
      </c>
      <c r="D131" s="172" t="str">
        <f t="array" ref="D131">IFERROR(IF(LEN(D$11)=0,"",IF($C$7&lt;&gt;"All",IF(LEN(INDEX(Calc!$J$8:$J$500,MATCH(SMALL(IF((Calc!$C$8:$C$500=Kanban!$C$7)*(Calc!$K$8:$K$500=Kanban!D$11)*(Calc!$Y$8:$Y$500&gt;0),Calc!$Y$8:$Y$500,99999),Kanban_Helper!$B124),Calc!$Y$8:$Y$500,0)))=0,"",CONCATENATE(Calc!$AD$6,INDEX(Calc!$J$8:$J$500,MATCH(SMALL(IF((Calc!$C$8:$C$500=Kanban!$C$7)*(Calc!$K$8:$K$500=Kanban!D$11)*(Calc!$Y$8:$Y$500&gt;0),Calc!$Y$8:$Y$500,99999),Kanban_Helper!$B124),Calc!$Y$8:$Y$500,0)))),IF(LEN(INDEX(Calc!$J$8:$J$500,MATCH(SMALL(IF((Calc!$K$8:$K$500=Kanban!D$11)*(Calc!$Y$8:$Y$500&gt;0),Calc!$Y$8:$Y$500,99999),Kanban_Helper!$B124),Calc!$Y$8:$Y$500,0)))=0,"",CONCATENATE(Calc!$AD$6,INDEX(Calc!$J$8:$J$500,MATCH(SMALL(IF((Calc!$K$8:$K$500=Kanban!D$11)*(Calc!$Y$8:$Y$500&gt;0),Calc!$Y$8:$Y$500,99999),Kanban_Helper!$B124),Calc!$Y$8:$Y$500,0)))))),"")</f>
        <v/>
      </c>
      <c r="E131" s="172" t="str">
        <f t="array" ref="E131">IFERROR(IF(LEN(E$11)=0,"",IF($C$7&lt;&gt;"All",IF(LEN(INDEX(Calc!$J$8:$J$500,MATCH(SMALL(IF((Calc!$C$8:$C$500=Kanban!$C$7)*(Calc!$K$8:$K$500=Kanban!E$11)*(Calc!$Y$8:$Y$500&gt;0),Calc!$Y$8:$Y$500,99999),Kanban_Helper!$B124),Calc!$Y$8:$Y$500,0)))=0,"",CONCATENATE(Calc!$AD$6,INDEX(Calc!$J$8:$J$500,MATCH(SMALL(IF((Calc!$C$8:$C$500=Kanban!$C$7)*(Calc!$K$8:$K$500=Kanban!E$11)*(Calc!$Y$8:$Y$500&gt;0),Calc!$Y$8:$Y$500,99999),Kanban_Helper!$B124),Calc!$Y$8:$Y$500,0)))),IF(LEN(INDEX(Calc!$J$8:$J$500,MATCH(SMALL(IF((Calc!$K$8:$K$500=Kanban!E$11)*(Calc!$Y$8:$Y$500&gt;0),Calc!$Y$8:$Y$500,99999),Kanban_Helper!$B124),Calc!$Y$8:$Y$500,0)))=0,"",CONCATENATE(Calc!$AD$6,INDEX(Calc!$J$8:$J$500,MATCH(SMALL(IF((Calc!$K$8:$K$500=Kanban!E$11)*(Calc!$Y$8:$Y$500&gt;0),Calc!$Y$8:$Y$500,99999),Kanban_Helper!$B124),Calc!$Y$8:$Y$500,0)))))),"")</f>
        <v/>
      </c>
      <c r="F131" s="172" t="str">
        <f t="array" ref="F131">IFERROR(IF(LEN(F$11)=0,"",IF($C$7&lt;&gt;"All",IF(LEN(INDEX(Calc!$J$8:$J$500,MATCH(SMALL(IF((Calc!$C$8:$C$500=Kanban!$C$7)*(Calc!$K$8:$K$500=Kanban!F$11)*(Calc!$Y$8:$Y$500&gt;0),Calc!$Y$8:$Y$500,99999),Kanban_Helper!$B124),Calc!$Y$8:$Y$500,0)))=0,"",CONCATENATE(Calc!$AD$6,INDEX(Calc!$J$8:$J$500,MATCH(SMALL(IF((Calc!$C$8:$C$500=Kanban!$C$7)*(Calc!$K$8:$K$500=Kanban!F$11)*(Calc!$Y$8:$Y$500&gt;0),Calc!$Y$8:$Y$500,99999),Kanban_Helper!$B124),Calc!$Y$8:$Y$500,0)))),IF(LEN(INDEX(Calc!$J$8:$J$500,MATCH(SMALL(IF((Calc!$K$8:$K$500=Kanban!F$11)*(Calc!$Y$8:$Y$500&gt;0),Calc!$Y$8:$Y$500,99999),Kanban_Helper!$B124),Calc!$Y$8:$Y$500,0)))=0,"",CONCATENATE(Calc!$AD$6,INDEX(Calc!$J$8:$J$500,MATCH(SMALL(IF((Calc!$K$8:$K$500=Kanban!F$11)*(Calc!$Y$8:$Y$500&gt;0),Calc!$Y$8:$Y$500,99999),Kanban_Helper!$B124),Calc!$Y$8:$Y$500,0)))))),"")</f>
        <v/>
      </c>
      <c r="G131" s="172" t="str">
        <f t="array" ref="G131">IFERROR(IF(LEN(G$11)=0,"",IF($C$7&lt;&gt;"All",IF(LEN(INDEX(Calc!$J$8:$J$500,MATCH(SMALL(IF((Calc!$C$8:$C$500=Kanban!$C$7)*(Calc!$K$8:$K$500=Kanban!G$11)*(Calc!$Y$8:$Y$500&gt;0),Calc!$Y$8:$Y$500,99999),Kanban_Helper!$B124),Calc!$Y$8:$Y$500,0)))=0,"",CONCATENATE(Calc!$AD$6,INDEX(Calc!$J$8:$J$500,MATCH(SMALL(IF((Calc!$C$8:$C$500=Kanban!$C$7)*(Calc!$K$8:$K$500=Kanban!G$11)*(Calc!$Y$8:$Y$500&gt;0),Calc!$Y$8:$Y$500,99999),Kanban_Helper!$B124),Calc!$Y$8:$Y$500,0)))),IF(LEN(INDEX(Calc!$J$8:$J$500,MATCH(SMALL(IF((Calc!$K$8:$K$500=Kanban!G$11)*(Calc!$Y$8:$Y$500&gt;0),Calc!$Y$8:$Y$500,99999),Kanban_Helper!$B124),Calc!$Y$8:$Y$500,0)))=0,"",CONCATENATE(Calc!$AD$6,INDEX(Calc!$J$8:$J$500,MATCH(SMALL(IF((Calc!$K$8:$K$500=Kanban!G$11)*(Calc!$Y$8:$Y$500&gt;0),Calc!$Y$8:$Y$500,99999),Kanban_Helper!$B124),Calc!$Y$8:$Y$500,0)))))),"")</f>
        <v/>
      </c>
      <c r="H131" s="172" t="str">
        <f t="array" ref="H131">IFERROR(IF(LEN(H$11)=0,"",IF($C$7&lt;&gt;"All",IF(LEN(INDEX(Calc!$J$8:$J$500,MATCH(SMALL(IF((Calc!$C$8:$C$500=Kanban!$C$7)*(Calc!$K$8:$K$500=Kanban!H$11)*(Calc!$Y$8:$Y$500&gt;0),Calc!$Y$8:$Y$500,99999),Kanban_Helper!$B124),Calc!$Y$8:$Y$500,0)))=0,"",CONCATENATE(Calc!$AD$6,INDEX(Calc!$J$8:$J$500,MATCH(SMALL(IF((Calc!$C$8:$C$500=Kanban!$C$7)*(Calc!$K$8:$K$500=Kanban!H$11)*(Calc!$Y$8:$Y$500&gt;0),Calc!$Y$8:$Y$500,99999),Kanban_Helper!$B124),Calc!$Y$8:$Y$500,0)))),IF(LEN(INDEX(Calc!$J$8:$J$500,MATCH(SMALL(IF((Calc!$K$8:$K$500=Kanban!H$11)*(Calc!$Y$8:$Y$500&gt;0),Calc!$Y$8:$Y$500,99999),Kanban_Helper!$B124),Calc!$Y$8:$Y$500,0)))=0,"",CONCATENATE(Calc!$AD$6,INDEX(Calc!$J$8:$J$500,MATCH(SMALL(IF((Calc!$K$8:$K$500=Kanban!H$11)*(Calc!$Y$8:$Y$500&gt;0),Calc!$Y$8:$Y$500,99999),Kanban_Helper!$B124),Calc!$Y$8:$Y$500,0)))))),"")</f>
        <v/>
      </c>
      <c r="I131" s="39"/>
    </row>
    <row r="132" spans="2:9" ht="15" thickTop="1" x14ac:dyDescent="0.35">
      <c r="B132" s="81"/>
      <c r="C132" s="170" t="str">
        <f t="array" ref="C132">IFERROR(IF(LEN(C$11)=0,"",IF($C$7&lt;&gt;"All",IF(INDEX(Calc!$V$8:$V$500,MATCH(INDEX(Calc!$D$8:$D$500,MATCH(SMALL(IF((Calc!$C$8:$C$500=Kanban!$C$7)*(Calc!$K$8:$K$500=Kanban!C$11)*(Calc!$Y$8:$Y$500&gt;0),Calc!$Y$8:$Y$500,99999),Kanban_Helper!$B125),Calc!$Y$8:$Y$500,0)),Calc!$D$8:$D$500,0))="Yes",CONCATENATE(INDEX(Calc!$D$8:$D$500,MATCH(SMALL(IF((Calc!$C$8:$C$500=Kanban!$C$7)*(Calc!$K$8:$K$500=Kanban!C$11)*(Calc!$Y$8:$Y$500&gt;0),Calc!$Y$8:$Y$500,99999),Kanban_Helper!$B125),Calc!$Y$8:$Y$500,0))," ",Calc!$V$7," ","!"),INDEX(Calc!$D$8:$D$500,MATCH(SMALL(IF((Calc!$C$8:$C$500=Kanban!$C$7)*(Calc!$K$8:$K$500=Kanban!C$11)*(Calc!$Y$8:$Y$500&gt;0),Calc!$Y$8:$Y$500,99999),Kanban_Helper!$B125),Calc!$Y$8:$Y$500,0))),IF(INDEX(Calc!$V$8:$V$500,MATCH(INDEX(Calc!$D$8:$D$500,MATCH(SMALL(IF((Calc!$K$8:$K$500=Kanban!C$11)*(Calc!$Y$8:$Y$500&gt;0),Calc!$Y$8:$Y$500,99999),Kanban_Helper!$B125),Calc!$Y$8:$Y$500,0)),Calc!$D$8:$D$500,0))="Yes",CONCATENATE(INDEX(Calc!$D$8:$D$500,MATCH(SMALL(IF((Calc!$K$8:$K$500=Kanban!C$11)*(Calc!$Y$8:$Y$500&gt;0),Calc!$Y$8:$Y$500,99999),Kanban_Helper!$B125),Calc!$Y$8:$Y$500,0))," ",Calc!$V$7," ","!"),INDEX(Calc!$D$8:$D$500,MATCH(SMALL(IF((Calc!$K$8:$K$500=Kanban!C$11)*(Calc!$Y$8:$Y$500&gt;0),Calc!$Y$8:$Y$500,99999),Kanban_Helper!$B125),Calc!$Y$8:$Y$500,0))))),"")</f>
        <v/>
      </c>
      <c r="D132" s="170" t="str">
        <f t="array" ref="D132">IFERROR(IF(LEN(D$11)=0,"",IF($C$7&lt;&gt;"All",IF(INDEX(Calc!$V$8:$V$500,MATCH(INDEX(Calc!$D$8:$D$500,MATCH(SMALL(IF((Calc!$C$8:$C$500=Kanban!$C$7)*(Calc!$K$8:$K$500=Kanban!D$11)*(Calc!$Y$8:$Y$500&gt;0),Calc!$Y$8:$Y$500,99999),Kanban_Helper!$B125),Calc!$Y$8:$Y$500,0)),Calc!$D$8:$D$500,0))="Yes",CONCATENATE(INDEX(Calc!$D$8:$D$500,MATCH(SMALL(IF((Calc!$C$8:$C$500=Kanban!$C$7)*(Calc!$K$8:$K$500=Kanban!D$11)*(Calc!$Y$8:$Y$500&gt;0),Calc!$Y$8:$Y$500,99999),Kanban_Helper!$B125),Calc!$Y$8:$Y$500,0))," ",Calc!$V$7," ","!"),INDEX(Calc!$D$8:$D$500,MATCH(SMALL(IF((Calc!$C$8:$C$500=Kanban!$C$7)*(Calc!$K$8:$K$500=Kanban!D$11)*(Calc!$Y$8:$Y$500&gt;0),Calc!$Y$8:$Y$500,99999),Kanban_Helper!$B125),Calc!$Y$8:$Y$500,0))),IF(INDEX(Calc!$V$8:$V$500,MATCH(INDEX(Calc!$D$8:$D$500,MATCH(SMALL(IF((Calc!$K$8:$K$500=Kanban!D$11)*(Calc!$Y$8:$Y$500&gt;0),Calc!$Y$8:$Y$500,99999),Kanban_Helper!$B125),Calc!$Y$8:$Y$500,0)),Calc!$D$8:$D$500,0))="Yes",CONCATENATE(INDEX(Calc!$D$8:$D$500,MATCH(SMALL(IF((Calc!$K$8:$K$500=Kanban!D$11)*(Calc!$Y$8:$Y$500&gt;0),Calc!$Y$8:$Y$500,99999),Kanban_Helper!$B125),Calc!$Y$8:$Y$500,0))," ",Calc!$V$7," ","!"),INDEX(Calc!$D$8:$D$500,MATCH(SMALL(IF((Calc!$K$8:$K$500=Kanban!D$11)*(Calc!$Y$8:$Y$500&gt;0),Calc!$Y$8:$Y$500,99999),Kanban_Helper!$B125),Calc!$Y$8:$Y$500,0))))),"")</f>
        <v/>
      </c>
      <c r="E132" s="170" t="str">
        <f t="array" ref="E132">IFERROR(IF(LEN(E$11)=0,"",IF($C$7&lt;&gt;"All",IF(INDEX(Calc!$V$8:$V$500,MATCH(INDEX(Calc!$D$8:$D$500,MATCH(SMALL(IF((Calc!$C$8:$C$500=Kanban!$C$7)*(Calc!$K$8:$K$500=Kanban!E$11)*(Calc!$Y$8:$Y$500&gt;0),Calc!$Y$8:$Y$500,99999),Kanban_Helper!$B125),Calc!$Y$8:$Y$500,0)),Calc!$D$8:$D$500,0))="Yes",CONCATENATE(INDEX(Calc!$D$8:$D$500,MATCH(SMALL(IF((Calc!$C$8:$C$500=Kanban!$C$7)*(Calc!$K$8:$K$500=Kanban!E$11)*(Calc!$Y$8:$Y$500&gt;0),Calc!$Y$8:$Y$500,99999),Kanban_Helper!$B125),Calc!$Y$8:$Y$500,0))," ",Calc!$V$7," ","!"),INDEX(Calc!$D$8:$D$500,MATCH(SMALL(IF((Calc!$C$8:$C$500=Kanban!$C$7)*(Calc!$K$8:$K$500=Kanban!E$11)*(Calc!$Y$8:$Y$500&gt;0),Calc!$Y$8:$Y$500,99999),Kanban_Helper!$B125),Calc!$Y$8:$Y$500,0))),IF(INDEX(Calc!$V$8:$V$500,MATCH(INDEX(Calc!$D$8:$D$500,MATCH(SMALL(IF((Calc!$K$8:$K$500=Kanban!E$11)*(Calc!$Y$8:$Y$500&gt;0),Calc!$Y$8:$Y$500,99999),Kanban_Helper!$B125),Calc!$Y$8:$Y$500,0)),Calc!$D$8:$D$500,0))="Yes",CONCATENATE(INDEX(Calc!$D$8:$D$500,MATCH(SMALL(IF((Calc!$K$8:$K$500=Kanban!E$11)*(Calc!$Y$8:$Y$500&gt;0),Calc!$Y$8:$Y$500,99999),Kanban_Helper!$B125),Calc!$Y$8:$Y$500,0))," ",Calc!$V$7," ","!"),INDEX(Calc!$D$8:$D$500,MATCH(SMALL(IF((Calc!$K$8:$K$500=Kanban!E$11)*(Calc!$Y$8:$Y$500&gt;0),Calc!$Y$8:$Y$500,99999),Kanban_Helper!$B125),Calc!$Y$8:$Y$500,0))))),"")</f>
        <v/>
      </c>
      <c r="F132" s="170" t="str">
        <f t="array" ref="F132">IFERROR(IF(LEN(F$11)=0,"",IF($C$7&lt;&gt;"All",IF(INDEX(Calc!$V$8:$V$500,MATCH(INDEX(Calc!$D$8:$D$500,MATCH(SMALL(IF((Calc!$C$8:$C$500=Kanban!$C$7)*(Calc!$K$8:$K$500=Kanban!F$11)*(Calc!$Y$8:$Y$500&gt;0),Calc!$Y$8:$Y$500,99999),Kanban_Helper!$B125),Calc!$Y$8:$Y$500,0)),Calc!$D$8:$D$500,0))="Yes",CONCATENATE(INDEX(Calc!$D$8:$D$500,MATCH(SMALL(IF((Calc!$C$8:$C$500=Kanban!$C$7)*(Calc!$K$8:$K$500=Kanban!F$11)*(Calc!$Y$8:$Y$500&gt;0),Calc!$Y$8:$Y$500,99999),Kanban_Helper!$B125),Calc!$Y$8:$Y$500,0))," ",Calc!$V$7," ","!"),INDEX(Calc!$D$8:$D$500,MATCH(SMALL(IF((Calc!$C$8:$C$500=Kanban!$C$7)*(Calc!$K$8:$K$500=Kanban!F$11)*(Calc!$Y$8:$Y$500&gt;0),Calc!$Y$8:$Y$500,99999),Kanban_Helper!$B125),Calc!$Y$8:$Y$500,0))),IF(INDEX(Calc!$V$8:$V$500,MATCH(INDEX(Calc!$D$8:$D$500,MATCH(SMALL(IF((Calc!$K$8:$K$500=Kanban!F$11)*(Calc!$Y$8:$Y$500&gt;0),Calc!$Y$8:$Y$500,99999),Kanban_Helper!$B125),Calc!$Y$8:$Y$500,0)),Calc!$D$8:$D$500,0))="Yes",CONCATENATE(INDEX(Calc!$D$8:$D$500,MATCH(SMALL(IF((Calc!$K$8:$K$500=Kanban!F$11)*(Calc!$Y$8:$Y$500&gt;0),Calc!$Y$8:$Y$500,99999),Kanban_Helper!$B125),Calc!$Y$8:$Y$500,0))," ",Calc!$V$7," ","!"),INDEX(Calc!$D$8:$D$500,MATCH(SMALL(IF((Calc!$K$8:$K$500=Kanban!F$11)*(Calc!$Y$8:$Y$500&gt;0),Calc!$Y$8:$Y$500,99999),Kanban_Helper!$B125),Calc!$Y$8:$Y$500,0))))),"")</f>
        <v/>
      </c>
      <c r="G132" s="170" t="str">
        <f t="array" ref="G132">IFERROR(IF(LEN(G$11)=0,"",IF($C$7&lt;&gt;"All",IF(INDEX(Calc!$V$8:$V$500,MATCH(INDEX(Calc!$D$8:$D$500,MATCH(SMALL(IF((Calc!$C$8:$C$500=Kanban!$C$7)*(Calc!$K$8:$K$500=Kanban!G$11)*(Calc!$Y$8:$Y$500&gt;0),Calc!$Y$8:$Y$500,99999),Kanban_Helper!$B125),Calc!$Y$8:$Y$500,0)),Calc!$D$8:$D$500,0))="Yes",CONCATENATE(INDEX(Calc!$D$8:$D$500,MATCH(SMALL(IF((Calc!$C$8:$C$500=Kanban!$C$7)*(Calc!$K$8:$K$500=Kanban!G$11)*(Calc!$Y$8:$Y$500&gt;0),Calc!$Y$8:$Y$500,99999),Kanban_Helper!$B125),Calc!$Y$8:$Y$500,0))," ",Calc!$V$7," ","!"),INDEX(Calc!$D$8:$D$500,MATCH(SMALL(IF((Calc!$C$8:$C$500=Kanban!$C$7)*(Calc!$K$8:$K$500=Kanban!G$11)*(Calc!$Y$8:$Y$500&gt;0),Calc!$Y$8:$Y$500,99999),Kanban_Helper!$B125),Calc!$Y$8:$Y$500,0))),IF(INDEX(Calc!$V$8:$V$500,MATCH(INDEX(Calc!$D$8:$D$500,MATCH(SMALL(IF((Calc!$K$8:$K$500=Kanban!G$11)*(Calc!$Y$8:$Y$500&gt;0),Calc!$Y$8:$Y$500,99999),Kanban_Helper!$B125),Calc!$Y$8:$Y$500,0)),Calc!$D$8:$D$500,0))="Yes",CONCATENATE(INDEX(Calc!$D$8:$D$500,MATCH(SMALL(IF((Calc!$K$8:$K$500=Kanban!G$11)*(Calc!$Y$8:$Y$500&gt;0),Calc!$Y$8:$Y$500,99999),Kanban_Helper!$B125),Calc!$Y$8:$Y$500,0))," ",Calc!$V$7," ","!"),INDEX(Calc!$D$8:$D$500,MATCH(SMALL(IF((Calc!$K$8:$K$500=Kanban!G$11)*(Calc!$Y$8:$Y$500&gt;0),Calc!$Y$8:$Y$500,99999),Kanban_Helper!$B125),Calc!$Y$8:$Y$500,0))))),"")</f>
        <v/>
      </c>
      <c r="H132" s="170" t="str">
        <f t="array" ref="H132">IFERROR(IF(LEN(H$11)=0,"",IF($C$7&lt;&gt;"All",IF(INDEX(Calc!$V$8:$V$500,MATCH(INDEX(Calc!$D$8:$D$500,MATCH(SMALL(IF((Calc!$C$8:$C$500=Kanban!$C$7)*(Calc!$K$8:$K$500=Kanban!H$11)*(Calc!$Y$8:$Y$500&gt;0),Calc!$Y$8:$Y$500,99999),Kanban_Helper!$B125),Calc!$Y$8:$Y$500,0)),Calc!$D$8:$D$500,0))="Yes",CONCATENATE(INDEX(Calc!$D$8:$D$500,MATCH(SMALL(IF((Calc!$C$8:$C$500=Kanban!$C$7)*(Calc!$K$8:$K$500=Kanban!H$11)*(Calc!$Y$8:$Y$500&gt;0),Calc!$Y$8:$Y$500,99999),Kanban_Helper!$B125),Calc!$Y$8:$Y$500,0))," ",Calc!$V$7," ","!"),INDEX(Calc!$D$8:$D$500,MATCH(SMALL(IF((Calc!$C$8:$C$500=Kanban!$C$7)*(Calc!$K$8:$K$500=Kanban!H$11)*(Calc!$Y$8:$Y$500&gt;0),Calc!$Y$8:$Y$500,99999),Kanban_Helper!$B125),Calc!$Y$8:$Y$500,0))),IF(INDEX(Calc!$V$8:$V$500,MATCH(INDEX(Calc!$D$8:$D$500,MATCH(SMALL(IF((Calc!$K$8:$K$500=Kanban!H$11)*(Calc!$Y$8:$Y$500&gt;0),Calc!$Y$8:$Y$500,99999),Kanban_Helper!$B125),Calc!$Y$8:$Y$500,0)),Calc!$D$8:$D$500,0))="Yes",CONCATENATE(INDEX(Calc!$D$8:$D$500,MATCH(SMALL(IF((Calc!$K$8:$K$500=Kanban!H$11)*(Calc!$Y$8:$Y$500&gt;0),Calc!$Y$8:$Y$500,99999),Kanban_Helper!$B125),Calc!$Y$8:$Y$500,0))," ",Calc!$V$7," ","!"),INDEX(Calc!$D$8:$D$500,MATCH(SMALL(IF((Calc!$K$8:$K$500=Kanban!H$11)*(Calc!$Y$8:$Y$500&gt;0),Calc!$Y$8:$Y$500,99999),Kanban_Helper!$B125),Calc!$Y$8:$Y$500,0))))),"")</f>
        <v/>
      </c>
      <c r="I132" s="39"/>
    </row>
    <row r="133" spans="2:9" x14ac:dyDescent="0.35">
      <c r="B133" s="81"/>
      <c r="C133" s="171" t="str">
        <f t="array" ref="C133">IFERROR(IF(LEN(C$11)=0,"",IF($C$7&lt;&gt;"All",INDEX(Calc!$E$8:$E$500,MATCH(SMALL(IF((Calc!$C$8:$C$500=Kanban!$C$7)*(Calc!$K$8:$K$500=Kanban!C$11)*(Calc!$Y$8:$Y$500&gt;0),Calc!$Y$8:$Y$500,99999),Kanban_Helper!$B126),Calc!$Y$8:$Y$500,0)),INDEX(Calc!$E$8:$E$500,MATCH(SMALL(IF((Calc!$K$8:$K$500=Kanban!C$11)*(Calc!$Y$8:$Y$500&gt;0),Calc!$Y$8:$Y$500,99999),Kanban_Helper!$B126),Calc!$Y$8:$Y$500,0)))),"")</f>
        <v/>
      </c>
      <c r="D133" s="171" t="str">
        <f t="array" ref="D133">IFERROR(IF(LEN(D$11)=0,"",IF($C$7&lt;&gt;"All",INDEX(Calc!$E$8:$E$500,MATCH(SMALL(IF((Calc!$C$8:$C$500=Kanban!$C$7)*(Calc!$K$8:$K$500=Kanban!D$11)*(Calc!$Y$8:$Y$500&gt;0),Calc!$Y$8:$Y$500,99999),Kanban_Helper!$B126),Calc!$Y$8:$Y$500,0)),INDEX(Calc!$E$8:$E$500,MATCH(SMALL(IF((Calc!$K$8:$K$500=Kanban!D$11)*(Calc!$Y$8:$Y$500&gt;0),Calc!$Y$8:$Y$500,99999),Kanban_Helper!$B126),Calc!$Y$8:$Y$500,0)))),"")</f>
        <v/>
      </c>
      <c r="E133" s="171" t="str">
        <f t="array" ref="E133">IFERROR(IF(LEN(E$11)=0,"",IF($C$7&lt;&gt;"All",INDEX(Calc!$E$8:$E$500,MATCH(SMALL(IF((Calc!$C$8:$C$500=Kanban!$C$7)*(Calc!$K$8:$K$500=Kanban!E$11)*(Calc!$Y$8:$Y$500&gt;0),Calc!$Y$8:$Y$500,99999),Kanban_Helper!$B126),Calc!$Y$8:$Y$500,0)),INDEX(Calc!$E$8:$E$500,MATCH(SMALL(IF((Calc!$K$8:$K$500=Kanban!E$11)*(Calc!$Y$8:$Y$500&gt;0),Calc!$Y$8:$Y$500,99999),Kanban_Helper!$B126),Calc!$Y$8:$Y$500,0)))),"")</f>
        <v/>
      </c>
      <c r="F133" s="171" t="str">
        <f t="array" ref="F133">IFERROR(IF(LEN(F$11)=0,"",IF($C$7&lt;&gt;"All",INDEX(Calc!$E$8:$E$500,MATCH(SMALL(IF((Calc!$C$8:$C$500=Kanban!$C$7)*(Calc!$K$8:$K$500=Kanban!F$11)*(Calc!$Y$8:$Y$500&gt;0),Calc!$Y$8:$Y$500,99999),Kanban_Helper!$B126),Calc!$Y$8:$Y$500,0)),INDEX(Calc!$E$8:$E$500,MATCH(SMALL(IF((Calc!$K$8:$K$500=Kanban!F$11)*(Calc!$Y$8:$Y$500&gt;0),Calc!$Y$8:$Y$500,99999),Kanban_Helper!$B126),Calc!$Y$8:$Y$500,0)))),"")</f>
        <v/>
      </c>
      <c r="G133" s="171" t="str">
        <f t="array" ref="G133">IFERROR(IF(LEN(G$11)=0,"",IF($C$7&lt;&gt;"All",INDEX(Calc!$E$8:$E$500,MATCH(SMALL(IF((Calc!$C$8:$C$500=Kanban!$C$7)*(Calc!$K$8:$K$500=Kanban!G$11)*(Calc!$Y$8:$Y$500&gt;0),Calc!$Y$8:$Y$500,99999),Kanban_Helper!$B126),Calc!$Y$8:$Y$500,0)),INDEX(Calc!$E$8:$E$500,MATCH(SMALL(IF((Calc!$K$8:$K$500=Kanban!G$11)*(Calc!$Y$8:$Y$500&gt;0),Calc!$Y$8:$Y$500,99999),Kanban_Helper!$B126),Calc!$Y$8:$Y$500,0)))),"")</f>
        <v/>
      </c>
      <c r="H133" s="171" t="str">
        <f t="array" ref="H133">IFERROR(IF(LEN(H$11)=0,"",IF($C$7&lt;&gt;"All",INDEX(Calc!$E$8:$E$500,MATCH(SMALL(IF((Calc!$C$8:$C$500=Kanban!$C$7)*(Calc!$K$8:$K$500=Kanban!H$11)*(Calc!$Y$8:$Y$500&gt;0),Calc!$Y$8:$Y$500,99999),Kanban_Helper!$B126),Calc!$Y$8:$Y$500,0)),INDEX(Calc!$E$8:$E$500,MATCH(SMALL(IF((Calc!$K$8:$K$500=Kanban!H$11)*(Calc!$Y$8:$Y$500&gt;0),Calc!$Y$8:$Y$500,99999),Kanban_Helper!$B126),Calc!$Y$8:$Y$500,0)))),"")</f>
        <v/>
      </c>
      <c r="I133" s="39"/>
    </row>
    <row r="134" spans="2:9" ht="15" thickBot="1" x14ac:dyDescent="0.4">
      <c r="B134" s="81"/>
      <c r="C134" s="172" t="str">
        <f t="array" ref="C134">IFERROR(IF(LEN(C$11)=0,"",IF($C$7&lt;&gt;"All",IF(LEN(INDEX(Calc!$J$8:$J$500,MATCH(SMALL(IF((Calc!$C$8:$C$500=Kanban!$C$7)*(Calc!$K$8:$K$500=Kanban!C$11)*(Calc!$Y$8:$Y$500&gt;0),Calc!$Y$8:$Y$500,99999),Kanban_Helper!$B127),Calc!$Y$8:$Y$500,0)))=0,"",CONCATENATE(Calc!$AD$6,INDEX(Calc!$J$8:$J$500,MATCH(SMALL(IF((Calc!$C$8:$C$500=Kanban!$C$7)*(Calc!$K$8:$K$500=Kanban!C$11)*(Calc!$Y$8:$Y$500&gt;0),Calc!$Y$8:$Y$500,99999),Kanban_Helper!$B127),Calc!$Y$8:$Y$500,0)))),IF(LEN(INDEX(Calc!$J$8:$J$500,MATCH(SMALL(IF((Calc!$K$8:$K$500=Kanban!C$11)*(Calc!$Y$8:$Y$500&gt;0),Calc!$Y$8:$Y$500,99999),Kanban_Helper!$B127),Calc!$Y$8:$Y$500,0)))=0,"",CONCATENATE(Calc!$AD$6,INDEX(Calc!$J$8:$J$500,MATCH(SMALL(IF((Calc!$K$8:$K$500=Kanban!C$11)*(Calc!$Y$8:$Y$500&gt;0),Calc!$Y$8:$Y$500,99999),Kanban_Helper!$B127),Calc!$Y$8:$Y$500,0)))))),"")</f>
        <v/>
      </c>
      <c r="D134" s="172" t="str">
        <f t="array" ref="D134">IFERROR(IF(LEN(D$11)=0,"",IF($C$7&lt;&gt;"All",IF(LEN(INDEX(Calc!$J$8:$J$500,MATCH(SMALL(IF((Calc!$C$8:$C$500=Kanban!$C$7)*(Calc!$K$8:$K$500=Kanban!D$11)*(Calc!$Y$8:$Y$500&gt;0),Calc!$Y$8:$Y$500,99999),Kanban_Helper!$B127),Calc!$Y$8:$Y$500,0)))=0,"",CONCATENATE(Calc!$AD$6,INDEX(Calc!$J$8:$J$500,MATCH(SMALL(IF((Calc!$C$8:$C$500=Kanban!$C$7)*(Calc!$K$8:$K$500=Kanban!D$11)*(Calc!$Y$8:$Y$500&gt;0),Calc!$Y$8:$Y$500,99999),Kanban_Helper!$B127),Calc!$Y$8:$Y$500,0)))),IF(LEN(INDEX(Calc!$J$8:$J$500,MATCH(SMALL(IF((Calc!$K$8:$K$500=Kanban!D$11)*(Calc!$Y$8:$Y$500&gt;0),Calc!$Y$8:$Y$500,99999),Kanban_Helper!$B127),Calc!$Y$8:$Y$500,0)))=0,"",CONCATENATE(Calc!$AD$6,INDEX(Calc!$J$8:$J$500,MATCH(SMALL(IF((Calc!$K$8:$K$500=Kanban!D$11)*(Calc!$Y$8:$Y$500&gt;0),Calc!$Y$8:$Y$500,99999),Kanban_Helper!$B127),Calc!$Y$8:$Y$500,0)))))),"")</f>
        <v/>
      </c>
      <c r="E134" s="172" t="str">
        <f t="array" ref="E134">IFERROR(IF(LEN(E$11)=0,"",IF($C$7&lt;&gt;"All",IF(LEN(INDEX(Calc!$J$8:$J$500,MATCH(SMALL(IF((Calc!$C$8:$C$500=Kanban!$C$7)*(Calc!$K$8:$K$500=Kanban!E$11)*(Calc!$Y$8:$Y$500&gt;0),Calc!$Y$8:$Y$500,99999),Kanban_Helper!$B127),Calc!$Y$8:$Y$500,0)))=0,"",CONCATENATE(Calc!$AD$6,INDEX(Calc!$J$8:$J$500,MATCH(SMALL(IF((Calc!$C$8:$C$500=Kanban!$C$7)*(Calc!$K$8:$K$500=Kanban!E$11)*(Calc!$Y$8:$Y$500&gt;0),Calc!$Y$8:$Y$500,99999),Kanban_Helper!$B127),Calc!$Y$8:$Y$500,0)))),IF(LEN(INDEX(Calc!$J$8:$J$500,MATCH(SMALL(IF((Calc!$K$8:$K$500=Kanban!E$11)*(Calc!$Y$8:$Y$500&gt;0),Calc!$Y$8:$Y$500,99999),Kanban_Helper!$B127),Calc!$Y$8:$Y$500,0)))=0,"",CONCATENATE(Calc!$AD$6,INDEX(Calc!$J$8:$J$500,MATCH(SMALL(IF((Calc!$K$8:$K$500=Kanban!E$11)*(Calc!$Y$8:$Y$500&gt;0),Calc!$Y$8:$Y$500,99999),Kanban_Helper!$B127),Calc!$Y$8:$Y$500,0)))))),"")</f>
        <v/>
      </c>
      <c r="F134" s="172" t="str">
        <f t="array" ref="F134">IFERROR(IF(LEN(F$11)=0,"",IF($C$7&lt;&gt;"All",IF(LEN(INDEX(Calc!$J$8:$J$500,MATCH(SMALL(IF((Calc!$C$8:$C$500=Kanban!$C$7)*(Calc!$K$8:$K$500=Kanban!F$11)*(Calc!$Y$8:$Y$500&gt;0),Calc!$Y$8:$Y$500,99999),Kanban_Helper!$B127),Calc!$Y$8:$Y$500,0)))=0,"",CONCATENATE(Calc!$AD$6,INDEX(Calc!$J$8:$J$500,MATCH(SMALL(IF((Calc!$C$8:$C$500=Kanban!$C$7)*(Calc!$K$8:$K$500=Kanban!F$11)*(Calc!$Y$8:$Y$500&gt;0),Calc!$Y$8:$Y$500,99999),Kanban_Helper!$B127),Calc!$Y$8:$Y$500,0)))),IF(LEN(INDEX(Calc!$J$8:$J$500,MATCH(SMALL(IF((Calc!$K$8:$K$500=Kanban!F$11)*(Calc!$Y$8:$Y$500&gt;0),Calc!$Y$8:$Y$500,99999),Kanban_Helper!$B127),Calc!$Y$8:$Y$500,0)))=0,"",CONCATENATE(Calc!$AD$6,INDEX(Calc!$J$8:$J$500,MATCH(SMALL(IF((Calc!$K$8:$K$500=Kanban!F$11)*(Calc!$Y$8:$Y$500&gt;0),Calc!$Y$8:$Y$500,99999),Kanban_Helper!$B127),Calc!$Y$8:$Y$500,0)))))),"")</f>
        <v/>
      </c>
      <c r="G134" s="172" t="str">
        <f t="array" ref="G134">IFERROR(IF(LEN(G$11)=0,"",IF($C$7&lt;&gt;"All",IF(LEN(INDEX(Calc!$J$8:$J$500,MATCH(SMALL(IF((Calc!$C$8:$C$500=Kanban!$C$7)*(Calc!$K$8:$K$500=Kanban!G$11)*(Calc!$Y$8:$Y$500&gt;0),Calc!$Y$8:$Y$500,99999),Kanban_Helper!$B127),Calc!$Y$8:$Y$500,0)))=0,"",CONCATENATE(Calc!$AD$6,INDEX(Calc!$J$8:$J$500,MATCH(SMALL(IF((Calc!$C$8:$C$500=Kanban!$C$7)*(Calc!$K$8:$K$500=Kanban!G$11)*(Calc!$Y$8:$Y$500&gt;0),Calc!$Y$8:$Y$500,99999),Kanban_Helper!$B127),Calc!$Y$8:$Y$500,0)))),IF(LEN(INDEX(Calc!$J$8:$J$500,MATCH(SMALL(IF((Calc!$K$8:$K$500=Kanban!G$11)*(Calc!$Y$8:$Y$500&gt;0),Calc!$Y$8:$Y$500,99999),Kanban_Helper!$B127),Calc!$Y$8:$Y$500,0)))=0,"",CONCATENATE(Calc!$AD$6,INDEX(Calc!$J$8:$J$500,MATCH(SMALL(IF((Calc!$K$8:$K$500=Kanban!G$11)*(Calc!$Y$8:$Y$500&gt;0),Calc!$Y$8:$Y$500,99999),Kanban_Helper!$B127),Calc!$Y$8:$Y$500,0)))))),"")</f>
        <v/>
      </c>
      <c r="H134" s="172" t="str">
        <f t="array" ref="H134">IFERROR(IF(LEN(H$11)=0,"",IF($C$7&lt;&gt;"All",IF(LEN(INDEX(Calc!$J$8:$J$500,MATCH(SMALL(IF((Calc!$C$8:$C$500=Kanban!$C$7)*(Calc!$K$8:$K$500=Kanban!H$11)*(Calc!$Y$8:$Y$500&gt;0),Calc!$Y$8:$Y$500,99999),Kanban_Helper!$B127),Calc!$Y$8:$Y$500,0)))=0,"",CONCATENATE(Calc!$AD$6,INDEX(Calc!$J$8:$J$500,MATCH(SMALL(IF((Calc!$C$8:$C$500=Kanban!$C$7)*(Calc!$K$8:$K$500=Kanban!H$11)*(Calc!$Y$8:$Y$500&gt;0),Calc!$Y$8:$Y$500,99999),Kanban_Helper!$B127),Calc!$Y$8:$Y$500,0)))),IF(LEN(INDEX(Calc!$J$8:$J$500,MATCH(SMALL(IF((Calc!$K$8:$K$500=Kanban!H$11)*(Calc!$Y$8:$Y$500&gt;0),Calc!$Y$8:$Y$500,99999),Kanban_Helper!$B127),Calc!$Y$8:$Y$500,0)))=0,"",CONCATENATE(Calc!$AD$6,INDEX(Calc!$J$8:$J$500,MATCH(SMALL(IF((Calc!$K$8:$K$500=Kanban!H$11)*(Calc!$Y$8:$Y$500&gt;0),Calc!$Y$8:$Y$500,99999),Kanban_Helper!$B127),Calc!$Y$8:$Y$500,0)))))),"")</f>
        <v/>
      </c>
      <c r="I134" s="39"/>
    </row>
    <row r="135" spans="2:9" ht="15" thickTop="1" x14ac:dyDescent="0.35">
      <c r="B135" s="81"/>
      <c r="C135" s="170" t="str">
        <f t="array" ref="C135">IFERROR(IF(LEN(C$11)=0,"",IF($C$7&lt;&gt;"All",IF(INDEX(Calc!$V$8:$V$500,MATCH(INDEX(Calc!$D$8:$D$500,MATCH(SMALL(IF((Calc!$C$8:$C$500=Kanban!$C$7)*(Calc!$K$8:$K$500=Kanban!C$11)*(Calc!$Y$8:$Y$500&gt;0),Calc!$Y$8:$Y$500,99999),Kanban_Helper!$B128),Calc!$Y$8:$Y$500,0)),Calc!$D$8:$D$500,0))="Yes",CONCATENATE(INDEX(Calc!$D$8:$D$500,MATCH(SMALL(IF((Calc!$C$8:$C$500=Kanban!$C$7)*(Calc!$K$8:$K$500=Kanban!C$11)*(Calc!$Y$8:$Y$500&gt;0),Calc!$Y$8:$Y$500,99999),Kanban_Helper!$B128),Calc!$Y$8:$Y$500,0))," ",Calc!$V$7," ","!"),INDEX(Calc!$D$8:$D$500,MATCH(SMALL(IF((Calc!$C$8:$C$500=Kanban!$C$7)*(Calc!$K$8:$K$500=Kanban!C$11)*(Calc!$Y$8:$Y$500&gt;0),Calc!$Y$8:$Y$500,99999),Kanban_Helper!$B128),Calc!$Y$8:$Y$500,0))),IF(INDEX(Calc!$V$8:$V$500,MATCH(INDEX(Calc!$D$8:$D$500,MATCH(SMALL(IF((Calc!$K$8:$K$500=Kanban!C$11)*(Calc!$Y$8:$Y$500&gt;0),Calc!$Y$8:$Y$500,99999),Kanban_Helper!$B128),Calc!$Y$8:$Y$500,0)),Calc!$D$8:$D$500,0))="Yes",CONCATENATE(INDEX(Calc!$D$8:$D$500,MATCH(SMALL(IF((Calc!$K$8:$K$500=Kanban!C$11)*(Calc!$Y$8:$Y$500&gt;0),Calc!$Y$8:$Y$500,99999),Kanban_Helper!$B128),Calc!$Y$8:$Y$500,0))," ",Calc!$V$7," ","!"),INDEX(Calc!$D$8:$D$500,MATCH(SMALL(IF((Calc!$K$8:$K$500=Kanban!C$11)*(Calc!$Y$8:$Y$500&gt;0),Calc!$Y$8:$Y$500,99999),Kanban_Helper!$B128),Calc!$Y$8:$Y$500,0))))),"")</f>
        <v/>
      </c>
      <c r="D135" s="170" t="str">
        <f t="array" ref="D135">IFERROR(IF(LEN(D$11)=0,"",IF($C$7&lt;&gt;"All",IF(INDEX(Calc!$V$8:$V$500,MATCH(INDEX(Calc!$D$8:$D$500,MATCH(SMALL(IF((Calc!$C$8:$C$500=Kanban!$C$7)*(Calc!$K$8:$K$500=Kanban!D$11)*(Calc!$Y$8:$Y$500&gt;0),Calc!$Y$8:$Y$500,99999),Kanban_Helper!$B128),Calc!$Y$8:$Y$500,0)),Calc!$D$8:$D$500,0))="Yes",CONCATENATE(INDEX(Calc!$D$8:$D$500,MATCH(SMALL(IF((Calc!$C$8:$C$500=Kanban!$C$7)*(Calc!$K$8:$K$500=Kanban!D$11)*(Calc!$Y$8:$Y$500&gt;0),Calc!$Y$8:$Y$500,99999),Kanban_Helper!$B128),Calc!$Y$8:$Y$500,0))," ",Calc!$V$7," ","!"),INDEX(Calc!$D$8:$D$500,MATCH(SMALL(IF((Calc!$C$8:$C$500=Kanban!$C$7)*(Calc!$K$8:$K$500=Kanban!D$11)*(Calc!$Y$8:$Y$500&gt;0),Calc!$Y$8:$Y$500,99999),Kanban_Helper!$B128),Calc!$Y$8:$Y$500,0))),IF(INDEX(Calc!$V$8:$V$500,MATCH(INDEX(Calc!$D$8:$D$500,MATCH(SMALL(IF((Calc!$K$8:$K$500=Kanban!D$11)*(Calc!$Y$8:$Y$500&gt;0),Calc!$Y$8:$Y$500,99999),Kanban_Helper!$B128),Calc!$Y$8:$Y$500,0)),Calc!$D$8:$D$500,0))="Yes",CONCATENATE(INDEX(Calc!$D$8:$D$500,MATCH(SMALL(IF((Calc!$K$8:$K$500=Kanban!D$11)*(Calc!$Y$8:$Y$500&gt;0),Calc!$Y$8:$Y$500,99999),Kanban_Helper!$B128),Calc!$Y$8:$Y$500,0))," ",Calc!$V$7," ","!"),INDEX(Calc!$D$8:$D$500,MATCH(SMALL(IF((Calc!$K$8:$K$500=Kanban!D$11)*(Calc!$Y$8:$Y$500&gt;0),Calc!$Y$8:$Y$500,99999),Kanban_Helper!$B128),Calc!$Y$8:$Y$500,0))))),"")</f>
        <v/>
      </c>
      <c r="E135" s="170" t="str">
        <f t="array" ref="E135">IFERROR(IF(LEN(E$11)=0,"",IF($C$7&lt;&gt;"All",IF(INDEX(Calc!$V$8:$V$500,MATCH(INDEX(Calc!$D$8:$D$500,MATCH(SMALL(IF((Calc!$C$8:$C$500=Kanban!$C$7)*(Calc!$K$8:$K$500=Kanban!E$11)*(Calc!$Y$8:$Y$500&gt;0),Calc!$Y$8:$Y$500,99999),Kanban_Helper!$B128),Calc!$Y$8:$Y$500,0)),Calc!$D$8:$D$500,0))="Yes",CONCATENATE(INDEX(Calc!$D$8:$D$500,MATCH(SMALL(IF((Calc!$C$8:$C$500=Kanban!$C$7)*(Calc!$K$8:$K$500=Kanban!E$11)*(Calc!$Y$8:$Y$500&gt;0),Calc!$Y$8:$Y$500,99999),Kanban_Helper!$B128),Calc!$Y$8:$Y$500,0))," ",Calc!$V$7," ","!"),INDEX(Calc!$D$8:$D$500,MATCH(SMALL(IF((Calc!$C$8:$C$500=Kanban!$C$7)*(Calc!$K$8:$K$500=Kanban!E$11)*(Calc!$Y$8:$Y$500&gt;0),Calc!$Y$8:$Y$500,99999),Kanban_Helper!$B128),Calc!$Y$8:$Y$500,0))),IF(INDEX(Calc!$V$8:$V$500,MATCH(INDEX(Calc!$D$8:$D$500,MATCH(SMALL(IF((Calc!$K$8:$K$500=Kanban!E$11)*(Calc!$Y$8:$Y$500&gt;0),Calc!$Y$8:$Y$500,99999),Kanban_Helper!$B128),Calc!$Y$8:$Y$500,0)),Calc!$D$8:$D$500,0))="Yes",CONCATENATE(INDEX(Calc!$D$8:$D$500,MATCH(SMALL(IF((Calc!$K$8:$K$500=Kanban!E$11)*(Calc!$Y$8:$Y$500&gt;0),Calc!$Y$8:$Y$500,99999),Kanban_Helper!$B128),Calc!$Y$8:$Y$500,0))," ",Calc!$V$7," ","!"),INDEX(Calc!$D$8:$D$500,MATCH(SMALL(IF((Calc!$K$8:$K$500=Kanban!E$11)*(Calc!$Y$8:$Y$500&gt;0),Calc!$Y$8:$Y$500,99999),Kanban_Helper!$B128),Calc!$Y$8:$Y$500,0))))),"")</f>
        <v/>
      </c>
      <c r="F135" s="170" t="str">
        <f t="array" ref="F135">IFERROR(IF(LEN(F$11)=0,"",IF($C$7&lt;&gt;"All",IF(INDEX(Calc!$V$8:$V$500,MATCH(INDEX(Calc!$D$8:$D$500,MATCH(SMALL(IF((Calc!$C$8:$C$500=Kanban!$C$7)*(Calc!$K$8:$K$500=Kanban!F$11)*(Calc!$Y$8:$Y$500&gt;0),Calc!$Y$8:$Y$500,99999),Kanban_Helper!$B128),Calc!$Y$8:$Y$500,0)),Calc!$D$8:$D$500,0))="Yes",CONCATENATE(INDEX(Calc!$D$8:$D$500,MATCH(SMALL(IF((Calc!$C$8:$C$500=Kanban!$C$7)*(Calc!$K$8:$K$500=Kanban!F$11)*(Calc!$Y$8:$Y$500&gt;0),Calc!$Y$8:$Y$500,99999),Kanban_Helper!$B128),Calc!$Y$8:$Y$500,0))," ",Calc!$V$7," ","!"),INDEX(Calc!$D$8:$D$500,MATCH(SMALL(IF((Calc!$C$8:$C$500=Kanban!$C$7)*(Calc!$K$8:$K$500=Kanban!F$11)*(Calc!$Y$8:$Y$500&gt;0),Calc!$Y$8:$Y$500,99999),Kanban_Helper!$B128),Calc!$Y$8:$Y$500,0))),IF(INDEX(Calc!$V$8:$V$500,MATCH(INDEX(Calc!$D$8:$D$500,MATCH(SMALL(IF((Calc!$K$8:$K$500=Kanban!F$11)*(Calc!$Y$8:$Y$500&gt;0),Calc!$Y$8:$Y$500,99999),Kanban_Helper!$B128),Calc!$Y$8:$Y$500,0)),Calc!$D$8:$D$500,0))="Yes",CONCATENATE(INDEX(Calc!$D$8:$D$500,MATCH(SMALL(IF((Calc!$K$8:$K$500=Kanban!F$11)*(Calc!$Y$8:$Y$500&gt;0),Calc!$Y$8:$Y$500,99999),Kanban_Helper!$B128),Calc!$Y$8:$Y$500,0))," ",Calc!$V$7," ","!"),INDEX(Calc!$D$8:$D$500,MATCH(SMALL(IF((Calc!$K$8:$K$500=Kanban!F$11)*(Calc!$Y$8:$Y$500&gt;0),Calc!$Y$8:$Y$500,99999),Kanban_Helper!$B128),Calc!$Y$8:$Y$500,0))))),"")</f>
        <v/>
      </c>
      <c r="G135" s="170" t="str">
        <f t="array" ref="G135">IFERROR(IF(LEN(G$11)=0,"",IF($C$7&lt;&gt;"All",IF(INDEX(Calc!$V$8:$V$500,MATCH(INDEX(Calc!$D$8:$D$500,MATCH(SMALL(IF((Calc!$C$8:$C$500=Kanban!$C$7)*(Calc!$K$8:$K$500=Kanban!G$11)*(Calc!$Y$8:$Y$500&gt;0),Calc!$Y$8:$Y$500,99999),Kanban_Helper!$B128),Calc!$Y$8:$Y$500,0)),Calc!$D$8:$D$500,0))="Yes",CONCATENATE(INDEX(Calc!$D$8:$D$500,MATCH(SMALL(IF((Calc!$C$8:$C$500=Kanban!$C$7)*(Calc!$K$8:$K$500=Kanban!G$11)*(Calc!$Y$8:$Y$500&gt;0),Calc!$Y$8:$Y$500,99999),Kanban_Helper!$B128),Calc!$Y$8:$Y$500,0))," ",Calc!$V$7," ","!"),INDEX(Calc!$D$8:$D$500,MATCH(SMALL(IF((Calc!$C$8:$C$500=Kanban!$C$7)*(Calc!$K$8:$K$500=Kanban!G$11)*(Calc!$Y$8:$Y$500&gt;0),Calc!$Y$8:$Y$500,99999),Kanban_Helper!$B128),Calc!$Y$8:$Y$500,0))),IF(INDEX(Calc!$V$8:$V$500,MATCH(INDEX(Calc!$D$8:$D$500,MATCH(SMALL(IF((Calc!$K$8:$K$500=Kanban!G$11)*(Calc!$Y$8:$Y$500&gt;0),Calc!$Y$8:$Y$500,99999),Kanban_Helper!$B128),Calc!$Y$8:$Y$500,0)),Calc!$D$8:$D$500,0))="Yes",CONCATENATE(INDEX(Calc!$D$8:$D$500,MATCH(SMALL(IF((Calc!$K$8:$K$500=Kanban!G$11)*(Calc!$Y$8:$Y$500&gt;0),Calc!$Y$8:$Y$500,99999),Kanban_Helper!$B128),Calc!$Y$8:$Y$500,0))," ",Calc!$V$7," ","!"),INDEX(Calc!$D$8:$D$500,MATCH(SMALL(IF((Calc!$K$8:$K$500=Kanban!G$11)*(Calc!$Y$8:$Y$500&gt;0),Calc!$Y$8:$Y$500,99999),Kanban_Helper!$B128),Calc!$Y$8:$Y$500,0))))),"")</f>
        <v/>
      </c>
      <c r="H135" s="170" t="str">
        <f t="array" ref="H135">IFERROR(IF(LEN(H$11)=0,"",IF($C$7&lt;&gt;"All",IF(INDEX(Calc!$V$8:$V$500,MATCH(INDEX(Calc!$D$8:$D$500,MATCH(SMALL(IF((Calc!$C$8:$C$500=Kanban!$C$7)*(Calc!$K$8:$K$500=Kanban!H$11)*(Calc!$Y$8:$Y$500&gt;0),Calc!$Y$8:$Y$500,99999),Kanban_Helper!$B128),Calc!$Y$8:$Y$500,0)),Calc!$D$8:$D$500,0))="Yes",CONCATENATE(INDEX(Calc!$D$8:$D$500,MATCH(SMALL(IF((Calc!$C$8:$C$500=Kanban!$C$7)*(Calc!$K$8:$K$500=Kanban!H$11)*(Calc!$Y$8:$Y$500&gt;0),Calc!$Y$8:$Y$500,99999),Kanban_Helper!$B128),Calc!$Y$8:$Y$500,0))," ",Calc!$V$7," ","!"),INDEX(Calc!$D$8:$D$500,MATCH(SMALL(IF((Calc!$C$8:$C$500=Kanban!$C$7)*(Calc!$K$8:$K$500=Kanban!H$11)*(Calc!$Y$8:$Y$500&gt;0),Calc!$Y$8:$Y$500,99999),Kanban_Helper!$B128),Calc!$Y$8:$Y$500,0))),IF(INDEX(Calc!$V$8:$V$500,MATCH(INDEX(Calc!$D$8:$D$500,MATCH(SMALL(IF((Calc!$K$8:$K$500=Kanban!H$11)*(Calc!$Y$8:$Y$500&gt;0),Calc!$Y$8:$Y$500,99999),Kanban_Helper!$B128),Calc!$Y$8:$Y$500,0)),Calc!$D$8:$D$500,0))="Yes",CONCATENATE(INDEX(Calc!$D$8:$D$500,MATCH(SMALL(IF((Calc!$K$8:$K$500=Kanban!H$11)*(Calc!$Y$8:$Y$500&gt;0),Calc!$Y$8:$Y$500,99999),Kanban_Helper!$B128),Calc!$Y$8:$Y$500,0))," ",Calc!$V$7," ","!"),INDEX(Calc!$D$8:$D$500,MATCH(SMALL(IF((Calc!$K$8:$K$500=Kanban!H$11)*(Calc!$Y$8:$Y$500&gt;0),Calc!$Y$8:$Y$500,99999),Kanban_Helper!$B128),Calc!$Y$8:$Y$500,0))))),"")</f>
        <v/>
      </c>
      <c r="I135" s="39"/>
    </row>
    <row r="136" spans="2:9" x14ac:dyDescent="0.35">
      <c r="B136" s="81"/>
      <c r="C136" s="171" t="str">
        <f t="array" ref="C136">IFERROR(IF(LEN(C$11)=0,"",IF($C$7&lt;&gt;"All",INDEX(Calc!$E$8:$E$500,MATCH(SMALL(IF((Calc!$C$8:$C$500=Kanban!$C$7)*(Calc!$K$8:$K$500=Kanban!C$11)*(Calc!$Y$8:$Y$500&gt;0),Calc!$Y$8:$Y$500,99999),Kanban_Helper!$B129),Calc!$Y$8:$Y$500,0)),INDEX(Calc!$E$8:$E$500,MATCH(SMALL(IF((Calc!$K$8:$K$500=Kanban!C$11)*(Calc!$Y$8:$Y$500&gt;0),Calc!$Y$8:$Y$500,99999),Kanban_Helper!$B129),Calc!$Y$8:$Y$500,0)))),"")</f>
        <v/>
      </c>
      <c r="D136" s="171" t="str">
        <f t="array" ref="D136">IFERROR(IF(LEN(D$11)=0,"",IF($C$7&lt;&gt;"All",INDEX(Calc!$E$8:$E$500,MATCH(SMALL(IF((Calc!$C$8:$C$500=Kanban!$C$7)*(Calc!$K$8:$K$500=Kanban!D$11)*(Calc!$Y$8:$Y$500&gt;0),Calc!$Y$8:$Y$500,99999),Kanban_Helper!$B129),Calc!$Y$8:$Y$500,0)),INDEX(Calc!$E$8:$E$500,MATCH(SMALL(IF((Calc!$K$8:$K$500=Kanban!D$11)*(Calc!$Y$8:$Y$500&gt;0),Calc!$Y$8:$Y$500,99999),Kanban_Helper!$B129),Calc!$Y$8:$Y$500,0)))),"")</f>
        <v/>
      </c>
      <c r="E136" s="171" t="str">
        <f t="array" ref="E136">IFERROR(IF(LEN(E$11)=0,"",IF($C$7&lt;&gt;"All",INDEX(Calc!$E$8:$E$500,MATCH(SMALL(IF((Calc!$C$8:$C$500=Kanban!$C$7)*(Calc!$K$8:$K$500=Kanban!E$11)*(Calc!$Y$8:$Y$500&gt;0),Calc!$Y$8:$Y$500,99999),Kanban_Helper!$B129),Calc!$Y$8:$Y$500,0)),INDEX(Calc!$E$8:$E$500,MATCH(SMALL(IF((Calc!$K$8:$K$500=Kanban!E$11)*(Calc!$Y$8:$Y$500&gt;0),Calc!$Y$8:$Y$500,99999),Kanban_Helper!$B129),Calc!$Y$8:$Y$500,0)))),"")</f>
        <v/>
      </c>
      <c r="F136" s="171" t="str">
        <f t="array" ref="F136">IFERROR(IF(LEN(F$11)=0,"",IF($C$7&lt;&gt;"All",INDEX(Calc!$E$8:$E$500,MATCH(SMALL(IF((Calc!$C$8:$C$500=Kanban!$C$7)*(Calc!$K$8:$K$500=Kanban!F$11)*(Calc!$Y$8:$Y$500&gt;0),Calc!$Y$8:$Y$500,99999),Kanban_Helper!$B129),Calc!$Y$8:$Y$500,0)),INDEX(Calc!$E$8:$E$500,MATCH(SMALL(IF((Calc!$K$8:$K$500=Kanban!F$11)*(Calc!$Y$8:$Y$500&gt;0),Calc!$Y$8:$Y$500,99999),Kanban_Helper!$B129),Calc!$Y$8:$Y$500,0)))),"")</f>
        <v/>
      </c>
      <c r="G136" s="171" t="str">
        <f t="array" ref="G136">IFERROR(IF(LEN(G$11)=0,"",IF($C$7&lt;&gt;"All",INDEX(Calc!$E$8:$E$500,MATCH(SMALL(IF((Calc!$C$8:$C$500=Kanban!$C$7)*(Calc!$K$8:$K$500=Kanban!G$11)*(Calc!$Y$8:$Y$500&gt;0),Calc!$Y$8:$Y$500,99999),Kanban_Helper!$B129),Calc!$Y$8:$Y$500,0)),INDEX(Calc!$E$8:$E$500,MATCH(SMALL(IF((Calc!$K$8:$K$500=Kanban!G$11)*(Calc!$Y$8:$Y$500&gt;0),Calc!$Y$8:$Y$500,99999),Kanban_Helper!$B129),Calc!$Y$8:$Y$500,0)))),"")</f>
        <v/>
      </c>
      <c r="H136" s="171" t="str">
        <f t="array" ref="H136">IFERROR(IF(LEN(H$11)=0,"",IF($C$7&lt;&gt;"All",INDEX(Calc!$E$8:$E$500,MATCH(SMALL(IF((Calc!$C$8:$C$500=Kanban!$C$7)*(Calc!$K$8:$K$500=Kanban!H$11)*(Calc!$Y$8:$Y$500&gt;0),Calc!$Y$8:$Y$500,99999),Kanban_Helper!$B129),Calc!$Y$8:$Y$500,0)),INDEX(Calc!$E$8:$E$500,MATCH(SMALL(IF((Calc!$K$8:$K$500=Kanban!H$11)*(Calc!$Y$8:$Y$500&gt;0),Calc!$Y$8:$Y$500,99999),Kanban_Helper!$B129),Calc!$Y$8:$Y$500,0)))),"")</f>
        <v/>
      </c>
      <c r="I136" s="39"/>
    </row>
    <row r="137" spans="2:9" ht="15" thickBot="1" x14ac:dyDescent="0.4">
      <c r="B137" s="81"/>
      <c r="C137" s="172" t="str">
        <f t="array" ref="C137">IFERROR(IF(LEN(C$11)=0,"",IF($C$7&lt;&gt;"All",IF(LEN(INDEX(Calc!$J$8:$J$500,MATCH(SMALL(IF((Calc!$C$8:$C$500=Kanban!$C$7)*(Calc!$K$8:$K$500=Kanban!C$11)*(Calc!$Y$8:$Y$500&gt;0),Calc!$Y$8:$Y$500,99999),Kanban_Helper!$B130),Calc!$Y$8:$Y$500,0)))=0,"",CONCATENATE(Calc!$AD$6,INDEX(Calc!$J$8:$J$500,MATCH(SMALL(IF((Calc!$C$8:$C$500=Kanban!$C$7)*(Calc!$K$8:$K$500=Kanban!C$11)*(Calc!$Y$8:$Y$500&gt;0),Calc!$Y$8:$Y$500,99999),Kanban_Helper!$B130),Calc!$Y$8:$Y$500,0)))),IF(LEN(INDEX(Calc!$J$8:$J$500,MATCH(SMALL(IF((Calc!$K$8:$K$500=Kanban!C$11)*(Calc!$Y$8:$Y$500&gt;0),Calc!$Y$8:$Y$500,99999),Kanban_Helper!$B130),Calc!$Y$8:$Y$500,0)))=0,"",CONCATENATE(Calc!$AD$6,INDEX(Calc!$J$8:$J$500,MATCH(SMALL(IF((Calc!$K$8:$K$500=Kanban!C$11)*(Calc!$Y$8:$Y$500&gt;0),Calc!$Y$8:$Y$500,99999),Kanban_Helper!$B130),Calc!$Y$8:$Y$500,0)))))),"")</f>
        <v/>
      </c>
      <c r="D137" s="172" t="str">
        <f t="array" ref="D137">IFERROR(IF(LEN(D$11)=0,"",IF($C$7&lt;&gt;"All",IF(LEN(INDEX(Calc!$J$8:$J$500,MATCH(SMALL(IF((Calc!$C$8:$C$500=Kanban!$C$7)*(Calc!$K$8:$K$500=Kanban!D$11)*(Calc!$Y$8:$Y$500&gt;0),Calc!$Y$8:$Y$500,99999),Kanban_Helper!$B130),Calc!$Y$8:$Y$500,0)))=0,"",CONCATENATE(Calc!$AD$6,INDEX(Calc!$J$8:$J$500,MATCH(SMALL(IF((Calc!$C$8:$C$500=Kanban!$C$7)*(Calc!$K$8:$K$500=Kanban!D$11)*(Calc!$Y$8:$Y$500&gt;0),Calc!$Y$8:$Y$500,99999),Kanban_Helper!$B130),Calc!$Y$8:$Y$500,0)))),IF(LEN(INDEX(Calc!$J$8:$J$500,MATCH(SMALL(IF((Calc!$K$8:$K$500=Kanban!D$11)*(Calc!$Y$8:$Y$500&gt;0),Calc!$Y$8:$Y$500,99999),Kanban_Helper!$B130),Calc!$Y$8:$Y$500,0)))=0,"",CONCATENATE(Calc!$AD$6,INDEX(Calc!$J$8:$J$500,MATCH(SMALL(IF((Calc!$K$8:$K$500=Kanban!D$11)*(Calc!$Y$8:$Y$500&gt;0),Calc!$Y$8:$Y$500,99999),Kanban_Helper!$B130),Calc!$Y$8:$Y$500,0)))))),"")</f>
        <v/>
      </c>
      <c r="E137" s="172" t="str">
        <f t="array" ref="E137">IFERROR(IF(LEN(E$11)=0,"",IF($C$7&lt;&gt;"All",IF(LEN(INDEX(Calc!$J$8:$J$500,MATCH(SMALL(IF((Calc!$C$8:$C$500=Kanban!$C$7)*(Calc!$K$8:$K$500=Kanban!E$11)*(Calc!$Y$8:$Y$500&gt;0),Calc!$Y$8:$Y$500,99999),Kanban_Helper!$B130),Calc!$Y$8:$Y$500,0)))=0,"",CONCATENATE(Calc!$AD$6,INDEX(Calc!$J$8:$J$500,MATCH(SMALL(IF((Calc!$C$8:$C$500=Kanban!$C$7)*(Calc!$K$8:$K$500=Kanban!E$11)*(Calc!$Y$8:$Y$500&gt;0),Calc!$Y$8:$Y$500,99999),Kanban_Helper!$B130),Calc!$Y$8:$Y$500,0)))),IF(LEN(INDEX(Calc!$J$8:$J$500,MATCH(SMALL(IF((Calc!$K$8:$K$500=Kanban!E$11)*(Calc!$Y$8:$Y$500&gt;0),Calc!$Y$8:$Y$500,99999),Kanban_Helper!$B130),Calc!$Y$8:$Y$500,0)))=0,"",CONCATENATE(Calc!$AD$6,INDEX(Calc!$J$8:$J$500,MATCH(SMALL(IF((Calc!$K$8:$K$500=Kanban!E$11)*(Calc!$Y$8:$Y$500&gt;0),Calc!$Y$8:$Y$500,99999),Kanban_Helper!$B130),Calc!$Y$8:$Y$500,0)))))),"")</f>
        <v/>
      </c>
      <c r="F137" s="172" t="str">
        <f t="array" ref="F137">IFERROR(IF(LEN(F$11)=0,"",IF($C$7&lt;&gt;"All",IF(LEN(INDEX(Calc!$J$8:$J$500,MATCH(SMALL(IF((Calc!$C$8:$C$500=Kanban!$C$7)*(Calc!$K$8:$K$500=Kanban!F$11)*(Calc!$Y$8:$Y$500&gt;0),Calc!$Y$8:$Y$500,99999),Kanban_Helper!$B130),Calc!$Y$8:$Y$500,0)))=0,"",CONCATENATE(Calc!$AD$6,INDEX(Calc!$J$8:$J$500,MATCH(SMALL(IF((Calc!$C$8:$C$500=Kanban!$C$7)*(Calc!$K$8:$K$500=Kanban!F$11)*(Calc!$Y$8:$Y$500&gt;0),Calc!$Y$8:$Y$500,99999),Kanban_Helper!$B130),Calc!$Y$8:$Y$500,0)))),IF(LEN(INDEX(Calc!$J$8:$J$500,MATCH(SMALL(IF((Calc!$K$8:$K$500=Kanban!F$11)*(Calc!$Y$8:$Y$500&gt;0),Calc!$Y$8:$Y$500,99999),Kanban_Helper!$B130),Calc!$Y$8:$Y$500,0)))=0,"",CONCATENATE(Calc!$AD$6,INDEX(Calc!$J$8:$J$500,MATCH(SMALL(IF((Calc!$K$8:$K$500=Kanban!F$11)*(Calc!$Y$8:$Y$500&gt;0),Calc!$Y$8:$Y$500,99999),Kanban_Helper!$B130),Calc!$Y$8:$Y$500,0)))))),"")</f>
        <v/>
      </c>
      <c r="G137" s="172" t="str">
        <f t="array" ref="G137">IFERROR(IF(LEN(G$11)=0,"",IF($C$7&lt;&gt;"All",IF(LEN(INDEX(Calc!$J$8:$J$500,MATCH(SMALL(IF((Calc!$C$8:$C$500=Kanban!$C$7)*(Calc!$K$8:$K$500=Kanban!G$11)*(Calc!$Y$8:$Y$500&gt;0),Calc!$Y$8:$Y$500,99999),Kanban_Helper!$B130),Calc!$Y$8:$Y$500,0)))=0,"",CONCATENATE(Calc!$AD$6,INDEX(Calc!$J$8:$J$500,MATCH(SMALL(IF((Calc!$C$8:$C$500=Kanban!$C$7)*(Calc!$K$8:$K$500=Kanban!G$11)*(Calc!$Y$8:$Y$500&gt;0),Calc!$Y$8:$Y$500,99999),Kanban_Helper!$B130),Calc!$Y$8:$Y$500,0)))),IF(LEN(INDEX(Calc!$J$8:$J$500,MATCH(SMALL(IF((Calc!$K$8:$K$500=Kanban!G$11)*(Calc!$Y$8:$Y$500&gt;0),Calc!$Y$8:$Y$500,99999),Kanban_Helper!$B130),Calc!$Y$8:$Y$500,0)))=0,"",CONCATENATE(Calc!$AD$6,INDEX(Calc!$J$8:$J$500,MATCH(SMALL(IF((Calc!$K$8:$K$500=Kanban!G$11)*(Calc!$Y$8:$Y$500&gt;0),Calc!$Y$8:$Y$500,99999),Kanban_Helper!$B130),Calc!$Y$8:$Y$500,0)))))),"")</f>
        <v/>
      </c>
      <c r="H137" s="172" t="str">
        <f t="array" ref="H137">IFERROR(IF(LEN(H$11)=0,"",IF($C$7&lt;&gt;"All",IF(LEN(INDEX(Calc!$J$8:$J$500,MATCH(SMALL(IF((Calc!$C$8:$C$500=Kanban!$C$7)*(Calc!$K$8:$K$500=Kanban!H$11)*(Calc!$Y$8:$Y$500&gt;0),Calc!$Y$8:$Y$500,99999),Kanban_Helper!$B130),Calc!$Y$8:$Y$500,0)))=0,"",CONCATENATE(Calc!$AD$6,INDEX(Calc!$J$8:$J$500,MATCH(SMALL(IF((Calc!$C$8:$C$500=Kanban!$C$7)*(Calc!$K$8:$K$500=Kanban!H$11)*(Calc!$Y$8:$Y$500&gt;0),Calc!$Y$8:$Y$500,99999),Kanban_Helper!$B130),Calc!$Y$8:$Y$500,0)))),IF(LEN(INDEX(Calc!$J$8:$J$500,MATCH(SMALL(IF((Calc!$K$8:$K$500=Kanban!H$11)*(Calc!$Y$8:$Y$500&gt;0),Calc!$Y$8:$Y$500,99999),Kanban_Helper!$B130),Calc!$Y$8:$Y$500,0)))=0,"",CONCATENATE(Calc!$AD$6,INDEX(Calc!$J$8:$J$500,MATCH(SMALL(IF((Calc!$K$8:$K$500=Kanban!H$11)*(Calc!$Y$8:$Y$500&gt;0),Calc!$Y$8:$Y$500,99999),Kanban_Helper!$B130),Calc!$Y$8:$Y$500,0)))))),"")</f>
        <v/>
      </c>
      <c r="I137" s="39"/>
    </row>
    <row r="138" spans="2:9" ht="15" thickTop="1" x14ac:dyDescent="0.35">
      <c r="B138" s="81"/>
      <c r="C138" s="170" t="str">
        <f t="array" ref="C138">IFERROR(IF(LEN(C$11)=0,"",IF($C$7&lt;&gt;"All",IF(INDEX(Calc!$V$8:$V$500,MATCH(INDEX(Calc!$D$8:$D$500,MATCH(SMALL(IF((Calc!$C$8:$C$500=Kanban!$C$7)*(Calc!$K$8:$K$500=Kanban!C$11)*(Calc!$Y$8:$Y$500&gt;0),Calc!$Y$8:$Y$500,99999),Kanban_Helper!$B131),Calc!$Y$8:$Y$500,0)),Calc!$D$8:$D$500,0))="Yes",CONCATENATE(INDEX(Calc!$D$8:$D$500,MATCH(SMALL(IF((Calc!$C$8:$C$500=Kanban!$C$7)*(Calc!$K$8:$K$500=Kanban!C$11)*(Calc!$Y$8:$Y$500&gt;0),Calc!$Y$8:$Y$500,99999),Kanban_Helper!$B131),Calc!$Y$8:$Y$500,0))," ",Calc!$V$7," ","!"),INDEX(Calc!$D$8:$D$500,MATCH(SMALL(IF((Calc!$C$8:$C$500=Kanban!$C$7)*(Calc!$K$8:$K$500=Kanban!C$11)*(Calc!$Y$8:$Y$500&gt;0),Calc!$Y$8:$Y$500,99999),Kanban_Helper!$B131),Calc!$Y$8:$Y$500,0))),IF(INDEX(Calc!$V$8:$V$500,MATCH(INDEX(Calc!$D$8:$D$500,MATCH(SMALL(IF((Calc!$K$8:$K$500=Kanban!C$11)*(Calc!$Y$8:$Y$500&gt;0),Calc!$Y$8:$Y$500,99999),Kanban_Helper!$B131),Calc!$Y$8:$Y$500,0)),Calc!$D$8:$D$500,0))="Yes",CONCATENATE(INDEX(Calc!$D$8:$D$500,MATCH(SMALL(IF((Calc!$K$8:$K$500=Kanban!C$11)*(Calc!$Y$8:$Y$500&gt;0),Calc!$Y$8:$Y$500,99999),Kanban_Helper!$B131),Calc!$Y$8:$Y$500,0))," ",Calc!$V$7," ","!"),INDEX(Calc!$D$8:$D$500,MATCH(SMALL(IF((Calc!$K$8:$K$500=Kanban!C$11)*(Calc!$Y$8:$Y$500&gt;0),Calc!$Y$8:$Y$500,99999),Kanban_Helper!$B131),Calc!$Y$8:$Y$500,0))))),"")</f>
        <v/>
      </c>
      <c r="D138" s="170" t="str">
        <f t="array" ref="D138">IFERROR(IF(LEN(D$11)=0,"",IF($C$7&lt;&gt;"All",IF(INDEX(Calc!$V$8:$V$500,MATCH(INDEX(Calc!$D$8:$D$500,MATCH(SMALL(IF((Calc!$C$8:$C$500=Kanban!$C$7)*(Calc!$K$8:$K$500=Kanban!D$11)*(Calc!$Y$8:$Y$500&gt;0),Calc!$Y$8:$Y$500,99999),Kanban_Helper!$B131),Calc!$Y$8:$Y$500,0)),Calc!$D$8:$D$500,0))="Yes",CONCATENATE(INDEX(Calc!$D$8:$D$500,MATCH(SMALL(IF((Calc!$C$8:$C$500=Kanban!$C$7)*(Calc!$K$8:$K$500=Kanban!D$11)*(Calc!$Y$8:$Y$500&gt;0),Calc!$Y$8:$Y$500,99999),Kanban_Helper!$B131),Calc!$Y$8:$Y$500,0))," ",Calc!$V$7," ","!"),INDEX(Calc!$D$8:$D$500,MATCH(SMALL(IF((Calc!$C$8:$C$500=Kanban!$C$7)*(Calc!$K$8:$K$500=Kanban!D$11)*(Calc!$Y$8:$Y$500&gt;0),Calc!$Y$8:$Y$500,99999),Kanban_Helper!$B131),Calc!$Y$8:$Y$500,0))),IF(INDEX(Calc!$V$8:$V$500,MATCH(INDEX(Calc!$D$8:$D$500,MATCH(SMALL(IF((Calc!$K$8:$K$500=Kanban!D$11)*(Calc!$Y$8:$Y$500&gt;0),Calc!$Y$8:$Y$500,99999),Kanban_Helper!$B131),Calc!$Y$8:$Y$500,0)),Calc!$D$8:$D$500,0))="Yes",CONCATENATE(INDEX(Calc!$D$8:$D$500,MATCH(SMALL(IF((Calc!$K$8:$K$500=Kanban!D$11)*(Calc!$Y$8:$Y$500&gt;0),Calc!$Y$8:$Y$500,99999),Kanban_Helper!$B131),Calc!$Y$8:$Y$500,0))," ",Calc!$V$7," ","!"),INDEX(Calc!$D$8:$D$500,MATCH(SMALL(IF((Calc!$K$8:$K$500=Kanban!D$11)*(Calc!$Y$8:$Y$500&gt;0),Calc!$Y$8:$Y$500,99999),Kanban_Helper!$B131),Calc!$Y$8:$Y$500,0))))),"")</f>
        <v/>
      </c>
      <c r="E138" s="170" t="str">
        <f t="array" ref="E138">IFERROR(IF(LEN(E$11)=0,"",IF($C$7&lt;&gt;"All",IF(INDEX(Calc!$V$8:$V$500,MATCH(INDEX(Calc!$D$8:$D$500,MATCH(SMALL(IF((Calc!$C$8:$C$500=Kanban!$C$7)*(Calc!$K$8:$K$500=Kanban!E$11)*(Calc!$Y$8:$Y$500&gt;0),Calc!$Y$8:$Y$500,99999),Kanban_Helper!$B131),Calc!$Y$8:$Y$500,0)),Calc!$D$8:$D$500,0))="Yes",CONCATENATE(INDEX(Calc!$D$8:$D$500,MATCH(SMALL(IF((Calc!$C$8:$C$500=Kanban!$C$7)*(Calc!$K$8:$K$500=Kanban!E$11)*(Calc!$Y$8:$Y$500&gt;0),Calc!$Y$8:$Y$500,99999),Kanban_Helper!$B131),Calc!$Y$8:$Y$500,0))," ",Calc!$V$7," ","!"),INDEX(Calc!$D$8:$D$500,MATCH(SMALL(IF((Calc!$C$8:$C$500=Kanban!$C$7)*(Calc!$K$8:$K$500=Kanban!E$11)*(Calc!$Y$8:$Y$500&gt;0),Calc!$Y$8:$Y$500,99999),Kanban_Helper!$B131),Calc!$Y$8:$Y$500,0))),IF(INDEX(Calc!$V$8:$V$500,MATCH(INDEX(Calc!$D$8:$D$500,MATCH(SMALL(IF((Calc!$K$8:$K$500=Kanban!E$11)*(Calc!$Y$8:$Y$500&gt;0),Calc!$Y$8:$Y$500,99999),Kanban_Helper!$B131),Calc!$Y$8:$Y$500,0)),Calc!$D$8:$D$500,0))="Yes",CONCATENATE(INDEX(Calc!$D$8:$D$500,MATCH(SMALL(IF((Calc!$K$8:$K$500=Kanban!E$11)*(Calc!$Y$8:$Y$500&gt;0),Calc!$Y$8:$Y$500,99999),Kanban_Helper!$B131),Calc!$Y$8:$Y$500,0))," ",Calc!$V$7," ","!"),INDEX(Calc!$D$8:$D$500,MATCH(SMALL(IF((Calc!$K$8:$K$500=Kanban!E$11)*(Calc!$Y$8:$Y$500&gt;0),Calc!$Y$8:$Y$500,99999),Kanban_Helper!$B131),Calc!$Y$8:$Y$500,0))))),"")</f>
        <v/>
      </c>
      <c r="F138" s="170" t="str">
        <f t="array" ref="F138">IFERROR(IF(LEN(F$11)=0,"",IF($C$7&lt;&gt;"All",IF(INDEX(Calc!$V$8:$V$500,MATCH(INDEX(Calc!$D$8:$D$500,MATCH(SMALL(IF((Calc!$C$8:$C$500=Kanban!$C$7)*(Calc!$K$8:$K$500=Kanban!F$11)*(Calc!$Y$8:$Y$500&gt;0),Calc!$Y$8:$Y$500,99999),Kanban_Helper!$B131),Calc!$Y$8:$Y$500,0)),Calc!$D$8:$D$500,0))="Yes",CONCATENATE(INDEX(Calc!$D$8:$D$500,MATCH(SMALL(IF((Calc!$C$8:$C$500=Kanban!$C$7)*(Calc!$K$8:$K$500=Kanban!F$11)*(Calc!$Y$8:$Y$500&gt;0),Calc!$Y$8:$Y$500,99999),Kanban_Helper!$B131),Calc!$Y$8:$Y$500,0))," ",Calc!$V$7," ","!"),INDEX(Calc!$D$8:$D$500,MATCH(SMALL(IF((Calc!$C$8:$C$500=Kanban!$C$7)*(Calc!$K$8:$K$500=Kanban!F$11)*(Calc!$Y$8:$Y$500&gt;0),Calc!$Y$8:$Y$500,99999),Kanban_Helper!$B131),Calc!$Y$8:$Y$500,0))),IF(INDEX(Calc!$V$8:$V$500,MATCH(INDEX(Calc!$D$8:$D$500,MATCH(SMALL(IF((Calc!$K$8:$K$500=Kanban!F$11)*(Calc!$Y$8:$Y$500&gt;0),Calc!$Y$8:$Y$500,99999),Kanban_Helper!$B131),Calc!$Y$8:$Y$500,0)),Calc!$D$8:$D$500,0))="Yes",CONCATENATE(INDEX(Calc!$D$8:$D$500,MATCH(SMALL(IF((Calc!$K$8:$K$500=Kanban!F$11)*(Calc!$Y$8:$Y$500&gt;0),Calc!$Y$8:$Y$500,99999),Kanban_Helper!$B131),Calc!$Y$8:$Y$500,0))," ",Calc!$V$7," ","!"),INDEX(Calc!$D$8:$D$500,MATCH(SMALL(IF((Calc!$K$8:$K$500=Kanban!F$11)*(Calc!$Y$8:$Y$500&gt;0),Calc!$Y$8:$Y$500,99999),Kanban_Helper!$B131),Calc!$Y$8:$Y$500,0))))),"")</f>
        <v/>
      </c>
      <c r="G138" s="170" t="str">
        <f t="array" ref="G138">IFERROR(IF(LEN(G$11)=0,"",IF($C$7&lt;&gt;"All",IF(INDEX(Calc!$V$8:$V$500,MATCH(INDEX(Calc!$D$8:$D$500,MATCH(SMALL(IF((Calc!$C$8:$C$500=Kanban!$C$7)*(Calc!$K$8:$K$500=Kanban!G$11)*(Calc!$Y$8:$Y$500&gt;0),Calc!$Y$8:$Y$500,99999),Kanban_Helper!$B131),Calc!$Y$8:$Y$500,0)),Calc!$D$8:$D$500,0))="Yes",CONCATENATE(INDEX(Calc!$D$8:$D$500,MATCH(SMALL(IF((Calc!$C$8:$C$500=Kanban!$C$7)*(Calc!$K$8:$K$500=Kanban!G$11)*(Calc!$Y$8:$Y$500&gt;0),Calc!$Y$8:$Y$500,99999),Kanban_Helper!$B131),Calc!$Y$8:$Y$500,0))," ",Calc!$V$7," ","!"),INDEX(Calc!$D$8:$D$500,MATCH(SMALL(IF((Calc!$C$8:$C$500=Kanban!$C$7)*(Calc!$K$8:$K$500=Kanban!G$11)*(Calc!$Y$8:$Y$500&gt;0),Calc!$Y$8:$Y$500,99999),Kanban_Helper!$B131),Calc!$Y$8:$Y$500,0))),IF(INDEX(Calc!$V$8:$V$500,MATCH(INDEX(Calc!$D$8:$D$500,MATCH(SMALL(IF((Calc!$K$8:$K$500=Kanban!G$11)*(Calc!$Y$8:$Y$500&gt;0),Calc!$Y$8:$Y$500,99999),Kanban_Helper!$B131),Calc!$Y$8:$Y$500,0)),Calc!$D$8:$D$500,0))="Yes",CONCATENATE(INDEX(Calc!$D$8:$D$500,MATCH(SMALL(IF((Calc!$K$8:$K$500=Kanban!G$11)*(Calc!$Y$8:$Y$500&gt;0),Calc!$Y$8:$Y$500,99999),Kanban_Helper!$B131),Calc!$Y$8:$Y$500,0))," ",Calc!$V$7," ","!"),INDEX(Calc!$D$8:$D$500,MATCH(SMALL(IF((Calc!$K$8:$K$500=Kanban!G$11)*(Calc!$Y$8:$Y$500&gt;0),Calc!$Y$8:$Y$500,99999),Kanban_Helper!$B131),Calc!$Y$8:$Y$500,0))))),"")</f>
        <v/>
      </c>
      <c r="H138" s="170" t="str">
        <f t="array" ref="H138">IFERROR(IF(LEN(H$11)=0,"",IF($C$7&lt;&gt;"All",IF(INDEX(Calc!$V$8:$V$500,MATCH(INDEX(Calc!$D$8:$D$500,MATCH(SMALL(IF((Calc!$C$8:$C$500=Kanban!$C$7)*(Calc!$K$8:$K$500=Kanban!H$11)*(Calc!$Y$8:$Y$500&gt;0),Calc!$Y$8:$Y$500,99999),Kanban_Helper!$B131),Calc!$Y$8:$Y$500,0)),Calc!$D$8:$D$500,0))="Yes",CONCATENATE(INDEX(Calc!$D$8:$D$500,MATCH(SMALL(IF((Calc!$C$8:$C$500=Kanban!$C$7)*(Calc!$K$8:$K$500=Kanban!H$11)*(Calc!$Y$8:$Y$500&gt;0),Calc!$Y$8:$Y$500,99999),Kanban_Helper!$B131),Calc!$Y$8:$Y$500,0))," ",Calc!$V$7," ","!"),INDEX(Calc!$D$8:$D$500,MATCH(SMALL(IF((Calc!$C$8:$C$500=Kanban!$C$7)*(Calc!$K$8:$K$500=Kanban!H$11)*(Calc!$Y$8:$Y$500&gt;0),Calc!$Y$8:$Y$500,99999),Kanban_Helper!$B131),Calc!$Y$8:$Y$500,0))),IF(INDEX(Calc!$V$8:$V$500,MATCH(INDEX(Calc!$D$8:$D$500,MATCH(SMALL(IF((Calc!$K$8:$K$500=Kanban!H$11)*(Calc!$Y$8:$Y$500&gt;0),Calc!$Y$8:$Y$500,99999),Kanban_Helper!$B131),Calc!$Y$8:$Y$500,0)),Calc!$D$8:$D$500,0))="Yes",CONCATENATE(INDEX(Calc!$D$8:$D$500,MATCH(SMALL(IF((Calc!$K$8:$K$500=Kanban!H$11)*(Calc!$Y$8:$Y$500&gt;0),Calc!$Y$8:$Y$500,99999),Kanban_Helper!$B131),Calc!$Y$8:$Y$500,0))," ",Calc!$V$7," ","!"),INDEX(Calc!$D$8:$D$500,MATCH(SMALL(IF((Calc!$K$8:$K$500=Kanban!H$11)*(Calc!$Y$8:$Y$500&gt;0),Calc!$Y$8:$Y$500,99999),Kanban_Helper!$B131),Calc!$Y$8:$Y$500,0))))),"")</f>
        <v/>
      </c>
      <c r="I138" s="39"/>
    </row>
    <row r="139" spans="2:9" x14ac:dyDescent="0.35">
      <c r="B139" s="81"/>
      <c r="C139" s="171" t="str">
        <f t="array" ref="C139">IFERROR(IF(LEN(C$11)=0,"",IF($C$7&lt;&gt;"All",INDEX(Calc!$E$8:$E$500,MATCH(SMALL(IF((Calc!$C$8:$C$500=Kanban!$C$7)*(Calc!$K$8:$K$500=Kanban!C$11)*(Calc!$Y$8:$Y$500&gt;0),Calc!$Y$8:$Y$500,99999),Kanban_Helper!$B132),Calc!$Y$8:$Y$500,0)),INDEX(Calc!$E$8:$E$500,MATCH(SMALL(IF((Calc!$K$8:$K$500=Kanban!C$11)*(Calc!$Y$8:$Y$500&gt;0),Calc!$Y$8:$Y$500,99999),Kanban_Helper!$B132),Calc!$Y$8:$Y$500,0)))),"")</f>
        <v/>
      </c>
      <c r="D139" s="171" t="str">
        <f t="array" ref="D139">IFERROR(IF(LEN(D$11)=0,"",IF($C$7&lt;&gt;"All",INDEX(Calc!$E$8:$E$500,MATCH(SMALL(IF((Calc!$C$8:$C$500=Kanban!$C$7)*(Calc!$K$8:$K$500=Kanban!D$11)*(Calc!$Y$8:$Y$500&gt;0),Calc!$Y$8:$Y$500,99999),Kanban_Helper!$B132),Calc!$Y$8:$Y$500,0)),INDEX(Calc!$E$8:$E$500,MATCH(SMALL(IF((Calc!$K$8:$K$500=Kanban!D$11)*(Calc!$Y$8:$Y$500&gt;0),Calc!$Y$8:$Y$500,99999),Kanban_Helper!$B132),Calc!$Y$8:$Y$500,0)))),"")</f>
        <v/>
      </c>
      <c r="E139" s="171" t="str">
        <f t="array" ref="E139">IFERROR(IF(LEN(E$11)=0,"",IF($C$7&lt;&gt;"All",INDEX(Calc!$E$8:$E$500,MATCH(SMALL(IF((Calc!$C$8:$C$500=Kanban!$C$7)*(Calc!$K$8:$K$500=Kanban!E$11)*(Calc!$Y$8:$Y$500&gt;0),Calc!$Y$8:$Y$500,99999),Kanban_Helper!$B132),Calc!$Y$8:$Y$500,0)),INDEX(Calc!$E$8:$E$500,MATCH(SMALL(IF((Calc!$K$8:$K$500=Kanban!E$11)*(Calc!$Y$8:$Y$500&gt;0),Calc!$Y$8:$Y$500,99999),Kanban_Helper!$B132),Calc!$Y$8:$Y$500,0)))),"")</f>
        <v/>
      </c>
      <c r="F139" s="171" t="str">
        <f t="array" ref="F139">IFERROR(IF(LEN(F$11)=0,"",IF($C$7&lt;&gt;"All",INDEX(Calc!$E$8:$E$500,MATCH(SMALL(IF((Calc!$C$8:$C$500=Kanban!$C$7)*(Calc!$K$8:$K$500=Kanban!F$11)*(Calc!$Y$8:$Y$500&gt;0),Calc!$Y$8:$Y$500,99999),Kanban_Helper!$B132),Calc!$Y$8:$Y$500,0)),INDEX(Calc!$E$8:$E$500,MATCH(SMALL(IF((Calc!$K$8:$K$500=Kanban!F$11)*(Calc!$Y$8:$Y$500&gt;0),Calc!$Y$8:$Y$500,99999),Kanban_Helper!$B132),Calc!$Y$8:$Y$500,0)))),"")</f>
        <v/>
      </c>
      <c r="G139" s="171" t="str">
        <f t="array" ref="G139">IFERROR(IF(LEN(G$11)=0,"",IF($C$7&lt;&gt;"All",INDEX(Calc!$E$8:$E$500,MATCH(SMALL(IF((Calc!$C$8:$C$500=Kanban!$C$7)*(Calc!$K$8:$K$500=Kanban!G$11)*(Calc!$Y$8:$Y$500&gt;0),Calc!$Y$8:$Y$500,99999),Kanban_Helper!$B132),Calc!$Y$8:$Y$500,0)),INDEX(Calc!$E$8:$E$500,MATCH(SMALL(IF((Calc!$K$8:$K$500=Kanban!G$11)*(Calc!$Y$8:$Y$500&gt;0),Calc!$Y$8:$Y$500,99999),Kanban_Helper!$B132),Calc!$Y$8:$Y$500,0)))),"")</f>
        <v/>
      </c>
      <c r="H139" s="171" t="str">
        <f t="array" ref="H139">IFERROR(IF(LEN(H$11)=0,"",IF($C$7&lt;&gt;"All",INDEX(Calc!$E$8:$E$500,MATCH(SMALL(IF((Calc!$C$8:$C$500=Kanban!$C$7)*(Calc!$K$8:$K$500=Kanban!H$11)*(Calc!$Y$8:$Y$500&gt;0),Calc!$Y$8:$Y$500,99999),Kanban_Helper!$B132),Calc!$Y$8:$Y$500,0)),INDEX(Calc!$E$8:$E$500,MATCH(SMALL(IF((Calc!$K$8:$K$500=Kanban!H$11)*(Calc!$Y$8:$Y$500&gt;0),Calc!$Y$8:$Y$500,99999),Kanban_Helper!$B132),Calc!$Y$8:$Y$500,0)))),"")</f>
        <v/>
      </c>
      <c r="I139" s="39"/>
    </row>
    <row r="140" spans="2:9" ht="15" thickBot="1" x14ac:dyDescent="0.4">
      <c r="B140" s="81"/>
      <c r="C140" s="172" t="str">
        <f t="array" ref="C140">IFERROR(IF(LEN(C$11)=0,"",IF($C$7&lt;&gt;"All",IF(LEN(INDEX(Calc!$J$8:$J$500,MATCH(SMALL(IF((Calc!$C$8:$C$500=Kanban!$C$7)*(Calc!$K$8:$K$500=Kanban!C$11)*(Calc!$Y$8:$Y$500&gt;0),Calc!$Y$8:$Y$500,99999),Kanban_Helper!$B133),Calc!$Y$8:$Y$500,0)))=0,"",CONCATENATE(Calc!$AD$6,INDEX(Calc!$J$8:$J$500,MATCH(SMALL(IF((Calc!$C$8:$C$500=Kanban!$C$7)*(Calc!$K$8:$K$500=Kanban!C$11)*(Calc!$Y$8:$Y$500&gt;0),Calc!$Y$8:$Y$500,99999),Kanban_Helper!$B133),Calc!$Y$8:$Y$500,0)))),IF(LEN(INDEX(Calc!$J$8:$J$500,MATCH(SMALL(IF((Calc!$K$8:$K$500=Kanban!C$11)*(Calc!$Y$8:$Y$500&gt;0),Calc!$Y$8:$Y$500,99999),Kanban_Helper!$B133),Calc!$Y$8:$Y$500,0)))=0,"",CONCATENATE(Calc!$AD$6,INDEX(Calc!$J$8:$J$500,MATCH(SMALL(IF((Calc!$K$8:$K$500=Kanban!C$11)*(Calc!$Y$8:$Y$500&gt;0),Calc!$Y$8:$Y$500,99999),Kanban_Helper!$B133),Calc!$Y$8:$Y$500,0)))))),"")</f>
        <v/>
      </c>
      <c r="D140" s="172" t="str">
        <f t="array" ref="D140">IFERROR(IF(LEN(D$11)=0,"",IF($C$7&lt;&gt;"All",IF(LEN(INDEX(Calc!$J$8:$J$500,MATCH(SMALL(IF((Calc!$C$8:$C$500=Kanban!$C$7)*(Calc!$K$8:$K$500=Kanban!D$11)*(Calc!$Y$8:$Y$500&gt;0),Calc!$Y$8:$Y$500,99999),Kanban_Helper!$B133),Calc!$Y$8:$Y$500,0)))=0,"",CONCATENATE(Calc!$AD$6,INDEX(Calc!$J$8:$J$500,MATCH(SMALL(IF((Calc!$C$8:$C$500=Kanban!$C$7)*(Calc!$K$8:$K$500=Kanban!D$11)*(Calc!$Y$8:$Y$500&gt;0),Calc!$Y$8:$Y$500,99999),Kanban_Helper!$B133),Calc!$Y$8:$Y$500,0)))),IF(LEN(INDEX(Calc!$J$8:$J$500,MATCH(SMALL(IF((Calc!$K$8:$K$500=Kanban!D$11)*(Calc!$Y$8:$Y$500&gt;0),Calc!$Y$8:$Y$500,99999),Kanban_Helper!$B133),Calc!$Y$8:$Y$500,0)))=0,"",CONCATENATE(Calc!$AD$6,INDEX(Calc!$J$8:$J$500,MATCH(SMALL(IF((Calc!$K$8:$K$500=Kanban!D$11)*(Calc!$Y$8:$Y$500&gt;0),Calc!$Y$8:$Y$500,99999),Kanban_Helper!$B133),Calc!$Y$8:$Y$500,0)))))),"")</f>
        <v/>
      </c>
      <c r="E140" s="172" t="str">
        <f t="array" ref="E140">IFERROR(IF(LEN(E$11)=0,"",IF($C$7&lt;&gt;"All",IF(LEN(INDEX(Calc!$J$8:$J$500,MATCH(SMALL(IF((Calc!$C$8:$C$500=Kanban!$C$7)*(Calc!$K$8:$K$500=Kanban!E$11)*(Calc!$Y$8:$Y$500&gt;0),Calc!$Y$8:$Y$500,99999),Kanban_Helper!$B133),Calc!$Y$8:$Y$500,0)))=0,"",CONCATENATE(Calc!$AD$6,INDEX(Calc!$J$8:$J$500,MATCH(SMALL(IF((Calc!$C$8:$C$500=Kanban!$C$7)*(Calc!$K$8:$K$500=Kanban!E$11)*(Calc!$Y$8:$Y$500&gt;0),Calc!$Y$8:$Y$500,99999),Kanban_Helper!$B133),Calc!$Y$8:$Y$500,0)))),IF(LEN(INDEX(Calc!$J$8:$J$500,MATCH(SMALL(IF((Calc!$K$8:$K$500=Kanban!E$11)*(Calc!$Y$8:$Y$500&gt;0),Calc!$Y$8:$Y$500,99999),Kanban_Helper!$B133),Calc!$Y$8:$Y$500,0)))=0,"",CONCATENATE(Calc!$AD$6,INDEX(Calc!$J$8:$J$500,MATCH(SMALL(IF((Calc!$K$8:$K$500=Kanban!E$11)*(Calc!$Y$8:$Y$500&gt;0),Calc!$Y$8:$Y$500,99999),Kanban_Helper!$B133),Calc!$Y$8:$Y$500,0)))))),"")</f>
        <v/>
      </c>
      <c r="F140" s="172" t="str">
        <f t="array" ref="F140">IFERROR(IF(LEN(F$11)=0,"",IF($C$7&lt;&gt;"All",IF(LEN(INDEX(Calc!$J$8:$J$500,MATCH(SMALL(IF((Calc!$C$8:$C$500=Kanban!$C$7)*(Calc!$K$8:$K$500=Kanban!F$11)*(Calc!$Y$8:$Y$500&gt;0),Calc!$Y$8:$Y$500,99999),Kanban_Helper!$B133),Calc!$Y$8:$Y$500,0)))=0,"",CONCATENATE(Calc!$AD$6,INDEX(Calc!$J$8:$J$500,MATCH(SMALL(IF((Calc!$C$8:$C$500=Kanban!$C$7)*(Calc!$K$8:$K$500=Kanban!F$11)*(Calc!$Y$8:$Y$500&gt;0),Calc!$Y$8:$Y$500,99999),Kanban_Helper!$B133),Calc!$Y$8:$Y$500,0)))),IF(LEN(INDEX(Calc!$J$8:$J$500,MATCH(SMALL(IF((Calc!$K$8:$K$500=Kanban!F$11)*(Calc!$Y$8:$Y$500&gt;0),Calc!$Y$8:$Y$500,99999),Kanban_Helper!$B133),Calc!$Y$8:$Y$500,0)))=0,"",CONCATENATE(Calc!$AD$6,INDEX(Calc!$J$8:$J$500,MATCH(SMALL(IF((Calc!$K$8:$K$500=Kanban!F$11)*(Calc!$Y$8:$Y$500&gt;0),Calc!$Y$8:$Y$500,99999),Kanban_Helper!$B133),Calc!$Y$8:$Y$500,0)))))),"")</f>
        <v/>
      </c>
      <c r="G140" s="172" t="str">
        <f t="array" ref="G140">IFERROR(IF(LEN(G$11)=0,"",IF($C$7&lt;&gt;"All",IF(LEN(INDEX(Calc!$J$8:$J$500,MATCH(SMALL(IF((Calc!$C$8:$C$500=Kanban!$C$7)*(Calc!$K$8:$K$500=Kanban!G$11)*(Calc!$Y$8:$Y$500&gt;0),Calc!$Y$8:$Y$500,99999),Kanban_Helper!$B133),Calc!$Y$8:$Y$500,0)))=0,"",CONCATENATE(Calc!$AD$6,INDEX(Calc!$J$8:$J$500,MATCH(SMALL(IF((Calc!$C$8:$C$500=Kanban!$C$7)*(Calc!$K$8:$K$500=Kanban!G$11)*(Calc!$Y$8:$Y$500&gt;0),Calc!$Y$8:$Y$500,99999),Kanban_Helper!$B133),Calc!$Y$8:$Y$500,0)))),IF(LEN(INDEX(Calc!$J$8:$J$500,MATCH(SMALL(IF((Calc!$K$8:$K$500=Kanban!G$11)*(Calc!$Y$8:$Y$500&gt;0),Calc!$Y$8:$Y$500,99999),Kanban_Helper!$B133),Calc!$Y$8:$Y$500,0)))=0,"",CONCATENATE(Calc!$AD$6,INDEX(Calc!$J$8:$J$500,MATCH(SMALL(IF((Calc!$K$8:$K$500=Kanban!G$11)*(Calc!$Y$8:$Y$500&gt;0),Calc!$Y$8:$Y$500,99999),Kanban_Helper!$B133),Calc!$Y$8:$Y$500,0)))))),"")</f>
        <v/>
      </c>
      <c r="H140" s="172" t="str">
        <f t="array" ref="H140">IFERROR(IF(LEN(H$11)=0,"",IF($C$7&lt;&gt;"All",IF(LEN(INDEX(Calc!$J$8:$J$500,MATCH(SMALL(IF((Calc!$C$8:$C$500=Kanban!$C$7)*(Calc!$K$8:$K$500=Kanban!H$11)*(Calc!$Y$8:$Y$500&gt;0),Calc!$Y$8:$Y$500,99999),Kanban_Helper!$B133),Calc!$Y$8:$Y$500,0)))=0,"",CONCATENATE(Calc!$AD$6,INDEX(Calc!$J$8:$J$500,MATCH(SMALL(IF((Calc!$C$8:$C$500=Kanban!$C$7)*(Calc!$K$8:$K$500=Kanban!H$11)*(Calc!$Y$8:$Y$500&gt;0),Calc!$Y$8:$Y$500,99999),Kanban_Helper!$B133),Calc!$Y$8:$Y$500,0)))),IF(LEN(INDEX(Calc!$J$8:$J$500,MATCH(SMALL(IF((Calc!$K$8:$K$500=Kanban!H$11)*(Calc!$Y$8:$Y$500&gt;0),Calc!$Y$8:$Y$500,99999),Kanban_Helper!$B133),Calc!$Y$8:$Y$500,0)))=0,"",CONCATENATE(Calc!$AD$6,INDEX(Calc!$J$8:$J$500,MATCH(SMALL(IF((Calc!$K$8:$K$500=Kanban!H$11)*(Calc!$Y$8:$Y$500&gt;0),Calc!$Y$8:$Y$500,99999),Kanban_Helper!$B133),Calc!$Y$8:$Y$500,0)))))),"")</f>
        <v/>
      </c>
      <c r="I140" s="39"/>
    </row>
    <row r="141" spans="2:9" ht="15" thickTop="1" x14ac:dyDescent="0.35">
      <c r="B141" s="81"/>
      <c r="C141" s="170" t="str">
        <f t="array" ref="C141">IFERROR(IF(LEN(C$11)=0,"",IF($C$7&lt;&gt;"All",IF(INDEX(Calc!$V$8:$V$500,MATCH(INDEX(Calc!$D$8:$D$500,MATCH(SMALL(IF((Calc!$C$8:$C$500=Kanban!$C$7)*(Calc!$K$8:$K$500=Kanban!C$11)*(Calc!$Y$8:$Y$500&gt;0),Calc!$Y$8:$Y$500,99999),Kanban_Helper!$B134),Calc!$Y$8:$Y$500,0)),Calc!$D$8:$D$500,0))="Yes",CONCATENATE(INDEX(Calc!$D$8:$D$500,MATCH(SMALL(IF((Calc!$C$8:$C$500=Kanban!$C$7)*(Calc!$K$8:$K$500=Kanban!C$11)*(Calc!$Y$8:$Y$500&gt;0),Calc!$Y$8:$Y$500,99999),Kanban_Helper!$B134),Calc!$Y$8:$Y$500,0))," ",Calc!$V$7," ","!"),INDEX(Calc!$D$8:$D$500,MATCH(SMALL(IF((Calc!$C$8:$C$500=Kanban!$C$7)*(Calc!$K$8:$K$500=Kanban!C$11)*(Calc!$Y$8:$Y$500&gt;0),Calc!$Y$8:$Y$500,99999),Kanban_Helper!$B134),Calc!$Y$8:$Y$500,0))),IF(INDEX(Calc!$V$8:$V$500,MATCH(INDEX(Calc!$D$8:$D$500,MATCH(SMALL(IF((Calc!$K$8:$K$500=Kanban!C$11)*(Calc!$Y$8:$Y$500&gt;0),Calc!$Y$8:$Y$500,99999),Kanban_Helper!$B134),Calc!$Y$8:$Y$500,0)),Calc!$D$8:$D$500,0))="Yes",CONCATENATE(INDEX(Calc!$D$8:$D$500,MATCH(SMALL(IF((Calc!$K$8:$K$500=Kanban!C$11)*(Calc!$Y$8:$Y$500&gt;0),Calc!$Y$8:$Y$500,99999),Kanban_Helper!$B134),Calc!$Y$8:$Y$500,0))," ",Calc!$V$7," ","!"),INDEX(Calc!$D$8:$D$500,MATCH(SMALL(IF((Calc!$K$8:$K$500=Kanban!C$11)*(Calc!$Y$8:$Y$500&gt;0),Calc!$Y$8:$Y$500,99999),Kanban_Helper!$B134),Calc!$Y$8:$Y$500,0))))),"")</f>
        <v/>
      </c>
      <c r="D141" s="170" t="str">
        <f t="array" ref="D141">IFERROR(IF(LEN(D$11)=0,"",IF($C$7&lt;&gt;"All",IF(INDEX(Calc!$V$8:$V$500,MATCH(INDEX(Calc!$D$8:$D$500,MATCH(SMALL(IF((Calc!$C$8:$C$500=Kanban!$C$7)*(Calc!$K$8:$K$500=Kanban!D$11)*(Calc!$Y$8:$Y$500&gt;0),Calc!$Y$8:$Y$500,99999),Kanban_Helper!$B134),Calc!$Y$8:$Y$500,0)),Calc!$D$8:$D$500,0))="Yes",CONCATENATE(INDEX(Calc!$D$8:$D$500,MATCH(SMALL(IF((Calc!$C$8:$C$500=Kanban!$C$7)*(Calc!$K$8:$K$500=Kanban!D$11)*(Calc!$Y$8:$Y$500&gt;0),Calc!$Y$8:$Y$500,99999),Kanban_Helper!$B134),Calc!$Y$8:$Y$500,0))," ",Calc!$V$7," ","!"),INDEX(Calc!$D$8:$D$500,MATCH(SMALL(IF((Calc!$C$8:$C$500=Kanban!$C$7)*(Calc!$K$8:$K$500=Kanban!D$11)*(Calc!$Y$8:$Y$500&gt;0),Calc!$Y$8:$Y$500,99999),Kanban_Helper!$B134),Calc!$Y$8:$Y$500,0))),IF(INDEX(Calc!$V$8:$V$500,MATCH(INDEX(Calc!$D$8:$D$500,MATCH(SMALL(IF((Calc!$K$8:$K$500=Kanban!D$11)*(Calc!$Y$8:$Y$500&gt;0),Calc!$Y$8:$Y$500,99999),Kanban_Helper!$B134),Calc!$Y$8:$Y$500,0)),Calc!$D$8:$D$500,0))="Yes",CONCATENATE(INDEX(Calc!$D$8:$D$500,MATCH(SMALL(IF((Calc!$K$8:$K$500=Kanban!D$11)*(Calc!$Y$8:$Y$500&gt;0),Calc!$Y$8:$Y$500,99999),Kanban_Helper!$B134),Calc!$Y$8:$Y$500,0))," ",Calc!$V$7," ","!"),INDEX(Calc!$D$8:$D$500,MATCH(SMALL(IF((Calc!$K$8:$K$500=Kanban!D$11)*(Calc!$Y$8:$Y$500&gt;0),Calc!$Y$8:$Y$500,99999),Kanban_Helper!$B134),Calc!$Y$8:$Y$500,0))))),"")</f>
        <v/>
      </c>
      <c r="E141" s="170" t="str">
        <f t="array" ref="E141">IFERROR(IF(LEN(E$11)=0,"",IF($C$7&lt;&gt;"All",IF(INDEX(Calc!$V$8:$V$500,MATCH(INDEX(Calc!$D$8:$D$500,MATCH(SMALL(IF((Calc!$C$8:$C$500=Kanban!$C$7)*(Calc!$K$8:$K$500=Kanban!E$11)*(Calc!$Y$8:$Y$500&gt;0),Calc!$Y$8:$Y$500,99999),Kanban_Helper!$B134),Calc!$Y$8:$Y$500,0)),Calc!$D$8:$D$500,0))="Yes",CONCATENATE(INDEX(Calc!$D$8:$D$500,MATCH(SMALL(IF((Calc!$C$8:$C$500=Kanban!$C$7)*(Calc!$K$8:$K$500=Kanban!E$11)*(Calc!$Y$8:$Y$500&gt;0),Calc!$Y$8:$Y$500,99999),Kanban_Helper!$B134),Calc!$Y$8:$Y$500,0))," ",Calc!$V$7," ","!"),INDEX(Calc!$D$8:$D$500,MATCH(SMALL(IF((Calc!$C$8:$C$500=Kanban!$C$7)*(Calc!$K$8:$K$500=Kanban!E$11)*(Calc!$Y$8:$Y$500&gt;0),Calc!$Y$8:$Y$500,99999),Kanban_Helper!$B134),Calc!$Y$8:$Y$500,0))),IF(INDEX(Calc!$V$8:$V$500,MATCH(INDEX(Calc!$D$8:$D$500,MATCH(SMALL(IF((Calc!$K$8:$K$500=Kanban!E$11)*(Calc!$Y$8:$Y$500&gt;0),Calc!$Y$8:$Y$500,99999),Kanban_Helper!$B134),Calc!$Y$8:$Y$500,0)),Calc!$D$8:$D$500,0))="Yes",CONCATENATE(INDEX(Calc!$D$8:$D$500,MATCH(SMALL(IF((Calc!$K$8:$K$500=Kanban!E$11)*(Calc!$Y$8:$Y$500&gt;0),Calc!$Y$8:$Y$500,99999),Kanban_Helper!$B134),Calc!$Y$8:$Y$500,0))," ",Calc!$V$7," ","!"),INDEX(Calc!$D$8:$D$500,MATCH(SMALL(IF((Calc!$K$8:$K$500=Kanban!E$11)*(Calc!$Y$8:$Y$500&gt;0),Calc!$Y$8:$Y$500,99999),Kanban_Helper!$B134),Calc!$Y$8:$Y$500,0))))),"")</f>
        <v/>
      </c>
      <c r="F141" s="170" t="str">
        <f t="array" ref="F141">IFERROR(IF(LEN(F$11)=0,"",IF($C$7&lt;&gt;"All",IF(INDEX(Calc!$V$8:$V$500,MATCH(INDEX(Calc!$D$8:$D$500,MATCH(SMALL(IF((Calc!$C$8:$C$500=Kanban!$C$7)*(Calc!$K$8:$K$500=Kanban!F$11)*(Calc!$Y$8:$Y$500&gt;0),Calc!$Y$8:$Y$500,99999),Kanban_Helper!$B134),Calc!$Y$8:$Y$500,0)),Calc!$D$8:$D$500,0))="Yes",CONCATENATE(INDEX(Calc!$D$8:$D$500,MATCH(SMALL(IF((Calc!$C$8:$C$500=Kanban!$C$7)*(Calc!$K$8:$K$500=Kanban!F$11)*(Calc!$Y$8:$Y$500&gt;0),Calc!$Y$8:$Y$500,99999),Kanban_Helper!$B134),Calc!$Y$8:$Y$500,0))," ",Calc!$V$7," ","!"),INDEX(Calc!$D$8:$D$500,MATCH(SMALL(IF((Calc!$C$8:$C$500=Kanban!$C$7)*(Calc!$K$8:$K$500=Kanban!F$11)*(Calc!$Y$8:$Y$500&gt;0),Calc!$Y$8:$Y$500,99999),Kanban_Helper!$B134),Calc!$Y$8:$Y$500,0))),IF(INDEX(Calc!$V$8:$V$500,MATCH(INDEX(Calc!$D$8:$D$500,MATCH(SMALL(IF((Calc!$K$8:$K$500=Kanban!F$11)*(Calc!$Y$8:$Y$500&gt;0),Calc!$Y$8:$Y$500,99999),Kanban_Helper!$B134),Calc!$Y$8:$Y$500,0)),Calc!$D$8:$D$500,0))="Yes",CONCATENATE(INDEX(Calc!$D$8:$D$500,MATCH(SMALL(IF((Calc!$K$8:$K$500=Kanban!F$11)*(Calc!$Y$8:$Y$500&gt;0),Calc!$Y$8:$Y$500,99999),Kanban_Helper!$B134),Calc!$Y$8:$Y$500,0))," ",Calc!$V$7," ","!"),INDEX(Calc!$D$8:$D$500,MATCH(SMALL(IF((Calc!$K$8:$K$500=Kanban!F$11)*(Calc!$Y$8:$Y$500&gt;0),Calc!$Y$8:$Y$500,99999),Kanban_Helper!$B134),Calc!$Y$8:$Y$500,0))))),"")</f>
        <v/>
      </c>
      <c r="G141" s="170" t="str">
        <f t="array" ref="G141">IFERROR(IF(LEN(G$11)=0,"",IF($C$7&lt;&gt;"All",IF(INDEX(Calc!$V$8:$V$500,MATCH(INDEX(Calc!$D$8:$D$500,MATCH(SMALL(IF((Calc!$C$8:$C$500=Kanban!$C$7)*(Calc!$K$8:$K$500=Kanban!G$11)*(Calc!$Y$8:$Y$500&gt;0),Calc!$Y$8:$Y$500,99999),Kanban_Helper!$B134),Calc!$Y$8:$Y$500,0)),Calc!$D$8:$D$500,0))="Yes",CONCATENATE(INDEX(Calc!$D$8:$D$500,MATCH(SMALL(IF((Calc!$C$8:$C$500=Kanban!$C$7)*(Calc!$K$8:$K$500=Kanban!G$11)*(Calc!$Y$8:$Y$500&gt;0),Calc!$Y$8:$Y$500,99999),Kanban_Helper!$B134),Calc!$Y$8:$Y$500,0))," ",Calc!$V$7," ","!"),INDEX(Calc!$D$8:$D$500,MATCH(SMALL(IF((Calc!$C$8:$C$500=Kanban!$C$7)*(Calc!$K$8:$K$500=Kanban!G$11)*(Calc!$Y$8:$Y$500&gt;0),Calc!$Y$8:$Y$500,99999),Kanban_Helper!$B134),Calc!$Y$8:$Y$500,0))),IF(INDEX(Calc!$V$8:$V$500,MATCH(INDEX(Calc!$D$8:$D$500,MATCH(SMALL(IF((Calc!$K$8:$K$500=Kanban!G$11)*(Calc!$Y$8:$Y$500&gt;0),Calc!$Y$8:$Y$500,99999),Kanban_Helper!$B134),Calc!$Y$8:$Y$500,0)),Calc!$D$8:$D$500,0))="Yes",CONCATENATE(INDEX(Calc!$D$8:$D$500,MATCH(SMALL(IF((Calc!$K$8:$K$500=Kanban!G$11)*(Calc!$Y$8:$Y$500&gt;0),Calc!$Y$8:$Y$500,99999),Kanban_Helper!$B134),Calc!$Y$8:$Y$500,0))," ",Calc!$V$7," ","!"),INDEX(Calc!$D$8:$D$500,MATCH(SMALL(IF((Calc!$K$8:$K$500=Kanban!G$11)*(Calc!$Y$8:$Y$500&gt;0),Calc!$Y$8:$Y$500,99999),Kanban_Helper!$B134),Calc!$Y$8:$Y$500,0))))),"")</f>
        <v/>
      </c>
      <c r="H141" s="170" t="str">
        <f t="array" ref="H141">IFERROR(IF(LEN(H$11)=0,"",IF($C$7&lt;&gt;"All",IF(INDEX(Calc!$V$8:$V$500,MATCH(INDEX(Calc!$D$8:$D$500,MATCH(SMALL(IF((Calc!$C$8:$C$500=Kanban!$C$7)*(Calc!$K$8:$K$500=Kanban!H$11)*(Calc!$Y$8:$Y$500&gt;0),Calc!$Y$8:$Y$500,99999),Kanban_Helper!$B134),Calc!$Y$8:$Y$500,0)),Calc!$D$8:$D$500,0))="Yes",CONCATENATE(INDEX(Calc!$D$8:$D$500,MATCH(SMALL(IF((Calc!$C$8:$C$500=Kanban!$C$7)*(Calc!$K$8:$K$500=Kanban!H$11)*(Calc!$Y$8:$Y$500&gt;0),Calc!$Y$8:$Y$500,99999),Kanban_Helper!$B134),Calc!$Y$8:$Y$500,0))," ",Calc!$V$7," ","!"),INDEX(Calc!$D$8:$D$500,MATCH(SMALL(IF((Calc!$C$8:$C$500=Kanban!$C$7)*(Calc!$K$8:$K$500=Kanban!H$11)*(Calc!$Y$8:$Y$500&gt;0),Calc!$Y$8:$Y$500,99999),Kanban_Helper!$B134),Calc!$Y$8:$Y$500,0))),IF(INDEX(Calc!$V$8:$V$500,MATCH(INDEX(Calc!$D$8:$D$500,MATCH(SMALL(IF((Calc!$K$8:$K$500=Kanban!H$11)*(Calc!$Y$8:$Y$500&gt;0),Calc!$Y$8:$Y$500,99999),Kanban_Helper!$B134),Calc!$Y$8:$Y$500,0)),Calc!$D$8:$D$500,0))="Yes",CONCATENATE(INDEX(Calc!$D$8:$D$500,MATCH(SMALL(IF((Calc!$K$8:$K$500=Kanban!H$11)*(Calc!$Y$8:$Y$500&gt;0),Calc!$Y$8:$Y$500,99999),Kanban_Helper!$B134),Calc!$Y$8:$Y$500,0))," ",Calc!$V$7," ","!"),INDEX(Calc!$D$8:$D$500,MATCH(SMALL(IF((Calc!$K$8:$K$500=Kanban!H$11)*(Calc!$Y$8:$Y$500&gt;0),Calc!$Y$8:$Y$500,99999),Kanban_Helper!$B134),Calc!$Y$8:$Y$500,0))))),"")</f>
        <v/>
      </c>
      <c r="I141" s="39"/>
    </row>
    <row r="142" spans="2:9" x14ac:dyDescent="0.35">
      <c r="B142" s="81"/>
      <c r="C142" s="171" t="str">
        <f t="array" ref="C142">IFERROR(IF(LEN(C$11)=0,"",IF($C$7&lt;&gt;"All",INDEX(Calc!$E$8:$E$500,MATCH(SMALL(IF((Calc!$C$8:$C$500=Kanban!$C$7)*(Calc!$K$8:$K$500=Kanban!C$11)*(Calc!$Y$8:$Y$500&gt;0),Calc!$Y$8:$Y$500,99999),Kanban_Helper!$B135),Calc!$Y$8:$Y$500,0)),INDEX(Calc!$E$8:$E$500,MATCH(SMALL(IF((Calc!$K$8:$K$500=Kanban!C$11)*(Calc!$Y$8:$Y$500&gt;0),Calc!$Y$8:$Y$500,99999),Kanban_Helper!$B135),Calc!$Y$8:$Y$500,0)))),"")</f>
        <v/>
      </c>
      <c r="D142" s="171" t="str">
        <f t="array" ref="D142">IFERROR(IF(LEN(D$11)=0,"",IF($C$7&lt;&gt;"All",INDEX(Calc!$E$8:$E$500,MATCH(SMALL(IF((Calc!$C$8:$C$500=Kanban!$C$7)*(Calc!$K$8:$K$500=Kanban!D$11)*(Calc!$Y$8:$Y$500&gt;0),Calc!$Y$8:$Y$500,99999),Kanban_Helper!$B135),Calc!$Y$8:$Y$500,0)),INDEX(Calc!$E$8:$E$500,MATCH(SMALL(IF((Calc!$K$8:$K$500=Kanban!D$11)*(Calc!$Y$8:$Y$500&gt;0),Calc!$Y$8:$Y$500,99999),Kanban_Helper!$B135),Calc!$Y$8:$Y$500,0)))),"")</f>
        <v/>
      </c>
      <c r="E142" s="171" t="str">
        <f t="array" ref="E142">IFERROR(IF(LEN(E$11)=0,"",IF($C$7&lt;&gt;"All",INDEX(Calc!$E$8:$E$500,MATCH(SMALL(IF((Calc!$C$8:$C$500=Kanban!$C$7)*(Calc!$K$8:$K$500=Kanban!E$11)*(Calc!$Y$8:$Y$500&gt;0),Calc!$Y$8:$Y$500,99999),Kanban_Helper!$B135),Calc!$Y$8:$Y$500,0)),INDEX(Calc!$E$8:$E$500,MATCH(SMALL(IF((Calc!$K$8:$K$500=Kanban!E$11)*(Calc!$Y$8:$Y$500&gt;0),Calc!$Y$8:$Y$500,99999),Kanban_Helper!$B135),Calc!$Y$8:$Y$500,0)))),"")</f>
        <v/>
      </c>
      <c r="F142" s="171" t="str">
        <f t="array" ref="F142">IFERROR(IF(LEN(F$11)=0,"",IF($C$7&lt;&gt;"All",INDEX(Calc!$E$8:$E$500,MATCH(SMALL(IF((Calc!$C$8:$C$500=Kanban!$C$7)*(Calc!$K$8:$K$500=Kanban!F$11)*(Calc!$Y$8:$Y$500&gt;0),Calc!$Y$8:$Y$500,99999),Kanban_Helper!$B135),Calc!$Y$8:$Y$500,0)),INDEX(Calc!$E$8:$E$500,MATCH(SMALL(IF((Calc!$K$8:$K$500=Kanban!F$11)*(Calc!$Y$8:$Y$500&gt;0),Calc!$Y$8:$Y$500,99999),Kanban_Helper!$B135),Calc!$Y$8:$Y$500,0)))),"")</f>
        <v/>
      </c>
      <c r="G142" s="171" t="str">
        <f t="array" ref="G142">IFERROR(IF(LEN(G$11)=0,"",IF($C$7&lt;&gt;"All",INDEX(Calc!$E$8:$E$500,MATCH(SMALL(IF((Calc!$C$8:$C$500=Kanban!$C$7)*(Calc!$K$8:$K$500=Kanban!G$11)*(Calc!$Y$8:$Y$500&gt;0),Calc!$Y$8:$Y$500,99999),Kanban_Helper!$B135),Calc!$Y$8:$Y$500,0)),INDEX(Calc!$E$8:$E$500,MATCH(SMALL(IF((Calc!$K$8:$K$500=Kanban!G$11)*(Calc!$Y$8:$Y$500&gt;0),Calc!$Y$8:$Y$500,99999),Kanban_Helper!$B135),Calc!$Y$8:$Y$500,0)))),"")</f>
        <v/>
      </c>
      <c r="H142" s="171" t="str">
        <f t="array" ref="H142">IFERROR(IF(LEN(H$11)=0,"",IF($C$7&lt;&gt;"All",INDEX(Calc!$E$8:$E$500,MATCH(SMALL(IF((Calc!$C$8:$C$500=Kanban!$C$7)*(Calc!$K$8:$K$500=Kanban!H$11)*(Calc!$Y$8:$Y$500&gt;0),Calc!$Y$8:$Y$500,99999),Kanban_Helper!$B135),Calc!$Y$8:$Y$500,0)),INDEX(Calc!$E$8:$E$500,MATCH(SMALL(IF((Calc!$K$8:$K$500=Kanban!H$11)*(Calc!$Y$8:$Y$500&gt;0),Calc!$Y$8:$Y$500,99999),Kanban_Helper!$B135),Calc!$Y$8:$Y$500,0)))),"")</f>
        <v/>
      </c>
      <c r="I142" s="39"/>
    </row>
    <row r="143" spans="2:9" ht="15" thickBot="1" x14ac:dyDescent="0.4">
      <c r="B143" s="81"/>
      <c r="C143" s="172" t="str">
        <f t="array" ref="C143">IFERROR(IF(LEN(C$11)=0,"",IF($C$7&lt;&gt;"All",IF(LEN(INDEX(Calc!$J$8:$J$500,MATCH(SMALL(IF((Calc!$C$8:$C$500=Kanban!$C$7)*(Calc!$K$8:$K$500=Kanban!C$11)*(Calc!$Y$8:$Y$500&gt;0),Calc!$Y$8:$Y$500,99999),Kanban_Helper!$B136),Calc!$Y$8:$Y$500,0)))=0,"",CONCATENATE(Calc!$AD$6,INDEX(Calc!$J$8:$J$500,MATCH(SMALL(IF((Calc!$C$8:$C$500=Kanban!$C$7)*(Calc!$K$8:$K$500=Kanban!C$11)*(Calc!$Y$8:$Y$500&gt;0),Calc!$Y$8:$Y$500,99999),Kanban_Helper!$B136),Calc!$Y$8:$Y$500,0)))),IF(LEN(INDEX(Calc!$J$8:$J$500,MATCH(SMALL(IF((Calc!$K$8:$K$500=Kanban!C$11)*(Calc!$Y$8:$Y$500&gt;0),Calc!$Y$8:$Y$500,99999),Kanban_Helper!$B136),Calc!$Y$8:$Y$500,0)))=0,"",CONCATENATE(Calc!$AD$6,INDEX(Calc!$J$8:$J$500,MATCH(SMALL(IF((Calc!$K$8:$K$500=Kanban!C$11)*(Calc!$Y$8:$Y$500&gt;0),Calc!$Y$8:$Y$500,99999),Kanban_Helper!$B136),Calc!$Y$8:$Y$500,0)))))),"")</f>
        <v/>
      </c>
      <c r="D143" s="172" t="str">
        <f t="array" ref="D143">IFERROR(IF(LEN(D$11)=0,"",IF($C$7&lt;&gt;"All",IF(LEN(INDEX(Calc!$J$8:$J$500,MATCH(SMALL(IF((Calc!$C$8:$C$500=Kanban!$C$7)*(Calc!$K$8:$K$500=Kanban!D$11)*(Calc!$Y$8:$Y$500&gt;0),Calc!$Y$8:$Y$500,99999),Kanban_Helper!$B136),Calc!$Y$8:$Y$500,0)))=0,"",CONCATENATE(Calc!$AD$6,INDEX(Calc!$J$8:$J$500,MATCH(SMALL(IF((Calc!$C$8:$C$500=Kanban!$C$7)*(Calc!$K$8:$K$500=Kanban!D$11)*(Calc!$Y$8:$Y$500&gt;0),Calc!$Y$8:$Y$500,99999),Kanban_Helper!$B136),Calc!$Y$8:$Y$500,0)))),IF(LEN(INDEX(Calc!$J$8:$J$500,MATCH(SMALL(IF((Calc!$K$8:$K$500=Kanban!D$11)*(Calc!$Y$8:$Y$500&gt;0),Calc!$Y$8:$Y$500,99999),Kanban_Helper!$B136),Calc!$Y$8:$Y$500,0)))=0,"",CONCATENATE(Calc!$AD$6,INDEX(Calc!$J$8:$J$500,MATCH(SMALL(IF((Calc!$K$8:$K$500=Kanban!D$11)*(Calc!$Y$8:$Y$500&gt;0),Calc!$Y$8:$Y$500,99999),Kanban_Helper!$B136),Calc!$Y$8:$Y$500,0)))))),"")</f>
        <v/>
      </c>
      <c r="E143" s="172" t="str">
        <f t="array" ref="E143">IFERROR(IF(LEN(E$11)=0,"",IF($C$7&lt;&gt;"All",IF(LEN(INDEX(Calc!$J$8:$J$500,MATCH(SMALL(IF((Calc!$C$8:$C$500=Kanban!$C$7)*(Calc!$K$8:$K$500=Kanban!E$11)*(Calc!$Y$8:$Y$500&gt;0),Calc!$Y$8:$Y$500,99999),Kanban_Helper!$B136),Calc!$Y$8:$Y$500,0)))=0,"",CONCATENATE(Calc!$AD$6,INDEX(Calc!$J$8:$J$500,MATCH(SMALL(IF((Calc!$C$8:$C$500=Kanban!$C$7)*(Calc!$K$8:$K$500=Kanban!E$11)*(Calc!$Y$8:$Y$500&gt;0),Calc!$Y$8:$Y$500,99999),Kanban_Helper!$B136),Calc!$Y$8:$Y$500,0)))),IF(LEN(INDEX(Calc!$J$8:$J$500,MATCH(SMALL(IF((Calc!$K$8:$K$500=Kanban!E$11)*(Calc!$Y$8:$Y$500&gt;0),Calc!$Y$8:$Y$500,99999),Kanban_Helper!$B136),Calc!$Y$8:$Y$500,0)))=0,"",CONCATENATE(Calc!$AD$6,INDEX(Calc!$J$8:$J$500,MATCH(SMALL(IF((Calc!$K$8:$K$500=Kanban!E$11)*(Calc!$Y$8:$Y$500&gt;0),Calc!$Y$8:$Y$500,99999),Kanban_Helper!$B136),Calc!$Y$8:$Y$500,0)))))),"")</f>
        <v/>
      </c>
      <c r="F143" s="172" t="str">
        <f t="array" ref="F143">IFERROR(IF(LEN(F$11)=0,"",IF($C$7&lt;&gt;"All",IF(LEN(INDEX(Calc!$J$8:$J$500,MATCH(SMALL(IF((Calc!$C$8:$C$500=Kanban!$C$7)*(Calc!$K$8:$K$500=Kanban!F$11)*(Calc!$Y$8:$Y$500&gt;0),Calc!$Y$8:$Y$500,99999),Kanban_Helper!$B136),Calc!$Y$8:$Y$500,0)))=0,"",CONCATENATE(Calc!$AD$6,INDEX(Calc!$J$8:$J$500,MATCH(SMALL(IF((Calc!$C$8:$C$500=Kanban!$C$7)*(Calc!$K$8:$K$500=Kanban!F$11)*(Calc!$Y$8:$Y$500&gt;0),Calc!$Y$8:$Y$500,99999),Kanban_Helper!$B136),Calc!$Y$8:$Y$500,0)))),IF(LEN(INDEX(Calc!$J$8:$J$500,MATCH(SMALL(IF((Calc!$K$8:$K$500=Kanban!F$11)*(Calc!$Y$8:$Y$500&gt;0),Calc!$Y$8:$Y$500,99999),Kanban_Helper!$B136),Calc!$Y$8:$Y$500,0)))=0,"",CONCATENATE(Calc!$AD$6,INDEX(Calc!$J$8:$J$500,MATCH(SMALL(IF((Calc!$K$8:$K$500=Kanban!F$11)*(Calc!$Y$8:$Y$500&gt;0),Calc!$Y$8:$Y$500,99999),Kanban_Helper!$B136),Calc!$Y$8:$Y$500,0)))))),"")</f>
        <v/>
      </c>
      <c r="G143" s="172" t="str">
        <f t="array" ref="G143">IFERROR(IF(LEN(G$11)=0,"",IF($C$7&lt;&gt;"All",IF(LEN(INDEX(Calc!$J$8:$J$500,MATCH(SMALL(IF((Calc!$C$8:$C$500=Kanban!$C$7)*(Calc!$K$8:$K$500=Kanban!G$11)*(Calc!$Y$8:$Y$500&gt;0),Calc!$Y$8:$Y$500,99999),Kanban_Helper!$B136),Calc!$Y$8:$Y$500,0)))=0,"",CONCATENATE(Calc!$AD$6,INDEX(Calc!$J$8:$J$500,MATCH(SMALL(IF((Calc!$C$8:$C$500=Kanban!$C$7)*(Calc!$K$8:$K$500=Kanban!G$11)*(Calc!$Y$8:$Y$500&gt;0),Calc!$Y$8:$Y$500,99999),Kanban_Helper!$B136),Calc!$Y$8:$Y$500,0)))),IF(LEN(INDEX(Calc!$J$8:$J$500,MATCH(SMALL(IF((Calc!$K$8:$K$500=Kanban!G$11)*(Calc!$Y$8:$Y$500&gt;0),Calc!$Y$8:$Y$500,99999),Kanban_Helper!$B136),Calc!$Y$8:$Y$500,0)))=0,"",CONCATENATE(Calc!$AD$6,INDEX(Calc!$J$8:$J$500,MATCH(SMALL(IF((Calc!$K$8:$K$500=Kanban!G$11)*(Calc!$Y$8:$Y$500&gt;0),Calc!$Y$8:$Y$500,99999),Kanban_Helper!$B136),Calc!$Y$8:$Y$500,0)))))),"")</f>
        <v/>
      </c>
      <c r="H143" s="172" t="str">
        <f t="array" ref="H143">IFERROR(IF(LEN(H$11)=0,"",IF($C$7&lt;&gt;"All",IF(LEN(INDEX(Calc!$J$8:$J$500,MATCH(SMALL(IF((Calc!$C$8:$C$500=Kanban!$C$7)*(Calc!$K$8:$K$500=Kanban!H$11)*(Calc!$Y$8:$Y$500&gt;0),Calc!$Y$8:$Y$500,99999),Kanban_Helper!$B136),Calc!$Y$8:$Y$500,0)))=0,"",CONCATENATE(Calc!$AD$6,INDEX(Calc!$J$8:$J$500,MATCH(SMALL(IF((Calc!$C$8:$C$500=Kanban!$C$7)*(Calc!$K$8:$K$500=Kanban!H$11)*(Calc!$Y$8:$Y$500&gt;0),Calc!$Y$8:$Y$500,99999),Kanban_Helper!$B136),Calc!$Y$8:$Y$500,0)))),IF(LEN(INDEX(Calc!$J$8:$J$500,MATCH(SMALL(IF((Calc!$K$8:$K$500=Kanban!H$11)*(Calc!$Y$8:$Y$500&gt;0),Calc!$Y$8:$Y$500,99999),Kanban_Helper!$B136),Calc!$Y$8:$Y$500,0)))=0,"",CONCATENATE(Calc!$AD$6,INDEX(Calc!$J$8:$J$500,MATCH(SMALL(IF((Calc!$K$8:$K$500=Kanban!H$11)*(Calc!$Y$8:$Y$500&gt;0),Calc!$Y$8:$Y$500,99999),Kanban_Helper!$B136),Calc!$Y$8:$Y$500,0)))))),"")</f>
        <v/>
      </c>
      <c r="I143" s="39"/>
    </row>
    <row r="144" spans="2:9" ht="15" thickTop="1" x14ac:dyDescent="0.35">
      <c r="B144" s="81"/>
      <c r="C144" s="170" t="str">
        <f t="array" ref="C144">IFERROR(IF(LEN(C$11)=0,"",IF($C$7&lt;&gt;"All",IF(INDEX(Calc!$V$8:$V$500,MATCH(INDEX(Calc!$D$8:$D$500,MATCH(SMALL(IF((Calc!$C$8:$C$500=Kanban!$C$7)*(Calc!$K$8:$K$500=Kanban!C$11)*(Calc!$Y$8:$Y$500&gt;0),Calc!$Y$8:$Y$500,99999),Kanban_Helper!$B137),Calc!$Y$8:$Y$500,0)),Calc!$D$8:$D$500,0))="Yes",CONCATENATE(INDEX(Calc!$D$8:$D$500,MATCH(SMALL(IF((Calc!$C$8:$C$500=Kanban!$C$7)*(Calc!$K$8:$K$500=Kanban!C$11)*(Calc!$Y$8:$Y$500&gt;0),Calc!$Y$8:$Y$500,99999),Kanban_Helper!$B137),Calc!$Y$8:$Y$500,0))," ",Calc!$V$7," ","!"),INDEX(Calc!$D$8:$D$500,MATCH(SMALL(IF((Calc!$C$8:$C$500=Kanban!$C$7)*(Calc!$K$8:$K$500=Kanban!C$11)*(Calc!$Y$8:$Y$500&gt;0),Calc!$Y$8:$Y$500,99999),Kanban_Helper!$B137),Calc!$Y$8:$Y$500,0))),IF(INDEX(Calc!$V$8:$V$500,MATCH(INDEX(Calc!$D$8:$D$500,MATCH(SMALL(IF((Calc!$K$8:$K$500=Kanban!C$11)*(Calc!$Y$8:$Y$500&gt;0),Calc!$Y$8:$Y$500,99999),Kanban_Helper!$B137),Calc!$Y$8:$Y$500,0)),Calc!$D$8:$D$500,0))="Yes",CONCATENATE(INDEX(Calc!$D$8:$D$500,MATCH(SMALL(IF((Calc!$K$8:$K$500=Kanban!C$11)*(Calc!$Y$8:$Y$500&gt;0),Calc!$Y$8:$Y$500,99999),Kanban_Helper!$B137),Calc!$Y$8:$Y$500,0))," ",Calc!$V$7," ","!"),INDEX(Calc!$D$8:$D$500,MATCH(SMALL(IF((Calc!$K$8:$K$500=Kanban!C$11)*(Calc!$Y$8:$Y$500&gt;0),Calc!$Y$8:$Y$500,99999),Kanban_Helper!$B137),Calc!$Y$8:$Y$500,0))))),"")</f>
        <v/>
      </c>
      <c r="D144" s="170" t="str">
        <f t="array" ref="D144">IFERROR(IF(LEN(D$11)=0,"",IF($C$7&lt;&gt;"All",IF(INDEX(Calc!$V$8:$V$500,MATCH(INDEX(Calc!$D$8:$D$500,MATCH(SMALL(IF((Calc!$C$8:$C$500=Kanban!$C$7)*(Calc!$K$8:$K$500=Kanban!D$11)*(Calc!$Y$8:$Y$500&gt;0),Calc!$Y$8:$Y$500,99999),Kanban_Helper!$B137),Calc!$Y$8:$Y$500,0)),Calc!$D$8:$D$500,0))="Yes",CONCATENATE(INDEX(Calc!$D$8:$D$500,MATCH(SMALL(IF((Calc!$C$8:$C$500=Kanban!$C$7)*(Calc!$K$8:$K$500=Kanban!D$11)*(Calc!$Y$8:$Y$500&gt;0),Calc!$Y$8:$Y$500,99999),Kanban_Helper!$B137),Calc!$Y$8:$Y$500,0))," ",Calc!$V$7," ","!"),INDEX(Calc!$D$8:$D$500,MATCH(SMALL(IF((Calc!$C$8:$C$500=Kanban!$C$7)*(Calc!$K$8:$K$500=Kanban!D$11)*(Calc!$Y$8:$Y$500&gt;0),Calc!$Y$8:$Y$500,99999),Kanban_Helper!$B137),Calc!$Y$8:$Y$500,0))),IF(INDEX(Calc!$V$8:$V$500,MATCH(INDEX(Calc!$D$8:$D$500,MATCH(SMALL(IF((Calc!$K$8:$K$500=Kanban!D$11)*(Calc!$Y$8:$Y$500&gt;0),Calc!$Y$8:$Y$500,99999),Kanban_Helper!$B137),Calc!$Y$8:$Y$500,0)),Calc!$D$8:$D$500,0))="Yes",CONCATENATE(INDEX(Calc!$D$8:$D$500,MATCH(SMALL(IF((Calc!$K$8:$K$500=Kanban!D$11)*(Calc!$Y$8:$Y$500&gt;0),Calc!$Y$8:$Y$500,99999),Kanban_Helper!$B137),Calc!$Y$8:$Y$500,0))," ",Calc!$V$7," ","!"),INDEX(Calc!$D$8:$D$500,MATCH(SMALL(IF((Calc!$K$8:$K$500=Kanban!D$11)*(Calc!$Y$8:$Y$500&gt;0),Calc!$Y$8:$Y$500,99999),Kanban_Helper!$B137),Calc!$Y$8:$Y$500,0))))),"")</f>
        <v/>
      </c>
      <c r="E144" s="170" t="str">
        <f t="array" ref="E144">IFERROR(IF(LEN(E$11)=0,"",IF($C$7&lt;&gt;"All",IF(INDEX(Calc!$V$8:$V$500,MATCH(INDEX(Calc!$D$8:$D$500,MATCH(SMALL(IF((Calc!$C$8:$C$500=Kanban!$C$7)*(Calc!$K$8:$K$500=Kanban!E$11)*(Calc!$Y$8:$Y$500&gt;0),Calc!$Y$8:$Y$500,99999),Kanban_Helper!$B137),Calc!$Y$8:$Y$500,0)),Calc!$D$8:$D$500,0))="Yes",CONCATENATE(INDEX(Calc!$D$8:$D$500,MATCH(SMALL(IF((Calc!$C$8:$C$500=Kanban!$C$7)*(Calc!$K$8:$K$500=Kanban!E$11)*(Calc!$Y$8:$Y$500&gt;0),Calc!$Y$8:$Y$500,99999),Kanban_Helper!$B137),Calc!$Y$8:$Y$500,0))," ",Calc!$V$7," ","!"),INDEX(Calc!$D$8:$D$500,MATCH(SMALL(IF((Calc!$C$8:$C$500=Kanban!$C$7)*(Calc!$K$8:$K$500=Kanban!E$11)*(Calc!$Y$8:$Y$500&gt;0),Calc!$Y$8:$Y$500,99999),Kanban_Helper!$B137),Calc!$Y$8:$Y$500,0))),IF(INDEX(Calc!$V$8:$V$500,MATCH(INDEX(Calc!$D$8:$D$500,MATCH(SMALL(IF((Calc!$K$8:$K$500=Kanban!E$11)*(Calc!$Y$8:$Y$500&gt;0),Calc!$Y$8:$Y$500,99999),Kanban_Helper!$B137),Calc!$Y$8:$Y$500,0)),Calc!$D$8:$D$500,0))="Yes",CONCATENATE(INDEX(Calc!$D$8:$D$500,MATCH(SMALL(IF((Calc!$K$8:$K$500=Kanban!E$11)*(Calc!$Y$8:$Y$500&gt;0),Calc!$Y$8:$Y$500,99999),Kanban_Helper!$B137),Calc!$Y$8:$Y$500,0))," ",Calc!$V$7," ","!"),INDEX(Calc!$D$8:$D$500,MATCH(SMALL(IF((Calc!$K$8:$K$500=Kanban!E$11)*(Calc!$Y$8:$Y$500&gt;0),Calc!$Y$8:$Y$500,99999),Kanban_Helper!$B137),Calc!$Y$8:$Y$500,0))))),"")</f>
        <v/>
      </c>
      <c r="F144" s="170" t="str">
        <f t="array" ref="F144">IFERROR(IF(LEN(F$11)=0,"",IF($C$7&lt;&gt;"All",IF(INDEX(Calc!$V$8:$V$500,MATCH(INDEX(Calc!$D$8:$D$500,MATCH(SMALL(IF((Calc!$C$8:$C$500=Kanban!$C$7)*(Calc!$K$8:$K$500=Kanban!F$11)*(Calc!$Y$8:$Y$500&gt;0),Calc!$Y$8:$Y$500,99999),Kanban_Helper!$B137),Calc!$Y$8:$Y$500,0)),Calc!$D$8:$D$500,0))="Yes",CONCATENATE(INDEX(Calc!$D$8:$D$500,MATCH(SMALL(IF((Calc!$C$8:$C$500=Kanban!$C$7)*(Calc!$K$8:$K$500=Kanban!F$11)*(Calc!$Y$8:$Y$500&gt;0),Calc!$Y$8:$Y$500,99999),Kanban_Helper!$B137),Calc!$Y$8:$Y$500,0))," ",Calc!$V$7," ","!"),INDEX(Calc!$D$8:$D$500,MATCH(SMALL(IF((Calc!$C$8:$C$500=Kanban!$C$7)*(Calc!$K$8:$K$500=Kanban!F$11)*(Calc!$Y$8:$Y$500&gt;0),Calc!$Y$8:$Y$500,99999),Kanban_Helper!$B137),Calc!$Y$8:$Y$500,0))),IF(INDEX(Calc!$V$8:$V$500,MATCH(INDEX(Calc!$D$8:$D$500,MATCH(SMALL(IF((Calc!$K$8:$K$500=Kanban!F$11)*(Calc!$Y$8:$Y$500&gt;0),Calc!$Y$8:$Y$500,99999),Kanban_Helper!$B137),Calc!$Y$8:$Y$500,0)),Calc!$D$8:$D$500,0))="Yes",CONCATENATE(INDEX(Calc!$D$8:$D$500,MATCH(SMALL(IF((Calc!$K$8:$K$500=Kanban!F$11)*(Calc!$Y$8:$Y$500&gt;0),Calc!$Y$8:$Y$500,99999),Kanban_Helper!$B137),Calc!$Y$8:$Y$500,0))," ",Calc!$V$7," ","!"),INDEX(Calc!$D$8:$D$500,MATCH(SMALL(IF((Calc!$K$8:$K$500=Kanban!F$11)*(Calc!$Y$8:$Y$500&gt;0),Calc!$Y$8:$Y$500,99999),Kanban_Helper!$B137),Calc!$Y$8:$Y$500,0))))),"")</f>
        <v/>
      </c>
      <c r="G144" s="170" t="str">
        <f t="array" ref="G144">IFERROR(IF(LEN(G$11)=0,"",IF($C$7&lt;&gt;"All",IF(INDEX(Calc!$V$8:$V$500,MATCH(INDEX(Calc!$D$8:$D$500,MATCH(SMALL(IF((Calc!$C$8:$C$500=Kanban!$C$7)*(Calc!$K$8:$K$500=Kanban!G$11)*(Calc!$Y$8:$Y$500&gt;0),Calc!$Y$8:$Y$500,99999),Kanban_Helper!$B137),Calc!$Y$8:$Y$500,0)),Calc!$D$8:$D$500,0))="Yes",CONCATENATE(INDEX(Calc!$D$8:$D$500,MATCH(SMALL(IF((Calc!$C$8:$C$500=Kanban!$C$7)*(Calc!$K$8:$K$500=Kanban!G$11)*(Calc!$Y$8:$Y$500&gt;0),Calc!$Y$8:$Y$500,99999),Kanban_Helper!$B137),Calc!$Y$8:$Y$500,0))," ",Calc!$V$7," ","!"),INDEX(Calc!$D$8:$D$500,MATCH(SMALL(IF((Calc!$C$8:$C$500=Kanban!$C$7)*(Calc!$K$8:$K$500=Kanban!G$11)*(Calc!$Y$8:$Y$500&gt;0),Calc!$Y$8:$Y$500,99999),Kanban_Helper!$B137),Calc!$Y$8:$Y$500,0))),IF(INDEX(Calc!$V$8:$V$500,MATCH(INDEX(Calc!$D$8:$D$500,MATCH(SMALL(IF((Calc!$K$8:$K$500=Kanban!G$11)*(Calc!$Y$8:$Y$500&gt;0),Calc!$Y$8:$Y$500,99999),Kanban_Helper!$B137),Calc!$Y$8:$Y$500,0)),Calc!$D$8:$D$500,0))="Yes",CONCATENATE(INDEX(Calc!$D$8:$D$500,MATCH(SMALL(IF((Calc!$K$8:$K$500=Kanban!G$11)*(Calc!$Y$8:$Y$500&gt;0),Calc!$Y$8:$Y$500,99999),Kanban_Helper!$B137),Calc!$Y$8:$Y$500,0))," ",Calc!$V$7," ","!"),INDEX(Calc!$D$8:$D$500,MATCH(SMALL(IF((Calc!$K$8:$K$500=Kanban!G$11)*(Calc!$Y$8:$Y$500&gt;0),Calc!$Y$8:$Y$500,99999),Kanban_Helper!$B137),Calc!$Y$8:$Y$500,0))))),"")</f>
        <v/>
      </c>
      <c r="H144" s="170" t="str">
        <f t="array" ref="H144">IFERROR(IF(LEN(H$11)=0,"",IF($C$7&lt;&gt;"All",IF(INDEX(Calc!$V$8:$V$500,MATCH(INDEX(Calc!$D$8:$D$500,MATCH(SMALL(IF((Calc!$C$8:$C$500=Kanban!$C$7)*(Calc!$K$8:$K$500=Kanban!H$11)*(Calc!$Y$8:$Y$500&gt;0),Calc!$Y$8:$Y$500,99999),Kanban_Helper!$B137),Calc!$Y$8:$Y$500,0)),Calc!$D$8:$D$500,0))="Yes",CONCATENATE(INDEX(Calc!$D$8:$D$500,MATCH(SMALL(IF((Calc!$C$8:$C$500=Kanban!$C$7)*(Calc!$K$8:$K$500=Kanban!H$11)*(Calc!$Y$8:$Y$500&gt;0),Calc!$Y$8:$Y$500,99999),Kanban_Helper!$B137),Calc!$Y$8:$Y$500,0))," ",Calc!$V$7," ","!"),INDEX(Calc!$D$8:$D$500,MATCH(SMALL(IF((Calc!$C$8:$C$500=Kanban!$C$7)*(Calc!$K$8:$K$500=Kanban!H$11)*(Calc!$Y$8:$Y$500&gt;0),Calc!$Y$8:$Y$500,99999),Kanban_Helper!$B137),Calc!$Y$8:$Y$500,0))),IF(INDEX(Calc!$V$8:$V$500,MATCH(INDEX(Calc!$D$8:$D$500,MATCH(SMALL(IF((Calc!$K$8:$K$500=Kanban!H$11)*(Calc!$Y$8:$Y$500&gt;0),Calc!$Y$8:$Y$500,99999),Kanban_Helper!$B137),Calc!$Y$8:$Y$500,0)),Calc!$D$8:$D$500,0))="Yes",CONCATENATE(INDEX(Calc!$D$8:$D$500,MATCH(SMALL(IF((Calc!$K$8:$K$500=Kanban!H$11)*(Calc!$Y$8:$Y$500&gt;0),Calc!$Y$8:$Y$500,99999),Kanban_Helper!$B137),Calc!$Y$8:$Y$500,0))," ",Calc!$V$7," ","!"),INDEX(Calc!$D$8:$D$500,MATCH(SMALL(IF((Calc!$K$8:$K$500=Kanban!H$11)*(Calc!$Y$8:$Y$500&gt;0),Calc!$Y$8:$Y$500,99999),Kanban_Helper!$B137),Calc!$Y$8:$Y$500,0))))),"")</f>
        <v/>
      </c>
      <c r="I144" s="39"/>
    </row>
    <row r="145" spans="2:9" x14ac:dyDescent="0.35">
      <c r="B145" s="81"/>
      <c r="C145" s="171" t="str">
        <f t="array" ref="C145">IFERROR(IF(LEN(C$11)=0,"",IF($C$7&lt;&gt;"All",INDEX(Calc!$E$8:$E$500,MATCH(SMALL(IF((Calc!$C$8:$C$500=Kanban!$C$7)*(Calc!$K$8:$K$500=Kanban!C$11)*(Calc!$Y$8:$Y$500&gt;0),Calc!$Y$8:$Y$500,99999),Kanban_Helper!$B138),Calc!$Y$8:$Y$500,0)),INDEX(Calc!$E$8:$E$500,MATCH(SMALL(IF((Calc!$K$8:$K$500=Kanban!C$11)*(Calc!$Y$8:$Y$500&gt;0),Calc!$Y$8:$Y$500,99999),Kanban_Helper!$B138),Calc!$Y$8:$Y$500,0)))),"")</f>
        <v/>
      </c>
      <c r="D145" s="171" t="str">
        <f t="array" ref="D145">IFERROR(IF(LEN(D$11)=0,"",IF($C$7&lt;&gt;"All",INDEX(Calc!$E$8:$E$500,MATCH(SMALL(IF((Calc!$C$8:$C$500=Kanban!$C$7)*(Calc!$K$8:$K$500=Kanban!D$11)*(Calc!$Y$8:$Y$500&gt;0),Calc!$Y$8:$Y$500,99999),Kanban_Helper!$B138),Calc!$Y$8:$Y$500,0)),INDEX(Calc!$E$8:$E$500,MATCH(SMALL(IF((Calc!$K$8:$K$500=Kanban!D$11)*(Calc!$Y$8:$Y$500&gt;0),Calc!$Y$8:$Y$500,99999),Kanban_Helper!$B138),Calc!$Y$8:$Y$500,0)))),"")</f>
        <v/>
      </c>
      <c r="E145" s="171" t="str">
        <f t="array" ref="E145">IFERROR(IF(LEN(E$11)=0,"",IF($C$7&lt;&gt;"All",INDEX(Calc!$E$8:$E$500,MATCH(SMALL(IF((Calc!$C$8:$C$500=Kanban!$C$7)*(Calc!$K$8:$K$500=Kanban!E$11)*(Calc!$Y$8:$Y$500&gt;0),Calc!$Y$8:$Y$500,99999),Kanban_Helper!$B138),Calc!$Y$8:$Y$500,0)),INDEX(Calc!$E$8:$E$500,MATCH(SMALL(IF((Calc!$K$8:$K$500=Kanban!E$11)*(Calc!$Y$8:$Y$500&gt;0),Calc!$Y$8:$Y$500,99999),Kanban_Helper!$B138),Calc!$Y$8:$Y$500,0)))),"")</f>
        <v/>
      </c>
      <c r="F145" s="171" t="str">
        <f t="array" ref="F145">IFERROR(IF(LEN(F$11)=0,"",IF($C$7&lt;&gt;"All",INDEX(Calc!$E$8:$E$500,MATCH(SMALL(IF((Calc!$C$8:$C$500=Kanban!$C$7)*(Calc!$K$8:$K$500=Kanban!F$11)*(Calc!$Y$8:$Y$500&gt;0),Calc!$Y$8:$Y$500,99999),Kanban_Helper!$B138),Calc!$Y$8:$Y$500,0)),INDEX(Calc!$E$8:$E$500,MATCH(SMALL(IF((Calc!$K$8:$K$500=Kanban!F$11)*(Calc!$Y$8:$Y$500&gt;0),Calc!$Y$8:$Y$500,99999),Kanban_Helper!$B138),Calc!$Y$8:$Y$500,0)))),"")</f>
        <v/>
      </c>
      <c r="G145" s="171" t="str">
        <f t="array" ref="G145">IFERROR(IF(LEN(G$11)=0,"",IF($C$7&lt;&gt;"All",INDEX(Calc!$E$8:$E$500,MATCH(SMALL(IF((Calc!$C$8:$C$500=Kanban!$C$7)*(Calc!$K$8:$K$500=Kanban!G$11)*(Calc!$Y$8:$Y$500&gt;0),Calc!$Y$8:$Y$500,99999),Kanban_Helper!$B138),Calc!$Y$8:$Y$500,0)),INDEX(Calc!$E$8:$E$500,MATCH(SMALL(IF((Calc!$K$8:$K$500=Kanban!G$11)*(Calc!$Y$8:$Y$500&gt;0),Calc!$Y$8:$Y$500,99999),Kanban_Helper!$B138),Calc!$Y$8:$Y$500,0)))),"")</f>
        <v/>
      </c>
      <c r="H145" s="171" t="str">
        <f t="array" ref="H145">IFERROR(IF(LEN(H$11)=0,"",IF($C$7&lt;&gt;"All",INDEX(Calc!$E$8:$E$500,MATCH(SMALL(IF((Calc!$C$8:$C$500=Kanban!$C$7)*(Calc!$K$8:$K$500=Kanban!H$11)*(Calc!$Y$8:$Y$500&gt;0),Calc!$Y$8:$Y$500,99999),Kanban_Helper!$B138),Calc!$Y$8:$Y$500,0)),INDEX(Calc!$E$8:$E$500,MATCH(SMALL(IF((Calc!$K$8:$K$500=Kanban!H$11)*(Calc!$Y$8:$Y$500&gt;0),Calc!$Y$8:$Y$500,99999),Kanban_Helper!$B138),Calc!$Y$8:$Y$500,0)))),"")</f>
        <v/>
      </c>
      <c r="I145" s="39"/>
    </row>
    <row r="146" spans="2:9" ht="15" thickBot="1" x14ac:dyDescent="0.4">
      <c r="B146" s="81"/>
      <c r="C146" s="172" t="str">
        <f t="array" ref="C146">IFERROR(IF(LEN(C$11)=0,"",IF($C$7&lt;&gt;"All",IF(LEN(INDEX(Calc!$J$8:$J$500,MATCH(SMALL(IF((Calc!$C$8:$C$500=Kanban!$C$7)*(Calc!$K$8:$K$500=Kanban!C$11)*(Calc!$Y$8:$Y$500&gt;0),Calc!$Y$8:$Y$500,99999),Kanban_Helper!$B139),Calc!$Y$8:$Y$500,0)))=0,"",CONCATENATE(Calc!$AD$6,INDEX(Calc!$J$8:$J$500,MATCH(SMALL(IF((Calc!$C$8:$C$500=Kanban!$C$7)*(Calc!$K$8:$K$500=Kanban!C$11)*(Calc!$Y$8:$Y$500&gt;0),Calc!$Y$8:$Y$500,99999),Kanban_Helper!$B139),Calc!$Y$8:$Y$500,0)))),IF(LEN(INDEX(Calc!$J$8:$J$500,MATCH(SMALL(IF((Calc!$K$8:$K$500=Kanban!C$11)*(Calc!$Y$8:$Y$500&gt;0),Calc!$Y$8:$Y$500,99999),Kanban_Helper!$B139),Calc!$Y$8:$Y$500,0)))=0,"",CONCATENATE(Calc!$AD$6,INDEX(Calc!$J$8:$J$500,MATCH(SMALL(IF((Calc!$K$8:$K$500=Kanban!C$11)*(Calc!$Y$8:$Y$500&gt;0),Calc!$Y$8:$Y$500,99999),Kanban_Helper!$B139),Calc!$Y$8:$Y$500,0)))))),"")</f>
        <v/>
      </c>
      <c r="D146" s="172" t="str">
        <f t="array" ref="D146">IFERROR(IF(LEN(D$11)=0,"",IF($C$7&lt;&gt;"All",IF(LEN(INDEX(Calc!$J$8:$J$500,MATCH(SMALL(IF((Calc!$C$8:$C$500=Kanban!$C$7)*(Calc!$K$8:$K$500=Kanban!D$11)*(Calc!$Y$8:$Y$500&gt;0),Calc!$Y$8:$Y$500,99999),Kanban_Helper!$B139),Calc!$Y$8:$Y$500,0)))=0,"",CONCATENATE(Calc!$AD$6,INDEX(Calc!$J$8:$J$500,MATCH(SMALL(IF((Calc!$C$8:$C$500=Kanban!$C$7)*(Calc!$K$8:$K$500=Kanban!D$11)*(Calc!$Y$8:$Y$500&gt;0),Calc!$Y$8:$Y$500,99999),Kanban_Helper!$B139),Calc!$Y$8:$Y$500,0)))),IF(LEN(INDEX(Calc!$J$8:$J$500,MATCH(SMALL(IF((Calc!$K$8:$K$500=Kanban!D$11)*(Calc!$Y$8:$Y$500&gt;0),Calc!$Y$8:$Y$500,99999),Kanban_Helper!$B139),Calc!$Y$8:$Y$500,0)))=0,"",CONCATENATE(Calc!$AD$6,INDEX(Calc!$J$8:$J$500,MATCH(SMALL(IF((Calc!$K$8:$K$500=Kanban!D$11)*(Calc!$Y$8:$Y$500&gt;0),Calc!$Y$8:$Y$500,99999),Kanban_Helper!$B139),Calc!$Y$8:$Y$500,0)))))),"")</f>
        <v/>
      </c>
      <c r="E146" s="172" t="str">
        <f t="array" ref="E146">IFERROR(IF(LEN(E$11)=0,"",IF($C$7&lt;&gt;"All",IF(LEN(INDEX(Calc!$J$8:$J$500,MATCH(SMALL(IF((Calc!$C$8:$C$500=Kanban!$C$7)*(Calc!$K$8:$K$500=Kanban!E$11)*(Calc!$Y$8:$Y$500&gt;0),Calc!$Y$8:$Y$500,99999),Kanban_Helper!$B139),Calc!$Y$8:$Y$500,0)))=0,"",CONCATENATE(Calc!$AD$6,INDEX(Calc!$J$8:$J$500,MATCH(SMALL(IF((Calc!$C$8:$C$500=Kanban!$C$7)*(Calc!$K$8:$K$500=Kanban!E$11)*(Calc!$Y$8:$Y$500&gt;0),Calc!$Y$8:$Y$500,99999),Kanban_Helper!$B139),Calc!$Y$8:$Y$500,0)))),IF(LEN(INDEX(Calc!$J$8:$J$500,MATCH(SMALL(IF((Calc!$K$8:$K$500=Kanban!E$11)*(Calc!$Y$8:$Y$500&gt;0),Calc!$Y$8:$Y$500,99999),Kanban_Helper!$B139),Calc!$Y$8:$Y$500,0)))=0,"",CONCATENATE(Calc!$AD$6,INDEX(Calc!$J$8:$J$500,MATCH(SMALL(IF((Calc!$K$8:$K$500=Kanban!E$11)*(Calc!$Y$8:$Y$500&gt;0),Calc!$Y$8:$Y$500,99999),Kanban_Helper!$B139),Calc!$Y$8:$Y$500,0)))))),"")</f>
        <v/>
      </c>
      <c r="F146" s="172" t="str">
        <f t="array" ref="F146">IFERROR(IF(LEN(F$11)=0,"",IF($C$7&lt;&gt;"All",IF(LEN(INDEX(Calc!$J$8:$J$500,MATCH(SMALL(IF((Calc!$C$8:$C$500=Kanban!$C$7)*(Calc!$K$8:$K$500=Kanban!F$11)*(Calc!$Y$8:$Y$500&gt;0),Calc!$Y$8:$Y$500,99999),Kanban_Helper!$B139),Calc!$Y$8:$Y$500,0)))=0,"",CONCATENATE(Calc!$AD$6,INDEX(Calc!$J$8:$J$500,MATCH(SMALL(IF((Calc!$C$8:$C$500=Kanban!$C$7)*(Calc!$K$8:$K$500=Kanban!F$11)*(Calc!$Y$8:$Y$500&gt;0),Calc!$Y$8:$Y$500,99999),Kanban_Helper!$B139),Calc!$Y$8:$Y$500,0)))),IF(LEN(INDEX(Calc!$J$8:$J$500,MATCH(SMALL(IF((Calc!$K$8:$K$500=Kanban!F$11)*(Calc!$Y$8:$Y$500&gt;0),Calc!$Y$8:$Y$500,99999),Kanban_Helper!$B139),Calc!$Y$8:$Y$500,0)))=0,"",CONCATENATE(Calc!$AD$6,INDEX(Calc!$J$8:$J$500,MATCH(SMALL(IF((Calc!$K$8:$K$500=Kanban!F$11)*(Calc!$Y$8:$Y$500&gt;0),Calc!$Y$8:$Y$500,99999),Kanban_Helper!$B139),Calc!$Y$8:$Y$500,0)))))),"")</f>
        <v/>
      </c>
      <c r="G146" s="172" t="str">
        <f t="array" ref="G146">IFERROR(IF(LEN(G$11)=0,"",IF($C$7&lt;&gt;"All",IF(LEN(INDEX(Calc!$J$8:$J$500,MATCH(SMALL(IF((Calc!$C$8:$C$500=Kanban!$C$7)*(Calc!$K$8:$K$500=Kanban!G$11)*(Calc!$Y$8:$Y$500&gt;0),Calc!$Y$8:$Y$500,99999),Kanban_Helper!$B139),Calc!$Y$8:$Y$500,0)))=0,"",CONCATENATE(Calc!$AD$6,INDEX(Calc!$J$8:$J$500,MATCH(SMALL(IF((Calc!$C$8:$C$500=Kanban!$C$7)*(Calc!$K$8:$K$500=Kanban!G$11)*(Calc!$Y$8:$Y$500&gt;0),Calc!$Y$8:$Y$500,99999),Kanban_Helper!$B139),Calc!$Y$8:$Y$500,0)))),IF(LEN(INDEX(Calc!$J$8:$J$500,MATCH(SMALL(IF((Calc!$K$8:$K$500=Kanban!G$11)*(Calc!$Y$8:$Y$500&gt;0),Calc!$Y$8:$Y$500,99999),Kanban_Helper!$B139),Calc!$Y$8:$Y$500,0)))=0,"",CONCATENATE(Calc!$AD$6,INDEX(Calc!$J$8:$J$500,MATCH(SMALL(IF((Calc!$K$8:$K$500=Kanban!G$11)*(Calc!$Y$8:$Y$500&gt;0),Calc!$Y$8:$Y$500,99999),Kanban_Helper!$B139),Calc!$Y$8:$Y$500,0)))))),"")</f>
        <v/>
      </c>
      <c r="H146" s="172" t="str">
        <f t="array" ref="H146">IFERROR(IF(LEN(H$11)=0,"",IF($C$7&lt;&gt;"All",IF(LEN(INDEX(Calc!$J$8:$J$500,MATCH(SMALL(IF((Calc!$C$8:$C$500=Kanban!$C$7)*(Calc!$K$8:$K$500=Kanban!H$11)*(Calc!$Y$8:$Y$500&gt;0),Calc!$Y$8:$Y$500,99999),Kanban_Helper!$B139),Calc!$Y$8:$Y$500,0)))=0,"",CONCATENATE(Calc!$AD$6,INDEX(Calc!$J$8:$J$500,MATCH(SMALL(IF((Calc!$C$8:$C$500=Kanban!$C$7)*(Calc!$K$8:$K$500=Kanban!H$11)*(Calc!$Y$8:$Y$500&gt;0),Calc!$Y$8:$Y$500,99999),Kanban_Helper!$B139),Calc!$Y$8:$Y$500,0)))),IF(LEN(INDEX(Calc!$J$8:$J$500,MATCH(SMALL(IF((Calc!$K$8:$K$500=Kanban!H$11)*(Calc!$Y$8:$Y$500&gt;0),Calc!$Y$8:$Y$500,99999),Kanban_Helper!$B139),Calc!$Y$8:$Y$500,0)))=0,"",CONCATENATE(Calc!$AD$6,INDEX(Calc!$J$8:$J$500,MATCH(SMALL(IF((Calc!$K$8:$K$500=Kanban!H$11)*(Calc!$Y$8:$Y$500&gt;0),Calc!$Y$8:$Y$500,99999),Kanban_Helper!$B139),Calc!$Y$8:$Y$500,0)))))),"")</f>
        <v/>
      </c>
      <c r="I146" s="39"/>
    </row>
    <row r="147" spans="2:9" ht="15" thickTop="1" x14ac:dyDescent="0.35">
      <c r="B147" s="81"/>
      <c r="C147" s="170" t="str">
        <f t="array" ref="C147">IFERROR(IF(LEN(C$11)=0,"",IF($C$7&lt;&gt;"All",IF(INDEX(Calc!$V$8:$V$500,MATCH(INDEX(Calc!$D$8:$D$500,MATCH(SMALL(IF((Calc!$C$8:$C$500=Kanban!$C$7)*(Calc!$K$8:$K$500=Kanban!C$11)*(Calc!$Y$8:$Y$500&gt;0),Calc!$Y$8:$Y$500,99999),Kanban_Helper!$B140),Calc!$Y$8:$Y$500,0)),Calc!$D$8:$D$500,0))="Yes",CONCATENATE(INDEX(Calc!$D$8:$D$500,MATCH(SMALL(IF((Calc!$C$8:$C$500=Kanban!$C$7)*(Calc!$K$8:$K$500=Kanban!C$11)*(Calc!$Y$8:$Y$500&gt;0),Calc!$Y$8:$Y$500,99999),Kanban_Helper!$B140),Calc!$Y$8:$Y$500,0))," ",Calc!$V$7," ","!"),INDEX(Calc!$D$8:$D$500,MATCH(SMALL(IF((Calc!$C$8:$C$500=Kanban!$C$7)*(Calc!$K$8:$K$500=Kanban!C$11)*(Calc!$Y$8:$Y$500&gt;0),Calc!$Y$8:$Y$500,99999),Kanban_Helper!$B140),Calc!$Y$8:$Y$500,0))),IF(INDEX(Calc!$V$8:$V$500,MATCH(INDEX(Calc!$D$8:$D$500,MATCH(SMALL(IF((Calc!$K$8:$K$500=Kanban!C$11)*(Calc!$Y$8:$Y$500&gt;0),Calc!$Y$8:$Y$500,99999),Kanban_Helper!$B140),Calc!$Y$8:$Y$500,0)),Calc!$D$8:$D$500,0))="Yes",CONCATENATE(INDEX(Calc!$D$8:$D$500,MATCH(SMALL(IF((Calc!$K$8:$K$500=Kanban!C$11)*(Calc!$Y$8:$Y$500&gt;0),Calc!$Y$8:$Y$500,99999),Kanban_Helper!$B140),Calc!$Y$8:$Y$500,0))," ",Calc!$V$7," ","!"),INDEX(Calc!$D$8:$D$500,MATCH(SMALL(IF((Calc!$K$8:$K$500=Kanban!C$11)*(Calc!$Y$8:$Y$500&gt;0),Calc!$Y$8:$Y$500,99999),Kanban_Helper!$B140),Calc!$Y$8:$Y$500,0))))),"")</f>
        <v/>
      </c>
      <c r="D147" s="170" t="str">
        <f t="array" ref="D147">IFERROR(IF(LEN(D$11)=0,"",IF($C$7&lt;&gt;"All",IF(INDEX(Calc!$V$8:$V$500,MATCH(INDEX(Calc!$D$8:$D$500,MATCH(SMALL(IF((Calc!$C$8:$C$500=Kanban!$C$7)*(Calc!$K$8:$K$500=Kanban!D$11)*(Calc!$Y$8:$Y$500&gt;0),Calc!$Y$8:$Y$500,99999),Kanban_Helper!$B140),Calc!$Y$8:$Y$500,0)),Calc!$D$8:$D$500,0))="Yes",CONCATENATE(INDEX(Calc!$D$8:$D$500,MATCH(SMALL(IF((Calc!$C$8:$C$500=Kanban!$C$7)*(Calc!$K$8:$K$500=Kanban!D$11)*(Calc!$Y$8:$Y$500&gt;0),Calc!$Y$8:$Y$500,99999),Kanban_Helper!$B140),Calc!$Y$8:$Y$500,0))," ",Calc!$V$7," ","!"),INDEX(Calc!$D$8:$D$500,MATCH(SMALL(IF((Calc!$C$8:$C$500=Kanban!$C$7)*(Calc!$K$8:$K$500=Kanban!D$11)*(Calc!$Y$8:$Y$500&gt;0),Calc!$Y$8:$Y$500,99999),Kanban_Helper!$B140),Calc!$Y$8:$Y$500,0))),IF(INDEX(Calc!$V$8:$V$500,MATCH(INDEX(Calc!$D$8:$D$500,MATCH(SMALL(IF((Calc!$K$8:$K$500=Kanban!D$11)*(Calc!$Y$8:$Y$500&gt;0),Calc!$Y$8:$Y$500,99999),Kanban_Helper!$B140),Calc!$Y$8:$Y$500,0)),Calc!$D$8:$D$500,0))="Yes",CONCATENATE(INDEX(Calc!$D$8:$D$500,MATCH(SMALL(IF((Calc!$K$8:$K$500=Kanban!D$11)*(Calc!$Y$8:$Y$500&gt;0),Calc!$Y$8:$Y$500,99999),Kanban_Helper!$B140),Calc!$Y$8:$Y$500,0))," ",Calc!$V$7," ","!"),INDEX(Calc!$D$8:$D$500,MATCH(SMALL(IF((Calc!$K$8:$K$500=Kanban!D$11)*(Calc!$Y$8:$Y$500&gt;0),Calc!$Y$8:$Y$500,99999),Kanban_Helper!$B140),Calc!$Y$8:$Y$500,0))))),"")</f>
        <v/>
      </c>
      <c r="E147" s="170" t="str">
        <f t="array" ref="E147">IFERROR(IF(LEN(E$11)=0,"",IF($C$7&lt;&gt;"All",IF(INDEX(Calc!$V$8:$V$500,MATCH(INDEX(Calc!$D$8:$D$500,MATCH(SMALL(IF((Calc!$C$8:$C$500=Kanban!$C$7)*(Calc!$K$8:$K$500=Kanban!E$11)*(Calc!$Y$8:$Y$500&gt;0),Calc!$Y$8:$Y$500,99999),Kanban_Helper!$B140),Calc!$Y$8:$Y$500,0)),Calc!$D$8:$D$500,0))="Yes",CONCATENATE(INDEX(Calc!$D$8:$D$500,MATCH(SMALL(IF((Calc!$C$8:$C$500=Kanban!$C$7)*(Calc!$K$8:$K$500=Kanban!E$11)*(Calc!$Y$8:$Y$500&gt;0),Calc!$Y$8:$Y$500,99999),Kanban_Helper!$B140),Calc!$Y$8:$Y$500,0))," ",Calc!$V$7," ","!"),INDEX(Calc!$D$8:$D$500,MATCH(SMALL(IF((Calc!$C$8:$C$500=Kanban!$C$7)*(Calc!$K$8:$K$500=Kanban!E$11)*(Calc!$Y$8:$Y$500&gt;0),Calc!$Y$8:$Y$500,99999),Kanban_Helper!$B140),Calc!$Y$8:$Y$500,0))),IF(INDEX(Calc!$V$8:$V$500,MATCH(INDEX(Calc!$D$8:$D$500,MATCH(SMALL(IF((Calc!$K$8:$K$500=Kanban!E$11)*(Calc!$Y$8:$Y$500&gt;0),Calc!$Y$8:$Y$500,99999),Kanban_Helper!$B140),Calc!$Y$8:$Y$500,0)),Calc!$D$8:$D$500,0))="Yes",CONCATENATE(INDEX(Calc!$D$8:$D$500,MATCH(SMALL(IF((Calc!$K$8:$K$500=Kanban!E$11)*(Calc!$Y$8:$Y$500&gt;0),Calc!$Y$8:$Y$500,99999),Kanban_Helper!$B140),Calc!$Y$8:$Y$500,0))," ",Calc!$V$7," ","!"),INDEX(Calc!$D$8:$D$500,MATCH(SMALL(IF((Calc!$K$8:$K$500=Kanban!E$11)*(Calc!$Y$8:$Y$500&gt;0),Calc!$Y$8:$Y$500,99999),Kanban_Helper!$B140),Calc!$Y$8:$Y$500,0))))),"")</f>
        <v/>
      </c>
      <c r="F147" s="170" t="str">
        <f t="array" ref="F147">IFERROR(IF(LEN(F$11)=0,"",IF($C$7&lt;&gt;"All",IF(INDEX(Calc!$V$8:$V$500,MATCH(INDEX(Calc!$D$8:$D$500,MATCH(SMALL(IF((Calc!$C$8:$C$500=Kanban!$C$7)*(Calc!$K$8:$K$500=Kanban!F$11)*(Calc!$Y$8:$Y$500&gt;0),Calc!$Y$8:$Y$500,99999),Kanban_Helper!$B140),Calc!$Y$8:$Y$500,0)),Calc!$D$8:$D$500,0))="Yes",CONCATENATE(INDEX(Calc!$D$8:$D$500,MATCH(SMALL(IF((Calc!$C$8:$C$500=Kanban!$C$7)*(Calc!$K$8:$K$500=Kanban!F$11)*(Calc!$Y$8:$Y$500&gt;0),Calc!$Y$8:$Y$500,99999),Kanban_Helper!$B140),Calc!$Y$8:$Y$500,0))," ",Calc!$V$7," ","!"),INDEX(Calc!$D$8:$D$500,MATCH(SMALL(IF((Calc!$C$8:$C$500=Kanban!$C$7)*(Calc!$K$8:$K$500=Kanban!F$11)*(Calc!$Y$8:$Y$500&gt;0),Calc!$Y$8:$Y$500,99999),Kanban_Helper!$B140),Calc!$Y$8:$Y$500,0))),IF(INDEX(Calc!$V$8:$V$500,MATCH(INDEX(Calc!$D$8:$D$500,MATCH(SMALL(IF((Calc!$K$8:$K$500=Kanban!F$11)*(Calc!$Y$8:$Y$500&gt;0),Calc!$Y$8:$Y$500,99999),Kanban_Helper!$B140),Calc!$Y$8:$Y$500,0)),Calc!$D$8:$D$500,0))="Yes",CONCATENATE(INDEX(Calc!$D$8:$D$500,MATCH(SMALL(IF((Calc!$K$8:$K$500=Kanban!F$11)*(Calc!$Y$8:$Y$500&gt;0),Calc!$Y$8:$Y$500,99999),Kanban_Helper!$B140),Calc!$Y$8:$Y$500,0))," ",Calc!$V$7," ","!"),INDEX(Calc!$D$8:$D$500,MATCH(SMALL(IF((Calc!$K$8:$K$500=Kanban!F$11)*(Calc!$Y$8:$Y$500&gt;0),Calc!$Y$8:$Y$500,99999),Kanban_Helper!$B140),Calc!$Y$8:$Y$500,0))))),"")</f>
        <v/>
      </c>
      <c r="G147" s="170" t="str">
        <f t="array" ref="G147">IFERROR(IF(LEN(G$11)=0,"",IF($C$7&lt;&gt;"All",IF(INDEX(Calc!$V$8:$V$500,MATCH(INDEX(Calc!$D$8:$D$500,MATCH(SMALL(IF((Calc!$C$8:$C$500=Kanban!$C$7)*(Calc!$K$8:$K$500=Kanban!G$11)*(Calc!$Y$8:$Y$500&gt;0),Calc!$Y$8:$Y$500,99999),Kanban_Helper!$B140),Calc!$Y$8:$Y$500,0)),Calc!$D$8:$D$500,0))="Yes",CONCATENATE(INDEX(Calc!$D$8:$D$500,MATCH(SMALL(IF((Calc!$C$8:$C$500=Kanban!$C$7)*(Calc!$K$8:$K$500=Kanban!G$11)*(Calc!$Y$8:$Y$500&gt;0),Calc!$Y$8:$Y$500,99999),Kanban_Helper!$B140),Calc!$Y$8:$Y$500,0))," ",Calc!$V$7," ","!"),INDEX(Calc!$D$8:$D$500,MATCH(SMALL(IF((Calc!$C$8:$C$500=Kanban!$C$7)*(Calc!$K$8:$K$500=Kanban!G$11)*(Calc!$Y$8:$Y$500&gt;0),Calc!$Y$8:$Y$500,99999),Kanban_Helper!$B140),Calc!$Y$8:$Y$500,0))),IF(INDEX(Calc!$V$8:$V$500,MATCH(INDEX(Calc!$D$8:$D$500,MATCH(SMALL(IF((Calc!$K$8:$K$500=Kanban!G$11)*(Calc!$Y$8:$Y$500&gt;0),Calc!$Y$8:$Y$500,99999),Kanban_Helper!$B140),Calc!$Y$8:$Y$500,0)),Calc!$D$8:$D$500,0))="Yes",CONCATENATE(INDEX(Calc!$D$8:$D$500,MATCH(SMALL(IF((Calc!$K$8:$K$500=Kanban!G$11)*(Calc!$Y$8:$Y$500&gt;0),Calc!$Y$8:$Y$500,99999),Kanban_Helper!$B140),Calc!$Y$8:$Y$500,0))," ",Calc!$V$7," ","!"),INDEX(Calc!$D$8:$D$500,MATCH(SMALL(IF((Calc!$K$8:$K$500=Kanban!G$11)*(Calc!$Y$8:$Y$500&gt;0),Calc!$Y$8:$Y$500,99999),Kanban_Helper!$B140),Calc!$Y$8:$Y$500,0))))),"")</f>
        <v/>
      </c>
      <c r="H147" s="170" t="str">
        <f t="array" ref="H147">IFERROR(IF(LEN(H$11)=0,"",IF($C$7&lt;&gt;"All",IF(INDEX(Calc!$V$8:$V$500,MATCH(INDEX(Calc!$D$8:$D$500,MATCH(SMALL(IF((Calc!$C$8:$C$500=Kanban!$C$7)*(Calc!$K$8:$K$500=Kanban!H$11)*(Calc!$Y$8:$Y$500&gt;0),Calc!$Y$8:$Y$500,99999),Kanban_Helper!$B140),Calc!$Y$8:$Y$500,0)),Calc!$D$8:$D$500,0))="Yes",CONCATENATE(INDEX(Calc!$D$8:$D$500,MATCH(SMALL(IF((Calc!$C$8:$C$500=Kanban!$C$7)*(Calc!$K$8:$K$500=Kanban!H$11)*(Calc!$Y$8:$Y$500&gt;0),Calc!$Y$8:$Y$500,99999),Kanban_Helper!$B140),Calc!$Y$8:$Y$500,0))," ",Calc!$V$7," ","!"),INDEX(Calc!$D$8:$D$500,MATCH(SMALL(IF((Calc!$C$8:$C$500=Kanban!$C$7)*(Calc!$K$8:$K$500=Kanban!H$11)*(Calc!$Y$8:$Y$500&gt;0),Calc!$Y$8:$Y$500,99999),Kanban_Helper!$B140),Calc!$Y$8:$Y$500,0))),IF(INDEX(Calc!$V$8:$V$500,MATCH(INDEX(Calc!$D$8:$D$500,MATCH(SMALL(IF((Calc!$K$8:$K$500=Kanban!H$11)*(Calc!$Y$8:$Y$500&gt;0),Calc!$Y$8:$Y$500,99999),Kanban_Helper!$B140),Calc!$Y$8:$Y$500,0)),Calc!$D$8:$D$500,0))="Yes",CONCATENATE(INDEX(Calc!$D$8:$D$500,MATCH(SMALL(IF((Calc!$K$8:$K$500=Kanban!H$11)*(Calc!$Y$8:$Y$500&gt;0),Calc!$Y$8:$Y$500,99999),Kanban_Helper!$B140),Calc!$Y$8:$Y$500,0))," ",Calc!$V$7," ","!"),INDEX(Calc!$D$8:$D$500,MATCH(SMALL(IF((Calc!$K$8:$K$500=Kanban!H$11)*(Calc!$Y$8:$Y$500&gt;0),Calc!$Y$8:$Y$500,99999),Kanban_Helper!$B140),Calc!$Y$8:$Y$500,0))))),"")</f>
        <v/>
      </c>
      <c r="I147" s="39"/>
    </row>
    <row r="148" spans="2:9" x14ac:dyDescent="0.35">
      <c r="B148" s="81"/>
      <c r="C148" s="171" t="str">
        <f t="array" ref="C148">IFERROR(IF(LEN(C$11)=0,"",IF($C$7&lt;&gt;"All",INDEX(Calc!$E$8:$E$500,MATCH(SMALL(IF((Calc!$C$8:$C$500=Kanban!$C$7)*(Calc!$K$8:$K$500=Kanban!C$11)*(Calc!$Y$8:$Y$500&gt;0),Calc!$Y$8:$Y$500,99999),Kanban_Helper!$B141),Calc!$Y$8:$Y$500,0)),INDEX(Calc!$E$8:$E$500,MATCH(SMALL(IF((Calc!$K$8:$K$500=Kanban!C$11)*(Calc!$Y$8:$Y$500&gt;0),Calc!$Y$8:$Y$500,99999),Kanban_Helper!$B141),Calc!$Y$8:$Y$500,0)))),"")</f>
        <v/>
      </c>
      <c r="D148" s="171" t="str">
        <f t="array" ref="D148">IFERROR(IF(LEN(D$11)=0,"",IF($C$7&lt;&gt;"All",INDEX(Calc!$E$8:$E$500,MATCH(SMALL(IF((Calc!$C$8:$C$500=Kanban!$C$7)*(Calc!$K$8:$K$500=Kanban!D$11)*(Calc!$Y$8:$Y$500&gt;0),Calc!$Y$8:$Y$500,99999),Kanban_Helper!$B141),Calc!$Y$8:$Y$500,0)),INDEX(Calc!$E$8:$E$500,MATCH(SMALL(IF((Calc!$K$8:$K$500=Kanban!D$11)*(Calc!$Y$8:$Y$500&gt;0),Calc!$Y$8:$Y$500,99999),Kanban_Helper!$B141),Calc!$Y$8:$Y$500,0)))),"")</f>
        <v/>
      </c>
      <c r="E148" s="171" t="str">
        <f t="array" ref="E148">IFERROR(IF(LEN(E$11)=0,"",IF($C$7&lt;&gt;"All",INDEX(Calc!$E$8:$E$500,MATCH(SMALL(IF((Calc!$C$8:$C$500=Kanban!$C$7)*(Calc!$K$8:$K$500=Kanban!E$11)*(Calc!$Y$8:$Y$500&gt;0),Calc!$Y$8:$Y$500,99999),Kanban_Helper!$B141),Calc!$Y$8:$Y$500,0)),INDEX(Calc!$E$8:$E$500,MATCH(SMALL(IF((Calc!$K$8:$K$500=Kanban!E$11)*(Calc!$Y$8:$Y$500&gt;0),Calc!$Y$8:$Y$500,99999),Kanban_Helper!$B141),Calc!$Y$8:$Y$500,0)))),"")</f>
        <v/>
      </c>
      <c r="F148" s="171" t="str">
        <f t="array" ref="F148">IFERROR(IF(LEN(F$11)=0,"",IF($C$7&lt;&gt;"All",INDEX(Calc!$E$8:$E$500,MATCH(SMALL(IF((Calc!$C$8:$C$500=Kanban!$C$7)*(Calc!$K$8:$K$500=Kanban!F$11)*(Calc!$Y$8:$Y$500&gt;0),Calc!$Y$8:$Y$500,99999),Kanban_Helper!$B141),Calc!$Y$8:$Y$500,0)),INDEX(Calc!$E$8:$E$500,MATCH(SMALL(IF((Calc!$K$8:$K$500=Kanban!F$11)*(Calc!$Y$8:$Y$500&gt;0),Calc!$Y$8:$Y$500,99999),Kanban_Helper!$B141),Calc!$Y$8:$Y$500,0)))),"")</f>
        <v/>
      </c>
      <c r="G148" s="171" t="str">
        <f t="array" ref="G148">IFERROR(IF(LEN(G$11)=0,"",IF($C$7&lt;&gt;"All",INDEX(Calc!$E$8:$E$500,MATCH(SMALL(IF((Calc!$C$8:$C$500=Kanban!$C$7)*(Calc!$K$8:$K$500=Kanban!G$11)*(Calc!$Y$8:$Y$500&gt;0),Calc!$Y$8:$Y$500,99999),Kanban_Helper!$B141),Calc!$Y$8:$Y$500,0)),INDEX(Calc!$E$8:$E$500,MATCH(SMALL(IF((Calc!$K$8:$K$500=Kanban!G$11)*(Calc!$Y$8:$Y$500&gt;0),Calc!$Y$8:$Y$500,99999),Kanban_Helper!$B141),Calc!$Y$8:$Y$500,0)))),"")</f>
        <v/>
      </c>
      <c r="H148" s="171" t="str">
        <f t="array" ref="H148">IFERROR(IF(LEN(H$11)=0,"",IF($C$7&lt;&gt;"All",INDEX(Calc!$E$8:$E$500,MATCH(SMALL(IF((Calc!$C$8:$C$500=Kanban!$C$7)*(Calc!$K$8:$K$500=Kanban!H$11)*(Calc!$Y$8:$Y$500&gt;0),Calc!$Y$8:$Y$500,99999),Kanban_Helper!$B141),Calc!$Y$8:$Y$500,0)),INDEX(Calc!$E$8:$E$500,MATCH(SMALL(IF((Calc!$K$8:$K$500=Kanban!H$11)*(Calc!$Y$8:$Y$500&gt;0),Calc!$Y$8:$Y$500,99999),Kanban_Helper!$B141),Calc!$Y$8:$Y$500,0)))),"")</f>
        <v/>
      </c>
      <c r="I148" s="39"/>
    </row>
    <row r="149" spans="2:9" ht="15" thickBot="1" x14ac:dyDescent="0.4">
      <c r="B149" s="81"/>
      <c r="C149" s="172" t="str">
        <f t="array" ref="C149">IFERROR(IF(LEN(C$11)=0,"",IF($C$7&lt;&gt;"All",IF(LEN(INDEX(Calc!$J$8:$J$500,MATCH(SMALL(IF((Calc!$C$8:$C$500=Kanban!$C$7)*(Calc!$K$8:$K$500=Kanban!C$11)*(Calc!$Y$8:$Y$500&gt;0),Calc!$Y$8:$Y$500,99999),Kanban_Helper!$B142),Calc!$Y$8:$Y$500,0)))=0,"",CONCATENATE(Calc!$AD$6,INDEX(Calc!$J$8:$J$500,MATCH(SMALL(IF((Calc!$C$8:$C$500=Kanban!$C$7)*(Calc!$K$8:$K$500=Kanban!C$11)*(Calc!$Y$8:$Y$500&gt;0),Calc!$Y$8:$Y$500,99999),Kanban_Helper!$B142),Calc!$Y$8:$Y$500,0)))),IF(LEN(INDEX(Calc!$J$8:$J$500,MATCH(SMALL(IF((Calc!$K$8:$K$500=Kanban!C$11)*(Calc!$Y$8:$Y$500&gt;0),Calc!$Y$8:$Y$500,99999),Kanban_Helper!$B142),Calc!$Y$8:$Y$500,0)))=0,"",CONCATENATE(Calc!$AD$6,INDEX(Calc!$J$8:$J$500,MATCH(SMALL(IF((Calc!$K$8:$K$500=Kanban!C$11)*(Calc!$Y$8:$Y$500&gt;0),Calc!$Y$8:$Y$500,99999),Kanban_Helper!$B142),Calc!$Y$8:$Y$500,0)))))),"")</f>
        <v/>
      </c>
      <c r="D149" s="172" t="str">
        <f t="array" ref="D149">IFERROR(IF(LEN(D$11)=0,"",IF($C$7&lt;&gt;"All",IF(LEN(INDEX(Calc!$J$8:$J$500,MATCH(SMALL(IF((Calc!$C$8:$C$500=Kanban!$C$7)*(Calc!$K$8:$K$500=Kanban!D$11)*(Calc!$Y$8:$Y$500&gt;0),Calc!$Y$8:$Y$500,99999),Kanban_Helper!$B142),Calc!$Y$8:$Y$500,0)))=0,"",CONCATENATE(Calc!$AD$6,INDEX(Calc!$J$8:$J$500,MATCH(SMALL(IF((Calc!$C$8:$C$500=Kanban!$C$7)*(Calc!$K$8:$K$500=Kanban!D$11)*(Calc!$Y$8:$Y$500&gt;0),Calc!$Y$8:$Y$500,99999),Kanban_Helper!$B142),Calc!$Y$8:$Y$500,0)))),IF(LEN(INDEX(Calc!$J$8:$J$500,MATCH(SMALL(IF((Calc!$K$8:$K$500=Kanban!D$11)*(Calc!$Y$8:$Y$500&gt;0),Calc!$Y$8:$Y$500,99999),Kanban_Helper!$B142),Calc!$Y$8:$Y$500,0)))=0,"",CONCATENATE(Calc!$AD$6,INDEX(Calc!$J$8:$J$500,MATCH(SMALL(IF((Calc!$K$8:$K$500=Kanban!D$11)*(Calc!$Y$8:$Y$500&gt;0),Calc!$Y$8:$Y$500,99999),Kanban_Helper!$B142),Calc!$Y$8:$Y$500,0)))))),"")</f>
        <v/>
      </c>
      <c r="E149" s="172" t="str">
        <f t="array" ref="E149">IFERROR(IF(LEN(E$11)=0,"",IF($C$7&lt;&gt;"All",IF(LEN(INDEX(Calc!$J$8:$J$500,MATCH(SMALL(IF((Calc!$C$8:$C$500=Kanban!$C$7)*(Calc!$K$8:$K$500=Kanban!E$11)*(Calc!$Y$8:$Y$500&gt;0),Calc!$Y$8:$Y$500,99999),Kanban_Helper!$B142),Calc!$Y$8:$Y$500,0)))=0,"",CONCATENATE(Calc!$AD$6,INDEX(Calc!$J$8:$J$500,MATCH(SMALL(IF((Calc!$C$8:$C$500=Kanban!$C$7)*(Calc!$K$8:$K$500=Kanban!E$11)*(Calc!$Y$8:$Y$500&gt;0),Calc!$Y$8:$Y$500,99999),Kanban_Helper!$B142),Calc!$Y$8:$Y$500,0)))),IF(LEN(INDEX(Calc!$J$8:$J$500,MATCH(SMALL(IF((Calc!$K$8:$K$500=Kanban!E$11)*(Calc!$Y$8:$Y$500&gt;0),Calc!$Y$8:$Y$500,99999),Kanban_Helper!$B142),Calc!$Y$8:$Y$500,0)))=0,"",CONCATENATE(Calc!$AD$6,INDEX(Calc!$J$8:$J$500,MATCH(SMALL(IF((Calc!$K$8:$K$500=Kanban!E$11)*(Calc!$Y$8:$Y$500&gt;0),Calc!$Y$8:$Y$500,99999),Kanban_Helper!$B142),Calc!$Y$8:$Y$500,0)))))),"")</f>
        <v/>
      </c>
      <c r="F149" s="172" t="str">
        <f t="array" ref="F149">IFERROR(IF(LEN(F$11)=0,"",IF($C$7&lt;&gt;"All",IF(LEN(INDEX(Calc!$J$8:$J$500,MATCH(SMALL(IF((Calc!$C$8:$C$500=Kanban!$C$7)*(Calc!$K$8:$K$500=Kanban!F$11)*(Calc!$Y$8:$Y$500&gt;0),Calc!$Y$8:$Y$500,99999),Kanban_Helper!$B142),Calc!$Y$8:$Y$500,0)))=0,"",CONCATENATE(Calc!$AD$6,INDEX(Calc!$J$8:$J$500,MATCH(SMALL(IF((Calc!$C$8:$C$500=Kanban!$C$7)*(Calc!$K$8:$K$500=Kanban!F$11)*(Calc!$Y$8:$Y$500&gt;0),Calc!$Y$8:$Y$500,99999),Kanban_Helper!$B142),Calc!$Y$8:$Y$500,0)))),IF(LEN(INDEX(Calc!$J$8:$J$500,MATCH(SMALL(IF((Calc!$K$8:$K$500=Kanban!F$11)*(Calc!$Y$8:$Y$500&gt;0),Calc!$Y$8:$Y$500,99999),Kanban_Helper!$B142),Calc!$Y$8:$Y$500,0)))=0,"",CONCATENATE(Calc!$AD$6,INDEX(Calc!$J$8:$J$500,MATCH(SMALL(IF((Calc!$K$8:$K$500=Kanban!F$11)*(Calc!$Y$8:$Y$500&gt;0),Calc!$Y$8:$Y$500,99999),Kanban_Helper!$B142),Calc!$Y$8:$Y$500,0)))))),"")</f>
        <v/>
      </c>
      <c r="G149" s="172" t="str">
        <f t="array" ref="G149">IFERROR(IF(LEN(G$11)=0,"",IF($C$7&lt;&gt;"All",IF(LEN(INDEX(Calc!$J$8:$J$500,MATCH(SMALL(IF((Calc!$C$8:$C$500=Kanban!$C$7)*(Calc!$K$8:$K$500=Kanban!G$11)*(Calc!$Y$8:$Y$500&gt;0),Calc!$Y$8:$Y$500,99999),Kanban_Helper!$B142),Calc!$Y$8:$Y$500,0)))=0,"",CONCATENATE(Calc!$AD$6,INDEX(Calc!$J$8:$J$500,MATCH(SMALL(IF((Calc!$C$8:$C$500=Kanban!$C$7)*(Calc!$K$8:$K$500=Kanban!G$11)*(Calc!$Y$8:$Y$500&gt;0),Calc!$Y$8:$Y$500,99999),Kanban_Helper!$B142),Calc!$Y$8:$Y$500,0)))),IF(LEN(INDEX(Calc!$J$8:$J$500,MATCH(SMALL(IF((Calc!$K$8:$K$500=Kanban!G$11)*(Calc!$Y$8:$Y$500&gt;0),Calc!$Y$8:$Y$500,99999),Kanban_Helper!$B142),Calc!$Y$8:$Y$500,0)))=0,"",CONCATENATE(Calc!$AD$6,INDEX(Calc!$J$8:$J$500,MATCH(SMALL(IF((Calc!$K$8:$K$500=Kanban!G$11)*(Calc!$Y$8:$Y$500&gt;0),Calc!$Y$8:$Y$500,99999),Kanban_Helper!$B142),Calc!$Y$8:$Y$500,0)))))),"")</f>
        <v/>
      </c>
      <c r="H149" s="172" t="str">
        <f t="array" ref="H149">IFERROR(IF(LEN(H$11)=0,"",IF($C$7&lt;&gt;"All",IF(LEN(INDEX(Calc!$J$8:$J$500,MATCH(SMALL(IF((Calc!$C$8:$C$500=Kanban!$C$7)*(Calc!$K$8:$K$500=Kanban!H$11)*(Calc!$Y$8:$Y$500&gt;0),Calc!$Y$8:$Y$500,99999),Kanban_Helper!$B142),Calc!$Y$8:$Y$500,0)))=0,"",CONCATENATE(Calc!$AD$6,INDEX(Calc!$J$8:$J$500,MATCH(SMALL(IF((Calc!$C$8:$C$500=Kanban!$C$7)*(Calc!$K$8:$K$500=Kanban!H$11)*(Calc!$Y$8:$Y$500&gt;0),Calc!$Y$8:$Y$500,99999),Kanban_Helper!$B142),Calc!$Y$8:$Y$500,0)))),IF(LEN(INDEX(Calc!$J$8:$J$500,MATCH(SMALL(IF((Calc!$K$8:$K$500=Kanban!H$11)*(Calc!$Y$8:$Y$500&gt;0),Calc!$Y$8:$Y$500,99999),Kanban_Helper!$B142),Calc!$Y$8:$Y$500,0)))=0,"",CONCATENATE(Calc!$AD$6,INDEX(Calc!$J$8:$J$500,MATCH(SMALL(IF((Calc!$K$8:$K$500=Kanban!H$11)*(Calc!$Y$8:$Y$500&gt;0),Calc!$Y$8:$Y$500,99999),Kanban_Helper!$B142),Calc!$Y$8:$Y$500,0)))))),"")</f>
        <v/>
      </c>
      <c r="I149" s="39"/>
    </row>
    <row r="150" spans="2:9" ht="15" thickTop="1" x14ac:dyDescent="0.35">
      <c r="B150" s="81"/>
      <c r="C150" s="170" t="str">
        <f t="array" ref="C150">IFERROR(IF(LEN(C$11)=0,"",IF($C$7&lt;&gt;"All",IF(INDEX(Calc!$V$8:$V$500,MATCH(INDEX(Calc!$D$8:$D$500,MATCH(SMALL(IF((Calc!$C$8:$C$500=Kanban!$C$7)*(Calc!$K$8:$K$500=Kanban!C$11)*(Calc!$Y$8:$Y$500&gt;0),Calc!$Y$8:$Y$500,99999),Kanban_Helper!$B143),Calc!$Y$8:$Y$500,0)),Calc!$D$8:$D$500,0))="Yes",CONCATENATE(INDEX(Calc!$D$8:$D$500,MATCH(SMALL(IF((Calc!$C$8:$C$500=Kanban!$C$7)*(Calc!$K$8:$K$500=Kanban!C$11)*(Calc!$Y$8:$Y$500&gt;0),Calc!$Y$8:$Y$500,99999),Kanban_Helper!$B143),Calc!$Y$8:$Y$500,0))," ",Calc!$V$7," ","!"),INDEX(Calc!$D$8:$D$500,MATCH(SMALL(IF((Calc!$C$8:$C$500=Kanban!$C$7)*(Calc!$K$8:$K$500=Kanban!C$11)*(Calc!$Y$8:$Y$500&gt;0),Calc!$Y$8:$Y$500,99999),Kanban_Helper!$B143),Calc!$Y$8:$Y$500,0))),IF(INDEX(Calc!$V$8:$V$500,MATCH(INDEX(Calc!$D$8:$D$500,MATCH(SMALL(IF((Calc!$K$8:$K$500=Kanban!C$11)*(Calc!$Y$8:$Y$500&gt;0),Calc!$Y$8:$Y$500,99999),Kanban_Helper!$B143),Calc!$Y$8:$Y$500,0)),Calc!$D$8:$D$500,0))="Yes",CONCATENATE(INDEX(Calc!$D$8:$D$500,MATCH(SMALL(IF((Calc!$K$8:$K$500=Kanban!C$11)*(Calc!$Y$8:$Y$500&gt;0),Calc!$Y$8:$Y$500,99999),Kanban_Helper!$B143),Calc!$Y$8:$Y$500,0))," ",Calc!$V$7," ","!"),INDEX(Calc!$D$8:$D$500,MATCH(SMALL(IF((Calc!$K$8:$K$500=Kanban!C$11)*(Calc!$Y$8:$Y$500&gt;0),Calc!$Y$8:$Y$500,99999),Kanban_Helper!$B143),Calc!$Y$8:$Y$500,0))))),"")</f>
        <v/>
      </c>
      <c r="D150" s="170" t="str">
        <f t="array" ref="D150">IFERROR(IF(LEN(D$11)=0,"",IF($C$7&lt;&gt;"All",IF(INDEX(Calc!$V$8:$V$500,MATCH(INDEX(Calc!$D$8:$D$500,MATCH(SMALL(IF((Calc!$C$8:$C$500=Kanban!$C$7)*(Calc!$K$8:$K$500=Kanban!D$11)*(Calc!$Y$8:$Y$500&gt;0),Calc!$Y$8:$Y$500,99999),Kanban_Helper!$B143),Calc!$Y$8:$Y$500,0)),Calc!$D$8:$D$500,0))="Yes",CONCATENATE(INDEX(Calc!$D$8:$D$500,MATCH(SMALL(IF((Calc!$C$8:$C$500=Kanban!$C$7)*(Calc!$K$8:$K$500=Kanban!D$11)*(Calc!$Y$8:$Y$500&gt;0),Calc!$Y$8:$Y$500,99999),Kanban_Helper!$B143),Calc!$Y$8:$Y$500,0))," ",Calc!$V$7," ","!"),INDEX(Calc!$D$8:$D$500,MATCH(SMALL(IF((Calc!$C$8:$C$500=Kanban!$C$7)*(Calc!$K$8:$K$500=Kanban!D$11)*(Calc!$Y$8:$Y$500&gt;0),Calc!$Y$8:$Y$500,99999),Kanban_Helper!$B143),Calc!$Y$8:$Y$500,0))),IF(INDEX(Calc!$V$8:$V$500,MATCH(INDEX(Calc!$D$8:$D$500,MATCH(SMALL(IF((Calc!$K$8:$K$500=Kanban!D$11)*(Calc!$Y$8:$Y$500&gt;0),Calc!$Y$8:$Y$500,99999),Kanban_Helper!$B143),Calc!$Y$8:$Y$500,0)),Calc!$D$8:$D$500,0))="Yes",CONCATENATE(INDEX(Calc!$D$8:$D$500,MATCH(SMALL(IF((Calc!$K$8:$K$500=Kanban!D$11)*(Calc!$Y$8:$Y$500&gt;0),Calc!$Y$8:$Y$500,99999),Kanban_Helper!$B143),Calc!$Y$8:$Y$500,0))," ",Calc!$V$7," ","!"),INDEX(Calc!$D$8:$D$500,MATCH(SMALL(IF((Calc!$K$8:$K$500=Kanban!D$11)*(Calc!$Y$8:$Y$500&gt;0),Calc!$Y$8:$Y$500,99999),Kanban_Helper!$B143),Calc!$Y$8:$Y$500,0))))),"")</f>
        <v/>
      </c>
      <c r="E150" s="170" t="str">
        <f t="array" ref="E150">IFERROR(IF(LEN(E$11)=0,"",IF($C$7&lt;&gt;"All",IF(INDEX(Calc!$V$8:$V$500,MATCH(INDEX(Calc!$D$8:$D$500,MATCH(SMALL(IF((Calc!$C$8:$C$500=Kanban!$C$7)*(Calc!$K$8:$K$500=Kanban!E$11)*(Calc!$Y$8:$Y$500&gt;0),Calc!$Y$8:$Y$500,99999),Kanban_Helper!$B143),Calc!$Y$8:$Y$500,0)),Calc!$D$8:$D$500,0))="Yes",CONCATENATE(INDEX(Calc!$D$8:$D$500,MATCH(SMALL(IF((Calc!$C$8:$C$500=Kanban!$C$7)*(Calc!$K$8:$K$500=Kanban!E$11)*(Calc!$Y$8:$Y$500&gt;0),Calc!$Y$8:$Y$500,99999),Kanban_Helper!$B143),Calc!$Y$8:$Y$500,0))," ",Calc!$V$7," ","!"),INDEX(Calc!$D$8:$D$500,MATCH(SMALL(IF((Calc!$C$8:$C$500=Kanban!$C$7)*(Calc!$K$8:$K$500=Kanban!E$11)*(Calc!$Y$8:$Y$500&gt;0),Calc!$Y$8:$Y$500,99999),Kanban_Helper!$B143),Calc!$Y$8:$Y$500,0))),IF(INDEX(Calc!$V$8:$V$500,MATCH(INDEX(Calc!$D$8:$D$500,MATCH(SMALL(IF((Calc!$K$8:$K$500=Kanban!E$11)*(Calc!$Y$8:$Y$500&gt;0),Calc!$Y$8:$Y$500,99999),Kanban_Helper!$B143),Calc!$Y$8:$Y$500,0)),Calc!$D$8:$D$500,0))="Yes",CONCATENATE(INDEX(Calc!$D$8:$D$500,MATCH(SMALL(IF((Calc!$K$8:$K$500=Kanban!E$11)*(Calc!$Y$8:$Y$500&gt;0),Calc!$Y$8:$Y$500,99999),Kanban_Helper!$B143),Calc!$Y$8:$Y$500,0))," ",Calc!$V$7," ","!"),INDEX(Calc!$D$8:$D$500,MATCH(SMALL(IF((Calc!$K$8:$K$500=Kanban!E$11)*(Calc!$Y$8:$Y$500&gt;0),Calc!$Y$8:$Y$500,99999),Kanban_Helper!$B143),Calc!$Y$8:$Y$500,0))))),"")</f>
        <v/>
      </c>
      <c r="F150" s="170" t="str">
        <f t="array" ref="F150">IFERROR(IF(LEN(F$11)=0,"",IF($C$7&lt;&gt;"All",IF(INDEX(Calc!$V$8:$V$500,MATCH(INDEX(Calc!$D$8:$D$500,MATCH(SMALL(IF((Calc!$C$8:$C$500=Kanban!$C$7)*(Calc!$K$8:$K$500=Kanban!F$11)*(Calc!$Y$8:$Y$500&gt;0),Calc!$Y$8:$Y$500,99999),Kanban_Helper!$B143),Calc!$Y$8:$Y$500,0)),Calc!$D$8:$D$500,0))="Yes",CONCATENATE(INDEX(Calc!$D$8:$D$500,MATCH(SMALL(IF((Calc!$C$8:$C$500=Kanban!$C$7)*(Calc!$K$8:$K$500=Kanban!F$11)*(Calc!$Y$8:$Y$500&gt;0),Calc!$Y$8:$Y$500,99999),Kanban_Helper!$B143),Calc!$Y$8:$Y$500,0))," ",Calc!$V$7," ","!"),INDEX(Calc!$D$8:$D$500,MATCH(SMALL(IF((Calc!$C$8:$C$500=Kanban!$C$7)*(Calc!$K$8:$K$500=Kanban!F$11)*(Calc!$Y$8:$Y$500&gt;0),Calc!$Y$8:$Y$500,99999),Kanban_Helper!$B143),Calc!$Y$8:$Y$500,0))),IF(INDEX(Calc!$V$8:$V$500,MATCH(INDEX(Calc!$D$8:$D$500,MATCH(SMALL(IF((Calc!$K$8:$K$500=Kanban!F$11)*(Calc!$Y$8:$Y$500&gt;0),Calc!$Y$8:$Y$500,99999),Kanban_Helper!$B143),Calc!$Y$8:$Y$500,0)),Calc!$D$8:$D$500,0))="Yes",CONCATENATE(INDEX(Calc!$D$8:$D$500,MATCH(SMALL(IF((Calc!$K$8:$K$500=Kanban!F$11)*(Calc!$Y$8:$Y$500&gt;0),Calc!$Y$8:$Y$500,99999),Kanban_Helper!$B143),Calc!$Y$8:$Y$500,0))," ",Calc!$V$7," ","!"),INDEX(Calc!$D$8:$D$500,MATCH(SMALL(IF((Calc!$K$8:$K$500=Kanban!F$11)*(Calc!$Y$8:$Y$500&gt;0),Calc!$Y$8:$Y$500,99999),Kanban_Helper!$B143),Calc!$Y$8:$Y$500,0))))),"")</f>
        <v/>
      </c>
      <c r="G150" s="170" t="str">
        <f t="array" ref="G150">IFERROR(IF(LEN(G$11)=0,"",IF($C$7&lt;&gt;"All",IF(INDEX(Calc!$V$8:$V$500,MATCH(INDEX(Calc!$D$8:$D$500,MATCH(SMALL(IF((Calc!$C$8:$C$500=Kanban!$C$7)*(Calc!$K$8:$K$500=Kanban!G$11)*(Calc!$Y$8:$Y$500&gt;0),Calc!$Y$8:$Y$500,99999),Kanban_Helper!$B143),Calc!$Y$8:$Y$500,0)),Calc!$D$8:$D$500,0))="Yes",CONCATENATE(INDEX(Calc!$D$8:$D$500,MATCH(SMALL(IF((Calc!$C$8:$C$500=Kanban!$C$7)*(Calc!$K$8:$K$500=Kanban!G$11)*(Calc!$Y$8:$Y$500&gt;0),Calc!$Y$8:$Y$500,99999),Kanban_Helper!$B143),Calc!$Y$8:$Y$500,0))," ",Calc!$V$7," ","!"),INDEX(Calc!$D$8:$D$500,MATCH(SMALL(IF((Calc!$C$8:$C$500=Kanban!$C$7)*(Calc!$K$8:$K$500=Kanban!G$11)*(Calc!$Y$8:$Y$500&gt;0),Calc!$Y$8:$Y$500,99999),Kanban_Helper!$B143),Calc!$Y$8:$Y$500,0))),IF(INDEX(Calc!$V$8:$V$500,MATCH(INDEX(Calc!$D$8:$D$500,MATCH(SMALL(IF((Calc!$K$8:$K$500=Kanban!G$11)*(Calc!$Y$8:$Y$500&gt;0),Calc!$Y$8:$Y$500,99999),Kanban_Helper!$B143),Calc!$Y$8:$Y$500,0)),Calc!$D$8:$D$500,0))="Yes",CONCATENATE(INDEX(Calc!$D$8:$D$500,MATCH(SMALL(IF((Calc!$K$8:$K$500=Kanban!G$11)*(Calc!$Y$8:$Y$500&gt;0),Calc!$Y$8:$Y$500,99999),Kanban_Helper!$B143),Calc!$Y$8:$Y$500,0))," ",Calc!$V$7," ","!"),INDEX(Calc!$D$8:$D$500,MATCH(SMALL(IF((Calc!$K$8:$K$500=Kanban!G$11)*(Calc!$Y$8:$Y$500&gt;0),Calc!$Y$8:$Y$500,99999),Kanban_Helper!$B143),Calc!$Y$8:$Y$500,0))))),"")</f>
        <v/>
      </c>
      <c r="H150" s="170" t="str">
        <f t="array" ref="H150">IFERROR(IF(LEN(H$11)=0,"",IF($C$7&lt;&gt;"All",IF(INDEX(Calc!$V$8:$V$500,MATCH(INDEX(Calc!$D$8:$D$500,MATCH(SMALL(IF((Calc!$C$8:$C$500=Kanban!$C$7)*(Calc!$K$8:$K$500=Kanban!H$11)*(Calc!$Y$8:$Y$500&gt;0),Calc!$Y$8:$Y$500,99999),Kanban_Helper!$B143),Calc!$Y$8:$Y$500,0)),Calc!$D$8:$D$500,0))="Yes",CONCATENATE(INDEX(Calc!$D$8:$D$500,MATCH(SMALL(IF((Calc!$C$8:$C$500=Kanban!$C$7)*(Calc!$K$8:$K$500=Kanban!H$11)*(Calc!$Y$8:$Y$500&gt;0),Calc!$Y$8:$Y$500,99999),Kanban_Helper!$B143),Calc!$Y$8:$Y$500,0))," ",Calc!$V$7," ","!"),INDEX(Calc!$D$8:$D$500,MATCH(SMALL(IF((Calc!$C$8:$C$500=Kanban!$C$7)*(Calc!$K$8:$K$500=Kanban!H$11)*(Calc!$Y$8:$Y$500&gt;0),Calc!$Y$8:$Y$500,99999),Kanban_Helper!$B143),Calc!$Y$8:$Y$500,0))),IF(INDEX(Calc!$V$8:$V$500,MATCH(INDEX(Calc!$D$8:$D$500,MATCH(SMALL(IF((Calc!$K$8:$K$500=Kanban!H$11)*(Calc!$Y$8:$Y$500&gt;0),Calc!$Y$8:$Y$500,99999),Kanban_Helper!$B143),Calc!$Y$8:$Y$500,0)),Calc!$D$8:$D$500,0))="Yes",CONCATENATE(INDEX(Calc!$D$8:$D$500,MATCH(SMALL(IF((Calc!$K$8:$K$500=Kanban!H$11)*(Calc!$Y$8:$Y$500&gt;0),Calc!$Y$8:$Y$500,99999),Kanban_Helper!$B143),Calc!$Y$8:$Y$500,0))," ",Calc!$V$7," ","!"),INDEX(Calc!$D$8:$D$500,MATCH(SMALL(IF((Calc!$K$8:$K$500=Kanban!H$11)*(Calc!$Y$8:$Y$500&gt;0),Calc!$Y$8:$Y$500,99999),Kanban_Helper!$B143),Calc!$Y$8:$Y$500,0))))),"")</f>
        <v/>
      </c>
      <c r="I150" s="39"/>
    </row>
    <row r="151" spans="2:9" x14ac:dyDescent="0.35">
      <c r="B151" s="81"/>
      <c r="C151" s="171" t="str">
        <f t="array" ref="C151">IFERROR(IF(LEN(C$11)=0,"",IF($C$7&lt;&gt;"All",INDEX(Calc!$E$8:$E$500,MATCH(SMALL(IF((Calc!$C$8:$C$500=Kanban!$C$7)*(Calc!$K$8:$K$500=Kanban!C$11)*(Calc!$Y$8:$Y$500&gt;0),Calc!$Y$8:$Y$500,99999),Kanban_Helper!$B144),Calc!$Y$8:$Y$500,0)),INDEX(Calc!$E$8:$E$500,MATCH(SMALL(IF((Calc!$K$8:$K$500=Kanban!C$11)*(Calc!$Y$8:$Y$500&gt;0),Calc!$Y$8:$Y$500,99999),Kanban_Helper!$B144),Calc!$Y$8:$Y$500,0)))),"")</f>
        <v/>
      </c>
      <c r="D151" s="171" t="str">
        <f t="array" ref="D151">IFERROR(IF(LEN(D$11)=0,"",IF($C$7&lt;&gt;"All",INDEX(Calc!$E$8:$E$500,MATCH(SMALL(IF((Calc!$C$8:$C$500=Kanban!$C$7)*(Calc!$K$8:$K$500=Kanban!D$11)*(Calc!$Y$8:$Y$500&gt;0),Calc!$Y$8:$Y$500,99999),Kanban_Helper!$B144),Calc!$Y$8:$Y$500,0)),INDEX(Calc!$E$8:$E$500,MATCH(SMALL(IF((Calc!$K$8:$K$500=Kanban!D$11)*(Calc!$Y$8:$Y$500&gt;0),Calc!$Y$8:$Y$500,99999),Kanban_Helper!$B144),Calc!$Y$8:$Y$500,0)))),"")</f>
        <v/>
      </c>
      <c r="E151" s="171" t="str">
        <f t="array" ref="E151">IFERROR(IF(LEN(E$11)=0,"",IF($C$7&lt;&gt;"All",INDEX(Calc!$E$8:$E$500,MATCH(SMALL(IF((Calc!$C$8:$C$500=Kanban!$C$7)*(Calc!$K$8:$K$500=Kanban!E$11)*(Calc!$Y$8:$Y$500&gt;0),Calc!$Y$8:$Y$500,99999),Kanban_Helper!$B144),Calc!$Y$8:$Y$500,0)),INDEX(Calc!$E$8:$E$500,MATCH(SMALL(IF((Calc!$K$8:$K$500=Kanban!E$11)*(Calc!$Y$8:$Y$500&gt;0),Calc!$Y$8:$Y$500,99999),Kanban_Helper!$B144),Calc!$Y$8:$Y$500,0)))),"")</f>
        <v/>
      </c>
      <c r="F151" s="171" t="str">
        <f t="array" ref="F151">IFERROR(IF(LEN(F$11)=0,"",IF($C$7&lt;&gt;"All",INDEX(Calc!$E$8:$E$500,MATCH(SMALL(IF((Calc!$C$8:$C$500=Kanban!$C$7)*(Calc!$K$8:$K$500=Kanban!F$11)*(Calc!$Y$8:$Y$500&gt;0),Calc!$Y$8:$Y$500,99999),Kanban_Helper!$B144),Calc!$Y$8:$Y$500,0)),INDEX(Calc!$E$8:$E$500,MATCH(SMALL(IF((Calc!$K$8:$K$500=Kanban!F$11)*(Calc!$Y$8:$Y$500&gt;0),Calc!$Y$8:$Y$500,99999),Kanban_Helper!$B144),Calc!$Y$8:$Y$500,0)))),"")</f>
        <v/>
      </c>
      <c r="G151" s="171" t="str">
        <f t="array" ref="G151">IFERROR(IF(LEN(G$11)=0,"",IF($C$7&lt;&gt;"All",INDEX(Calc!$E$8:$E$500,MATCH(SMALL(IF((Calc!$C$8:$C$500=Kanban!$C$7)*(Calc!$K$8:$K$500=Kanban!G$11)*(Calc!$Y$8:$Y$500&gt;0),Calc!$Y$8:$Y$500,99999),Kanban_Helper!$B144),Calc!$Y$8:$Y$500,0)),INDEX(Calc!$E$8:$E$500,MATCH(SMALL(IF((Calc!$K$8:$K$500=Kanban!G$11)*(Calc!$Y$8:$Y$500&gt;0),Calc!$Y$8:$Y$500,99999),Kanban_Helper!$B144),Calc!$Y$8:$Y$500,0)))),"")</f>
        <v/>
      </c>
      <c r="H151" s="171" t="str">
        <f t="array" ref="H151">IFERROR(IF(LEN(H$11)=0,"",IF($C$7&lt;&gt;"All",INDEX(Calc!$E$8:$E$500,MATCH(SMALL(IF((Calc!$C$8:$C$500=Kanban!$C$7)*(Calc!$K$8:$K$500=Kanban!H$11)*(Calc!$Y$8:$Y$500&gt;0),Calc!$Y$8:$Y$500,99999),Kanban_Helper!$B144),Calc!$Y$8:$Y$500,0)),INDEX(Calc!$E$8:$E$500,MATCH(SMALL(IF((Calc!$K$8:$K$500=Kanban!H$11)*(Calc!$Y$8:$Y$500&gt;0),Calc!$Y$8:$Y$500,99999),Kanban_Helper!$B144),Calc!$Y$8:$Y$500,0)))),"")</f>
        <v/>
      </c>
      <c r="I151" s="39"/>
    </row>
    <row r="152" spans="2:9" ht="15" thickBot="1" x14ac:dyDescent="0.4">
      <c r="B152" s="81"/>
      <c r="C152" s="172" t="str">
        <f t="array" ref="C152">IFERROR(IF(LEN(C$11)=0,"",IF($C$7&lt;&gt;"All",IF(LEN(INDEX(Calc!$J$8:$J$500,MATCH(SMALL(IF((Calc!$C$8:$C$500=Kanban!$C$7)*(Calc!$K$8:$K$500=Kanban!C$11)*(Calc!$Y$8:$Y$500&gt;0),Calc!$Y$8:$Y$500,99999),Kanban_Helper!$B145),Calc!$Y$8:$Y$500,0)))=0,"",CONCATENATE(Calc!$AD$6,INDEX(Calc!$J$8:$J$500,MATCH(SMALL(IF((Calc!$C$8:$C$500=Kanban!$C$7)*(Calc!$K$8:$K$500=Kanban!C$11)*(Calc!$Y$8:$Y$500&gt;0),Calc!$Y$8:$Y$500,99999),Kanban_Helper!$B145),Calc!$Y$8:$Y$500,0)))),IF(LEN(INDEX(Calc!$J$8:$J$500,MATCH(SMALL(IF((Calc!$K$8:$K$500=Kanban!C$11)*(Calc!$Y$8:$Y$500&gt;0),Calc!$Y$8:$Y$500,99999),Kanban_Helper!$B145),Calc!$Y$8:$Y$500,0)))=0,"",CONCATENATE(Calc!$AD$6,INDEX(Calc!$J$8:$J$500,MATCH(SMALL(IF((Calc!$K$8:$K$500=Kanban!C$11)*(Calc!$Y$8:$Y$500&gt;0),Calc!$Y$8:$Y$500,99999),Kanban_Helper!$B145),Calc!$Y$8:$Y$500,0)))))),"")</f>
        <v/>
      </c>
      <c r="D152" s="172" t="str">
        <f t="array" ref="D152">IFERROR(IF(LEN(D$11)=0,"",IF($C$7&lt;&gt;"All",IF(LEN(INDEX(Calc!$J$8:$J$500,MATCH(SMALL(IF((Calc!$C$8:$C$500=Kanban!$C$7)*(Calc!$K$8:$K$500=Kanban!D$11)*(Calc!$Y$8:$Y$500&gt;0),Calc!$Y$8:$Y$500,99999),Kanban_Helper!$B145),Calc!$Y$8:$Y$500,0)))=0,"",CONCATENATE(Calc!$AD$6,INDEX(Calc!$J$8:$J$500,MATCH(SMALL(IF((Calc!$C$8:$C$500=Kanban!$C$7)*(Calc!$K$8:$K$500=Kanban!D$11)*(Calc!$Y$8:$Y$500&gt;0),Calc!$Y$8:$Y$500,99999),Kanban_Helper!$B145),Calc!$Y$8:$Y$500,0)))),IF(LEN(INDEX(Calc!$J$8:$J$500,MATCH(SMALL(IF((Calc!$K$8:$K$500=Kanban!D$11)*(Calc!$Y$8:$Y$500&gt;0),Calc!$Y$8:$Y$500,99999),Kanban_Helper!$B145),Calc!$Y$8:$Y$500,0)))=0,"",CONCATENATE(Calc!$AD$6,INDEX(Calc!$J$8:$J$500,MATCH(SMALL(IF((Calc!$K$8:$K$500=Kanban!D$11)*(Calc!$Y$8:$Y$500&gt;0),Calc!$Y$8:$Y$500,99999),Kanban_Helper!$B145),Calc!$Y$8:$Y$500,0)))))),"")</f>
        <v/>
      </c>
      <c r="E152" s="172" t="str">
        <f t="array" ref="E152">IFERROR(IF(LEN(E$11)=0,"",IF($C$7&lt;&gt;"All",IF(LEN(INDEX(Calc!$J$8:$J$500,MATCH(SMALL(IF((Calc!$C$8:$C$500=Kanban!$C$7)*(Calc!$K$8:$K$500=Kanban!E$11)*(Calc!$Y$8:$Y$500&gt;0),Calc!$Y$8:$Y$500,99999),Kanban_Helper!$B145),Calc!$Y$8:$Y$500,0)))=0,"",CONCATENATE(Calc!$AD$6,INDEX(Calc!$J$8:$J$500,MATCH(SMALL(IF((Calc!$C$8:$C$500=Kanban!$C$7)*(Calc!$K$8:$K$500=Kanban!E$11)*(Calc!$Y$8:$Y$500&gt;0),Calc!$Y$8:$Y$500,99999),Kanban_Helper!$B145),Calc!$Y$8:$Y$500,0)))),IF(LEN(INDEX(Calc!$J$8:$J$500,MATCH(SMALL(IF((Calc!$K$8:$K$500=Kanban!E$11)*(Calc!$Y$8:$Y$500&gt;0),Calc!$Y$8:$Y$500,99999),Kanban_Helper!$B145),Calc!$Y$8:$Y$500,0)))=0,"",CONCATENATE(Calc!$AD$6,INDEX(Calc!$J$8:$J$500,MATCH(SMALL(IF((Calc!$K$8:$K$500=Kanban!E$11)*(Calc!$Y$8:$Y$500&gt;0),Calc!$Y$8:$Y$500,99999),Kanban_Helper!$B145),Calc!$Y$8:$Y$500,0)))))),"")</f>
        <v/>
      </c>
      <c r="F152" s="172" t="str">
        <f t="array" ref="F152">IFERROR(IF(LEN(F$11)=0,"",IF($C$7&lt;&gt;"All",IF(LEN(INDEX(Calc!$J$8:$J$500,MATCH(SMALL(IF((Calc!$C$8:$C$500=Kanban!$C$7)*(Calc!$K$8:$K$500=Kanban!F$11)*(Calc!$Y$8:$Y$500&gt;0),Calc!$Y$8:$Y$500,99999),Kanban_Helper!$B145),Calc!$Y$8:$Y$500,0)))=0,"",CONCATENATE(Calc!$AD$6,INDEX(Calc!$J$8:$J$500,MATCH(SMALL(IF((Calc!$C$8:$C$500=Kanban!$C$7)*(Calc!$K$8:$K$500=Kanban!F$11)*(Calc!$Y$8:$Y$500&gt;0),Calc!$Y$8:$Y$500,99999),Kanban_Helper!$B145),Calc!$Y$8:$Y$500,0)))),IF(LEN(INDEX(Calc!$J$8:$J$500,MATCH(SMALL(IF((Calc!$K$8:$K$500=Kanban!F$11)*(Calc!$Y$8:$Y$500&gt;0),Calc!$Y$8:$Y$500,99999),Kanban_Helper!$B145),Calc!$Y$8:$Y$500,0)))=0,"",CONCATENATE(Calc!$AD$6,INDEX(Calc!$J$8:$J$500,MATCH(SMALL(IF((Calc!$K$8:$K$500=Kanban!F$11)*(Calc!$Y$8:$Y$500&gt;0),Calc!$Y$8:$Y$500,99999),Kanban_Helper!$B145),Calc!$Y$8:$Y$500,0)))))),"")</f>
        <v/>
      </c>
      <c r="G152" s="172" t="str">
        <f t="array" ref="G152">IFERROR(IF(LEN(G$11)=0,"",IF($C$7&lt;&gt;"All",IF(LEN(INDEX(Calc!$J$8:$J$500,MATCH(SMALL(IF((Calc!$C$8:$C$500=Kanban!$C$7)*(Calc!$K$8:$K$500=Kanban!G$11)*(Calc!$Y$8:$Y$500&gt;0),Calc!$Y$8:$Y$500,99999),Kanban_Helper!$B145),Calc!$Y$8:$Y$500,0)))=0,"",CONCATENATE(Calc!$AD$6,INDEX(Calc!$J$8:$J$500,MATCH(SMALL(IF((Calc!$C$8:$C$500=Kanban!$C$7)*(Calc!$K$8:$K$500=Kanban!G$11)*(Calc!$Y$8:$Y$500&gt;0),Calc!$Y$8:$Y$500,99999),Kanban_Helper!$B145),Calc!$Y$8:$Y$500,0)))),IF(LEN(INDEX(Calc!$J$8:$J$500,MATCH(SMALL(IF((Calc!$K$8:$K$500=Kanban!G$11)*(Calc!$Y$8:$Y$500&gt;0),Calc!$Y$8:$Y$500,99999),Kanban_Helper!$B145),Calc!$Y$8:$Y$500,0)))=0,"",CONCATENATE(Calc!$AD$6,INDEX(Calc!$J$8:$J$500,MATCH(SMALL(IF((Calc!$K$8:$K$500=Kanban!G$11)*(Calc!$Y$8:$Y$500&gt;0),Calc!$Y$8:$Y$500,99999),Kanban_Helper!$B145),Calc!$Y$8:$Y$500,0)))))),"")</f>
        <v/>
      </c>
      <c r="H152" s="172" t="str">
        <f t="array" ref="H152">IFERROR(IF(LEN(H$11)=0,"",IF($C$7&lt;&gt;"All",IF(LEN(INDEX(Calc!$J$8:$J$500,MATCH(SMALL(IF((Calc!$C$8:$C$500=Kanban!$C$7)*(Calc!$K$8:$K$500=Kanban!H$11)*(Calc!$Y$8:$Y$500&gt;0),Calc!$Y$8:$Y$500,99999),Kanban_Helper!$B145),Calc!$Y$8:$Y$500,0)))=0,"",CONCATENATE(Calc!$AD$6,INDEX(Calc!$J$8:$J$500,MATCH(SMALL(IF((Calc!$C$8:$C$500=Kanban!$C$7)*(Calc!$K$8:$K$500=Kanban!H$11)*(Calc!$Y$8:$Y$500&gt;0),Calc!$Y$8:$Y$500,99999),Kanban_Helper!$B145),Calc!$Y$8:$Y$500,0)))),IF(LEN(INDEX(Calc!$J$8:$J$500,MATCH(SMALL(IF((Calc!$K$8:$K$500=Kanban!H$11)*(Calc!$Y$8:$Y$500&gt;0),Calc!$Y$8:$Y$500,99999),Kanban_Helper!$B145),Calc!$Y$8:$Y$500,0)))=0,"",CONCATENATE(Calc!$AD$6,INDEX(Calc!$J$8:$J$500,MATCH(SMALL(IF((Calc!$K$8:$K$500=Kanban!H$11)*(Calc!$Y$8:$Y$500&gt;0),Calc!$Y$8:$Y$500,99999),Kanban_Helper!$B145),Calc!$Y$8:$Y$500,0)))))),"")</f>
        <v/>
      </c>
      <c r="I152" s="39"/>
    </row>
    <row r="153" spans="2:9" ht="15" thickTop="1" x14ac:dyDescent="0.35">
      <c r="B153" s="81"/>
      <c r="C153" s="170" t="str">
        <f t="array" ref="C153">IFERROR(IF(LEN(C$11)=0,"",IF($C$7&lt;&gt;"All",IF(INDEX(Calc!$V$8:$V$500,MATCH(INDEX(Calc!$D$8:$D$500,MATCH(SMALL(IF((Calc!$C$8:$C$500=Kanban!$C$7)*(Calc!$K$8:$K$500=Kanban!C$11)*(Calc!$Y$8:$Y$500&gt;0),Calc!$Y$8:$Y$500,99999),Kanban_Helper!$B146),Calc!$Y$8:$Y$500,0)),Calc!$D$8:$D$500,0))="Yes",CONCATENATE(INDEX(Calc!$D$8:$D$500,MATCH(SMALL(IF((Calc!$C$8:$C$500=Kanban!$C$7)*(Calc!$K$8:$K$500=Kanban!C$11)*(Calc!$Y$8:$Y$500&gt;0),Calc!$Y$8:$Y$500,99999),Kanban_Helper!$B146),Calc!$Y$8:$Y$500,0))," ",Calc!$V$7," ","!"),INDEX(Calc!$D$8:$D$500,MATCH(SMALL(IF((Calc!$C$8:$C$500=Kanban!$C$7)*(Calc!$K$8:$K$500=Kanban!C$11)*(Calc!$Y$8:$Y$500&gt;0),Calc!$Y$8:$Y$500,99999),Kanban_Helper!$B146),Calc!$Y$8:$Y$500,0))),IF(INDEX(Calc!$V$8:$V$500,MATCH(INDEX(Calc!$D$8:$D$500,MATCH(SMALL(IF((Calc!$K$8:$K$500=Kanban!C$11)*(Calc!$Y$8:$Y$500&gt;0),Calc!$Y$8:$Y$500,99999),Kanban_Helper!$B146),Calc!$Y$8:$Y$500,0)),Calc!$D$8:$D$500,0))="Yes",CONCATENATE(INDEX(Calc!$D$8:$D$500,MATCH(SMALL(IF((Calc!$K$8:$K$500=Kanban!C$11)*(Calc!$Y$8:$Y$500&gt;0),Calc!$Y$8:$Y$500,99999),Kanban_Helper!$B146),Calc!$Y$8:$Y$500,0))," ",Calc!$V$7," ","!"),INDEX(Calc!$D$8:$D$500,MATCH(SMALL(IF((Calc!$K$8:$K$500=Kanban!C$11)*(Calc!$Y$8:$Y$500&gt;0),Calc!$Y$8:$Y$500,99999),Kanban_Helper!$B146),Calc!$Y$8:$Y$500,0))))),"")</f>
        <v/>
      </c>
      <c r="D153" s="170" t="str">
        <f t="array" ref="D153">IFERROR(IF(LEN(D$11)=0,"",IF($C$7&lt;&gt;"All",IF(INDEX(Calc!$V$8:$V$500,MATCH(INDEX(Calc!$D$8:$D$500,MATCH(SMALL(IF((Calc!$C$8:$C$500=Kanban!$C$7)*(Calc!$K$8:$K$500=Kanban!D$11)*(Calc!$Y$8:$Y$500&gt;0),Calc!$Y$8:$Y$500,99999),Kanban_Helper!$B146),Calc!$Y$8:$Y$500,0)),Calc!$D$8:$D$500,0))="Yes",CONCATENATE(INDEX(Calc!$D$8:$D$500,MATCH(SMALL(IF((Calc!$C$8:$C$500=Kanban!$C$7)*(Calc!$K$8:$K$500=Kanban!D$11)*(Calc!$Y$8:$Y$500&gt;0),Calc!$Y$8:$Y$500,99999),Kanban_Helper!$B146),Calc!$Y$8:$Y$500,0))," ",Calc!$V$7," ","!"),INDEX(Calc!$D$8:$D$500,MATCH(SMALL(IF((Calc!$C$8:$C$500=Kanban!$C$7)*(Calc!$K$8:$K$500=Kanban!D$11)*(Calc!$Y$8:$Y$500&gt;0),Calc!$Y$8:$Y$500,99999),Kanban_Helper!$B146),Calc!$Y$8:$Y$500,0))),IF(INDEX(Calc!$V$8:$V$500,MATCH(INDEX(Calc!$D$8:$D$500,MATCH(SMALL(IF((Calc!$K$8:$K$500=Kanban!D$11)*(Calc!$Y$8:$Y$500&gt;0),Calc!$Y$8:$Y$500,99999),Kanban_Helper!$B146),Calc!$Y$8:$Y$500,0)),Calc!$D$8:$D$500,0))="Yes",CONCATENATE(INDEX(Calc!$D$8:$D$500,MATCH(SMALL(IF((Calc!$K$8:$K$500=Kanban!D$11)*(Calc!$Y$8:$Y$500&gt;0),Calc!$Y$8:$Y$500,99999),Kanban_Helper!$B146),Calc!$Y$8:$Y$500,0))," ",Calc!$V$7," ","!"),INDEX(Calc!$D$8:$D$500,MATCH(SMALL(IF((Calc!$K$8:$K$500=Kanban!D$11)*(Calc!$Y$8:$Y$500&gt;0),Calc!$Y$8:$Y$500,99999),Kanban_Helper!$B146),Calc!$Y$8:$Y$500,0))))),"")</f>
        <v/>
      </c>
      <c r="E153" s="170" t="str">
        <f t="array" ref="E153">IFERROR(IF(LEN(E$11)=0,"",IF($C$7&lt;&gt;"All",IF(INDEX(Calc!$V$8:$V$500,MATCH(INDEX(Calc!$D$8:$D$500,MATCH(SMALL(IF((Calc!$C$8:$C$500=Kanban!$C$7)*(Calc!$K$8:$K$500=Kanban!E$11)*(Calc!$Y$8:$Y$500&gt;0),Calc!$Y$8:$Y$500,99999),Kanban_Helper!$B146),Calc!$Y$8:$Y$500,0)),Calc!$D$8:$D$500,0))="Yes",CONCATENATE(INDEX(Calc!$D$8:$D$500,MATCH(SMALL(IF((Calc!$C$8:$C$500=Kanban!$C$7)*(Calc!$K$8:$K$500=Kanban!E$11)*(Calc!$Y$8:$Y$500&gt;0),Calc!$Y$8:$Y$500,99999),Kanban_Helper!$B146),Calc!$Y$8:$Y$500,0))," ",Calc!$V$7," ","!"),INDEX(Calc!$D$8:$D$500,MATCH(SMALL(IF((Calc!$C$8:$C$500=Kanban!$C$7)*(Calc!$K$8:$K$500=Kanban!E$11)*(Calc!$Y$8:$Y$500&gt;0),Calc!$Y$8:$Y$500,99999),Kanban_Helper!$B146),Calc!$Y$8:$Y$500,0))),IF(INDEX(Calc!$V$8:$V$500,MATCH(INDEX(Calc!$D$8:$D$500,MATCH(SMALL(IF((Calc!$K$8:$K$500=Kanban!E$11)*(Calc!$Y$8:$Y$500&gt;0),Calc!$Y$8:$Y$500,99999),Kanban_Helper!$B146),Calc!$Y$8:$Y$500,0)),Calc!$D$8:$D$500,0))="Yes",CONCATENATE(INDEX(Calc!$D$8:$D$500,MATCH(SMALL(IF((Calc!$K$8:$K$500=Kanban!E$11)*(Calc!$Y$8:$Y$500&gt;0),Calc!$Y$8:$Y$500,99999),Kanban_Helper!$B146),Calc!$Y$8:$Y$500,0))," ",Calc!$V$7," ","!"),INDEX(Calc!$D$8:$D$500,MATCH(SMALL(IF((Calc!$K$8:$K$500=Kanban!E$11)*(Calc!$Y$8:$Y$500&gt;0),Calc!$Y$8:$Y$500,99999),Kanban_Helper!$B146),Calc!$Y$8:$Y$500,0))))),"")</f>
        <v/>
      </c>
      <c r="F153" s="170" t="str">
        <f t="array" ref="F153">IFERROR(IF(LEN(F$11)=0,"",IF($C$7&lt;&gt;"All",IF(INDEX(Calc!$V$8:$V$500,MATCH(INDEX(Calc!$D$8:$D$500,MATCH(SMALL(IF((Calc!$C$8:$C$500=Kanban!$C$7)*(Calc!$K$8:$K$500=Kanban!F$11)*(Calc!$Y$8:$Y$500&gt;0),Calc!$Y$8:$Y$500,99999),Kanban_Helper!$B146),Calc!$Y$8:$Y$500,0)),Calc!$D$8:$D$500,0))="Yes",CONCATENATE(INDEX(Calc!$D$8:$D$500,MATCH(SMALL(IF((Calc!$C$8:$C$500=Kanban!$C$7)*(Calc!$K$8:$K$500=Kanban!F$11)*(Calc!$Y$8:$Y$500&gt;0),Calc!$Y$8:$Y$500,99999),Kanban_Helper!$B146),Calc!$Y$8:$Y$500,0))," ",Calc!$V$7," ","!"),INDEX(Calc!$D$8:$D$500,MATCH(SMALL(IF((Calc!$C$8:$C$500=Kanban!$C$7)*(Calc!$K$8:$K$500=Kanban!F$11)*(Calc!$Y$8:$Y$500&gt;0),Calc!$Y$8:$Y$500,99999),Kanban_Helper!$B146),Calc!$Y$8:$Y$500,0))),IF(INDEX(Calc!$V$8:$V$500,MATCH(INDEX(Calc!$D$8:$D$500,MATCH(SMALL(IF((Calc!$K$8:$K$500=Kanban!F$11)*(Calc!$Y$8:$Y$500&gt;0),Calc!$Y$8:$Y$500,99999),Kanban_Helper!$B146),Calc!$Y$8:$Y$500,0)),Calc!$D$8:$D$500,0))="Yes",CONCATENATE(INDEX(Calc!$D$8:$D$500,MATCH(SMALL(IF((Calc!$K$8:$K$500=Kanban!F$11)*(Calc!$Y$8:$Y$500&gt;0),Calc!$Y$8:$Y$500,99999),Kanban_Helper!$B146),Calc!$Y$8:$Y$500,0))," ",Calc!$V$7," ","!"),INDEX(Calc!$D$8:$D$500,MATCH(SMALL(IF((Calc!$K$8:$K$500=Kanban!F$11)*(Calc!$Y$8:$Y$500&gt;0),Calc!$Y$8:$Y$500,99999),Kanban_Helper!$B146),Calc!$Y$8:$Y$500,0))))),"")</f>
        <v/>
      </c>
      <c r="G153" s="170" t="str">
        <f t="array" ref="G153">IFERROR(IF(LEN(G$11)=0,"",IF($C$7&lt;&gt;"All",IF(INDEX(Calc!$V$8:$V$500,MATCH(INDEX(Calc!$D$8:$D$500,MATCH(SMALL(IF((Calc!$C$8:$C$500=Kanban!$C$7)*(Calc!$K$8:$K$500=Kanban!G$11)*(Calc!$Y$8:$Y$500&gt;0),Calc!$Y$8:$Y$500,99999),Kanban_Helper!$B146),Calc!$Y$8:$Y$500,0)),Calc!$D$8:$D$500,0))="Yes",CONCATENATE(INDEX(Calc!$D$8:$D$500,MATCH(SMALL(IF((Calc!$C$8:$C$500=Kanban!$C$7)*(Calc!$K$8:$K$500=Kanban!G$11)*(Calc!$Y$8:$Y$500&gt;0),Calc!$Y$8:$Y$500,99999),Kanban_Helper!$B146),Calc!$Y$8:$Y$500,0))," ",Calc!$V$7," ","!"),INDEX(Calc!$D$8:$D$500,MATCH(SMALL(IF((Calc!$C$8:$C$500=Kanban!$C$7)*(Calc!$K$8:$K$500=Kanban!G$11)*(Calc!$Y$8:$Y$500&gt;0),Calc!$Y$8:$Y$500,99999),Kanban_Helper!$B146),Calc!$Y$8:$Y$500,0))),IF(INDEX(Calc!$V$8:$V$500,MATCH(INDEX(Calc!$D$8:$D$500,MATCH(SMALL(IF((Calc!$K$8:$K$500=Kanban!G$11)*(Calc!$Y$8:$Y$500&gt;0),Calc!$Y$8:$Y$500,99999),Kanban_Helper!$B146),Calc!$Y$8:$Y$500,0)),Calc!$D$8:$D$500,0))="Yes",CONCATENATE(INDEX(Calc!$D$8:$D$500,MATCH(SMALL(IF((Calc!$K$8:$K$500=Kanban!G$11)*(Calc!$Y$8:$Y$500&gt;0),Calc!$Y$8:$Y$500,99999),Kanban_Helper!$B146),Calc!$Y$8:$Y$500,0))," ",Calc!$V$7," ","!"),INDEX(Calc!$D$8:$D$500,MATCH(SMALL(IF((Calc!$K$8:$K$500=Kanban!G$11)*(Calc!$Y$8:$Y$500&gt;0),Calc!$Y$8:$Y$500,99999),Kanban_Helper!$B146),Calc!$Y$8:$Y$500,0))))),"")</f>
        <v/>
      </c>
      <c r="H153" s="170" t="str">
        <f t="array" ref="H153">IFERROR(IF(LEN(H$11)=0,"",IF($C$7&lt;&gt;"All",IF(INDEX(Calc!$V$8:$V$500,MATCH(INDEX(Calc!$D$8:$D$500,MATCH(SMALL(IF((Calc!$C$8:$C$500=Kanban!$C$7)*(Calc!$K$8:$K$500=Kanban!H$11)*(Calc!$Y$8:$Y$500&gt;0),Calc!$Y$8:$Y$500,99999),Kanban_Helper!$B146),Calc!$Y$8:$Y$500,0)),Calc!$D$8:$D$500,0))="Yes",CONCATENATE(INDEX(Calc!$D$8:$D$500,MATCH(SMALL(IF((Calc!$C$8:$C$500=Kanban!$C$7)*(Calc!$K$8:$K$500=Kanban!H$11)*(Calc!$Y$8:$Y$500&gt;0),Calc!$Y$8:$Y$500,99999),Kanban_Helper!$B146),Calc!$Y$8:$Y$500,0))," ",Calc!$V$7," ","!"),INDEX(Calc!$D$8:$D$500,MATCH(SMALL(IF((Calc!$C$8:$C$500=Kanban!$C$7)*(Calc!$K$8:$K$500=Kanban!H$11)*(Calc!$Y$8:$Y$500&gt;0),Calc!$Y$8:$Y$500,99999),Kanban_Helper!$B146),Calc!$Y$8:$Y$500,0))),IF(INDEX(Calc!$V$8:$V$500,MATCH(INDEX(Calc!$D$8:$D$500,MATCH(SMALL(IF((Calc!$K$8:$K$500=Kanban!H$11)*(Calc!$Y$8:$Y$500&gt;0),Calc!$Y$8:$Y$500,99999),Kanban_Helper!$B146),Calc!$Y$8:$Y$500,0)),Calc!$D$8:$D$500,0))="Yes",CONCATENATE(INDEX(Calc!$D$8:$D$500,MATCH(SMALL(IF((Calc!$K$8:$K$500=Kanban!H$11)*(Calc!$Y$8:$Y$500&gt;0),Calc!$Y$8:$Y$500,99999),Kanban_Helper!$B146),Calc!$Y$8:$Y$500,0))," ",Calc!$V$7," ","!"),INDEX(Calc!$D$8:$D$500,MATCH(SMALL(IF((Calc!$K$8:$K$500=Kanban!H$11)*(Calc!$Y$8:$Y$500&gt;0),Calc!$Y$8:$Y$500,99999),Kanban_Helper!$B146),Calc!$Y$8:$Y$500,0))))),"")</f>
        <v/>
      </c>
      <c r="I153" s="39"/>
    </row>
    <row r="154" spans="2:9" x14ac:dyDescent="0.35">
      <c r="B154" s="81"/>
      <c r="C154" s="171" t="str">
        <f t="array" ref="C154">IFERROR(IF(LEN(C$11)=0,"",IF($C$7&lt;&gt;"All",INDEX(Calc!$E$8:$E$500,MATCH(SMALL(IF((Calc!$C$8:$C$500=Kanban!$C$7)*(Calc!$K$8:$K$500=Kanban!C$11)*(Calc!$Y$8:$Y$500&gt;0),Calc!$Y$8:$Y$500,99999),Kanban_Helper!$B147),Calc!$Y$8:$Y$500,0)),INDEX(Calc!$E$8:$E$500,MATCH(SMALL(IF((Calc!$K$8:$K$500=Kanban!C$11)*(Calc!$Y$8:$Y$500&gt;0),Calc!$Y$8:$Y$500,99999),Kanban_Helper!$B147),Calc!$Y$8:$Y$500,0)))),"")</f>
        <v/>
      </c>
      <c r="D154" s="171" t="str">
        <f t="array" ref="D154">IFERROR(IF(LEN(D$11)=0,"",IF($C$7&lt;&gt;"All",INDEX(Calc!$E$8:$E$500,MATCH(SMALL(IF((Calc!$C$8:$C$500=Kanban!$C$7)*(Calc!$K$8:$K$500=Kanban!D$11)*(Calc!$Y$8:$Y$500&gt;0),Calc!$Y$8:$Y$500,99999),Kanban_Helper!$B147),Calc!$Y$8:$Y$500,0)),INDEX(Calc!$E$8:$E$500,MATCH(SMALL(IF((Calc!$K$8:$K$500=Kanban!D$11)*(Calc!$Y$8:$Y$500&gt;0),Calc!$Y$8:$Y$500,99999),Kanban_Helper!$B147),Calc!$Y$8:$Y$500,0)))),"")</f>
        <v/>
      </c>
      <c r="E154" s="171" t="str">
        <f t="array" ref="E154">IFERROR(IF(LEN(E$11)=0,"",IF($C$7&lt;&gt;"All",INDEX(Calc!$E$8:$E$500,MATCH(SMALL(IF((Calc!$C$8:$C$500=Kanban!$C$7)*(Calc!$K$8:$K$500=Kanban!E$11)*(Calc!$Y$8:$Y$500&gt;0),Calc!$Y$8:$Y$500,99999),Kanban_Helper!$B147),Calc!$Y$8:$Y$500,0)),INDEX(Calc!$E$8:$E$500,MATCH(SMALL(IF((Calc!$K$8:$K$500=Kanban!E$11)*(Calc!$Y$8:$Y$500&gt;0),Calc!$Y$8:$Y$500,99999),Kanban_Helper!$B147),Calc!$Y$8:$Y$500,0)))),"")</f>
        <v/>
      </c>
      <c r="F154" s="171" t="str">
        <f t="array" ref="F154">IFERROR(IF(LEN(F$11)=0,"",IF($C$7&lt;&gt;"All",INDEX(Calc!$E$8:$E$500,MATCH(SMALL(IF((Calc!$C$8:$C$500=Kanban!$C$7)*(Calc!$K$8:$K$500=Kanban!F$11)*(Calc!$Y$8:$Y$500&gt;0),Calc!$Y$8:$Y$500,99999),Kanban_Helper!$B147),Calc!$Y$8:$Y$500,0)),INDEX(Calc!$E$8:$E$500,MATCH(SMALL(IF((Calc!$K$8:$K$500=Kanban!F$11)*(Calc!$Y$8:$Y$500&gt;0),Calc!$Y$8:$Y$500,99999),Kanban_Helper!$B147),Calc!$Y$8:$Y$500,0)))),"")</f>
        <v/>
      </c>
      <c r="G154" s="171" t="str">
        <f t="array" ref="G154">IFERROR(IF(LEN(G$11)=0,"",IF($C$7&lt;&gt;"All",INDEX(Calc!$E$8:$E$500,MATCH(SMALL(IF((Calc!$C$8:$C$500=Kanban!$C$7)*(Calc!$K$8:$K$500=Kanban!G$11)*(Calc!$Y$8:$Y$500&gt;0),Calc!$Y$8:$Y$500,99999),Kanban_Helper!$B147),Calc!$Y$8:$Y$500,0)),INDEX(Calc!$E$8:$E$500,MATCH(SMALL(IF((Calc!$K$8:$K$500=Kanban!G$11)*(Calc!$Y$8:$Y$500&gt;0),Calc!$Y$8:$Y$500,99999),Kanban_Helper!$B147),Calc!$Y$8:$Y$500,0)))),"")</f>
        <v/>
      </c>
      <c r="H154" s="171" t="str">
        <f t="array" ref="H154">IFERROR(IF(LEN(H$11)=0,"",IF($C$7&lt;&gt;"All",INDEX(Calc!$E$8:$E$500,MATCH(SMALL(IF((Calc!$C$8:$C$500=Kanban!$C$7)*(Calc!$K$8:$K$500=Kanban!H$11)*(Calc!$Y$8:$Y$500&gt;0),Calc!$Y$8:$Y$500,99999),Kanban_Helper!$B147),Calc!$Y$8:$Y$500,0)),INDEX(Calc!$E$8:$E$500,MATCH(SMALL(IF((Calc!$K$8:$K$500=Kanban!H$11)*(Calc!$Y$8:$Y$500&gt;0),Calc!$Y$8:$Y$500,99999),Kanban_Helper!$B147),Calc!$Y$8:$Y$500,0)))),"")</f>
        <v/>
      </c>
      <c r="I154" s="39"/>
    </row>
    <row r="155" spans="2:9" ht="15" thickBot="1" x14ac:dyDescent="0.4">
      <c r="B155" s="81"/>
      <c r="C155" s="172" t="str">
        <f t="array" ref="C155">IFERROR(IF(LEN(C$11)=0,"",IF($C$7&lt;&gt;"All",IF(LEN(INDEX(Calc!$J$8:$J$500,MATCH(SMALL(IF((Calc!$C$8:$C$500=Kanban!$C$7)*(Calc!$K$8:$K$500=Kanban!C$11)*(Calc!$Y$8:$Y$500&gt;0),Calc!$Y$8:$Y$500,99999),Kanban_Helper!$B148),Calc!$Y$8:$Y$500,0)))=0,"",CONCATENATE(Calc!$AD$6,INDEX(Calc!$J$8:$J$500,MATCH(SMALL(IF((Calc!$C$8:$C$500=Kanban!$C$7)*(Calc!$K$8:$K$500=Kanban!C$11)*(Calc!$Y$8:$Y$500&gt;0),Calc!$Y$8:$Y$500,99999),Kanban_Helper!$B148),Calc!$Y$8:$Y$500,0)))),IF(LEN(INDEX(Calc!$J$8:$J$500,MATCH(SMALL(IF((Calc!$K$8:$K$500=Kanban!C$11)*(Calc!$Y$8:$Y$500&gt;0),Calc!$Y$8:$Y$500,99999),Kanban_Helper!$B148),Calc!$Y$8:$Y$500,0)))=0,"",CONCATENATE(Calc!$AD$6,INDEX(Calc!$J$8:$J$500,MATCH(SMALL(IF((Calc!$K$8:$K$500=Kanban!C$11)*(Calc!$Y$8:$Y$500&gt;0),Calc!$Y$8:$Y$500,99999),Kanban_Helper!$B148),Calc!$Y$8:$Y$500,0)))))),"")</f>
        <v/>
      </c>
      <c r="D155" s="172" t="str">
        <f t="array" ref="D155">IFERROR(IF(LEN(D$11)=0,"",IF($C$7&lt;&gt;"All",IF(LEN(INDEX(Calc!$J$8:$J$500,MATCH(SMALL(IF((Calc!$C$8:$C$500=Kanban!$C$7)*(Calc!$K$8:$K$500=Kanban!D$11)*(Calc!$Y$8:$Y$500&gt;0),Calc!$Y$8:$Y$500,99999),Kanban_Helper!$B148),Calc!$Y$8:$Y$500,0)))=0,"",CONCATENATE(Calc!$AD$6,INDEX(Calc!$J$8:$J$500,MATCH(SMALL(IF((Calc!$C$8:$C$500=Kanban!$C$7)*(Calc!$K$8:$K$500=Kanban!D$11)*(Calc!$Y$8:$Y$500&gt;0),Calc!$Y$8:$Y$500,99999),Kanban_Helper!$B148),Calc!$Y$8:$Y$500,0)))),IF(LEN(INDEX(Calc!$J$8:$J$500,MATCH(SMALL(IF((Calc!$K$8:$K$500=Kanban!D$11)*(Calc!$Y$8:$Y$500&gt;0),Calc!$Y$8:$Y$500,99999),Kanban_Helper!$B148),Calc!$Y$8:$Y$500,0)))=0,"",CONCATENATE(Calc!$AD$6,INDEX(Calc!$J$8:$J$500,MATCH(SMALL(IF((Calc!$K$8:$K$500=Kanban!D$11)*(Calc!$Y$8:$Y$500&gt;0),Calc!$Y$8:$Y$500,99999),Kanban_Helper!$B148),Calc!$Y$8:$Y$500,0)))))),"")</f>
        <v/>
      </c>
      <c r="E155" s="172" t="str">
        <f t="array" ref="E155">IFERROR(IF(LEN(E$11)=0,"",IF($C$7&lt;&gt;"All",IF(LEN(INDEX(Calc!$J$8:$J$500,MATCH(SMALL(IF((Calc!$C$8:$C$500=Kanban!$C$7)*(Calc!$K$8:$K$500=Kanban!E$11)*(Calc!$Y$8:$Y$500&gt;0),Calc!$Y$8:$Y$500,99999),Kanban_Helper!$B148),Calc!$Y$8:$Y$500,0)))=0,"",CONCATENATE(Calc!$AD$6,INDEX(Calc!$J$8:$J$500,MATCH(SMALL(IF((Calc!$C$8:$C$500=Kanban!$C$7)*(Calc!$K$8:$K$500=Kanban!E$11)*(Calc!$Y$8:$Y$500&gt;0),Calc!$Y$8:$Y$500,99999),Kanban_Helper!$B148),Calc!$Y$8:$Y$500,0)))),IF(LEN(INDEX(Calc!$J$8:$J$500,MATCH(SMALL(IF((Calc!$K$8:$K$500=Kanban!E$11)*(Calc!$Y$8:$Y$500&gt;0),Calc!$Y$8:$Y$500,99999),Kanban_Helper!$B148),Calc!$Y$8:$Y$500,0)))=0,"",CONCATENATE(Calc!$AD$6,INDEX(Calc!$J$8:$J$500,MATCH(SMALL(IF((Calc!$K$8:$K$500=Kanban!E$11)*(Calc!$Y$8:$Y$500&gt;0),Calc!$Y$8:$Y$500,99999),Kanban_Helper!$B148),Calc!$Y$8:$Y$500,0)))))),"")</f>
        <v/>
      </c>
      <c r="F155" s="172" t="str">
        <f t="array" ref="F155">IFERROR(IF(LEN(F$11)=0,"",IF($C$7&lt;&gt;"All",IF(LEN(INDEX(Calc!$J$8:$J$500,MATCH(SMALL(IF((Calc!$C$8:$C$500=Kanban!$C$7)*(Calc!$K$8:$K$500=Kanban!F$11)*(Calc!$Y$8:$Y$500&gt;0),Calc!$Y$8:$Y$500,99999),Kanban_Helper!$B148),Calc!$Y$8:$Y$500,0)))=0,"",CONCATENATE(Calc!$AD$6,INDEX(Calc!$J$8:$J$500,MATCH(SMALL(IF((Calc!$C$8:$C$500=Kanban!$C$7)*(Calc!$K$8:$K$500=Kanban!F$11)*(Calc!$Y$8:$Y$500&gt;0),Calc!$Y$8:$Y$500,99999),Kanban_Helper!$B148),Calc!$Y$8:$Y$500,0)))),IF(LEN(INDEX(Calc!$J$8:$J$500,MATCH(SMALL(IF((Calc!$K$8:$K$500=Kanban!F$11)*(Calc!$Y$8:$Y$500&gt;0),Calc!$Y$8:$Y$500,99999),Kanban_Helper!$B148),Calc!$Y$8:$Y$500,0)))=0,"",CONCATENATE(Calc!$AD$6,INDEX(Calc!$J$8:$J$500,MATCH(SMALL(IF((Calc!$K$8:$K$500=Kanban!F$11)*(Calc!$Y$8:$Y$500&gt;0),Calc!$Y$8:$Y$500,99999),Kanban_Helper!$B148),Calc!$Y$8:$Y$500,0)))))),"")</f>
        <v/>
      </c>
      <c r="G155" s="172" t="str">
        <f t="array" ref="G155">IFERROR(IF(LEN(G$11)=0,"",IF($C$7&lt;&gt;"All",IF(LEN(INDEX(Calc!$J$8:$J$500,MATCH(SMALL(IF((Calc!$C$8:$C$500=Kanban!$C$7)*(Calc!$K$8:$K$500=Kanban!G$11)*(Calc!$Y$8:$Y$500&gt;0),Calc!$Y$8:$Y$500,99999),Kanban_Helper!$B148),Calc!$Y$8:$Y$500,0)))=0,"",CONCATENATE(Calc!$AD$6,INDEX(Calc!$J$8:$J$500,MATCH(SMALL(IF((Calc!$C$8:$C$500=Kanban!$C$7)*(Calc!$K$8:$K$500=Kanban!G$11)*(Calc!$Y$8:$Y$500&gt;0),Calc!$Y$8:$Y$500,99999),Kanban_Helper!$B148),Calc!$Y$8:$Y$500,0)))),IF(LEN(INDEX(Calc!$J$8:$J$500,MATCH(SMALL(IF((Calc!$K$8:$K$500=Kanban!G$11)*(Calc!$Y$8:$Y$500&gt;0),Calc!$Y$8:$Y$500,99999),Kanban_Helper!$B148),Calc!$Y$8:$Y$500,0)))=0,"",CONCATENATE(Calc!$AD$6,INDEX(Calc!$J$8:$J$500,MATCH(SMALL(IF((Calc!$K$8:$K$500=Kanban!G$11)*(Calc!$Y$8:$Y$500&gt;0),Calc!$Y$8:$Y$500,99999),Kanban_Helper!$B148),Calc!$Y$8:$Y$500,0)))))),"")</f>
        <v/>
      </c>
      <c r="H155" s="172" t="str">
        <f t="array" ref="H155">IFERROR(IF(LEN(H$11)=0,"",IF($C$7&lt;&gt;"All",IF(LEN(INDEX(Calc!$J$8:$J$500,MATCH(SMALL(IF((Calc!$C$8:$C$500=Kanban!$C$7)*(Calc!$K$8:$K$500=Kanban!H$11)*(Calc!$Y$8:$Y$500&gt;0),Calc!$Y$8:$Y$500,99999),Kanban_Helper!$B148),Calc!$Y$8:$Y$500,0)))=0,"",CONCATENATE(Calc!$AD$6,INDEX(Calc!$J$8:$J$500,MATCH(SMALL(IF((Calc!$C$8:$C$500=Kanban!$C$7)*(Calc!$K$8:$K$500=Kanban!H$11)*(Calc!$Y$8:$Y$500&gt;0),Calc!$Y$8:$Y$500,99999),Kanban_Helper!$B148),Calc!$Y$8:$Y$500,0)))),IF(LEN(INDEX(Calc!$J$8:$J$500,MATCH(SMALL(IF((Calc!$K$8:$K$500=Kanban!H$11)*(Calc!$Y$8:$Y$500&gt;0),Calc!$Y$8:$Y$500,99999),Kanban_Helper!$B148),Calc!$Y$8:$Y$500,0)))=0,"",CONCATENATE(Calc!$AD$6,INDEX(Calc!$J$8:$J$500,MATCH(SMALL(IF((Calc!$K$8:$K$500=Kanban!H$11)*(Calc!$Y$8:$Y$500&gt;0),Calc!$Y$8:$Y$500,99999),Kanban_Helper!$B148),Calc!$Y$8:$Y$500,0)))))),"")</f>
        <v/>
      </c>
      <c r="I155" s="39"/>
    </row>
    <row r="156" spans="2:9" ht="15" thickTop="1" x14ac:dyDescent="0.35">
      <c r="B156" s="81"/>
      <c r="C156" s="170" t="str">
        <f t="array" ref="C156">IFERROR(IF(LEN(C$11)=0,"",IF($C$7&lt;&gt;"All",IF(INDEX(Calc!$V$8:$V$500,MATCH(INDEX(Calc!$D$8:$D$500,MATCH(SMALL(IF((Calc!$C$8:$C$500=Kanban!$C$7)*(Calc!$K$8:$K$500=Kanban!C$11)*(Calc!$Y$8:$Y$500&gt;0),Calc!$Y$8:$Y$500,99999),Kanban_Helper!$B149),Calc!$Y$8:$Y$500,0)),Calc!$D$8:$D$500,0))="Yes",CONCATENATE(INDEX(Calc!$D$8:$D$500,MATCH(SMALL(IF((Calc!$C$8:$C$500=Kanban!$C$7)*(Calc!$K$8:$K$500=Kanban!C$11)*(Calc!$Y$8:$Y$500&gt;0),Calc!$Y$8:$Y$500,99999),Kanban_Helper!$B149),Calc!$Y$8:$Y$500,0))," ",Calc!$V$7," ","!"),INDEX(Calc!$D$8:$D$500,MATCH(SMALL(IF((Calc!$C$8:$C$500=Kanban!$C$7)*(Calc!$K$8:$K$500=Kanban!C$11)*(Calc!$Y$8:$Y$500&gt;0),Calc!$Y$8:$Y$500,99999),Kanban_Helper!$B149),Calc!$Y$8:$Y$500,0))),IF(INDEX(Calc!$V$8:$V$500,MATCH(INDEX(Calc!$D$8:$D$500,MATCH(SMALL(IF((Calc!$K$8:$K$500=Kanban!C$11)*(Calc!$Y$8:$Y$500&gt;0),Calc!$Y$8:$Y$500,99999),Kanban_Helper!$B149),Calc!$Y$8:$Y$500,0)),Calc!$D$8:$D$500,0))="Yes",CONCATENATE(INDEX(Calc!$D$8:$D$500,MATCH(SMALL(IF((Calc!$K$8:$K$500=Kanban!C$11)*(Calc!$Y$8:$Y$500&gt;0),Calc!$Y$8:$Y$500,99999),Kanban_Helper!$B149),Calc!$Y$8:$Y$500,0))," ",Calc!$V$7," ","!"),INDEX(Calc!$D$8:$D$500,MATCH(SMALL(IF((Calc!$K$8:$K$500=Kanban!C$11)*(Calc!$Y$8:$Y$500&gt;0),Calc!$Y$8:$Y$500,99999),Kanban_Helper!$B149),Calc!$Y$8:$Y$500,0))))),"")</f>
        <v/>
      </c>
      <c r="D156" s="170" t="str">
        <f t="array" ref="D156">IFERROR(IF(LEN(D$11)=0,"",IF($C$7&lt;&gt;"All",IF(INDEX(Calc!$V$8:$V$500,MATCH(INDEX(Calc!$D$8:$D$500,MATCH(SMALL(IF((Calc!$C$8:$C$500=Kanban!$C$7)*(Calc!$K$8:$K$500=Kanban!D$11)*(Calc!$Y$8:$Y$500&gt;0),Calc!$Y$8:$Y$500,99999),Kanban_Helper!$B149),Calc!$Y$8:$Y$500,0)),Calc!$D$8:$D$500,0))="Yes",CONCATENATE(INDEX(Calc!$D$8:$D$500,MATCH(SMALL(IF((Calc!$C$8:$C$500=Kanban!$C$7)*(Calc!$K$8:$K$500=Kanban!D$11)*(Calc!$Y$8:$Y$500&gt;0),Calc!$Y$8:$Y$500,99999),Kanban_Helper!$B149),Calc!$Y$8:$Y$500,0))," ",Calc!$V$7," ","!"),INDEX(Calc!$D$8:$D$500,MATCH(SMALL(IF((Calc!$C$8:$C$500=Kanban!$C$7)*(Calc!$K$8:$K$500=Kanban!D$11)*(Calc!$Y$8:$Y$500&gt;0),Calc!$Y$8:$Y$500,99999),Kanban_Helper!$B149),Calc!$Y$8:$Y$500,0))),IF(INDEX(Calc!$V$8:$V$500,MATCH(INDEX(Calc!$D$8:$D$500,MATCH(SMALL(IF((Calc!$K$8:$K$500=Kanban!D$11)*(Calc!$Y$8:$Y$500&gt;0),Calc!$Y$8:$Y$500,99999),Kanban_Helper!$B149),Calc!$Y$8:$Y$500,0)),Calc!$D$8:$D$500,0))="Yes",CONCATENATE(INDEX(Calc!$D$8:$D$500,MATCH(SMALL(IF((Calc!$K$8:$K$500=Kanban!D$11)*(Calc!$Y$8:$Y$500&gt;0),Calc!$Y$8:$Y$500,99999),Kanban_Helper!$B149),Calc!$Y$8:$Y$500,0))," ",Calc!$V$7," ","!"),INDEX(Calc!$D$8:$D$500,MATCH(SMALL(IF((Calc!$K$8:$K$500=Kanban!D$11)*(Calc!$Y$8:$Y$500&gt;0),Calc!$Y$8:$Y$500,99999),Kanban_Helper!$B149),Calc!$Y$8:$Y$500,0))))),"")</f>
        <v/>
      </c>
      <c r="E156" s="170" t="str">
        <f t="array" ref="E156">IFERROR(IF(LEN(E$11)=0,"",IF($C$7&lt;&gt;"All",IF(INDEX(Calc!$V$8:$V$500,MATCH(INDEX(Calc!$D$8:$D$500,MATCH(SMALL(IF((Calc!$C$8:$C$500=Kanban!$C$7)*(Calc!$K$8:$K$500=Kanban!E$11)*(Calc!$Y$8:$Y$500&gt;0),Calc!$Y$8:$Y$500,99999),Kanban_Helper!$B149),Calc!$Y$8:$Y$500,0)),Calc!$D$8:$D$500,0))="Yes",CONCATENATE(INDEX(Calc!$D$8:$D$500,MATCH(SMALL(IF((Calc!$C$8:$C$500=Kanban!$C$7)*(Calc!$K$8:$K$500=Kanban!E$11)*(Calc!$Y$8:$Y$500&gt;0),Calc!$Y$8:$Y$500,99999),Kanban_Helper!$B149),Calc!$Y$8:$Y$500,0))," ",Calc!$V$7," ","!"),INDEX(Calc!$D$8:$D$500,MATCH(SMALL(IF((Calc!$C$8:$C$500=Kanban!$C$7)*(Calc!$K$8:$K$500=Kanban!E$11)*(Calc!$Y$8:$Y$500&gt;0),Calc!$Y$8:$Y$500,99999),Kanban_Helper!$B149),Calc!$Y$8:$Y$500,0))),IF(INDEX(Calc!$V$8:$V$500,MATCH(INDEX(Calc!$D$8:$D$500,MATCH(SMALL(IF((Calc!$K$8:$K$500=Kanban!E$11)*(Calc!$Y$8:$Y$500&gt;0),Calc!$Y$8:$Y$500,99999),Kanban_Helper!$B149),Calc!$Y$8:$Y$500,0)),Calc!$D$8:$D$500,0))="Yes",CONCATENATE(INDEX(Calc!$D$8:$D$500,MATCH(SMALL(IF((Calc!$K$8:$K$500=Kanban!E$11)*(Calc!$Y$8:$Y$500&gt;0),Calc!$Y$8:$Y$500,99999),Kanban_Helper!$B149),Calc!$Y$8:$Y$500,0))," ",Calc!$V$7," ","!"),INDEX(Calc!$D$8:$D$500,MATCH(SMALL(IF((Calc!$K$8:$K$500=Kanban!E$11)*(Calc!$Y$8:$Y$500&gt;0),Calc!$Y$8:$Y$500,99999),Kanban_Helper!$B149),Calc!$Y$8:$Y$500,0))))),"")</f>
        <v/>
      </c>
      <c r="F156" s="170" t="str">
        <f t="array" ref="F156">IFERROR(IF(LEN(F$11)=0,"",IF($C$7&lt;&gt;"All",IF(INDEX(Calc!$V$8:$V$500,MATCH(INDEX(Calc!$D$8:$D$500,MATCH(SMALL(IF((Calc!$C$8:$C$500=Kanban!$C$7)*(Calc!$K$8:$K$500=Kanban!F$11)*(Calc!$Y$8:$Y$500&gt;0),Calc!$Y$8:$Y$500,99999),Kanban_Helper!$B149),Calc!$Y$8:$Y$500,0)),Calc!$D$8:$D$500,0))="Yes",CONCATENATE(INDEX(Calc!$D$8:$D$500,MATCH(SMALL(IF((Calc!$C$8:$C$500=Kanban!$C$7)*(Calc!$K$8:$K$500=Kanban!F$11)*(Calc!$Y$8:$Y$500&gt;0),Calc!$Y$8:$Y$500,99999),Kanban_Helper!$B149),Calc!$Y$8:$Y$500,0))," ",Calc!$V$7," ","!"),INDEX(Calc!$D$8:$D$500,MATCH(SMALL(IF((Calc!$C$8:$C$500=Kanban!$C$7)*(Calc!$K$8:$K$500=Kanban!F$11)*(Calc!$Y$8:$Y$500&gt;0),Calc!$Y$8:$Y$500,99999),Kanban_Helper!$B149),Calc!$Y$8:$Y$500,0))),IF(INDEX(Calc!$V$8:$V$500,MATCH(INDEX(Calc!$D$8:$D$500,MATCH(SMALL(IF((Calc!$K$8:$K$500=Kanban!F$11)*(Calc!$Y$8:$Y$500&gt;0),Calc!$Y$8:$Y$500,99999),Kanban_Helper!$B149),Calc!$Y$8:$Y$500,0)),Calc!$D$8:$D$500,0))="Yes",CONCATENATE(INDEX(Calc!$D$8:$D$500,MATCH(SMALL(IF((Calc!$K$8:$K$500=Kanban!F$11)*(Calc!$Y$8:$Y$500&gt;0),Calc!$Y$8:$Y$500,99999),Kanban_Helper!$B149),Calc!$Y$8:$Y$500,0))," ",Calc!$V$7," ","!"),INDEX(Calc!$D$8:$D$500,MATCH(SMALL(IF((Calc!$K$8:$K$500=Kanban!F$11)*(Calc!$Y$8:$Y$500&gt;0),Calc!$Y$8:$Y$500,99999),Kanban_Helper!$B149),Calc!$Y$8:$Y$500,0))))),"")</f>
        <v/>
      </c>
      <c r="G156" s="170" t="str">
        <f t="array" ref="G156">IFERROR(IF(LEN(G$11)=0,"",IF($C$7&lt;&gt;"All",IF(INDEX(Calc!$V$8:$V$500,MATCH(INDEX(Calc!$D$8:$D$500,MATCH(SMALL(IF((Calc!$C$8:$C$500=Kanban!$C$7)*(Calc!$K$8:$K$500=Kanban!G$11)*(Calc!$Y$8:$Y$500&gt;0),Calc!$Y$8:$Y$500,99999),Kanban_Helper!$B149),Calc!$Y$8:$Y$500,0)),Calc!$D$8:$D$500,0))="Yes",CONCATENATE(INDEX(Calc!$D$8:$D$500,MATCH(SMALL(IF((Calc!$C$8:$C$500=Kanban!$C$7)*(Calc!$K$8:$K$500=Kanban!G$11)*(Calc!$Y$8:$Y$500&gt;0),Calc!$Y$8:$Y$500,99999),Kanban_Helper!$B149),Calc!$Y$8:$Y$500,0))," ",Calc!$V$7," ","!"),INDEX(Calc!$D$8:$D$500,MATCH(SMALL(IF((Calc!$C$8:$C$500=Kanban!$C$7)*(Calc!$K$8:$K$500=Kanban!G$11)*(Calc!$Y$8:$Y$500&gt;0),Calc!$Y$8:$Y$500,99999),Kanban_Helper!$B149),Calc!$Y$8:$Y$500,0))),IF(INDEX(Calc!$V$8:$V$500,MATCH(INDEX(Calc!$D$8:$D$500,MATCH(SMALL(IF((Calc!$K$8:$K$500=Kanban!G$11)*(Calc!$Y$8:$Y$500&gt;0),Calc!$Y$8:$Y$500,99999),Kanban_Helper!$B149),Calc!$Y$8:$Y$500,0)),Calc!$D$8:$D$500,0))="Yes",CONCATENATE(INDEX(Calc!$D$8:$D$500,MATCH(SMALL(IF((Calc!$K$8:$K$500=Kanban!G$11)*(Calc!$Y$8:$Y$500&gt;0),Calc!$Y$8:$Y$500,99999),Kanban_Helper!$B149),Calc!$Y$8:$Y$500,0))," ",Calc!$V$7," ","!"),INDEX(Calc!$D$8:$D$500,MATCH(SMALL(IF((Calc!$K$8:$K$500=Kanban!G$11)*(Calc!$Y$8:$Y$500&gt;0),Calc!$Y$8:$Y$500,99999),Kanban_Helper!$B149),Calc!$Y$8:$Y$500,0))))),"")</f>
        <v/>
      </c>
      <c r="H156" s="170" t="str">
        <f t="array" ref="H156">IFERROR(IF(LEN(H$11)=0,"",IF($C$7&lt;&gt;"All",IF(INDEX(Calc!$V$8:$V$500,MATCH(INDEX(Calc!$D$8:$D$500,MATCH(SMALL(IF((Calc!$C$8:$C$500=Kanban!$C$7)*(Calc!$K$8:$K$500=Kanban!H$11)*(Calc!$Y$8:$Y$500&gt;0),Calc!$Y$8:$Y$500,99999),Kanban_Helper!$B149),Calc!$Y$8:$Y$500,0)),Calc!$D$8:$D$500,0))="Yes",CONCATENATE(INDEX(Calc!$D$8:$D$500,MATCH(SMALL(IF((Calc!$C$8:$C$500=Kanban!$C$7)*(Calc!$K$8:$K$500=Kanban!H$11)*(Calc!$Y$8:$Y$500&gt;0),Calc!$Y$8:$Y$500,99999),Kanban_Helper!$B149),Calc!$Y$8:$Y$500,0))," ",Calc!$V$7," ","!"),INDEX(Calc!$D$8:$D$500,MATCH(SMALL(IF((Calc!$C$8:$C$500=Kanban!$C$7)*(Calc!$K$8:$K$500=Kanban!H$11)*(Calc!$Y$8:$Y$500&gt;0),Calc!$Y$8:$Y$500,99999),Kanban_Helper!$B149),Calc!$Y$8:$Y$500,0))),IF(INDEX(Calc!$V$8:$V$500,MATCH(INDEX(Calc!$D$8:$D$500,MATCH(SMALL(IF((Calc!$K$8:$K$500=Kanban!H$11)*(Calc!$Y$8:$Y$500&gt;0),Calc!$Y$8:$Y$500,99999),Kanban_Helper!$B149),Calc!$Y$8:$Y$500,0)),Calc!$D$8:$D$500,0))="Yes",CONCATENATE(INDEX(Calc!$D$8:$D$500,MATCH(SMALL(IF((Calc!$K$8:$K$500=Kanban!H$11)*(Calc!$Y$8:$Y$500&gt;0),Calc!$Y$8:$Y$500,99999),Kanban_Helper!$B149),Calc!$Y$8:$Y$500,0))," ",Calc!$V$7," ","!"),INDEX(Calc!$D$8:$D$500,MATCH(SMALL(IF((Calc!$K$8:$K$500=Kanban!H$11)*(Calc!$Y$8:$Y$500&gt;0),Calc!$Y$8:$Y$500,99999),Kanban_Helper!$B149),Calc!$Y$8:$Y$500,0))))),"")</f>
        <v/>
      </c>
      <c r="I156" s="39"/>
    </row>
    <row r="157" spans="2:9" x14ac:dyDescent="0.35">
      <c r="B157" s="81"/>
      <c r="C157" s="171" t="str">
        <f t="array" ref="C157">IFERROR(IF(LEN(C$11)=0,"",IF($C$7&lt;&gt;"All",INDEX(Calc!$E$8:$E$500,MATCH(SMALL(IF((Calc!$C$8:$C$500=Kanban!$C$7)*(Calc!$K$8:$K$500=Kanban!C$11)*(Calc!$Y$8:$Y$500&gt;0),Calc!$Y$8:$Y$500,99999),Kanban_Helper!$B150),Calc!$Y$8:$Y$500,0)),INDEX(Calc!$E$8:$E$500,MATCH(SMALL(IF((Calc!$K$8:$K$500=Kanban!C$11)*(Calc!$Y$8:$Y$500&gt;0),Calc!$Y$8:$Y$500,99999),Kanban_Helper!$B150),Calc!$Y$8:$Y$500,0)))),"")</f>
        <v/>
      </c>
      <c r="D157" s="171" t="str">
        <f t="array" ref="D157">IFERROR(IF(LEN(D$11)=0,"",IF($C$7&lt;&gt;"All",INDEX(Calc!$E$8:$E$500,MATCH(SMALL(IF((Calc!$C$8:$C$500=Kanban!$C$7)*(Calc!$K$8:$K$500=Kanban!D$11)*(Calc!$Y$8:$Y$500&gt;0),Calc!$Y$8:$Y$500,99999),Kanban_Helper!$B150),Calc!$Y$8:$Y$500,0)),INDEX(Calc!$E$8:$E$500,MATCH(SMALL(IF((Calc!$K$8:$K$500=Kanban!D$11)*(Calc!$Y$8:$Y$500&gt;0),Calc!$Y$8:$Y$500,99999),Kanban_Helper!$B150),Calc!$Y$8:$Y$500,0)))),"")</f>
        <v/>
      </c>
      <c r="E157" s="171" t="str">
        <f t="array" ref="E157">IFERROR(IF(LEN(E$11)=0,"",IF($C$7&lt;&gt;"All",INDEX(Calc!$E$8:$E$500,MATCH(SMALL(IF((Calc!$C$8:$C$500=Kanban!$C$7)*(Calc!$K$8:$K$500=Kanban!E$11)*(Calc!$Y$8:$Y$500&gt;0),Calc!$Y$8:$Y$500,99999),Kanban_Helper!$B150),Calc!$Y$8:$Y$500,0)),INDEX(Calc!$E$8:$E$500,MATCH(SMALL(IF((Calc!$K$8:$K$500=Kanban!E$11)*(Calc!$Y$8:$Y$500&gt;0),Calc!$Y$8:$Y$500,99999),Kanban_Helper!$B150),Calc!$Y$8:$Y$500,0)))),"")</f>
        <v/>
      </c>
      <c r="F157" s="171" t="str">
        <f t="array" ref="F157">IFERROR(IF(LEN(F$11)=0,"",IF($C$7&lt;&gt;"All",INDEX(Calc!$E$8:$E$500,MATCH(SMALL(IF((Calc!$C$8:$C$500=Kanban!$C$7)*(Calc!$K$8:$K$500=Kanban!F$11)*(Calc!$Y$8:$Y$500&gt;0),Calc!$Y$8:$Y$500,99999),Kanban_Helper!$B150),Calc!$Y$8:$Y$500,0)),INDEX(Calc!$E$8:$E$500,MATCH(SMALL(IF((Calc!$K$8:$K$500=Kanban!F$11)*(Calc!$Y$8:$Y$500&gt;0),Calc!$Y$8:$Y$500,99999),Kanban_Helper!$B150),Calc!$Y$8:$Y$500,0)))),"")</f>
        <v/>
      </c>
      <c r="G157" s="171" t="str">
        <f t="array" ref="G157">IFERROR(IF(LEN(G$11)=0,"",IF($C$7&lt;&gt;"All",INDEX(Calc!$E$8:$E$500,MATCH(SMALL(IF((Calc!$C$8:$C$500=Kanban!$C$7)*(Calc!$K$8:$K$500=Kanban!G$11)*(Calc!$Y$8:$Y$500&gt;0),Calc!$Y$8:$Y$500,99999),Kanban_Helper!$B150),Calc!$Y$8:$Y$500,0)),INDEX(Calc!$E$8:$E$500,MATCH(SMALL(IF((Calc!$K$8:$K$500=Kanban!G$11)*(Calc!$Y$8:$Y$500&gt;0),Calc!$Y$8:$Y$500,99999),Kanban_Helper!$B150),Calc!$Y$8:$Y$500,0)))),"")</f>
        <v/>
      </c>
      <c r="H157" s="171" t="str">
        <f t="array" ref="H157">IFERROR(IF(LEN(H$11)=0,"",IF($C$7&lt;&gt;"All",INDEX(Calc!$E$8:$E$500,MATCH(SMALL(IF((Calc!$C$8:$C$500=Kanban!$C$7)*(Calc!$K$8:$K$500=Kanban!H$11)*(Calc!$Y$8:$Y$500&gt;0),Calc!$Y$8:$Y$500,99999),Kanban_Helper!$B150),Calc!$Y$8:$Y$500,0)),INDEX(Calc!$E$8:$E$500,MATCH(SMALL(IF((Calc!$K$8:$K$500=Kanban!H$11)*(Calc!$Y$8:$Y$500&gt;0),Calc!$Y$8:$Y$500,99999),Kanban_Helper!$B150),Calc!$Y$8:$Y$500,0)))),"")</f>
        <v/>
      </c>
      <c r="I157" s="39"/>
    </row>
    <row r="158" spans="2:9" ht="15" thickBot="1" x14ac:dyDescent="0.4">
      <c r="B158" s="81"/>
      <c r="C158" s="172" t="str">
        <f t="array" ref="C158">IFERROR(IF(LEN(C$11)=0,"",IF($C$7&lt;&gt;"All",IF(LEN(INDEX(Calc!$J$8:$J$500,MATCH(SMALL(IF((Calc!$C$8:$C$500=Kanban!$C$7)*(Calc!$K$8:$K$500=Kanban!C$11)*(Calc!$Y$8:$Y$500&gt;0),Calc!$Y$8:$Y$500,99999),Kanban_Helper!$B151),Calc!$Y$8:$Y$500,0)))=0,"",CONCATENATE(Calc!$AD$6,INDEX(Calc!$J$8:$J$500,MATCH(SMALL(IF((Calc!$C$8:$C$500=Kanban!$C$7)*(Calc!$K$8:$K$500=Kanban!C$11)*(Calc!$Y$8:$Y$500&gt;0),Calc!$Y$8:$Y$500,99999),Kanban_Helper!$B151),Calc!$Y$8:$Y$500,0)))),IF(LEN(INDEX(Calc!$J$8:$J$500,MATCH(SMALL(IF((Calc!$K$8:$K$500=Kanban!C$11)*(Calc!$Y$8:$Y$500&gt;0),Calc!$Y$8:$Y$500,99999),Kanban_Helper!$B151),Calc!$Y$8:$Y$500,0)))=0,"",CONCATENATE(Calc!$AD$6,INDEX(Calc!$J$8:$J$500,MATCH(SMALL(IF((Calc!$K$8:$K$500=Kanban!C$11)*(Calc!$Y$8:$Y$500&gt;0),Calc!$Y$8:$Y$500,99999),Kanban_Helper!$B151),Calc!$Y$8:$Y$500,0)))))),"")</f>
        <v/>
      </c>
      <c r="D158" s="172" t="str">
        <f t="array" ref="D158">IFERROR(IF(LEN(D$11)=0,"",IF($C$7&lt;&gt;"All",IF(LEN(INDEX(Calc!$J$8:$J$500,MATCH(SMALL(IF((Calc!$C$8:$C$500=Kanban!$C$7)*(Calc!$K$8:$K$500=Kanban!D$11)*(Calc!$Y$8:$Y$500&gt;0),Calc!$Y$8:$Y$500,99999),Kanban_Helper!$B151),Calc!$Y$8:$Y$500,0)))=0,"",CONCATENATE(Calc!$AD$6,INDEX(Calc!$J$8:$J$500,MATCH(SMALL(IF((Calc!$C$8:$C$500=Kanban!$C$7)*(Calc!$K$8:$K$500=Kanban!D$11)*(Calc!$Y$8:$Y$500&gt;0),Calc!$Y$8:$Y$500,99999),Kanban_Helper!$B151),Calc!$Y$8:$Y$500,0)))),IF(LEN(INDEX(Calc!$J$8:$J$500,MATCH(SMALL(IF((Calc!$K$8:$K$500=Kanban!D$11)*(Calc!$Y$8:$Y$500&gt;0),Calc!$Y$8:$Y$500,99999),Kanban_Helper!$B151),Calc!$Y$8:$Y$500,0)))=0,"",CONCATENATE(Calc!$AD$6,INDEX(Calc!$J$8:$J$500,MATCH(SMALL(IF((Calc!$K$8:$K$500=Kanban!D$11)*(Calc!$Y$8:$Y$500&gt;0),Calc!$Y$8:$Y$500,99999),Kanban_Helper!$B151),Calc!$Y$8:$Y$500,0)))))),"")</f>
        <v/>
      </c>
      <c r="E158" s="172" t="str">
        <f t="array" ref="E158">IFERROR(IF(LEN(E$11)=0,"",IF($C$7&lt;&gt;"All",IF(LEN(INDEX(Calc!$J$8:$J$500,MATCH(SMALL(IF((Calc!$C$8:$C$500=Kanban!$C$7)*(Calc!$K$8:$K$500=Kanban!E$11)*(Calc!$Y$8:$Y$500&gt;0),Calc!$Y$8:$Y$500,99999),Kanban_Helper!$B151),Calc!$Y$8:$Y$500,0)))=0,"",CONCATENATE(Calc!$AD$6,INDEX(Calc!$J$8:$J$500,MATCH(SMALL(IF((Calc!$C$8:$C$500=Kanban!$C$7)*(Calc!$K$8:$K$500=Kanban!E$11)*(Calc!$Y$8:$Y$500&gt;0),Calc!$Y$8:$Y$500,99999),Kanban_Helper!$B151),Calc!$Y$8:$Y$500,0)))),IF(LEN(INDEX(Calc!$J$8:$J$500,MATCH(SMALL(IF((Calc!$K$8:$K$500=Kanban!E$11)*(Calc!$Y$8:$Y$500&gt;0),Calc!$Y$8:$Y$500,99999),Kanban_Helper!$B151),Calc!$Y$8:$Y$500,0)))=0,"",CONCATENATE(Calc!$AD$6,INDEX(Calc!$J$8:$J$500,MATCH(SMALL(IF((Calc!$K$8:$K$500=Kanban!E$11)*(Calc!$Y$8:$Y$500&gt;0),Calc!$Y$8:$Y$500,99999),Kanban_Helper!$B151),Calc!$Y$8:$Y$500,0)))))),"")</f>
        <v/>
      </c>
      <c r="F158" s="172" t="str">
        <f t="array" ref="F158">IFERROR(IF(LEN(F$11)=0,"",IF($C$7&lt;&gt;"All",IF(LEN(INDEX(Calc!$J$8:$J$500,MATCH(SMALL(IF((Calc!$C$8:$C$500=Kanban!$C$7)*(Calc!$K$8:$K$500=Kanban!F$11)*(Calc!$Y$8:$Y$500&gt;0),Calc!$Y$8:$Y$500,99999),Kanban_Helper!$B151),Calc!$Y$8:$Y$500,0)))=0,"",CONCATENATE(Calc!$AD$6,INDEX(Calc!$J$8:$J$500,MATCH(SMALL(IF((Calc!$C$8:$C$500=Kanban!$C$7)*(Calc!$K$8:$K$500=Kanban!F$11)*(Calc!$Y$8:$Y$500&gt;0),Calc!$Y$8:$Y$500,99999),Kanban_Helper!$B151),Calc!$Y$8:$Y$500,0)))),IF(LEN(INDEX(Calc!$J$8:$J$500,MATCH(SMALL(IF((Calc!$K$8:$K$500=Kanban!F$11)*(Calc!$Y$8:$Y$500&gt;0),Calc!$Y$8:$Y$500,99999),Kanban_Helper!$B151),Calc!$Y$8:$Y$500,0)))=0,"",CONCATENATE(Calc!$AD$6,INDEX(Calc!$J$8:$J$500,MATCH(SMALL(IF((Calc!$K$8:$K$500=Kanban!F$11)*(Calc!$Y$8:$Y$500&gt;0),Calc!$Y$8:$Y$500,99999),Kanban_Helper!$B151),Calc!$Y$8:$Y$500,0)))))),"")</f>
        <v/>
      </c>
      <c r="G158" s="172" t="str">
        <f t="array" ref="G158">IFERROR(IF(LEN(G$11)=0,"",IF($C$7&lt;&gt;"All",IF(LEN(INDEX(Calc!$J$8:$J$500,MATCH(SMALL(IF((Calc!$C$8:$C$500=Kanban!$C$7)*(Calc!$K$8:$K$500=Kanban!G$11)*(Calc!$Y$8:$Y$500&gt;0),Calc!$Y$8:$Y$500,99999),Kanban_Helper!$B151),Calc!$Y$8:$Y$500,0)))=0,"",CONCATENATE(Calc!$AD$6,INDEX(Calc!$J$8:$J$500,MATCH(SMALL(IF((Calc!$C$8:$C$500=Kanban!$C$7)*(Calc!$K$8:$K$500=Kanban!G$11)*(Calc!$Y$8:$Y$500&gt;0),Calc!$Y$8:$Y$500,99999),Kanban_Helper!$B151),Calc!$Y$8:$Y$500,0)))),IF(LEN(INDEX(Calc!$J$8:$J$500,MATCH(SMALL(IF((Calc!$K$8:$K$500=Kanban!G$11)*(Calc!$Y$8:$Y$500&gt;0),Calc!$Y$8:$Y$500,99999),Kanban_Helper!$B151),Calc!$Y$8:$Y$500,0)))=0,"",CONCATENATE(Calc!$AD$6,INDEX(Calc!$J$8:$J$500,MATCH(SMALL(IF((Calc!$K$8:$K$500=Kanban!G$11)*(Calc!$Y$8:$Y$500&gt;0),Calc!$Y$8:$Y$500,99999),Kanban_Helper!$B151),Calc!$Y$8:$Y$500,0)))))),"")</f>
        <v/>
      </c>
      <c r="H158" s="172" t="str">
        <f t="array" ref="H158">IFERROR(IF(LEN(H$11)=0,"",IF($C$7&lt;&gt;"All",IF(LEN(INDEX(Calc!$J$8:$J$500,MATCH(SMALL(IF((Calc!$C$8:$C$500=Kanban!$C$7)*(Calc!$K$8:$K$500=Kanban!H$11)*(Calc!$Y$8:$Y$500&gt;0),Calc!$Y$8:$Y$500,99999),Kanban_Helper!$B151),Calc!$Y$8:$Y$500,0)))=0,"",CONCATENATE(Calc!$AD$6,INDEX(Calc!$J$8:$J$500,MATCH(SMALL(IF((Calc!$C$8:$C$500=Kanban!$C$7)*(Calc!$K$8:$K$500=Kanban!H$11)*(Calc!$Y$8:$Y$500&gt;0),Calc!$Y$8:$Y$500,99999),Kanban_Helper!$B151),Calc!$Y$8:$Y$500,0)))),IF(LEN(INDEX(Calc!$J$8:$J$500,MATCH(SMALL(IF((Calc!$K$8:$K$500=Kanban!H$11)*(Calc!$Y$8:$Y$500&gt;0),Calc!$Y$8:$Y$500,99999),Kanban_Helper!$B151),Calc!$Y$8:$Y$500,0)))=0,"",CONCATENATE(Calc!$AD$6,INDEX(Calc!$J$8:$J$500,MATCH(SMALL(IF((Calc!$K$8:$K$500=Kanban!H$11)*(Calc!$Y$8:$Y$500&gt;0),Calc!$Y$8:$Y$500,99999),Kanban_Helper!$B151),Calc!$Y$8:$Y$500,0)))))),"")</f>
        <v/>
      </c>
      <c r="I158" s="39"/>
    </row>
    <row r="159" spans="2:9" ht="15" thickTop="1" x14ac:dyDescent="0.35">
      <c r="B159" s="81"/>
      <c r="C159" s="170" t="str">
        <f t="array" ref="C159">IFERROR(IF(LEN(C$11)=0,"",IF($C$7&lt;&gt;"All",IF(INDEX(Calc!$V$8:$V$500,MATCH(INDEX(Calc!$D$8:$D$500,MATCH(SMALL(IF((Calc!$C$8:$C$500=Kanban!$C$7)*(Calc!$K$8:$K$500=Kanban!C$11)*(Calc!$Y$8:$Y$500&gt;0),Calc!$Y$8:$Y$500,99999),Kanban_Helper!$B152),Calc!$Y$8:$Y$500,0)),Calc!$D$8:$D$500,0))="Yes",CONCATENATE(INDEX(Calc!$D$8:$D$500,MATCH(SMALL(IF((Calc!$C$8:$C$500=Kanban!$C$7)*(Calc!$K$8:$K$500=Kanban!C$11)*(Calc!$Y$8:$Y$500&gt;0),Calc!$Y$8:$Y$500,99999),Kanban_Helper!$B152),Calc!$Y$8:$Y$500,0))," ",Calc!$V$7," ","!"),INDEX(Calc!$D$8:$D$500,MATCH(SMALL(IF((Calc!$C$8:$C$500=Kanban!$C$7)*(Calc!$K$8:$K$500=Kanban!C$11)*(Calc!$Y$8:$Y$500&gt;0),Calc!$Y$8:$Y$500,99999),Kanban_Helper!$B152),Calc!$Y$8:$Y$500,0))),IF(INDEX(Calc!$V$8:$V$500,MATCH(INDEX(Calc!$D$8:$D$500,MATCH(SMALL(IF((Calc!$K$8:$K$500=Kanban!C$11)*(Calc!$Y$8:$Y$500&gt;0),Calc!$Y$8:$Y$500,99999),Kanban_Helper!$B152),Calc!$Y$8:$Y$500,0)),Calc!$D$8:$D$500,0))="Yes",CONCATENATE(INDEX(Calc!$D$8:$D$500,MATCH(SMALL(IF((Calc!$K$8:$K$500=Kanban!C$11)*(Calc!$Y$8:$Y$500&gt;0),Calc!$Y$8:$Y$500,99999),Kanban_Helper!$B152),Calc!$Y$8:$Y$500,0))," ",Calc!$V$7," ","!"),INDEX(Calc!$D$8:$D$500,MATCH(SMALL(IF((Calc!$K$8:$K$500=Kanban!C$11)*(Calc!$Y$8:$Y$500&gt;0),Calc!$Y$8:$Y$500,99999),Kanban_Helper!$B152),Calc!$Y$8:$Y$500,0))))),"")</f>
        <v/>
      </c>
      <c r="D159" s="170" t="str">
        <f t="array" ref="D159">IFERROR(IF(LEN(D$11)=0,"",IF($C$7&lt;&gt;"All",IF(INDEX(Calc!$V$8:$V$500,MATCH(INDEX(Calc!$D$8:$D$500,MATCH(SMALL(IF((Calc!$C$8:$C$500=Kanban!$C$7)*(Calc!$K$8:$K$500=Kanban!D$11)*(Calc!$Y$8:$Y$500&gt;0),Calc!$Y$8:$Y$500,99999),Kanban_Helper!$B152),Calc!$Y$8:$Y$500,0)),Calc!$D$8:$D$500,0))="Yes",CONCATENATE(INDEX(Calc!$D$8:$D$500,MATCH(SMALL(IF((Calc!$C$8:$C$500=Kanban!$C$7)*(Calc!$K$8:$K$500=Kanban!D$11)*(Calc!$Y$8:$Y$500&gt;0),Calc!$Y$8:$Y$500,99999),Kanban_Helper!$B152),Calc!$Y$8:$Y$500,0))," ",Calc!$V$7," ","!"),INDEX(Calc!$D$8:$D$500,MATCH(SMALL(IF((Calc!$C$8:$C$500=Kanban!$C$7)*(Calc!$K$8:$K$500=Kanban!D$11)*(Calc!$Y$8:$Y$500&gt;0),Calc!$Y$8:$Y$500,99999),Kanban_Helper!$B152),Calc!$Y$8:$Y$500,0))),IF(INDEX(Calc!$V$8:$V$500,MATCH(INDEX(Calc!$D$8:$D$500,MATCH(SMALL(IF((Calc!$K$8:$K$500=Kanban!D$11)*(Calc!$Y$8:$Y$500&gt;0),Calc!$Y$8:$Y$500,99999),Kanban_Helper!$B152),Calc!$Y$8:$Y$500,0)),Calc!$D$8:$D$500,0))="Yes",CONCATENATE(INDEX(Calc!$D$8:$D$500,MATCH(SMALL(IF((Calc!$K$8:$K$500=Kanban!D$11)*(Calc!$Y$8:$Y$500&gt;0),Calc!$Y$8:$Y$500,99999),Kanban_Helper!$B152),Calc!$Y$8:$Y$500,0))," ",Calc!$V$7," ","!"),INDEX(Calc!$D$8:$D$500,MATCH(SMALL(IF((Calc!$K$8:$K$500=Kanban!D$11)*(Calc!$Y$8:$Y$500&gt;0),Calc!$Y$8:$Y$500,99999),Kanban_Helper!$B152),Calc!$Y$8:$Y$500,0))))),"")</f>
        <v/>
      </c>
      <c r="E159" s="170" t="str">
        <f t="array" ref="E159">IFERROR(IF(LEN(E$11)=0,"",IF($C$7&lt;&gt;"All",IF(INDEX(Calc!$V$8:$V$500,MATCH(INDEX(Calc!$D$8:$D$500,MATCH(SMALL(IF((Calc!$C$8:$C$500=Kanban!$C$7)*(Calc!$K$8:$K$500=Kanban!E$11)*(Calc!$Y$8:$Y$500&gt;0),Calc!$Y$8:$Y$500,99999),Kanban_Helper!$B152),Calc!$Y$8:$Y$500,0)),Calc!$D$8:$D$500,0))="Yes",CONCATENATE(INDEX(Calc!$D$8:$D$500,MATCH(SMALL(IF((Calc!$C$8:$C$500=Kanban!$C$7)*(Calc!$K$8:$K$500=Kanban!E$11)*(Calc!$Y$8:$Y$500&gt;0),Calc!$Y$8:$Y$500,99999),Kanban_Helper!$B152),Calc!$Y$8:$Y$500,0))," ",Calc!$V$7," ","!"),INDEX(Calc!$D$8:$D$500,MATCH(SMALL(IF((Calc!$C$8:$C$500=Kanban!$C$7)*(Calc!$K$8:$K$500=Kanban!E$11)*(Calc!$Y$8:$Y$500&gt;0),Calc!$Y$8:$Y$500,99999),Kanban_Helper!$B152),Calc!$Y$8:$Y$500,0))),IF(INDEX(Calc!$V$8:$V$500,MATCH(INDEX(Calc!$D$8:$D$500,MATCH(SMALL(IF((Calc!$K$8:$K$500=Kanban!E$11)*(Calc!$Y$8:$Y$500&gt;0),Calc!$Y$8:$Y$500,99999),Kanban_Helper!$B152),Calc!$Y$8:$Y$500,0)),Calc!$D$8:$D$500,0))="Yes",CONCATENATE(INDEX(Calc!$D$8:$D$500,MATCH(SMALL(IF((Calc!$K$8:$K$500=Kanban!E$11)*(Calc!$Y$8:$Y$500&gt;0),Calc!$Y$8:$Y$500,99999),Kanban_Helper!$B152),Calc!$Y$8:$Y$500,0))," ",Calc!$V$7," ","!"),INDEX(Calc!$D$8:$D$500,MATCH(SMALL(IF((Calc!$K$8:$K$500=Kanban!E$11)*(Calc!$Y$8:$Y$500&gt;0),Calc!$Y$8:$Y$500,99999),Kanban_Helper!$B152),Calc!$Y$8:$Y$500,0))))),"")</f>
        <v/>
      </c>
      <c r="F159" s="170" t="str">
        <f t="array" ref="F159">IFERROR(IF(LEN(F$11)=0,"",IF($C$7&lt;&gt;"All",IF(INDEX(Calc!$V$8:$V$500,MATCH(INDEX(Calc!$D$8:$D$500,MATCH(SMALL(IF((Calc!$C$8:$C$500=Kanban!$C$7)*(Calc!$K$8:$K$500=Kanban!F$11)*(Calc!$Y$8:$Y$500&gt;0),Calc!$Y$8:$Y$500,99999),Kanban_Helper!$B152),Calc!$Y$8:$Y$500,0)),Calc!$D$8:$D$500,0))="Yes",CONCATENATE(INDEX(Calc!$D$8:$D$500,MATCH(SMALL(IF((Calc!$C$8:$C$500=Kanban!$C$7)*(Calc!$K$8:$K$500=Kanban!F$11)*(Calc!$Y$8:$Y$500&gt;0),Calc!$Y$8:$Y$500,99999),Kanban_Helper!$B152),Calc!$Y$8:$Y$500,0))," ",Calc!$V$7," ","!"),INDEX(Calc!$D$8:$D$500,MATCH(SMALL(IF((Calc!$C$8:$C$500=Kanban!$C$7)*(Calc!$K$8:$K$500=Kanban!F$11)*(Calc!$Y$8:$Y$500&gt;0),Calc!$Y$8:$Y$500,99999),Kanban_Helper!$B152),Calc!$Y$8:$Y$500,0))),IF(INDEX(Calc!$V$8:$V$500,MATCH(INDEX(Calc!$D$8:$D$500,MATCH(SMALL(IF((Calc!$K$8:$K$500=Kanban!F$11)*(Calc!$Y$8:$Y$500&gt;0),Calc!$Y$8:$Y$500,99999),Kanban_Helper!$B152),Calc!$Y$8:$Y$500,0)),Calc!$D$8:$D$500,0))="Yes",CONCATENATE(INDEX(Calc!$D$8:$D$500,MATCH(SMALL(IF((Calc!$K$8:$K$500=Kanban!F$11)*(Calc!$Y$8:$Y$500&gt;0),Calc!$Y$8:$Y$500,99999),Kanban_Helper!$B152),Calc!$Y$8:$Y$500,0))," ",Calc!$V$7," ","!"),INDEX(Calc!$D$8:$D$500,MATCH(SMALL(IF((Calc!$K$8:$K$500=Kanban!F$11)*(Calc!$Y$8:$Y$500&gt;0),Calc!$Y$8:$Y$500,99999),Kanban_Helper!$B152),Calc!$Y$8:$Y$500,0))))),"")</f>
        <v/>
      </c>
      <c r="G159" s="170" t="str">
        <f t="array" ref="G159">IFERROR(IF(LEN(G$11)=0,"",IF($C$7&lt;&gt;"All",IF(INDEX(Calc!$V$8:$V$500,MATCH(INDEX(Calc!$D$8:$D$500,MATCH(SMALL(IF((Calc!$C$8:$C$500=Kanban!$C$7)*(Calc!$K$8:$K$500=Kanban!G$11)*(Calc!$Y$8:$Y$500&gt;0),Calc!$Y$8:$Y$500,99999),Kanban_Helper!$B152),Calc!$Y$8:$Y$500,0)),Calc!$D$8:$D$500,0))="Yes",CONCATENATE(INDEX(Calc!$D$8:$D$500,MATCH(SMALL(IF((Calc!$C$8:$C$500=Kanban!$C$7)*(Calc!$K$8:$K$500=Kanban!G$11)*(Calc!$Y$8:$Y$500&gt;0),Calc!$Y$8:$Y$500,99999),Kanban_Helper!$B152),Calc!$Y$8:$Y$500,0))," ",Calc!$V$7," ","!"),INDEX(Calc!$D$8:$D$500,MATCH(SMALL(IF((Calc!$C$8:$C$500=Kanban!$C$7)*(Calc!$K$8:$K$500=Kanban!G$11)*(Calc!$Y$8:$Y$500&gt;0),Calc!$Y$8:$Y$500,99999),Kanban_Helper!$B152),Calc!$Y$8:$Y$500,0))),IF(INDEX(Calc!$V$8:$V$500,MATCH(INDEX(Calc!$D$8:$D$500,MATCH(SMALL(IF((Calc!$K$8:$K$500=Kanban!G$11)*(Calc!$Y$8:$Y$500&gt;0),Calc!$Y$8:$Y$500,99999),Kanban_Helper!$B152),Calc!$Y$8:$Y$500,0)),Calc!$D$8:$D$500,0))="Yes",CONCATENATE(INDEX(Calc!$D$8:$D$500,MATCH(SMALL(IF((Calc!$K$8:$K$500=Kanban!G$11)*(Calc!$Y$8:$Y$500&gt;0),Calc!$Y$8:$Y$500,99999),Kanban_Helper!$B152),Calc!$Y$8:$Y$500,0))," ",Calc!$V$7," ","!"),INDEX(Calc!$D$8:$D$500,MATCH(SMALL(IF((Calc!$K$8:$K$500=Kanban!G$11)*(Calc!$Y$8:$Y$500&gt;0),Calc!$Y$8:$Y$500,99999),Kanban_Helper!$B152),Calc!$Y$8:$Y$500,0))))),"")</f>
        <v/>
      </c>
      <c r="H159" s="170" t="str">
        <f t="array" ref="H159">IFERROR(IF(LEN(H$11)=0,"",IF($C$7&lt;&gt;"All",IF(INDEX(Calc!$V$8:$V$500,MATCH(INDEX(Calc!$D$8:$D$500,MATCH(SMALL(IF((Calc!$C$8:$C$500=Kanban!$C$7)*(Calc!$K$8:$K$500=Kanban!H$11)*(Calc!$Y$8:$Y$500&gt;0),Calc!$Y$8:$Y$500,99999),Kanban_Helper!$B152),Calc!$Y$8:$Y$500,0)),Calc!$D$8:$D$500,0))="Yes",CONCATENATE(INDEX(Calc!$D$8:$D$500,MATCH(SMALL(IF((Calc!$C$8:$C$500=Kanban!$C$7)*(Calc!$K$8:$K$500=Kanban!H$11)*(Calc!$Y$8:$Y$500&gt;0),Calc!$Y$8:$Y$500,99999),Kanban_Helper!$B152),Calc!$Y$8:$Y$500,0))," ",Calc!$V$7," ","!"),INDEX(Calc!$D$8:$D$500,MATCH(SMALL(IF((Calc!$C$8:$C$500=Kanban!$C$7)*(Calc!$K$8:$K$500=Kanban!H$11)*(Calc!$Y$8:$Y$500&gt;0),Calc!$Y$8:$Y$500,99999),Kanban_Helper!$B152),Calc!$Y$8:$Y$500,0))),IF(INDEX(Calc!$V$8:$V$500,MATCH(INDEX(Calc!$D$8:$D$500,MATCH(SMALL(IF((Calc!$K$8:$K$500=Kanban!H$11)*(Calc!$Y$8:$Y$500&gt;0),Calc!$Y$8:$Y$500,99999),Kanban_Helper!$B152),Calc!$Y$8:$Y$500,0)),Calc!$D$8:$D$500,0))="Yes",CONCATENATE(INDEX(Calc!$D$8:$D$500,MATCH(SMALL(IF((Calc!$K$8:$K$500=Kanban!H$11)*(Calc!$Y$8:$Y$500&gt;0),Calc!$Y$8:$Y$500,99999),Kanban_Helper!$B152),Calc!$Y$8:$Y$500,0))," ",Calc!$V$7," ","!"),INDEX(Calc!$D$8:$D$500,MATCH(SMALL(IF((Calc!$K$8:$K$500=Kanban!H$11)*(Calc!$Y$8:$Y$500&gt;0),Calc!$Y$8:$Y$500,99999),Kanban_Helper!$B152),Calc!$Y$8:$Y$500,0))))),"")</f>
        <v/>
      </c>
      <c r="I159" s="39"/>
    </row>
    <row r="160" spans="2:9" x14ac:dyDescent="0.35">
      <c r="B160" s="81"/>
      <c r="C160" s="171" t="str">
        <f t="array" ref="C160">IFERROR(IF(LEN(C$11)=0,"",IF($C$7&lt;&gt;"All",INDEX(Calc!$E$8:$E$500,MATCH(SMALL(IF((Calc!$C$8:$C$500=Kanban!$C$7)*(Calc!$K$8:$K$500=Kanban!C$11)*(Calc!$Y$8:$Y$500&gt;0),Calc!$Y$8:$Y$500,99999),Kanban_Helper!$B153),Calc!$Y$8:$Y$500,0)),INDEX(Calc!$E$8:$E$500,MATCH(SMALL(IF((Calc!$K$8:$K$500=Kanban!C$11)*(Calc!$Y$8:$Y$500&gt;0),Calc!$Y$8:$Y$500,99999),Kanban_Helper!$B153),Calc!$Y$8:$Y$500,0)))),"")</f>
        <v/>
      </c>
      <c r="D160" s="171" t="str">
        <f t="array" ref="D160">IFERROR(IF(LEN(D$11)=0,"",IF($C$7&lt;&gt;"All",INDEX(Calc!$E$8:$E$500,MATCH(SMALL(IF((Calc!$C$8:$C$500=Kanban!$C$7)*(Calc!$K$8:$K$500=Kanban!D$11)*(Calc!$Y$8:$Y$500&gt;0),Calc!$Y$8:$Y$500,99999),Kanban_Helper!$B153),Calc!$Y$8:$Y$500,0)),INDEX(Calc!$E$8:$E$500,MATCH(SMALL(IF((Calc!$K$8:$K$500=Kanban!D$11)*(Calc!$Y$8:$Y$500&gt;0),Calc!$Y$8:$Y$500,99999),Kanban_Helper!$B153),Calc!$Y$8:$Y$500,0)))),"")</f>
        <v/>
      </c>
      <c r="E160" s="171" t="str">
        <f t="array" ref="E160">IFERROR(IF(LEN(E$11)=0,"",IF($C$7&lt;&gt;"All",INDEX(Calc!$E$8:$E$500,MATCH(SMALL(IF((Calc!$C$8:$C$500=Kanban!$C$7)*(Calc!$K$8:$K$500=Kanban!E$11)*(Calc!$Y$8:$Y$500&gt;0),Calc!$Y$8:$Y$500,99999),Kanban_Helper!$B153),Calc!$Y$8:$Y$500,0)),INDEX(Calc!$E$8:$E$500,MATCH(SMALL(IF((Calc!$K$8:$K$500=Kanban!E$11)*(Calc!$Y$8:$Y$500&gt;0),Calc!$Y$8:$Y$500,99999),Kanban_Helper!$B153),Calc!$Y$8:$Y$500,0)))),"")</f>
        <v/>
      </c>
      <c r="F160" s="171" t="str">
        <f t="array" ref="F160">IFERROR(IF(LEN(F$11)=0,"",IF($C$7&lt;&gt;"All",INDEX(Calc!$E$8:$E$500,MATCH(SMALL(IF((Calc!$C$8:$C$500=Kanban!$C$7)*(Calc!$K$8:$K$500=Kanban!F$11)*(Calc!$Y$8:$Y$500&gt;0),Calc!$Y$8:$Y$500,99999),Kanban_Helper!$B153),Calc!$Y$8:$Y$500,0)),INDEX(Calc!$E$8:$E$500,MATCH(SMALL(IF((Calc!$K$8:$K$500=Kanban!F$11)*(Calc!$Y$8:$Y$500&gt;0),Calc!$Y$8:$Y$500,99999),Kanban_Helper!$B153),Calc!$Y$8:$Y$500,0)))),"")</f>
        <v/>
      </c>
      <c r="G160" s="171" t="str">
        <f t="array" ref="G160">IFERROR(IF(LEN(G$11)=0,"",IF($C$7&lt;&gt;"All",INDEX(Calc!$E$8:$E$500,MATCH(SMALL(IF((Calc!$C$8:$C$500=Kanban!$C$7)*(Calc!$K$8:$K$500=Kanban!G$11)*(Calc!$Y$8:$Y$500&gt;0),Calc!$Y$8:$Y$500,99999),Kanban_Helper!$B153),Calc!$Y$8:$Y$500,0)),INDEX(Calc!$E$8:$E$500,MATCH(SMALL(IF((Calc!$K$8:$K$500=Kanban!G$11)*(Calc!$Y$8:$Y$500&gt;0),Calc!$Y$8:$Y$500,99999),Kanban_Helper!$B153),Calc!$Y$8:$Y$500,0)))),"")</f>
        <v/>
      </c>
      <c r="H160" s="171" t="str">
        <f t="array" ref="H160">IFERROR(IF(LEN(H$11)=0,"",IF($C$7&lt;&gt;"All",INDEX(Calc!$E$8:$E$500,MATCH(SMALL(IF((Calc!$C$8:$C$500=Kanban!$C$7)*(Calc!$K$8:$K$500=Kanban!H$11)*(Calc!$Y$8:$Y$500&gt;0),Calc!$Y$8:$Y$500,99999),Kanban_Helper!$B153),Calc!$Y$8:$Y$500,0)),INDEX(Calc!$E$8:$E$500,MATCH(SMALL(IF((Calc!$K$8:$K$500=Kanban!H$11)*(Calc!$Y$8:$Y$500&gt;0),Calc!$Y$8:$Y$500,99999),Kanban_Helper!$B153),Calc!$Y$8:$Y$500,0)))),"")</f>
        <v/>
      </c>
      <c r="I160" s="39"/>
    </row>
    <row r="161" spans="2:9" ht="15" thickBot="1" x14ac:dyDescent="0.4">
      <c r="B161" s="81"/>
      <c r="C161" s="172" t="str">
        <f t="array" ref="C161">IFERROR(IF(LEN(C$11)=0,"",IF($C$7&lt;&gt;"All",IF(LEN(INDEX(Calc!$J$8:$J$500,MATCH(SMALL(IF((Calc!$C$8:$C$500=Kanban!$C$7)*(Calc!$K$8:$K$500=Kanban!C$11)*(Calc!$Y$8:$Y$500&gt;0),Calc!$Y$8:$Y$500,99999),Kanban_Helper!$B154),Calc!$Y$8:$Y$500,0)))=0,"",CONCATENATE(Calc!$AD$6,INDEX(Calc!$J$8:$J$500,MATCH(SMALL(IF((Calc!$C$8:$C$500=Kanban!$C$7)*(Calc!$K$8:$K$500=Kanban!C$11)*(Calc!$Y$8:$Y$500&gt;0),Calc!$Y$8:$Y$500,99999),Kanban_Helper!$B154),Calc!$Y$8:$Y$500,0)))),IF(LEN(INDEX(Calc!$J$8:$J$500,MATCH(SMALL(IF((Calc!$K$8:$K$500=Kanban!C$11)*(Calc!$Y$8:$Y$500&gt;0),Calc!$Y$8:$Y$500,99999),Kanban_Helper!$B154),Calc!$Y$8:$Y$500,0)))=0,"",CONCATENATE(Calc!$AD$6,INDEX(Calc!$J$8:$J$500,MATCH(SMALL(IF((Calc!$K$8:$K$500=Kanban!C$11)*(Calc!$Y$8:$Y$500&gt;0),Calc!$Y$8:$Y$500,99999),Kanban_Helper!$B154),Calc!$Y$8:$Y$500,0)))))),"")</f>
        <v/>
      </c>
      <c r="D161" s="172" t="str">
        <f t="array" ref="D161">IFERROR(IF(LEN(D$11)=0,"",IF($C$7&lt;&gt;"All",IF(LEN(INDEX(Calc!$J$8:$J$500,MATCH(SMALL(IF((Calc!$C$8:$C$500=Kanban!$C$7)*(Calc!$K$8:$K$500=Kanban!D$11)*(Calc!$Y$8:$Y$500&gt;0),Calc!$Y$8:$Y$500,99999),Kanban_Helper!$B154),Calc!$Y$8:$Y$500,0)))=0,"",CONCATENATE(Calc!$AD$6,INDEX(Calc!$J$8:$J$500,MATCH(SMALL(IF((Calc!$C$8:$C$500=Kanban!$C$7)*(Calc!$K$8:$K$500=Kanban!D$11)*(Calc!$Y$8:$Y$500&gt;0),Calc!$Y$8:$Y$500,99999),Kanban_Helper!$B154),Calc!$Y$8:$Y$500,0)))),IF(LEN(INDEX(Calc!$J$8:$J$500,MATCH(SMALL(IF((Calc!$K$8:$K$500=Kanban!D$11)*(Calc!$Y$8:$Y$500&gt;0),Calc!$Y$8:$Y$500,99999),Kanban_Helper!$B154),Calc!$Y$8:$Y$500,0)))=0,"",CONCATENATE(Calc!$AD$6,INDEX(Calc!$J$8:$J$500,MATCH(SMALL(IF((Calc!$K$8:$K$500=Kanban!D$11)*(Calc!$Y$8:$Y$500&gt;0),Calc!$Y$8:$Y$500,99999),Kanban_Helper!$B154),Calc!$Y$8:$Y$500,0)))))),"")</f>
        <v/>
      </c>
      <c r="E161" s="172" t="str">
        <f t="array" ref="E161">IFERROR(IF(LEN(E$11)=0,"",IF($C$7&lt;&gt;"All",IF(LEN(INDEX(Calc!$J$8:$J$500,MATCH(SMALL(IF((Calc!$C$8:$C$500=Kanban!$C$7)*(Calc!$K$8:$K$500=Kanban!E$11)*(Calc!$Y$8:$Y$500&gt;0),Calc!$Y$8:$Y$500,99999),Kanban_Helper!$B154),Calc!$Y$8:$Y$500,0)))=0,"",CONCATENATE(Calc!$AD$6,INDEX(Calc!$J$8:$J$500,MATCH(SMALL(IF((Calc!$C$8:$C$500=Kanban!$C$7)*(Calc!$K$8:$K$500=Kanban!E$11)*(Calc!$Y$8:$Y$500&gt;0),Calc!$Y$8:$Y$500,99999),Kanban_Helper!$B154),Calc!$Y$8:$Y$500,0)))),IF(LEN(INDEX(Calc!$J$8:$J$500,MATCH(SMALL(IF((Calc!$K$8:$K$500=Kanban!E$11)*(Calc!$Y$8:$Y$500&gt;0),Calc!$Y$8:$Y$500,99999),Kanban_Helper!$B154),Calc!$Y$8:$Y$500,0)))=0,"",CONCATENATE(Calc!$AD$6,INDEX(Calc!$J$8:$J$500,MATCH(SMALL(IF((Calc!$K$8:$K$500=Kanban!E$11)*(Calc!$Y$8:$Y$500&gt;0),Calc!$Y$8:$Y$500,99999),Kanban_Helper!$B154),Calc!$Y$8:$Y$500,0)))))),"")</f>
        <v/>
      </c>
      <c r="F161" s="172" t="str">
        <f t="array" ref="F161">IFERROR(IF(LEN(F$11)=0,"",IF($C$7&lt;&gt;"All",IF(LEN(INDEX(Calc!$J$8:$J$500,MATCH(SMALL(IF((Calc!$C$8:$C$500=Kanban!$C$7)*(Calc!$K$8:$K$500=Kanban!F$11)*(Calc!$Y$8:$Y$500&gt;0),Calc!$Y$8:$Y$500,99999),Kanban_Helper!$B154),Calc!$Y$8:$Y$500,0)))=0,"",CONCATENATE(Calc!$AD$6,INDEX(Calc!$J$8:$J$500,MATCH(SMALL(IF((Calc!$C$8:$C$500=Kanban!$C$7)*(Calc!$K$8:$K$500=Kanban!F$11)*(Calc!$Y$8:$Y$500&gt;0),Calc!$Y$8:$Y$500,99999),Kanban_Helper!$B154),Calc!$Y$8:$Y$500,0)))),IF(LEN(INDEX(Calc!$J$8:$J$500,MATCH(SMALL(IF((Calc!$K$8:$K$500=Kanban!F$11)*(Calc!$Y$8:$Y$500&gt;0),Calc!$Y$8:$Y$500,99999),Kanban_Helper!$B154),Calc!$Y$8:$Y$500,0)))=0,"",CONCATENATE(Calc!$AD$6,INDEX(Calc!$J$8:$J$500,MATCH(SMALL(IF((Calc!$K$8:$K$500=Kanban!F$11)*(Calc!$Y$8:$Y$500&gt;0),Calc!$Y$8:$Y$500,99999),Kanban_Helper!$B154),Calc!$Y$8:$Y$500,0)))))),"")</f>
        <v/>
      </c>
      <c r="G161" s="172" t="str">
        <f t="array" ref="G161">IFERROR(IF(LEN(G$11)=0,"",IF($C$7&lt;&gt;"All",IF(LEN(INDEX(Calc!$J$8:$J$500,MATCH(SMALL(IF((Calc!$C$8:$C$500=Kanban!$C$7)*(Calc!$K$8:$K$500=Kanban!G$11)*(Calc!$Y$8:$Y$500&gt;0),Calc!$Y$8:$Y$500,99999),Kanban_Helper!$B154),Calc!$Y$8:$Y$500,0)))=0,"",CONCATENATE(Calc!$AD$6,INDEX(Calc!$J$8:$J$500,MATCH(SMALL(IF((Calc!$C$8:$C$500=Kanban!$C$7)*(Calc!$K$8:$K$500=Kanban!G$11)*(Calc!$Y$8:$Y$500&gt;0),Calc!$Y$8:$Y$500,99999),Kanban_Helper!$B154),Calc!$Y$8:$Y$500,0)))),IF(LEN(INDEX(Calc!$J$8:$J$500,MATCH(SMALL(IF((Calc!$K$8:$K$500=Kanban!G$11)*(Calc!$Y$8:$Y$500&gt;0),Calc!$Y$8:$Y$500,99999),Kanban_Helper!$B154),Calc!$Y$8:$Y$500,0)))=0,"",CONCATENATE(Calc!$AD$6,INDEX(Calc!$J$8:$J$500,MATCH(SMALL(IF((Calc!$K$8:$K$500=Kanban!G$11)*(Calc!$Y$8:$Y$500&gt;0),Calc!$Y$8:$Y$500,99999),Kanban_Helper!$B154),Calc!$Y$8:$Y$500,0)))))),"")</f>
        <v/>
      </c>
      <c r="H161" s="172" t="str">
        <f t="array" ref="H161">IFERROR(IF(LEN(H$11)=0,"",IF($C$7&lt;&gt;"All",IF(LEN(INDEX(Calc!$J$8:$J$500,MATCH(SMALL(IF((Calc!$C$8:$C$500=Kanban!$C$7)*(Calc!$K$8:$K$500=Kanban!H$11)*(Calc!$Y$8:$Y$500&gt;0),Calc!$Y$8:$Y$500,99999),Kanban_Helper!$B154),Calc!$Y$8:$Y$500,0)))=0,"",CONCATENATE(Calc!$AD$6,INDEX(Calc!$J$8:$J$500,MATCH(SMALL(IF((Calc!$C$8:$C$500=Kanban!$C$7)*(Calc!$K$8:$K$500=Kanban!H$11)*(Calc!$Y$8:$Y$500&gt;0),Calc!$Y$8:$Y$500,99999),Kanban_Helper!$B154),Calc!$Y$8:$Y$500,0)))),IF(LEN(INDEX(Calc!$J$8:$J$500,MATCH(SMALL(IF((Calc!$K$8:$K$500=Kanban!H$11)*(Calc!$Y$8:$Y$500&gt;0),Calc!$Y$8:$Y$500,99999),Kanban_Helper!$B154),Calc!$Y$8:$Y$500,0)))=0,"",CONCATENATE(Calc!$AD$6,INDEX(Calc!$J$8:$J$500,MATCH(SMALL(IF((Calc!$K$8:$K$500=Kanban!H$11)*(Calc!$Y$8:$Y$500&gt;0),Calc!$Y$8:$Y$500,99999),Kanban_Helper!$B154),Calc!$Y$8:$Y$500,0)))))),"")</f>
        <v/>
      </c>
      <c r="I161" s="39"/>
    </row>
    <row r="162" spans="2:9" ht="15" thickTop="1" x14ac:dyDescent="0.35">
      <c r="B162" s="81"/>
      <c r="C162" s="170" t="str">
        <f t="array" ref="C162">IFERROR(IF(LEN(C$11)=0,"",IF($C$7&lt;&gt;"All",IF(INDEX(Calc!$V$8:$V$500,MATCH(INDEX(Calc!$D$8:$D$500,MATCH(SMALL(IF((Calc!$C$8:$C$500=Kanban!$C$7)*(Calc!$K$8:$K$500=Kanban!C$11)*(Calc!$Y$8:$Y$500&gt;0),Calc!$Y$8:$Y$500,99999),Kanban_Helper!$B155),Calc!$Y$8:$Y$500,0)),Calc!$D$8:$D$500,0))="Yes",CONCATENATE(INDEX(Calc!$D$8:$D$500,MATCH(SMALL(IF((Calc!$C$8:$C$500=Kanban!$C$7)*(Calc!$K$8:$K$500=Kanban!C$11)*(Calc!$Y$8:$Y$500&gt;0),Calc!$Y$8:$Y$500,99999),Kanban_Helper!$B155),Calc!$Y$8:$Y$500,0))," ",Calc!$V$7," ","!"),INDEX(Calc!$D$8:$D$500,MATCH(SMALL(IF((Calc!$C$8:$C$500=Kanban!$C$7)*(Calc!$K$8:$K$500=Kanban!C$11)*(Calc!$Y$8:$Y$500&gt;0),Calc!$Y$8:$Y$500,99999),Kanban_Helper!$B155),Calc!$Y$8:$Y$500,0))),IF(INDEX(Calc!$V$8:$V$500,MATCH(INDEX(Calc!$D$8:$D$500,MATCH(SMALL(IF((Calc!$K$8:$K$500=Kanban!C$11)*(Calc!$Y$8:$Y$500&gt;0),Calc!$Y$8:$Y$500,99999),Kanban_Helper!$B155),Calc!$Y$8:$Y$500,0)),Calc!$D$8:$D$500,0))="Yes",CONCATENATE(INDEX(Calc!$D$8:$D$500,MATCH(SMALL(IF((Calc!$K$8:$K$500=Kanban!C$11)*(Calc!$Y$8:$Y$500&gt;0),Calc!$Y$8:$Y$500,99999),Kanban_Helper!$B155),Calc!$Y$8:$Y$500,0))," ",Calc!$V$7," ","!"),INDEX(Calc!$D$8:$D$500,MATCH(SMALL(IF((Calc!$K$8:$K$500=Kanban!C$11)*(Calc!$Y$8:$Y$500&gt;0),Calc!$Y$8:$Y$500,99999),Kanban_Helper!$B155),Calc!$Y$8:$Y$500,0))))),"")</f>
        <v/>
      </c>
      <c r="D162" s="170" t="str">
        <f t="array" ref="D162">IFERROR(IF(LEN(D$11)=0,"",IF($C$7&lt;&gt;"All",IF(INDEX(Calc!$V$8:$V$500,MATCH(INDEX(Calc!$D$8:$D$500,MATCH(SMALL(IF((Calc!$C$8:$C$500=Kanban!$C$7)*(Calc!$K$8:$K$500=Kanban!D$11)*(Calc!$Y$8:$Y$500&gt;0),Calc!$Y$8:$Y$500,99999),Kanban_Helper!$B155),Calc!$Y$8:$Y$500,0)),Calc!$D$8:$D$500,0))="Yes",CONCATENATE(INDEX(Calc!$D$8:$D$500,MATCH(SMALL(IF((Calc!$C$8:$C$500=Kanban!$C$7)*(Calc!$K$8:$K$500=Kanban!D$11)*(Calc!$Y$8:$Y$500&gt;0),Calc!$Y$8:$Y$500,99999),Kanban_Helper!$B155),Calc!$Y$8:$Y$500,0))," ",Calc!$V$7," ","!"),INDEX(Calc!$D$8:$D$500,MATCH(SMALL(IF((Calc!$C$8:$C$500=Kanban!$C$7)*(Calc!$K$8:$K$500=Kanban!D$11)*(Calc!$Y$8:$Y$500&gt;0),Calc!$Y$8:$Y$500,99999),Kanban_Helper!$B155),Calc!$Y$8:$Y$500,0))),IF(INDEX(Calc!$V$8:$V$500,MATCH(INDEX(Calc!$D$8:$D$500,MATCH(SMALL(IF((Calc!$K$8:$K$500=Kanban!D$11)*(Calc!$Y$8:$Y$500&gt;0),Calc!$Y$8:$Y$500,99999),Kanban_Helper!$B155),Calc!$Y$8:$Y$500,0)),Calc!$D$8:$D$500,0))="Yes",CONCATENATE(INDEX(Calc!$D$8:$D$500,MATCH(SMALL(IF((Calc!$K$8:$K$500=Kanban!D$11)*(Calc!$Y$8:$Y$500&gt;0),Calc!$Y$8:$Y$500,99999),Kanban_Helper!$B155),Calc!$Y$8:$Y$500,0))," ",Calc!$V$7," ","!"),INDEX(Calc!$D$8:$D$500,MATCH(SMALL(IF((Calc!$K$8:$K$500=Kanban!D$11)*(Calc!$Y$8:$Y$500&gt;0),Calc!$Y$8:$Y$500,99999),Kanban_Helper!$B155),Calc!$Y$8:$Y$500,0))))),"")</f>
        <v/>
      </c>
      <c r="E162" s="170" t="str">
        <f t="array" ref="E162">IFERROR(IF(LEN(E$11)=0,"",IF($C$7&lt;&gt;"All",IF(INDEX(Calc!$V$8:$V$500,MATCH(INDEX(Calc!$D$8:$D$500,MATCH(SMALL(IF((Calc!$C$8:$C$500=Kanban!$C$7)*(Calc!$K$8:$K$500=Kanban!E$11)*(Calc!$Y$8:$Y$500&gt;0),Calc!$Y$8:$Y$500,99999),Kanban_Helper!$B155),Calc!$Y$8:$Y$500,0)),Calc!$D$8:$D$500,0))="Yes",CONCATENATE(INDEX(Calc!$D$8:$D$500,MATCH(SMALL(IF((Calc!$C$8:$C$500=Kanban!$C$7)*(Calc!$K$8:$K$500=Kanban!E$11)*(Calc!$Y$8:$Y$500&gt;0),Calc!$Y$8:$Y$500,99999),Kanban_Helper!$B155),Calc!$Y$8:$Y$500,0))," ",Calc!$V$7," ","!"),INDEX(Calc!$D$8:$D$500,MATCH(SMALL(IF((Calc!$C$8:$C$500=Kanban!$C$7)*(Calc!$K$8:$K$500=Kanban!E$11)*(Calc!$Y$8:$Y$500&gt;0),Calc!$Y$8:$Y$500,99999),Kanban_Helper!$B155),Calc!$Y$8:$Y$500,0))),IF(INDEX(Calc!$V$8:$V$500,MATCH(INDEX(Calc!$D$8:$D$500,MATCH(SMALL(IF((Calc!$K$8:$K$500=Kanban!E$11)*(Calc!$Y$8:$Y$500&gt;0),Calc!$Y$8:$Y$500,99999),Kanban_Helper!$B155),Calc!$Y$8:$Y$500,0)),Calc!$D$8:$D$500,0))="Yes",CONCATENATE(INDEX(Calc!$D$8:$D$500,MATCH(SMALL(IF((Calc!$K$8:$K$500=Kanban!E$11)*(Calc!$Y$8:$Y$500&gt;0),Calc!$Y$8:$Y$500,99999),Kanban_Helper!$B155),Calc!$Y$8:$Y$500,0))," ",Calc!$V$7," ","!"),INDEX(Calc!$D$8:$D$500,MATCH(SMALL(IF((Calc!$K$8:$K$500=Kanban!E$11)*(Calc!$Y$8:$Y$500&gt;0),Calc!$Y$8:$Y$500,99999),Kanban_Helper!$B155),Calc!$Y$8:$Y$500,0))))),"")</f>
        <v/>
      </c>
      <c r="F162" s="170" t="str">
        <f t="array" ref="F162">IFERROR(IF(LEN(F$11)=0,"",IF($C$7&lt;&gt;"All",IF(INDEX(Calc!$V$8:$V$500,MATCH(INDEX(Calc!$D$8:$D$500,MATCH(SMALL(IF((Calc!$C$8:$C$500=Kanban!$C$7)*(Calc!$K$8:$K$500=Kanban!F$11)*(Calc!$Y$8:$Y$500&gt;0),Calc!$Y$8:$Y$500,99999),Kanban_Helper!$B155),Calc!$Y$8:$Y$500,0)),Calc!$D$8:$D$500,0))="Yes",CONCATENATE(INDEX(Calc!$D$8:$D$500,MATCH(SMALL(IF((Calc!$C$8:$C$500=Kanban!$C$7)*(Calc!$K$8:$K$500=Kanban!F$11)*(Calc!$Y$8:$Y$500&gt;0),Calc!$Y$8:$Y$500,99999),Kanban_Helper!$B155),Calc!$Y$8:$Y$500,0))," ",Calc!$V$7," ","!"),INDEX(Calc!$D$8:$D$500,MATCH(SMALL(IF((Calc!$C$8:$C$500=Kanban!$C$7)*(Calc!$K$8:$K$500=Kanban!F$11)*(Calc!$Y$8:$Y$500&gt;0),Calc!$Y$8:$Y$500,99999),Kanban_Helper!$B155),Calc!$Y$8:$Y$500,0))),IF(INDEX(Calc!$V$8:$V$500,MATCH(INDEX(Calc!$D$8:$D$500,MATCH(SMALL(IF((Calc!$K$8:$K$500=Kanban!F$11)*(Calc!$Y$8:$Y$500&gt;0),Calc!$Y$8:$Y$500,99999),Kanban_Helper!$B155),Calc!$Y$8:$Y$500,0)),Calc!$D$8:$D$500,0))="Yes",CONCATENATE(INDEX(Calc!$D$8:$D$500,MATCH(SMALL(IF((Calc!$K$8:$K$500=Kanban!F$11)*(Calc!$Y$8:$Y$500&gt;0),Calc!$Y$8:$Y$500,99999),Kanban_Helper!$B155),Calc!$Y$8:$Y$500,0))," ",Calc!$V$7," ","!"),INDEX(Calc!$D$8:$D$500,MATCH(SMALL(IF((Calc!$K$8:$K$500=Kanban!F$11)*(Calc!$Y$8:$Y$500&gt;0),Calc!$Y$8:$Y$500,99999),Kanban_Helper!$B155),Calc!$Y$8:$Y$500,0))))),"")</f>
        <v/>
      </c>
      <c r="G162" s="170" t="str">
        <f t="array" ref="G162">IFERROR(IF(LEN(G$11)=0,"",IF($C$7&lt;&gt;"All",IF(INDEX(Calc!$V$8:$V$500,MATCH(INDEX(Calc!$D$8:$D$500,MATCH(SMALL(IF((Calc!$C$8:$C$500=Kanban!$C$7)*(Calc!$K$8:$K$500=Kanban!G$11)*(Calc!$Y$8:$Y$500&gt;0),Calc!$Y$8:$Y$500,99999),Kanban_Helper!$B155),Calc!$Y$8:$Y$500,0)),Calc!$D$8:$D$500,0))="Yes",CONCATENATE(INDEX(Calc!$D$8:$D$500,MATCH(SMALL(IF((Calc!$C$8:$C$500=Kanban!$C$7)*(Calc!$K$8:$K$500=Kanban!G$11)*(Calc!$Y$8:$Y$500&gt;0),Calc!$Y$8:$Y$500,99999),Kanban_Helper!$B155),Calc!$Y$8:$Y$500,0))," ",Calc!$V$7," ","!"),INDEX(Calc!$D$8:$D$500,MATCH(SMALL(IF((Calc!$C$8:$C$500=Kanban!$C$7)*(Calc!$K$8:$K$500=Kanban!G$11)*(Calc!$Y$8:$Y$500&gt;0),Calc!$Y$8:$Y$500,99999),Kanban_Helper!$B155),Calc!$Y$8:$Y$500,0))),IF(INDEX(Calc!$V$8:$V$500,MATCH(INDEX(Calc!$D$8:$D$500,MATCH(SMALL(IF((Calc!$K$8:$K$500=Kanban!G$11)*(Calc!$Y$8:$Y$500&gt;0),Calc!$Y$8:$Y$500,99999),Kanban_Helper!$B155),Calc!$Y$8:$Y$500,0)),Calc!$D$8:$D$500,0))="Yes",CONCATENATE(INDEX(Calc!$D$8:$D$500,MATCH(SMALL(IF((Calc!$K$8:$K$500=Kanban!G$11)*(Calc!$Y$8:$Y$500&gt;0),Calc!$Y$8:$Y$500,99999),Kanban_Helper!$B155),Calc!$Y$8:$Y$500,0))," ",Calc!$V$7," ","!"),INDEX(Calc!$D$8:$D$500,MATCH(SMALL(IF((Calc!$K$8:$K$500=Kanban!G$11)*(Calc!$Y$8:$Y$500&gt;0),Calc!$Y$8:$Y$500,99999),Kanban_Helper!$B155),Calc!$Y$8:$Y$500,0))))),"")</f>
        <v/>
      </c>
      <c r="H162" s="170" t="str">
        <f t="array" ref="H162">IFERROR(IF(LEN(H$11)=0,"",IF($C$7&lt;&gt;"All",IF(INDEX(Calc!$V$8:$V$500,MATCH(INDEX(Calc!$D$8:$D$500,MATCH(SMALL(IF((Calc!$C$8:$C$500=Kanban!$C$7)*(Calc!$K$8:$K$500=Kanban!H$11)*(Calc!$Y$8:$Y$500&gt;0),Calc!$Y$8:$Y$500,99999),Kanban_Helper!$B155),Calc!$Y$8:$Y$500,0)),Calc!$D$8:$D$500,0))="Yes",CONCATENATE(INDEX(Calc!$D$8:$D$500,MATCH(SMALL(IF((Calc!$C$8:$C$500=Kanban!$C$7)*(Calc!$K$8:$K$500=Kanban!H$11)*(Calc!$Y$8:$Y$500&gt;0),Calc!$Y$8:$Y$500,99999),Kanban_Helper!$B155),Calc!$Y$8:$Y$500,0))," ",Calc!$V$7," ","!"),INDEX(Calc!$D$8:$D$500,MATCH(SMALL(IF((Calc!$C$8:$C$500=Kanban!$C$7)*(Calc!$K$8:$K$500=Kanban!H$11)*(Calc!$Y$8:$Y$500&gt;0),Calc!$Y$8:$Y$500,99999),Kanban_Helper!$B155),Calc!$Y$8:$Y$500,0))),IF(INDEX(Calc!$V$8:$V$500,MATCH(INDEX(Calc!$D$8:$D$500,MATCH(SMALL(IF((Calc!$K$8:$K$500=Kanban!H$11)*(Calc!$Y$8:$Y$500&gt;0),Calc!$Y$8:$Y$500,99999),Kanban_Helper!$B155),Calc!$Y$8:$Y$500,0)),Calc!$D$8:$D$500,0))="Yes",CONCATENATE(INDEX(Calc!$D$8:$D$500,MATCH(SMALL(IF((Calc!$K$8:$K$500=Kanban!H$11)*(Calc!$Y$8:$Y$500&gt;0),Calc!$Y$8:$Y$500,99999),Kanban_Helper!$B155),Calc!$Y$8:$Y$500,0))," ",Calc!$V$7," ","!"),INDEX(Calc!$D$8:$D$500,MATCH(SMALL(IF((Calc!$K$8:$K$500=Kanban!H$11)*(Calc!$Y$8:$Y$500&gt;0),Calc!$Y$8:$Y$500,99999),Kanban_Helper!$B155),Calc!$Y$8:$Y$500,0))))),"")</f>
        <v/>
      </c>
      <c r="I162" s="39"/>
    </row>
    <row r="163" spans="2:9" x14ac:dyDescent="0.35">
      <c r="B163" s="81"/>
      <c r="C163" s="171" t="str">
        <f t="array" ref="C163">IFERROR(IF(LEN(C$11)=0,"",IF($C$7&lt;&gt;"All",INDEX(Calc!$E$8:$E$500,MATCH(SMALL(IF((Calc!$C$8:$C$500=Kanban!$C$7)*(Calc!$K$8:$K$500=Kanban!C$11)*(Calc!$Y$8:$Y$500&gt;0),Calc!$Y$8:$Y$500,99999),Kanban_Helper!$B156),Calc!$Y$8:$Y$500,0)),INDEX(Calc!$E$8:$E$500,MATCH(SMALL(IF((Calc!$K$8:$K$500=Kanban!C$11)*(Calc!$Y$8:$Y$500&gt;0),Calc!$Y$8:$Y$500,99999),Kanban_Helper!$B156),Calc!$Y$8:$Y$500,0)))),"")</f>
        <v/>
      </c>
      <c r="D163" s="171" t="str">
        <f t="array" ref="D163">IFERROR(IF(LEN(D$11)=0,"",IF($C$7&lt;&gt;"All",INDEX(Calc!$E$8:$E$500,MATCH(SMALL(IF((Calc!$C$8:$C$500=Kanban!$C$7)*(Calc!$K$8:$K$500=Kanban!D$11)*(Calc!$Y$8:$Y$500&gt;0),Calc!$Y$8:$Y$500,99999),Kanban_Helper!$B156),Calc!$Y$8:$Y$500,0)),INDEX(Calc!$E$8:$E$500,MATCH(SMALL(IF((Calc!$K$8:$K$500=Kanban!D$11)*(Calc!$Y$8:$Y$500&gt;0),Calc!$Y$8:$Y$500,99999),Kanban_Helper!$B156),Calc!$Y$8:$Y$500,0)))),"")</f>
        <v/>
      </c>
      <c r="E163" s="171" t="str">
        <f t="array" ref="E163">IFERROR(IF(LEN(E$11)=0,"",IF($C$7&lt;&gt;"All",INDEX(Calc!$E$8:$E$500,MATCH(SMALL(IF((Calc!$C$8:$C$500=Kanban!$C$7)*(Calc!$K$8:$K$500=Kanban!E$11)*(Calc!$Y$8:$Y$500&gt;0),Calc!$Y$8:$Y$500,99999),Kanban_Helper!$B156),Calc!$Y$8:$Y$500,0)),INDEX(Calc!$E$8:$E$500,MATCH(SMALL(IF((Calc!$K$8:$K$500=Kanban!E$11)*(Calc!$Y$8:$Y$500&gt;0),Calc!$Y$8:$Y$500,99999),Kanban_Helper!$B156),Calc!$Y$8:$Y$500,0)))),"")</f>
        <v/>
      </c>
      <c r="F163" s="171" t="str">
        <f t="array" ref="F163">IFERROR(IF(LEN(F$11)=0,"",IF($C$7&lt;&gt;"All",INDEX(Calc!$E$8:$E$500,MATCH(SMALL(IF((Calc!$C$8:$C$500=Kanban!$C$7)*(Calc!$K$8:$K$500=Kanban!F$11)*(Calc!$Y$8:$Y$500&gt;0),Calc!$Y$8:$Y$500,99999),Kanban_Helper!$B156),Calc!$Y$8:$Y$500,0)),INDEX(Calc!$E$8:$E$500,MATCH(SMALL(IF((Calc!$K$8:$K$500=Kanban!F$11)*(Calc!$Y$8:$Y$500&gt;0),Calc!$Y$8:$Y$500,99999),Kanban_Helper!$B156),Calc!$Y$8:$Y$500,0)))),"")</f>
        <v/>
      </c>
      <c r="G163" s="171" t="str">
        <f t="array" ref="G163">IFERROR(IF(LEN(G$11)=0,"",IF($C$7&lt;&gt;"All",INDEX(Calc!$E$8:$E$500,MATCH(SMALL(IF((Calc!$C$8:$C$500=Kanban!$C$7)*(Calc!$K$8:$K$500=Kanban!G$11)*(Calc!$Y$8:$Y$500&gt;0),Calc!$Y$8:$Y$500,99999),Kanban_Helper!$B156),Calc!$Y$8:$Y$500,0)),INDEX(Calc!$E$8:$E$500,MATCH(SMALL(IF((Calc!$K$8:$K$500=Kanban!G$11)*(Calc!$Y$8:$Y$500&gt;0),Calc!$Y$8:$Y$500,99999),Kanban_Helper!$B156),Calc!$Y$8:$Y$500,0)))),"")</f>
        <v/>
      </c>
      <c r="H163" s="171" t="str">
        <f t="array" ref="H163">IFERROR(IF(LEN(H$11)=0,"",IF($C$7&lt;&gt;"All",INDEX(Calc!$E$8:$E$500,MATCH(SMALL(IF((Calc!$C$8:$C$500=Kanban!$C$7)*(Calc!$K$8:$K$500=Kanban!H$11)*(Calc!$Y$8:$Y$500&gt;0),Calc!$Y$8:$Y$500,99999),Kanban_Helper!$B156),Calc!$Y$8:$Y$500,0)),INDEX(Calc!$E$8:$E$500,MATCH(SMALL(IF((Calc!$K$8:$K$500=Kanban!H$11)*(Calc!$Y$8:$Y$500&gt;0),Calc!$Y$8:$Y$500,99999),Kanban_Helper!$B156),Calc!$Y$8:$Y$500,0)))),"")</f>
        <v/>
      </c>
      <c r="I163" s="39"/>
    </row>
    <row r="164" spans="2:9" ht="15" thickBot="1" x14ac:dyDescent="0.4">
      <c r="B164" s="81"/>
      <c r="C164" s="172" t="str">
        <f t="array" ref="C164">IFERROR(IF(LEN(C$11)=0,"",IF($C$7&lt;&gt;"All",IF(LEN(INDEX(Calc!$J$8:$J$500,MATCH(SMALL(IF((Calc!$C$8:$C$500=Kanban!$C$7)*(Calc!$K$8:$K$500=Kanban!C$11)*(Calc!$Y$8:$Y$500&gt;0),Calc!$Y$8:$Y$500,99999),Kanban_Helper!$B157),Calc!$Y$8:$Y$500,0)))=0,"",CONCATENATE(Calc!$AD$6,INDEX(Calc!$J$8:$J$500,MATCH(SMALL(IF((Calc!$C$8:$C$500=Kanban!$C$7)*(Calc!$K$8:$K$500=Kanban!C$11)*(Calc!$Y$8:$Y$500&gt;0),Calc!$Y$8:$Y$500,99999),Kanban_Helper!$B157),Calc!$Y$8:$Y$500,0)))),IF(LEN(INDEX(Calc!$J$8:$J$500,MATCH(SMALL(IF((Calc!$K$8:$K$500=Kanban!C$11)*(Calc!$Y$8:$Y$500&gt;0),Calc!$Y$8:$Y$500,99999),Kanban_Helper!$B157),Calc!$Y$8:$Y$500,0)))=0,"",CONCATENATE(Calc!$AD$6,INDEX(Calc!$J$8:$J$500,MATCH(SMALL(IF((Calc!$K$8:$K$500=Kanban!C$11)*(Calc!$Y$8:$Y$500&gt;0),Calc!$Y$8:$Y$500,99999),Kanban_Helper!$B157),Calc!$Y$8:$Y$500,0)))))),"")</f>
        <v/>
      </c>
      <c r="D164" s="172" t="str">
        <f t="array" ref="D164">IFERROR(IF(LEN(D$11)=0,"",IF($C$7&lt;&gt;"All",IF(LEN(INDEX(Calc!$J$8:$J$500,MATCH(SMALL(IF((Calc!$C$8:$C$500=Kanban!$C$7)*(Calc!$K$8:$K$500=Kanban!D$11)*(Calc!$Y$8:$Y$500&gt;0),Calc!$Y$8:$Y$500,99999),Kanban_Helper!$B157),Calc!$Y$8:$Y$500,0)))=0,"",CONCATENATE(Calc!$AD$6,INDEX(Calc!$J$8:$J$500,MATCH(SMALL(IF((Calc!$C$8:$C$500=Kanban!$C$7)*(Calc!$K$8:$K$500=Kanban!D$11)*(Calc!$Y$8:$Y$500&gt;0),Calc!$Y$8:$Y$500,99999),Kanban_Helper!$B157),Calc!$Y$8:$Y$500,0)))),IF(LEN(INDEX(Calc!$J$8:$J$500,MATCH(SMALL(IF((Calc!$K$8:$K$500=Kanban!D$11)*(Calc!$Y$8:$Y$500&gt;0),Calc!$Y$8:$Y$500,99999),Kanban_Helper!$B157),Calc!$Y$8:$Y$500,0)))=0,"",CONCATENATE(Calc!$AD$6,INDEX(Calc!$J$8:$J$500,MATCH(SMALL(IF((Calc!$K$8:$K$500=Kanban!D$11)*(Calc!$Y$8:$Y$500&gt;0),Calc!$Y$8:$Y$500,99999),Kanban_Helper!$B157),Calc!$Y$8:$Y$500,0)))))),"")</f>
        <v/>
      </c>
      <c r="E164" s="172" t="str">
        <f t="array" ref="E164">IFERROR(IF(LEN(E$11)=0,"",IF($C$7&lt;&gt;"All",IF(LEN(INDEX(Calc!$J$8:$J$500,MATCH(SMALL(IF((Calc!$C$8:$C$500=Kanban!$C$7)*(Calc!$K$8:$K$500=Kanban!E$11)*(Calc!$Y$8:$Y$500&gt;0),Calc!$Y$8:$Y$500,99999),Kanban_Helper!$B157),Calc!$Y$8:$Y$500,0)))=0,"",CONCATENATE(Calc!$AD$6,INDEX(Calc!$J$8:$J$500,MATCH(SMALL(IF((Calc!$C$8:$C$500=Kanban!$C$7)*(Calc!$K$8:$K$500=Kanban!E$11)*(Calc!$Y$8:$Y$500&gt;0),Calc!$Y$8:$Y$500,99999),Kanban_Helper!$B157),Calc!$Y$8:$Y$500,0)))),IF(LEN(INDEX(Calc!$J$8:$J$500,MATCH(SMALL(IF((Calc!$K$8:$K$500=Kanban!E$11)*(Calc!$Y$8:$Y$500&gt;0),Calc!$Y$8:$Y$500,99999),Kanban_Helper!$B157),Calc!$Y$8:$Y$500,0)))=0,"",CONCATENATE(Calc!$AD$6,INDEX(Calc!$J$8:$J$500,MATCH(SMALL(IF((Calc!$K$8:$K$500=Kanban!E$11)*(Calc!$Y$8:$Y$500&gt;0),Calc!$Y$8:$Y$500,99999),Kanban_Helper!$B157),Calc!$Y$8:$Y$500,0)))))),"")</f>
        <v/>
      </c>
      <c r="F164" s="172" t="str">
        <f t="array" ref="F164">IFERROR(IF(LEN(F$11)=0,"",IF($C$7&lt;&gt;"All",IF(LEN(INDEX(Calc!$J$8:$J$500,MATCH(SMALL(IF((Calc!$C$8:$C$500=Kanban!$C$7)*(Calc!$K$8:$K$500=Kanban!F$11)*(Calc!$Y$8:$Y$500&gt;0),Calc!$Y$8:$Y$500,99999),Kanban_Helper!$B157),Calc!$Y$8:$Y$500,0)))=0,"",CONCATENATE(Calc!$AD$6,INDEX(Calc!$J$8:$J$500,MATCH(SMALL(IF((Calc!$C$8:$C$500=Kanban!$C$7)*(Calc!$K$8:$K$500=Kanban!F$11)*(Calc!$Y$8:$Y$500&gt;0),Calc!$Y$8:$Y$500,99999),Kanban_Helper!$B157),Calc!$Y$8:$Y$500,0)))),IF(LEN(INDEX(Calc!$J$8:$J$500,MATCH(SMALL(IF((Calc!$K$8:$K$500=Kanban!F$11)*(Calc!$Y$8:$Y$500&gt;0),Calc!$Y$8:$Y$500,99999),Kanban_Helper!$B157),Calc!$Y$8:$Y$500,0)))=0,"",CONCATENATE(Calc!$AD$6,INDEX(Calc!$J$8:$J$500,MATCH(SMALL(IF((Calc!$K$8:$K$500=Kanban!F$11)*(Calc!$Y$8:$Y$500&gt;0),Calc!$Y$8:$Y$500,99999),Kanban_Helper!$B157),Calc!$Y$8:$Y$500,0)))))),"")</f>
        <v/>
      </c>
      <c r="G164" s="172" t="str">
        <f t="array" ref="G164">IFERROR(IF(LEN(G$11)=0,"",IF($C$7&lt;&gt;"All",IF(LEN(INDEX(Calc!$J$8:$J$500,MATCH(SMALL(IF((Calc!$C$8:$C$500=Kanban!$C$7)*(Calc!$K$8:$K$500=Kanban!G$11)*(Calc!$Y$8:$Y$500&gt;0),Calc!$Y$8:$Y$500,99999),Kanban_Helper!$B157),Calc!$Y$8:$Y$500,0)))=0,"",CONCATENATE(Calc!$AD$6,INDEX(Calc!$J$8:$J$500,MATCH(SMALL(IF((Calc!$C$8:$C$500=Kanban!$C$7)*(Calc!$K$8:$K$500=Kanban!G$11)*(Calc!$Y$8:$Y$500&gt;0),Calc!$Y$8:$Y$500,99999),Kanban_Helper!$B157),Calc!$Y$8:$Y$500,0)))),IF(LEN(INDEX(Calc!$J$8:$J$500,MATCH(SMALL(IF((Calc!$K$8:$K$500=Kanban!G$11)*(Calc!$Y$8:$Y$500&gt;0),Calc!$Y$8:$Y$500,99999),Kanban_Helper!$B157),Calc!$Y$8:$Y$500,0)))=0,"",CONCATENATE(Calc!$AD$6,INDEX(Calc!$J$8:$J$500,MATCH(SMALL(IF((Calc!$K$8:$K$500=Kanban!G$11)*(Calc!$Y$8:$Y$500&gt;0),Calc!$Y$8:$Y$500,99999),Kanban_Helper!$B157),Calc!$Y$8:$Y$500,0)))))),"")</f>
        <v/>
      </c>
      <c r="H164" s="172" t="str">
        <f t="array" ref="H164">IFERROR(IF(LEN(H$11)=0,"",IF($C$7&lt;&gt;"All",IF(LEN(INDEX(Calc!$J$8:$J$500,MATCH(SMALL(IF((Calc!$C$8:$C$500=Kanban!$C$7)*(Calc!$K$8:$K$500=Kanban!H$11)*(Calc!$Y$8:$Y$500&gt;0),Calc!$Y$8:$Y$500,99999),Kanban_Helper!$B157),Calc!$Y$8:$Y$500,0)))=0,"",CONCATENATE(Calc!$AD$6,INDEX(Calc!$J$8:$J$500,MATCH(SMALL(IF((Calc!$C$8:$C$500=Kanban!$C$7)*(Calc!$K$8:$K$500=Kanban!H$11)*(Calc!$Y$8:$Y$500&gt;0),Calc!$Y$8:$Y$500,99999),Kanban_Helper!$B157),Calc!$Y$8:$Y$500,0)))),IF(LEN(INDEX(Calc!$J$8:$J$500,MATCH(SMALL(IF((Calc!$K$8:$K$500=Kanban!H$11)*(Calc!$Y$8:$Y$500&gt;0),Calc!$Y$8:$Y$500,99999),Kanban_Helper!$B157),Calc!$Y$8:$Y$500,0)))=0,"",CONCATENATE(Calc!$AD$6,INDEX(Calc!$J$8:$J$500,MATCH(SMALL(IF((Calc!$K$8:$K$500=Kanban!H$11)*(Calc!$Y$8:$Y$500&gt;0),Calc!$Y$8:$Y$500,99999),Kanban_Helper!$B157),Calc!$Y$8:$Y$500,0)))))),"")</f>
        <v/>
      </c>
      <c r="I164" s="39"/>
    </row>
    <row r="165" spans="2:9" ht="15" thickTop="1" x14ac:dyDescent="0.35">
      <c r="B165" s="81"/>
      <c r="C165" s="170" t="str">
        <f t="array" ref="C165">IFERROR(IF(LEN(C$11)=0,"",IF($C$7&lt;&gt;"All",IF(INDEX(Calc!$V$8:$V$500,MATCH(INDEX(Calc!$D$8:$D$500,MATCH(SMALL(IF((Calc!$C$8:$C$500=Kanban!$C$7)*(Calc!$K$8:$K$500=Kanban!C$11)*(Calc!$Y$8:$Y$500&gt;0),Calc!$Y$8:$Y$500,99999),Kanban_Helper!$B158),Calc!$Y$8:$Y$500,0)),Calc!$D$8:$D$500,0))="Yes",CONCATENATE(INDEX(Calc!$D$8:$D$500,MATCH(SMALL(IF((Calc!$C$8:$C$500=Kanban!$C$7)*(Calc!$K$8:$K$500=Kanban!C$11)*(Calc!$Y$8:$Y$500&gt;0),Calc!$Y$8:$Y$500,99999),Kanban_Helper!$B158),Calc!$Y$8:$Y$500,0))," ",Calc!$V$7," ","!"),INDEX(Calc!$D$8:$D$500,MATCH(SMALL(IF((Calc!$C$8:$C$500=Kanban!$C$7)*(Calc!$K$8:$K$500=Kanban!C$11)*(Calc!$Y$8:$Y$500&gt;0),Calc!$Y$8:$Y$500,99999),Kanban_Helper!$B158),Calc!$Y$8:$Y$500,0))),IF(INDEX(Calc!$V$8:$V$500,MATCH(INDEX(Calc!$D$8:$D$500,MATCH(SMALL(IF((Calc!$K$8:$K$500=Kanban!C$11)*(Calc!$Y$8:$Y$500&gt;0),Calc!$Y$8:$Y$500,99999),Kanban_Helper!$B158),Calc!$Y$8:$Y$500,0)),Calc!$D$8:$D$500,0))="Yes",CONCATENATE(INDEX(Calc!$D$8:$D$500,MATCH(SMALL(IF((Calc!$K$8:$K$500=Kanban!C$11)*(Calc!$Y$8:$Y$500&gt;0),Calc!$Y$8:$Y$500,99999),Kanban_Helper!$B158),Calc!$Y$8:$Y$500,0))," ",Calc!$V$7," ","!"),INDEX(Calc!$D$8:$D$500,MATCH(SMALL(IF((Calc!$K$8:$K$500=Kanban!C$11)*(Calc!$Y$8:$Y$500&gt;0),Calc!$Y$8:$Y$500,99999),Kanban_Helper!$B158),Calc!$Y$8:$Y$500,0))))),"")</f>
        <v/>
      </c>
      <c r="D165" s="170" t="str">
        <f t="array" ref="D165">IFERROR(IF(LEN(D$11)=0,"",IF($C$7&lt;&gt;"All",IF(INDEX(Calc!$V$8:$V$500,MATCH(INDEX(Calc!$D$8:$D$500,MATCH(SMALL(IF((Calc!$C$8:$C$500=Kanban!$C$7)*(Calc!$K$8:$K$500=Kanban!D$11)*(Calc!$Y$8:$Y$500&gt;0),Calc!$Y$8:$Y$500,99999),Kanban_Helper!$B158),Calc!$Y$8:$Y$500,0)),Calc!$D$8:$D$500,0))="Yes",CONCATENATE(INDEX(Calc!$D$8:$D$500,MATCH(SMALL(IF((Calc!$C$8:$C$500=Kanban!$C$7)*(Calc!$K$8:$K$500=Kanban!D$11)*(Calc!$Y$8:$Y$500&gt;0),Calc!$Y$8:$Y$500,99999),Kanban_Helper!$B158),Calc!$Y$8:$Y$500,0))," ",Calc!$V$7," ","!"),INDEX(Calc!$D$8:$D$500,MATCH(SMALL(IF((Calc!$C$8:$C$500=Kanban!$C$7)*(Calc!$K$8:$K$500=Kanban!D$11)*(Calc!$Y$8:$Y$500&gt;0),Calc!$Y$8:$Y$500,99999),Kanban_Helper!$B158),Calc!$Y$8:$Y$500,0))),IF(INDEX(Calc!$V$8:$V$500,MATCH(INDEX(Calc!$D$8:$D$500,MATCH(SMALL(IF((Calc!$K$8:$K$500=Kanban!D$11)*(Calc!$Y$8:$Y$500&gt;0),Calc!$Y$8:$Y$500,99999),Kanban_Helper!$B158),Calc!$Y$8:$Y$500,0)),Calc!$D$8:$D$500,0))="Yes",CONCATENATE(INDEX(Calc!$D$8:$D$500,MATCH(SMALL(IF((Calc!$K$8:$K$500=Kanban!D$11)*(Calc!$Y$8:$Y$500&gt;0),Calc!$Y$8:$Y$500,99999),Kanban_Helper!$B158),Calc!$Y$8:$Y$500,0))," ",Calc!$V$7," ","!"),INDEX(Calc!$D$8:$D$500,MATCH(SMALL(IF((Calc!$K$8:$K$500=Kanban!D$11)*(Calc!$Y$8:$Y$500&gt;0),Calc!$Y$8:$Y$500,99999),Kanban_Helper!$B158),Calc!$Y$8:$Y$500,0))))),"")</f>
        <v/>
      </c>
      <c r="E165" s="170" t="str">
        <f t="array" ref="E165">IFERROR(IF(LEN(E$11)=0,"",IF($C$7&lt;&gt;"All",IF(INDEX(Calc!$V$8:$V$500,MATCH(INDEX(Calc!$D$8:$D$500,MATCH(SMALL(IF((Calc!$C$8:$C$500=Kanban!$C$7)*(Calc!$K$8:$K$500=Kanban!E$11)*(Calc!$Y$8:$Y$500&gt;0),Calc!$Y$8:$Y$500,99999),Kanban_Helper!$B158),Calc!$Y$8:$Y$500,0)),Calc!$D$8:$D$500,0))="Yes",CONCATENATE(INDEX(Calc!$D$8:$D$500,MATCH(SMALL(IF((Calc!$C$8:$C$500=Kanban!$C$7)*(Calc!$K$8:$K$500=Kanban!E$11)*(Calc!$Y$8:$Y$500&gt;0),Calc!$Y$8:$Y$500,99999),Kanban_Helper!$B158),Calc!$Y$8:$Y$500,0))," ",Calc!$V$7," ","!"),INDEX(Calc!$D$8:$D$500,MATCH(SMALL(IF((Calc!$C$8:$C$500=Kanban!$C$7)*(Calc!$K$8:$K$500=Kanban!E$11)*(Calc!$Y$8:$Y$500&gt;0),Calc!$Y$8:$Y$500,99999),Kanban_Helper!$B158),Calc!$Y$8:$Y$500,0))),IF(INDEX(Calc!$V$8:$V$500,MATCH(INDEX(Calc!$D$8:$D$500,MATCH(SMALL(IF((Calc!$K$8:$K$500=Kanban!E$11)*(Calc!$Y$8:$Y$500&gt;0),Calc!$Y$8:$Y$500,99999),Kanban_Helper!$B158),Calc!$Y$8:$Y$500,0)),Calc!$D$8:$D$500,0))="Yes",CONCATENATE(INDEX(Calc!$D$8:$D$500,MATCH(SMALL(IF((Calc!$K$8:$K$500=Kanban!E$11)*(Calc!$Y$8:$Y$500&gt;0),Calc!$Y$8:$Y$500,99999),Kanban_Helper!$B158),Calc!$Y$8:$Y$500,0))," ",Calc!$V$7," ","!"),INDEX(Calc!$D$8:$D$500,MATCH(SMALL(IF((Calc!$K$8:$K$500=Kanban!E$11)*(Calc!$Y$8:$Y$500&gt;0),Calc!$Y$8:$Y$500,99999),Kanban_Helper!$B158),Calc!$Y$8:$Y$500,0))))),"")</f>
        <v/>
      </c>
      <c r="F165" s="170" t="str">
        <f t="array" ref="F165">IFERROR(IF(LEN(F$11)=0,"",IF($C$7&lt;&gt;"All",IF(INDEX(Calc!$V$8:$V$500,MATCH(INDEX(Calc!$D$8:$D$500,MATCH(SMALL(IF((Calc!$C$8:$C$500=Kanban!$C$7)*(Calc!$K$8:$K$500=Kanban!F$11)*(Calc!$Y$8:$Y$500&gt;0),Calc!$Y$8:$Y$500,99999),Kanban_Helper!$B158),Calc!$Y$8:$Y$500,0)),Calc!$D$8:$D$500,0))="Yes",CONCATENATE(INDEX(Calc!$D$8:$D$500,MATCH(SMALL(IF((Calc!$C$8:$C$500=Kanban!$C$7)*(Calc!$K$8:$K$500=Kanban!F$11)*(Calc!$Y$8:$Y$500&gt;0),Calc!$Y$8:$Y$500,99999),Kanban_Helper!$B158),Calc!$Y$8:$Y$500,0))," ",Calc!$V$7," ","!"),INDEX(Calc!$D$8:$D$500,MATCH(SMALL(IF((Calc!$C$8:$C$500=Kanban!$C$7)*(Calc!$K$8:$K$500=Kanban!F$11)*(Calc!$Y$8:$Y$500&gt;0),Calc!$Y$8:$Y$500,99999),Kanban_Helper!$B158),Calc!$Y$8:$Y$500,0))),IF(INDEX(Calc!$V$8:$V$500,MATCH(INDEX(Calc!$D$8:$D$500,MATCH(SMALL(IF((Calc!$K$8:$K$500=Kanban!F$11)*(Calc!$Y$8:$Y$500&gt;0),Calc!$Y$8:$Y$500,99999),Kanban_Helper!$B158),Calc!$Y$8:$Y$500,0)),Calc!$D$8:$D$500,0))="Yes",CONCATENATE(INDEX(Calc!$D$8:$D$500,MATCH(SMALL(IF((Calc!$K$8:$K$500=Kanban!F$11)*(Calc!$Y$8:$Y$500&gt;0),Calc!$Y$8:$Y$500,99999),Kanban_Helper!$B158),Calc!$Y$8:$Y$500,0))," ",Calc!$V$7," ","!"),INDEX(Calc!$D$8:$D$500,MATCH(SMALL(IF((Calc!$K$8:$K$500=Kanban!F$11)*(Calc!$Y$8:$Y$500&gt;0),Calc!$Y$8:$Y$500,99999),Kanban_Helper!$B158),Calc!$Y$8:$Y$500,0))))),"")</f>
        <v/>
      </c>
      <c r="G165" s="170" t="str">
        <f t="array" ref="G165">IFERROR(IF(LEN(G$11)=0,"",IF($C$7&lt;&gt;"All",IF(INDEX(Calc!$V$8:$V$500,MATCH(INDEX(Calc!$D$8:$D$500,MATCH(SMALL(IF((Calc!$C$8:$C$500=Kanban!$C$7)*(Calc!$K$8:$K$500=Kanban!G$11)*(Calc!$Y$8:$Y$500&gt;0),Calc!$Y$8:$Y$500,99999),Kanban_Helper!$B158),Calc!$Y$8:$Y$500,0)),Calc!$D$8:$D$500,0))="Yes",CONCATENATE(INDEX(Calc!$D$8:$D$500,MATCH(SMALL(IF((Calc!$C$8:$C$500=Kanban!$C$7)*(Calc!$K$8:$K$500=Kanban!G$11)*(Calc!$Y$8:$Y$500&gt;0),Calc!$Y$8:$Y$500,99999),Kanban_Helper!$B158),Calc!$Y$8:$Y$500,0))," ",Calc!$V$7," ","!"),INDEX(Calc!$D$8:$D$500,MATCH(SMALL(IF((Calc!$C$8:$C$500=Kanban!$C$7)*(Calc!$K$8:$K$500=Kanban!G$11)*(Calc!$Y$8:$Y$500&gt;0),Calc!$Y$8:$Y$500,99999),Kanban_Helper!$B158),Calc!$Y$8:$Y$500,0))),IF(INDEX(Calc!$V$8:$V$500,MATCH(INDEX(Calc!$D$8:$D$500,MATCH(SMALL(IF((Calc!$K$8:$K$500=Kanban!G$11)*(Calc!$Y$8:$Y$500&gt;0),Calc!$Y$8:$Y$500,99999),Kanban_Helper!$B158),Calc!$Y$8:$Y$500,0)),Calc!$D$8:$D$500,0))="Yes",CONCATENATE(INDEX(Calc!$D$8:$D$500,MATCH(SMALL(IF((Calc!$K$8:$K$500=Kanban!G$11)*(Calc!$Y$8:$Y$500&gt;0),Calc!$Y$8:$Y$500,99999),Kanban_Helper!$B158),Calc!$Y$8:$Y$500,0))," ",Calc!$V$7," ","!"),INDEX(Calc!$D$8:$D$500,MATCH(SMALL(IF((Calc!$K$8:$K$500=Kanban!G$11)*(Calc!$Y$8:$Y$500&gt;0),Calc!$Y$8:$Y$500,99999),Kanban_Helper!$B158),Calc!$Y$8:$Y$500,0))))),"")</f>
        <v/>
      </c>
      <c r="H165" s="170" t="str">
        <f t="array" ref="H165">IFERROR(IF(LEN(H$11)=0,"",IF($C$7&lt;&gt;"All",IF(INDEX(Calc!$V$8:$V$500,MATCH(INDEX(Calc!$D$8:$D$500,MATCH(SMALL(IF((Calc!$C$8:$C$500=Kanban!$C$7)*(Calc!$K$8:$K$500=Kanban!H$11)*(Calc!$Y$8:$Y$500&gt;0),Calc!$Y$8:$Y$500,99999),Kanban_Helper!$B158),Calc!$Y$8:$Y$500,0)),Calc!$D$8:$D$500,0))="Yes",CONCATENATE(INDEX(Calc!$D$8:$D$500,MATCH(SMALL(IF((Calc!$C$8:$C$500=Kanban!$C$7)*(Calc!$K$8:$K$500=Kanban!H$11)*(Calc!$Y$8:$Y$500&gt;0),Calc!$Y$8:$Y$500,99999),Kanban_Helper!$B158),Calc!$Y$8:$Y$500,0))," ",Calc!$V$7," ","!"),INDEX(Calc!$D$8:$D$500,MATCH(SMALL(IF((Calc!$C$8:$C$500=Kanban!$C$7)*(Calc!$K$8:$K$500=Kanban!H$11)*(Calc!$Y$8:$Y$500&gt;0),Calc!$Y$8:$Y$500,99999),Kanban_Helper!$B158),Calc!$Y$8:$Y$500,0))),IF(INDEX(Calc!$V$8:$V$500,MATCH(INDEX(Calc!$D$8:$D$500,MATCH(SMALL(IF((Calc!$K$8:$K$500=Kanban!H$11)*(Calc!$Y$8:$Y$500&gt;0),Calc!$Y$8:$Y$500,99999),Kanban_Helper!$B158),Calc!$Y$8:$Y$500,0)),Calc!$D$8:$D$500,0))="Yes",CONCATENATE(INDEX(Calc!$D$8:$D$500,MATCH(SMALL(IF((Calc!$K$8:$K$500=Kanban!H$11)*(Calc!$Y$8:$Y$500&gt;0),Calc!$Y$8:$Y$500,99999),Kanban_Helper!$B158),Calc!$Y$8:$Y$500,0))," ",Calc!$V$7," ","!"),INDEX(Calc!$D$8:$D$500,MATCH(SMALL(IF((Calc!$K$8:$K$500=Kanban!H$11)*(Calc!$Y$8:$Y$500&gt;0),Calc!$Y$8:$Y$500,99999),Kanban_Helper!$B158),Calc!$Y$8:$Y$500,0))))),"")</f>
        <v/>
      </c>
      <c r="I165" s="39"/>
    </row>
    <row r="166" spans="2:9" x14ac:dyDescent="0.35">
      <c r="B166" s="81"/>
      <c r="C166" s="171" t="str">
        <f t="array" ref="C166">IFERROR(IF(LEN(C$11)=0,"",IF($C$7&lt;&gt;"All",INDEX(Calc!$E$8:$E$500,MATCH(SMALL(IF((Calc!$C$8:$C$500=Kanban!$C$7)*(Calc!$K$8:$K$500=Kanban!C$11)*(Calc!$Y$8:$Y$500&gt;0),Calc!$Y$8:$Y$500,99999),Kanban_Helper!$B159),Calc!$Y$8:$Y$500,0)),INDEX(Calc!$E$8:$E$500,MATCH(SMALL(IF((Calc!$K$8:$K$500=Kanban!C$11)*(Calc!$Y$8:$Y$500&gt;0),Calc!$Y$8:$Y$500,99999),Kanban_Helper!$B159),Calc!$Y$8:$Y$500,0)))),"")</f>
        <v/>
      </c>
      <c r="D166" s="171" t="str">
        <f t="array" ref="D166">IFERROR(IF(LEN(D$11)=0,"",IF($C$7&lt;&gt;"All",INDEX(Calc!$E$8:$E$500,MATCH(SMALL(IF((Calc!$C$8:$C$500=Kanban!$C$7)*(Calc!$K$8:$K$500=Kanban!D$11)*(Calc!$Y$8:$Y$500&gt;0),Calc!$Y$8:$Y$500,99999),Kanban_Helper!$B159),Calc!$Y$8:$Y$500,0)),INDEX(Calc!$E$8:$E$500,MATCH(SMALL(IF((Calc!$K$8:$K$500=Kanban!D$11)*(Calc!$Y$8:$Y$500&gt;0),Calc!$Y$8:$Y$500,99999),Kanban_Helper!$B159),Calc!$Y$8:$Y$500,0)))),"")</f>
        <v/>
      </c>
      <c r="E166" s="171" t="str">
        <f t="array" ref="E166">IFERROR(IF(LEN(E$11)=0,"",IF($C$7&lt;&gt;"All",INDEX(Calc!$E$8:$E$500,MATCH(SMALL(IF((Calc!$C$8:$C$500=Kanban!$C$7)*(Calc!$K$8:$K$500=Kanban!E$11)*(Calc!$Y$8:$Y$500&gt;0),Calc!$Y$8:$Y$500,99999),Kanban_Helper!$B159),Calc!$Y$8:$Y$500,0)),INDEX(Calc!$E$8:$E$500,MATCH(SMALL(IF((Calc!$K$8:$K$500=Kanban!E$11)*(Calc!$Y$8:$Y$500&gt;0),Calc!$Y$8:$Y$500,99999),Kanban_Helper!$B159),Calc!$Y$8:$Y$500,0)))),"")</f>
        <v/>
      </c>
      <c r="F166" s="171" t="str">
        <f t="array" ref="F166">IFERROR(IF(LEN(F$11)=0,"",IF($C$7&lt;&gt;"All",INDEX(Calc!$E$8:$E$500,MATCH(SMALL(IF((Calc!$C$8:$C$500=Kanban!$C$7)*(Calc!$K$8:$K$500=Kanban!F$11)*(Calc!$Y$8:$Y$500&gt;0),Calc!$Y$8:$Y$500,99999),Kanban_Helper!$B159),Calc!$Y$8:$Y$500,0)),INDEX(Calc!$E$8:$E$500,MATCH(SMALL(IF((Calc!$K$8:$K$500=Kanban!F$11)*(Calc!$Y$8:$Y$500&gt;0),Calc!$Y$8:$Y$500,99999),Kanban_Helper!$B159),Calc!$Y$8:$Y$500,0)))),"")</f>
        <v/>
      </c>
      <c r="G166" s="171" t="str">
        <f t="array" ref="G166">IFERROR(IF(LEN(G$11)=0,"",IF($C$7&lt;&gt;"All",INDEX(Calc!$E$8:$E$500,MATCH(SMALL(IF((Calc!$C$8:$C$500=Kanban!$C$7)*(Calc!$K$8:$K$500=Kanban!G$11)*(Calc!$Y$8:$Y$500&gt;0),Calc!$Y$8:$Y$500,99999),Kanban_Helper!$B159),Calc!$Y$8:$Y$500,0)),INDEX(Calc!$E$8:$E$500,MATCH(SMALL(IF((Calc!$K$8:$K$500=Kanban!G$11)*(Calc!$Y$8:$Y$500&gt;0),Calc!$Y$8:$Y$500,99999),Kanban_Helper!$B159),Calc!$Y$8:$Y$500,0)))),"")</f>
        <v/>
      </c>
      <c r="H166" s="171" t="str">
        <f t="array" ref="H166">IFERROR(IF(LEN(H$11)=0,"",IF($C$7&lt;&gt;"All",INDEX(Calc!$E$8:$E$500,MATCH(SMALL(IF((Calc!$C$8:$C$500=Kanban!$C$7)*(Calc!$K$8:$K$500=Kanban!H$11)*(Calc!$Y$8:$Y$500&gt;0),Calc!$Y$8:$Y$500,99999),Kanban_Helper!$B159),Calc!$Y$8:$Y$500,0)),INDEX(Calc!$E$8:$E$500,MATCH(SMALL(IF((Calc!$K$8:$K$500=Kanban!H$11)*(Calc!$Y$8:$Y$500&gt;0),Calc!$Y$8:$Y$500,99999),Kanban_Helper!$B159),Calc!$Y$8:$Y$500,0)))),"")</f>
        <v/>
      </c>
      <c r="I166" s="39"/>
    </row>
    <row r="167" spans="2:9" ht="15" thickBot="1" x14ac:dyDescent="0.4">
      <c r="B167" s="81"/>
      <c r="C167" s="172" t="str">
        <f t="array" ref="C167">IFERROR(IF(LEN(C$11)=0,"",IF($C$7&lt;&gt;"All",IF(LEN(INDEX(Calc!$J$8:$J$500,MATCH(SMALL(IF((Calc!$C$8:$C$500=Kanban!$C$7)*(Calc!$K$8:$K$500=Kanban!C$11)*(Calc!$Y$8:$Y$500&gt;0),Calc!$Y$8:$Y$500,99999),Kanban_Helper!$B160),Calc!$Y$8:$Y$500,0)))=0,"",CONCATENATE(Calc!$AD$6,INDEX(Calc!$J$8:$J$500,MATCH(SMALL(IF((Calc!$C$8:$C$500=Kanban!$C$7)*(Calc!$K$8:$K$500=Kanban!C$11)*(Calc!$Y$8:$Y$500&gt;0),Calc!$Y$8:$Y$500,99999),Kanban_Helper!$B160),Calc!$Y$8:$Y$500,0)))),IF(LEN(INDEX(Calc!$J$8:$J$500,MATCH(SMALL(IF((Calc!$K$8:$K$500=Kanban!C$11)*(Calc!$Y$8:$Y$500&gt;0),Calc!$Y$8:$Y$500,99999),Kanban_Helper!$B160),Calc!$Y$8:$Y$500,0)))=0,"",CONCATENATE(Calc!$AD$6,INDEX(Calc!$J$8:$J$500,MATCH(SMALL(IF((Calc!$K$8:$K$500=Kanban!C$11)*(Calc!$Y$8:$Y$500&gt;0),Calc!$Y$8:$Y$500,99999),Kanban_Helper!$B160),Calc!$Y$8:$Y$500,0)))))),"")</f>
        <v/>
      </c>
      <c r="D167" s="172" t="str">
        <f t="array" ref="D167">IFERROR(IF(LEN(D$11)=0,"",IF($C$7&lt;&gt;"All",IF(LEN(INDEX(Calc!$J$8:$J$500,MATCH(SMALL(IF((Calc!$C$8:$C$500=Kanban!$C$7)*(Calc!$K$8:$K$500=Kanban!D$11)*(Calc!$Y$8:$Y$500&gt;0),Calc!$Y$8:$Y$500,99999),Kanban_Helper!$B160),Calc!$Y$8:$Y$500,0)))=0,"",CONCATENATE(Calc!$AD$6,INDEX(Calc!$J$8:$J$500,MATCH(SMALL(IF((Calc!$C$8:$C$500=Kanban!$C$7)*(Calc!$K$8:$K$500=Kanban!D$11)*(Calc!$Y$8:$Y$500&gt;0),Calc!$Y$8:$Y$500,99999),Kanban_Helper!$B160),Calc!$Y$8:$Y$500,0)))),IF(LEN(INDEX(Calc!$J$8:$J$500,MATCH(SMALL(IF((Calc!$K$8:$K$500=Kanban!D$11)*(Calc!$Y$8:$Y$500&gt;0),Calc!$Y$8:$Y$500,99999),Kanban_Helper!$B160),Calc!$Y$8:$Y$500,0)))=0,"",CONCATENATE(Calc!$AD$6,INDEX(Calc!$J$8:$J$500,MATCH(SMALL(IF((Calc!$K$8:$K$500=Kanban!D$11)*(Calc!$Y$8:$Y$500&gt;0),Calc!$Y$8:$Y$500,99999),Kanban_Helper!$B160),Calc!$Y$8:$Y$500,0)))))),"")</f>
        <v/>
      </c>
      <c r="E167" s="172" t="str">
        <f t="array" ref="E167">IFERROR(IF(LEN(E$11)=0,"",IF($C$7&lt;&gt;"All",IF(LEN(INDEX(Calc!$J$8:$J$500,MATCH(SMALL(IF((Calc!$C$8:$C$500=Kanban!$C$7)*(Calc!$K$8:$K$500=Kanban!E$11)*(Calc!$Y$8:$Y$500&gt;0),Calc!$Y$8:$Y$500,99999),Kanban_Helper!$B160),Calc!$Y$8:$Y$500,0)))=0,"",CONCATENATE(Calc!$AD$6,INDEX(Calc!$J$8:$J$500,MATCH(SMALL(IF((Calc!$C$8:$C$500=Kanban!$C$7)*(Calc!$K$8:$K$500=Kanban!E$11)*(Calc!$Y$8:$Y$500&gt;0),Calc!$Y$8:$Y$500,99999),Kanban_Helper!$B160),Calc!$Y$8:$Y$500,0)))),IF(LEN(INDEX(Calc!$J$8:$J$500,MATCH(SMALL(IF((Calc!$K$8:$K$500=Kanban!E$11)*(Calc!$Y$8:$Y$500&gt;0),Calc!$Y$8:$Y$500,99999),Kanban_Helper!$B160),Calc!$Y$8:$Y$500,0)))=0,"",CONCATENATE(Calc!$AD$6,INDEX(Calc!$J$8:$J$500,MATCH(SMALL(IF((Calc!$K$8:$K$500=Kanban!E$11)*(Calc!$Y$8:$Y$500&gt;0),Calc!$Y$8:$Y$500,99999),Kanban_Helper!$B160),Calc!$Y$8:$Y$500,0)))))),"")</f>
        <v/>
      </c>
      <c r="F167" s="172" t="str">
        <f t="array" ref="F167">IFERROR(IF(LEN(F$11)=0,"",IF($C$7&lt;&gt;"All",IF(LEN(INDEX(Calc!$J$8:$J$500,MATCH(SMALL(IF((Calc!$C$8:$C$500=Kanban!$C$7)*(Calc!$K$8:$K$500=Kanban!F$11)*(Calc!$Y$8:$Y$500&gt;0),Calc!$Y$8:$Y$500,99999),Kanban_Helper!$B160),Calc!$Y$8:$Y$500,0)))=0,"",CONCATENATE(Calc!$AD$6,INDEX(Calc!$J$8:$J$500,MATCH(SMALL(IF((Calc!$C$8:$C$500=Kanban!$C$7)*(Calc!$K$8:$K$500=Kanban!F$11)*(Calc!$Y$8:$Y$500&gt;0),Calc!$Y$8:$Y$500,99999),Kanban_Helper!$B160),Calc!$Y$8:$Y$500,0)))),IF(LEN(INDEX(Calc!$J$8:$J$500,MATCH(SMALL(IF((Calc!$K$8:$K$500=Kanban!F$11)*(Calc!$Y$8:$Y$500&gt;0),Calc!$Y$8:$Y$500,99999),Kanban_Helper!$B160),Calc!$Y$8:$Y$500,0)))=0,"",CONCATENATE(Calc!$AD$6,INDEX(Calc!$J$8:$J$500,MATCH(SMALL(IF((Calc!$K$8:$K$500=Kanban!F$11)*(Calc!$Y$8:$Y$500&gt;0),Calc!$Y$8:$Y$500,99999),Kanban_Helper!$B160),Calc!$Y$8:$Y$500,0)))))),"")</f>
        <v/>
      </c>
      <c r="G167" s="172" t="str">
        <f t="array" ref="G167">IFERROR(IF(LEN(G$11)=0,"",IF($C$7&lt;&gt;"All",IF(LEN(INDEX(Calc!$J$8:$J$500,MATCH(SMALL(IF((Calc!$C$8:$C$500=Kanban!$C$7)*(Calc!$K$8:$K$500=Kanban!G$11)*(Calc!$Y$8:$Y$500&gt;0),Calc!$Y$8:$Y$500,99999),Kanban_Helper!$B160),Calc!$Y$8:$Y$500,0)))=0,"",CONCATENATE(Calc!$AD$6,INDEX(Calc!$J$8:$J$500,MATCH(SMALL(IF((Calc!$C$8:$C$500=Kanban!$C$7)*(Calc!$K$8:$K$500=Kanban!G$11)*(Calc!$Y$8:$Y$500&gt;0),Calc!$Y$8:$Y$500,99999),Kanban_Helper!$B160),Calc!$Y$8:$Y$500,0)))),IF(LEN(INDEX(Calc!$J$8:$J$500,MATCH(SMALL(IF((Calc!$K$8:$K$500=Kanban!G$11)*(Calc!$Y$8:$Y$500&gt;0),Calc!$Y$8:$Y$500,99999),Kanban_Helper!$B160),Calc!$Y$8:$Y$500,0)))=0,"",CONCATENATE(Calc!$AD$6,INDEX(Calc!$J$8:$J$500,MATCH(SMALL(IF((Calc!$K$8:$K$500=Kanban!G$11)*(Calc!$Y$8:$Y$500&gt;0),Calc!$Y$8:$Y$500,99999),Kanban_Helper!$B160),Calc!$Y$8:$Y$500,0)))))),"")</f>
        <v/>
      </c>
      <c r="H167" s="172" t="str">
        <f t="array" ref="H167">IFERROR(IF(LEN(H$11)=0,"",IF($C$7&lt;&gt;"All",IF(LEN(INDEX(Calc!$J$8:$J$500,MATCH(SMALL(IF((Calc!$C$8:$C$500=Kanban!$C$7)*(Calc!$K$8:$K$500=Kanban!H$11)*(Calc!$Y$8:$Y$500&gt;0),Calc!$Y$8:$Y$500,99999),Kanban_Helper!$B160),Calc!$Y$8:$Y$500,0)))=0,"",CONCATENATE(Calc!$AD$6,INDEX(Calc!$J$8:$J$500,MATCH(SMALL(IF((Calc!$C$8:$C$500=Kanban!$C$7)*(Calc!$K$8:$K$500=Kanban!H$11)*(Calc!$Y$8:$Y$500&gt;0),Calc!$Y$8:$Y$500,99999),Kanban_Helper!$B160),Calc!$Y$8:$Y$500,0)))),IF(LEN(INDEX(Calc!$J$8:$J$500,MATCH(SMALL(IF((Calc!$K$8:$K$500=Kanban!H$11)*(Calc!$Y$8:$Y$500&gt;0),Calc!$Y$8:$Y$500,99999),Kanban_Helper!$B160),Calc!$Y$8:$Y$500,0)))=0,"",CONCATENATE(Calc!$AD$6,INDEX(Calc!$J$8:$J$500,MATCH(SMALL(IF((Calc!$K$8:$K$500=Kanban!H$11)*(Calc!$Y$8:$Y$500&gt;0),Calc!$Y$8:$Y$500,99999),Kanban_Helper!$B160),Calc!$Y$8:$Y$500,0)))))),"")</f>
        <v/>
      </c>
      <c r="I167" s="39"/>
    </row>
    <row r="168" spans="2:9" ht="15" thickTop="1" x14ac:dyDescent="0.35">
      <c r="B168" s="81"/>
      <c r="C168" s="170" t="str">
        <f t="array" ref="C168">IFERROR(IF(LEN(C$11)=0,"",IF($C$7&lt;&gt;"All",IF(INDEX(Calc!$V$8:$V$500,MATCH(INDEX(Calc!$D$8:$D$500,MATCH(SMALL(IF((Calc!$C$8:$C$500=Kanban!$C$7)*(Calc!$K$8:$K$500=Kanban!C$11)*(Calc!$Y$8:$Y$500&gt;0),Calc!$Y$8:$Y$500,99999),Kanban_Helper!$B161),Calc!$Y$8:$Y$500,0)),Calc!$D$8:$D$500,0))="Yes",CONCATENATE(INDEX(Calc!$D$8:$D$500,MATCH(SMALL(IF((Calc!$C$8:$C$500=Kanban!$C$7)*(Calc!$K$8:$K$500=Kanban!C$11)*(Calc!$Y$8:$Y$500&gt;0),Calc!$Y$8:$Y$500,99999),Kanban_Helper!$B161),Calc!$Y$8:$Y$500,0))," ",Calc!$V$7," ","!"),INDEX(Calc!$D$8:$D$500,MATCH(SMALL(IF((Calc!$C$8:$C$500=Kanban!$C$7)*(Calc!$K$8:$K$500=Kanban!C$11)*(Calc!$Y$8:$Y$500&gt;0),Calc!$Y$8:$Y$500,99999),Kanban_Helper!$B161),Calc!$Y$8:$Y$500,0))),IF(INDEX(Calc!$V$8:$V$500,MATCH(INDEX(Calc!$D$8:$D$500,MATCH(SMALL(IF((Calc!$K$8:$K$500=Kanban!C$11)*(Calc!$Y$8:$Y$500&gt;0),Calc!$Y$8:$Y$500,99999),Kanban_Helper!$B161),Calc!$Y$8:$Y$500,0)),Calc!$D$8:$D$500,0))="Yes",CONCATENATE(INDEX(Calc!$D$8:$D$500,MATCH(SMALL(IF((Calc!$K$8:$K$500=Kanban!C$11)*(Calc!$Y$8:$Y$500&gt;0),Calc!$Y$8:$Y$500,99999),Kanban_Helper!$B161),Calc!$Y$8:$Y$500,0))," ",Calc!$V$7," ","!"),INDEX(Calc!$D$8:$D$500,MATCH(SMALL(IF((Calc!$K$8:$K$500=Kanban!C$11)*(Calc!$Y$8:$Y$500&gt;0),Calc!$Y$8:$Y$500,99999),Kanban_Helper!$B161),Calc!$Y$8:$Y$500,0))))),"")</f>
        <v/>
      </c>
      <c r="D168" s="170" t="str">
        <f t="array" ref="D168">IFERROR(IF(LEN(D$11)=0,"",IF($C$7&lt;&gt;"All",IF(INDEX(Calc!$V$8:$V$500,MATCH(INDEX(Calc!$D$8:$D$500,MATCH(SMALL(IF((Calc!$C$8:$C$500=Kanban!$C$7)*(Calc!$K$8:$K$500=Kanban!D$11)*(Calc!$Y$8:$Y$500&gt;0),Calc!$Y$8:$Y$500,99999),Kanban_Helper!$B161),Calc!$Y$8:$Y$500,0)),Calc!$D$8:$D$500,0))="Yes",CONCATENATE(INDEX(Calc!$D$8:$D$500,MATCH(SMALL(IF((Calc!$C$8:$C$500=Kanban!$C$7)*(Calc!$K$8:$K$500=Kanban!D$11)*(Calc!$Y$8:$Y$500&gt;0),Calc!$Y$8:$Y$500,99999),Kanban_Helper!$B161),Calc!$Y$8:$Y$500,0))," ",Calc!$V$7," ","!"),INDEX(Calc!$D$8:$D$500,MATCH(SMALL(IF((Calc!$C$8:$C$500=Kanban!$C$7)*(Calc!$K$8:$K$500=Kanban!D$11)*(Calc!$Y$8:$Y$500&gt;0),Calc!$Y$8:$Y$500,99999),Kanban_Helper!$B161),Calc!$Y$8:$Y$500,0))),IF(INDEX(Calc!$V$8:$V$500,MATCH(INDEX(Calc!$D$8:$D$500,MATCH(SMALL(IF((Calc!$K$8:$K$500=Kanban!D$11)*(Calc!$Y$8:$Y$500&gt;0),Calc!$Y$8:$Y$500,99999),Kanban_Helper!$B161),Calc!$Y$8:$Y$500,0)),Calc!$D$8:$D$500,0))="Yes",CONCATENATE(INDEX(Calc!$D$8:$D$500,MATCH(SMALL(IF((Calc!$K$8:$K$500=Kanban!D$11)*(Calc!$Y$8:$Y$500&gt;0),Calc!$Y$8:$Y$500,99999),Kanban_Helper!$B161),Calc!$Y$8:$Y$500,0))," ",Calc!$V$7," ","!"),INDEX(Calc!$D$8:$D$500,MATCH(SMALL(IF((Calc!$K$8:$K$500=Kanban!D$11)*(Calc!$Y$8:$Y$500&gt;0),Calc!$Y$8:$Y$500,99999),Kanban_Helper!$B161),Calc!$Y$8:$Y$500,0))))),"")</f>
        <v/>
      </c>
      <c r="E168" s="170" t="str">
        <f t="array" ref="E168">IFERROR(IF(LEN(E$11)=0,"",IF($C$7&lt;&gt;"All",IF(INDEX(Calc!$V$8:$V$500,MATCH(INDEX(Calc!$D$8:$D$500,MATCH(SMALL(IF((Calc!$C$8:$C$500=Kanban!$C$7)*(Calc!$K$8:$K$500=Kanban!E$11)*(Calc!$Y$8:$Y$500&gt;0),Calc!$Y$8:$Y$500,99999),Kanban_Helper!$B161),Calc!$Y$8:$Y$500,0)),Calc!$D$8:$D$500,0))="Yes",CONCATENATE(INDEX(Calc!$D$8:$D$500,MATCH(SMALL(IF((Calc!$C$8:$C$500=Kanban!$C$7)*(Calc!$K$8:$K$500=Kanban!E$11)*(Calc!$Y$8:$Y$500&gt;0),Calc!$Y$8:$Y$500,99999),Kanban_Helper!$B161),Calc!$Y$8:$Y$500,0))," ",Calc!$V$7," ","!"),INDEX(Calc!$D$8:$D$500,MATCH(SMALL(IF((Calc!$C$8:$C$500=Kanban!$C$7)*(Calc!$K$8:$K$500=Kanban!E$11)*(Calc!$Y$8:$Y$500&gt;0),Calc!$Y$8:$Y$500,99999),Kanban_Helper!$B161),Calc!$Y$8:$Y$500,0))),IF(INDEX(Calc!$V$8:$V$500,MATCH(INDEX(Calc!$D$8:$D$500,MATCH(SMALL(IF((Calc!$K$8:$K$500=Kanban!E$11)*(Calc!$Y$8:$Y$500&gt;0),Calc!$Y$8:$Y$500,99999),Kanban_Helper!$B161),Calc!$Y$8:$Y$500,0)),Calc!$D$8:$D$500,0))="Yes",CONCATENATE(INDEX(Calc!$D$8:$D$500,MATCH(SMALL(IF((Calc!$K$8:$K$500=Kanban!E$11)*(Calc!$Y$8:$Y$500&gt;0),Calc!$Y$8:$Y$500,99999),Kanban_Helper!$B161),Calc!$Y$8:$Y$500,0))," ",Calc!$V$7," ","!"),INDEX(Calc!$D$8:$D$500,MATCH(SMALL(IF((Calc!$K$8:$K$500=Kanban!E$11)*(Calc!$Y$8:$Y$500&gt;0),Calc!$Y$8:$Y$500,99999),Kanban_Helper!$B161),Calc!$Y$8:$Y$500,0))))),"")</f>
        <v/>
      </c>
      <c r="F168" s="170" t="str">
        <f t="array" ref="F168">IFERROR(IF(LEN(F$11)=0,"",IF($C$7&lt;&gt;"All",IF(INDEX(Calc!$V$8:$V$500,MATCH(INDEX(Calc!$D$8:$D$500,MATCH(SMALL(IF((Calc!$C$8:$C$500=Kanban!$C$7)*(Calc!$K$8:$K$500=Kanban!F$11)*(Calc!$Y$8:$Y$500&gt;0),Calc!$Y$8:$Y$500,99999),Kanban_Helper!$B161),Calc!$Y$8:$Y$500,0)),Calc!$D$8:$D$500,0))="Yes",CONCATENATE(INDEX(Calc!$D$8:$D$500,MATCH(SMALL(IF((Calc!$C$8:$C$500=Kanban!$C$7)*(Calc!$K$8:$K$500=Kanban!F$11)*(Calc!$Y$8:$Y$500&gt;0),Calc!$Y$8:$Y$500,99999),Kanban_Helper!$B161),Calc!$Y$8:$Y$500,0))," ",Calc!$V$7," ","!"),INDEX(Calc!$D$8:$D$500,MATCH(SMALL(IF((Calc!$C$8:$C$500=Kanban!$C$7)*(Calc!$K$8:$K$500=Kanban!F$11)*(Calc!$Y$8:$Y$500&gt;0),Calc!$Y$8:$Y$500,99999),Kanban_Helper!$B161),Calc!$Y$8:$Y$500,0))),IF(INDEX(Calc!$V$8:$V$500,MATCH(INDEX(Calc!$D$8:$D$500,MATCH(SMALL(IF((Calc!$K$8:$K$500=Kanban!F$11)*(Calc!$Y$8:$Y$500&gt;0),Calc!$Y$8:$Y$500,99999),Kanban_Helper!$B161),Calc!$Y$8:$Y$500,0)),Calc!$D$8:$D$500,0))="Yes",CONCATENATE(INDEX(Calc!$D$8:$D$500,MATCH(SMALL(IF((Calc!$K$8:$K$500=Kanban!F$11)*(Calc!$Y$8:$Y$500&gt;0),Calc!$Y$8:$Y$500,99999),Kanban_Helper!$B161),Calc!$Y$8:$Y$500,0))," ",Calc!$V$7," ","!"),INDEX(Calc!$D$8:$D$500,MATCH(SMALL(IF((Calc!$K$8:$K$500=Kanban!F$11)*(Calc!$Y$8:$Y$500&gt;0),Calc!$Y$8:$Y$500,99999),Kanban_Helper!$B161),Calc!$Y$8:$Y$500,0))))),"")</f>
        <v/>
      </c>
      <c r="G168" s="170" t="str">
        <f t="array" ref="G168">IFERROR(IF(LEN(G$11)=0,"",IF($C$7&lt;&gt;"All",IF(INDEX(Calc!$V$8:$V$500,MATCH(INDEX(Calc!$D$8:$D$500,MATCH(SMALL(IF((Calc!$C$8:$C$500=Kanban!$C$7)*(Calc!$K$8:$K$500=Kanban!G$11)*(Calc!$Y$8:$Y$500&gt;0),Calc!$Y$8:$Y$500,99999),Kanban_Helper!$B161),Calc!$Y$8:$Y$500,0)),Calc!$D$8:$D$500,0))="Yes",CONCATENATE(INDEX(Calc!$D$8:$D$500,MATCH(SMALL(IF((Calc!$C$8:$C$500=Kanban!$C$7)*(Calc!$K$8:$K$500=Kanban!G$11)*(Calc!$Y$8:$Y$500&gt;0),Calc!$Y$8:$Y$500,99999),Kanban_Helper!$B161),Calc!$Y$8:$Y$500,0))," ",Calc!$V$7," ","!"),INDEX(Calc!$D$8:$D$500,MATCH(SMALL(IF((Calc!$C$8:$C$500=Kanban!$C$7)*(Calc!$K$8:$K$500=Kanban!G$11)*(Calc!$Y$8:$Y$500&gt;0),Calc!$Y$8:$Y$500,99999),Kanban_Helper!$B161),Calc!$Y$8:$Y$500,0))),IF(INDEX(Calc!$V$8:$V$500,MATCH(INDEX(Calc!$D$8:$D$500,MATCH(SMALL(IF((Calc!$K$8:$K$500=Kanban!G$11)*(Calc!$Y$8:$Y$500&gt;0),Calc!$Y$8:$Y$500,99999),Kanban_Helper!$B161),Calc!$Y$8:$Y$500,0)),Calc!$D$8:$D$500,0))="Yes",CONCATENATE(INDEX(Calc!$D$8:$D$500,MATCH(SMALL(IF((Calc!$K$8:$K$500=Kanban!G$11)*(Calc!$Y$8:$Y$500&gt;0),Calc!$Y$8:$Y$500,99999),Kanban_Helper!$B161),Calc!$Y$8:$Y$500,0))," ",Calc!$V$7," ","!"),INDEX(Calc!$D$8:$D$500,MATCH(SMALL(IF((Calc!$K$8:$K$500=Kanban!G$11)*(Calc!$Y$8:$Y$500&gt;0),Calc!$Y$8:$Y$500,99999),Kanban_Helper!$B161),Calc!$Y$8:$Y$500,0))))),"")</f>
        <v/>
      </c>
      <c r="H168" s="170" t="str">
        <f t="array" ref="H168">IFERROR(IF(LEN(H$11)=0,"",IF($C$7&lt;&gt;"All",IF(INDEX(Calc!$V$8:$V$500,MATCH(INDEX(Calc!$D$8:$D$500,MATCH(SMALL(IF((Calc!$C$8:$C$500=Kanban!$C$7)*(Calc!$K$8:$K$500=Kanban!H$11)*(Calc!$Y$8:$Y$500&gt;0),Calc!$Y$8:$Y$500,99999),Kanban_Helper!$B161),Calc!$Y$8:$Y$500,0)),Calc!$D$8:$D$500,0))="Yes",CONCATENATE(INDEX(Calc!$D$8:$D$500,MATCH(SMALL(IF((Calc!$C$8:$C$500=Kanban!$C$7)*(Calc!$K$8:$K$500=Kanban!H$11)*(Calc!$Y$8:$Y$500&gt;0),Calc!$Y$8:$Y$500,99999),Kanban_Helper!$B161),Calc!$Y$8:$Y$500,0))," ",Calc!$V$7," ","!"),INDEX(Calc!$D$8:$D$500,MATCH(SMALL(IF((Calc!$C$8:$C$500=Kanban!$C$7)*(Calc!$K$8:$K$500=Kanban!H$11)*(Calc!$Y$8:$Y$500&gt;0),Calc!$Y$8:$Y$500,99999),Kanban_Helper!$B161),Calc!$Y$8:$Y$500,0))),IF(INDEX(Calc!$V$8:$V$500,MATCH(INDEX(Calc!$D$8:$D$500,MATCH(SMALL(IF((Calc!$K$8:$K$500=Kanban!H$11)*(Calc!$Y$8:$Y$500&gt;0),Calc!$Y$8:$Y$500,99999),Kanban_Helper!$B161),Calc!$Y$8:$Y$500,0)),Calc!$D$8:$D$500,0))="Yes",CONCATENATE(INDEX(Calc!$D$8:$D$500,MATCH(SMALL(IF((Calc!$K$8:$K$500=Kanban!H$11)*(Calc!$Y$8:$Y$500&gt;0),Calc!$Y$8:$Y$500,99999),Kanban_Helper!$B161),Calc!$Y$8:$Y$500,0))," ",Calc!$V$7," ","!"),INDEX(Calc!$D$8:$D$500,MATCH(SMALL(IF((Calc!$K$8:$K$500=Kanban!H$11)*(Calc!$Y$8:$Y$500&gt;0),Calc!$Y$8:$Y$500,99999),Kanban_Helper!$B161),Calc!$Y$8:$Y$500,0))))),"")</f>
        <v/>
      </c>
      <c r="I168" s="39"/>
    </row>
    <row r="169" spans="2:9" x14ac:dyDescent="0.35">
      <c r="B169" s="81"/>
      <c r="C169" s="171" t="str">
        <f t="array" ref="C169">IFERROR(IF(LEN(C$11)=0,"",IF($C$7&lt;&gt;"All",INDEX(Calc!$E$8:$E$500,MATCH(SMALL(IF((Calc!$C$8:$C$500=Kanban!$C$7)*(Calc!$K$8:$K$500=Kanban!C$11)*(Calc!$Y$8:$Y$500&gt;0),Calc!$Y$8:$Y$500,99999),Kanban_Helper!$B162),Calc!$Y$8:$Y$500,0)),INDEX(Calc!$E$8:$E$500,MATCH(SMALL(IF((Calc!$K$8:$K$500=Kanban!C$11)*(Calc!$Y$8:$Y$500&gt;0),Calc!$Y$8:$Y$500,99999),Kanban_Helper!$B162),Calc!$Y$8:$Y$500,0)))),"")</f>
        <v/>
      </c>
      <c r="D169" s="171" t="str">
        <f t="array" ref="D169">IFERROR(IF(LEN(D$11)=0,"",IF($C$7&lt;&gt;"All",INDEX(Calc!$E$8:$E$500,MATCH(SMALL(IF((Calc!$C$8:$C$500=Kanban!$C$7)*(Calc!$K$8:$K$500=Kanban!D$11)*(Calc!$Y$8:$Y$500&gt;0),Calc!$Y$8:$Y$500,99999),Kanban_Helper!$B162),Calc!$Y$8:$Y$500,0)),INDEX(Calc!$E$8:$E$500,MATCH(SMALL(IF((Calc!$K$8:$K$500=Kanban!D$11)*(Calc!$Y$8:$Y$500&gt;0),Calc!$Y$8:$Y$500,99999),Kanban_Helper!$B162),Calc!$Y$8:$Y$500,0)))),"")</f>
        <v/>
      </c>
      <c r="E169" s="171" t="str">
        <f t="array" ref="E169">IFERROR(IF(LEN(E$11)=0,"",IF($C$7&lt;&gt;"All",INDEX(Calc!$E$8:$E$500,MATCH(SMALL(IF((Calc!$C$8:$C$500=Kanban!$C$7)*(Calc!$K$8:$K$500=Kanban!E$11)*(Calc!$Y$8:$Y$500&gt;0),Calc!$Y$8:$Y$500,99999),Kanban_Helper!$B162),Calc!$Y$8:$Y$500,0)),INDEX(Calc!$E$8:$E$500,MATCH(SMALL(IF((Calc!$K$8:$K$500=Kanban!E$11)*(Calc!$Y$8:$Y$500&gt;0),Calc!$Y$8:$Y$500,99999),Kanban_Helper!$B162),Calc!$Y$8:$Y$500,0)))),"")</f>
        <v/>
      </c>
      <c r="F169" s="171" t="str">
        <f t="array" ref="F169">IFERROR(IF(LEN(F$11)=0,"",IF($C$7&lt;&gt;"All",INDEX(Calc!$E$8:$E$500,MATCH(SMALL(IF((Calc!$C$8:$C$500=Kanban!$C$7)*(Calc!$K$8:$K$500=Kanban!F$11)*(Calc!$Y$8:$Y$500&gt;0),Calc!$Y$8:$Y$500,99999),Kanban_Helper!$B162),Calc!$Y$8:$Y$500,0)),INDEX(Calc!$E$8:$E$500,MATCH(SMALL(IF((Calc!$K$8:$K$500=Kanban!F$11)*(Calc!$Y$8:$Y$500&gt;0),Calc!$Y$8:$Y$500,99999),Kanban_Helper!$B162),Calc!$Y$8:$Y$500,0)))),"")</f>
        <v/>
      </c>
      <c r="G169" s="171" t="str">
        <f t="array" ref="G169">IFERROR(IF(LEN(G$11)=0,"",IF($C$7&lt;&gt;"All",INDEX(Calc!$E$8:$E$500,MATCH(SMALL(IF((Calc!$C$8:$C$500=Kanban!$C$7)*(Calc!$K$8:$K$500=Kanban!G$11)*(Calc!$Y$8:$Y$500&gt;0),Calc!$Y$8:$Y$500,99999),Kanban_Helper!$B162),Calc!$Y$8:$Y$500,0)),INDEX(Calc!$E$8:$E$500,MATCH(SMALL(IF((Calc!$K$8:$K$500=Kanban!G$11)*(Calc!$Y$8:$Y$500&gt;0),Calc!$Y$8:$Y$500,99999),Kanban_Helper!$B162),Calc!$Y$8:$Y$500,0)))),"")</f>
        <v/>
      </c>
      <c r="H169" s="171" t="str">
        <f t="array" ref="H169">IFERROR(IF(LEN(H$11)=0,"",IF($C$7&lt;&gt;"All",INDEX(Calc!$E$8:$E$500,MATCH(SMALL(IF((Calc!$C$8:$C$500=Kanban!$C$7)*(Calc!$K$8:$K$500=Kanban!H$11)*(Calc!$Y$8:$Y$500&gt;0),Calc!$Y$8:$Y$500,99999),Kanban_Helper!$B162),Calc!$Y$8:$Y$500,0)),INDEX(Calc!$E$8:$E$500,MATCH(SMALL(IF((Calc!$K$8:$K$500=Kanban!H$11)*(Calc!$Y$8:$Y$500&gt;0),Calc!$Y$8:$Y$500,99999),Kanban_Helper!$B162),Calc!$Y$8:$Y$500,0)))),"")</f>
        <v/>
      </c>
      <c r="I169" s="39"/>
    </row>
    <row r="170" spans="2:9" ht="15" thickBot="1" x14ac:dyDescent="0.4">
      <c r="B170" s="81"/>
      <c r="C170" s="172" t="str">
        <f t="array" ref="C170">IFERROR(IF(LEN(C$11)=0,"",IF($C$7&lt;&gt;"All",IF(LEN(INDEX(Calc!$J$8:$J$500,MATCH(SMALL(IF((Calc!$C$8:$C$500=Kanban!$C$7)*(Calc!$K$8:$K$500=Kanban!C$11)*(Calc!$Y$8:$Y$500&gt;0),Calc!$Y$8:$Y$500,99999),Kanban_Helper!$B163),Calc!$Y$8:$Y$500,0)))=0,"",CONCATENATE(Calc!$AD$6,INDEX(Calc!$J$8:$J$500,MATCH(SMALL(IF((Calc!$C$8:$C$500=Kanban!$C$7)*(Calc!$K$8:$K$500=Kanban!C$11)*(Calc!$Y$8:$Y$500&gt;0),Calc!$Y$8:$Y$500,99999),Kanban_Helper!$B163),Calc!$Y$8:$Y$500,0)))),IF(LEN(INDEX(Calc!$J$8:$J$500,MATCH(SMALL(IF((Calc!$K$8:$K$500=Kanban!C$11)*(Calc!$Y$8:$Y$500&gt;0),Calc!$Y$8:$Y$500,99999),Kanban_Helper!$B163),Calc!$Y$8:$Y$500,0)))=0,"",CONCATENATE(Calc!$AD$6,INDEX(Calc!$J$8:$J$500,MATCH(SMALL(IF((Calc!$K$8:$K$500=Kanban!C$11)*(Calc!$Y$8:$Y$500&gt;0),Calc!$Y$8:$Y$500,99999),Kanban_Helper!$B163),Calc!$Y$8:$Y$500,0)))))),"")</f>
        <v/>
      </c>
      <c r="D170" s="172" t="str">
        <f t="array" ref="D170">IFERROR(IF(LEN(D$11)=0,"",IF($C$7&lt;&gt;"All",IF(LEN(INDEX(Calc!$J$8:$J$500,MATCH(SMALL(IF((Calc!$C$8:$C$500=Kanban!$C$7)*(Calc!$K$8:$K$500=Kanban!D$11)*(Calc!$Y$8:$Y$500&gt;0),Calc!$Y$8:$Y$500,99999),Kanban_Helper!$B163),Calc!$Y$8:$Y$500,0)))=0,"",CONCATENATE(Calc!$AD$6,INDEX(Calc!$J$8:$J$500,MATCH(SMALL(IF((Calc!$C$8:$C$500=Kanban!$C$7)*(Calc!$K$8:$K$500=Kanban!D$11)*(Calc!$Y$8:$Y$500&gt;0),Calc!$Y$8:$Y$500,99999),Kanban_Helper!$B163),Calc!$Y$8:$Y$500,0)))),IF(LEN(INDEX(Calc!$J$8:$J$500,MATCH(SMALL(IF((Calc!$K$8:$K$500=Kanban!D$11)*(Calc!$Y$8:$Y$500&gt;0),Calc!$Y$8:$Y$500,99999),Kanban_Helper!$B163),Calc!$Y$8:$Y$500,0)))=0,"",CONCATENATE(Calc!$AD$6,INDEX(Calc!$J$8:$J$500,MATCH(SMALL(IF((Calc!$K$8:$K$500=Kanban!D$11)*(Calc!$Y$8:$Y$500&gt;0),Calc!$Y$8:$Y$500,99999),Kanban_Helper!$B163),Calc!$Y$8:$Y$500,0)))))),"")</f>
        <v/>
      </c>
      <c r="E170" s="172" t="str">
        <f t="array" ref="E170">IFERROR(IF(LEN(E$11)=0,"",IF($C$7&lt;&gt;"All",IF(LEN(INDEX(Calc!$J$8:$J$500,MATCH(SMALL(IF((Calc!$C$8:$C$500=Kanban!$C$7)*(Calc!$K$8:$K$500=Kanban!E$11)*(Calc!$Y$8:$Y$500&gt;0),Calc!$Y$8:$Y$500,99999),Kanban_Helper!$B163),Calc!$Y$8:$Y$500,0)))=0,"",CONCATENATE(Calc!$AD$6,INDEX(Calc!$J$8:$J$500,MATCH(SMALL(IF((Calc!$C$8:$C$500=Kanban!$C$7)*(Calc!$K$8:$K$500=Kanban!E$11)*(Calc!$Y$8:$Y$500&gt;0),Calc!$Y$8:$Y$500,99999),Kanban_Helper!$B163),Calc!$Y$8:$Y$500,0)))),IF(LEN(INDEX(Calc!$J$8:$J$500,MATCH(SMALL(IF((Calc!$K$8:$K$500=Kanban!E$11)*(Calc!$Y$8:$Y$500&gt;0),Calc!$Y$8:$Y$500,99999),Kanban_Helper!$B163),Calc!$Y$8:$Y$500,0)))=0,"",CONCATENATE(Calc!$AD$6,INDEX(Calc!$J$8:$J$500,MATCH(SMALL(IF((Calc!$K$8:$K$500=Kanban!E$11)*(Calc!$Y$8:$Y$500&gt;0),Calc!$Y$8:$Y$500,99999),Kanban_Helper!$B163),Calc!$Y$8:$Y$500,0)))))),"")</f>
        <v/>
      </c>
      <c r="F170" s="172" t="str">
        <f t="array" ref="F170">IFERROR(IF(LEN(F$11)=0,"",IF($C$7&lt;&gt;"All",IF(LEN(INDEX(Calc!$J$8:$J$500,MATCH(SMALL(IF((Calc!$C$8:$C$500=Kanban!$C$7)*(Calc!$K$8:$K$500=Kanban!F$11)*(Calc!$Y$8:$Y$500&gt;0),Calc!$Y$8:$Y$500,99999),Kanban_Helper!$B163),Calc!$Y$8:$Y$500,0)))=0,"",CONCATENATE(Calc!$AD$6,INDEX(Calc!$J$8:$J$500,MATCH(SMALL(IF((Calc!$C$8:$C$500=Kanban!$C$7)*(Calc!$K$8:$K$500=Kanban!F$11)*(Calc!$Y$8:$Y$500&gt;0),Calc!$Y$8:$Y$500,99999),Kanban_Helper!$B163),Calc!$Y$8:$Y$500,0)))),IF(LEN(INDEX(Calc!$J$8:$J$500,MATCH(SMALL(IF((Calc!$K$8:$K$500=Kanban!F$11)*(Calc!$Y$8:$Y$500&gt;0),Calc!$Y$8:$Y$500,99999),Kanban_Helper!$B163),Calc!$Y$8:$Y$500,0)))=0,"",CONCATENATE(Calc!$AD$6,INDEX(Calc!$J$8:$J$500,MATCH(SMALL(IF((Calc!$K$8:$K$500=Kanban!F$11)*(Calc!$Y$8:$Y$500&gt;0),Calc!$Y$8:$Y$500,99999),Kanban_Helper!$B163),Calc!$Y$8:$Y$500,0)))))),"")</f>
        <v/>
      </c>
      <c r="G170" s="172" t="str">
        <f t="array" ref="G170">IFERROR(IF(LEN(G$11)=0,"",IF($C$7&lt;&gt;"All",IF(LEN(INDEX(Calc!$J$8:$J$500,MATCH(SMALL(IF((Calc!$C$8:$C$500=Kanban!$C$7)*(Calc!$K$8:$K$500=Kanban!G$11)*(Calc!$Y$8:$Y$500&gt;0),Calc!$Y$8:$Y$500,99999),Kanban_Helper!$B163),Calc!$Y$8:$Y$500,0)))=0,"",CONCATENATE(Calc!$AD$6,INDEX(Calc!$J$8:$J$500,MATCH(SMALL(IF((Calc!$C$8:$C$500=Kanban!$C$7)*(Calc!$K$8:$K$500=Kanban!G$11)*(Calc!$Y$8:$Y$500&gt;0),Calc!$Y$8:$Y$500,99999),Kanban_Helper!$B163),Calc!$Y$8:$Y$500,0)))),IF(LEN(INDEX(Calc!$J$8:$J$500,MATCH(SMALL(IF((Calc!$K$8:$K$500=Kanban!G$11)*(Calc!$Y$8:$Y$500&gt;0),Calc!$Y$8:$Y$500,99999),Kanban_Helper!$B163),Calc!$Y$8:$Y$500,0)))=0,"",CONCATENATE(Calc!$AD$6,INDEX(Calc!$J$8:$J$500,MATCH(SMALL(IF((Calc!$K$8:$K$500=Kanban!G$11)*(Calc!$Y$8:$Y$500&gt;0),Calc!$Y$8:$Y$500,99999),Kanban_Helper!$B163),Calc!$Y$8:$Y$500,0)))))),"")</f>
        <v/>
      </c>
      <c r="H170" s="172" t="str">
        <f t="array" ref="H170">IFERROR(IF(LEN(H$11)=0,"",IF($C$7&lt;&gt;"All",IF(LEN(INDEX(Calc!$J$8:$J$500,MATCH(SMALL(IF((Calc!$C$8:$C$500=Kanban!$C$7)*(Calc!$K$8:$K$500=Kanban!H$11)*(Calc!$Y$8:$Y$500&gt;0),Calc!$Y$8:$Y$500,99999),Kanban_Helper!$B163),Calc!$Y$8:$Y$500,0)))=0,"",CONCATENATE(Calc!$AD$6,INDEX(Calc!$J$8:$J$500,MATCH(SMALL(IF((Calc!$C$8:$C$500=Kanban!$C$7)*(Calc!$K$8:$K$500=Kanban!H$11)*(Calc!$Y$8:$Y$500&gt;0),Calc!$Y$8:$Y$500,99999),Kanban_Helper!$B163),Calc!$Y$8:$Y$500,0)))),IF(LEN(INDEX(Calc!$J$8:$J$500,MATCH(SMALL(IF((Calc!$K$8:$K$500=Kanban!H$11)*(Calc!$Y$8:$Y$500&gt;0),Calc!$Y$8:$Y$500,99999),Kanban_Helper!$B163),Calc!$Y$8:$Y$500,0)))=0,"",CONCATENATE(Calc!$AD$6,INDEX(Calc!$J$8:$J$500,MATCH(SMALL(IF((Calc!$K$8:$K$500=Kanban!H$11)*(Calc!$Y$8:$Y$500&gt;0),Calc!$Y$8:$Y$500,99999),Kanban_Helper!$B163),Calc!$Y$8:$Y$500,0)))))),"")</f>
        <v/>
      </c>
      <c r="I170" s="39"/>
    </row>
    <row r="171" spans="2:9" ht="15" thickTop="1" x14ac:dyDescent="0.35">
      <c r="B171" s="81"/>
      <c r="C171" s="170" t="str">
        <f t="array" ref="C171">IFERROR(IF(LEN(C$11)=0,"",IF($C$7&lt;&gt;"All",IF(INDEX(Calc!$V$8:$V$500,MATCH(INDEX(Calc!$D$8:$D$500,MATCH(SMALL(IF((Calc!$C$8:$C$500=Kanban!$C$7)*(Calc!$K$8:$K$500=Kanban!C$11)*(Calc!$Y$8:$Y$500&gt;0),Calc!$Y$8:$Y$500,99999),Kanban_Helper!$B164),Calc!$Y$8:$Y$500,0)),Calc!$D$8:$D$500,0))="Yes",CONCATENATE(INDEX(Calc!$D$8:$D$500,MATCH(SMALL(IF((Calc!$C$8:$C$500=Kanban!$C$7)*(Calc!$K$8:$K$500=Kanban!C$11)*(Calc!$Y$8:$Y$500&gt;0),Calc!$Y$8:$Y$500,99999),Kanban_Helper!$B164),Calc!$Y$8:$Y$500,0))," ",Calc!$V$7," ","!"),INDEX(Calc!$D$8:$D$500,MATCH(SMALL(IF((Calc!$C$8:$C$500=Kanban!$C$7)*(Calc!$K$8:$K$500=Kanban!C$11)*(Calc!$Y$8:$Y$500&gt;0),Calc!$Y$8:$Y$500,99999),Kanban_Helper!$B164),Calc!$Y$8:$Y$500,0))),IF(INDEX(Calc!$V$8:$V$500,MATCH(INDEX(Calc!$D$8:$D$500,MATCH(SMALL(IF((Calc!$K$8:$K$500=Kanban!C$11)*(Calc!$Y$8:$Y$500&gt;0),Calc!$Y$8:$Y$500,99999),Kanban_Helper!$B164),Calc!$Y$8:$Y$500,0)),Calc!$D$8:$D$500,0))="Yes",CONCATENATE(INDEX(Calc!$D$8:$D$500,MATCH(SMALL(IF((Calc!$K$8:$K$500=Kanban!C$11)*(Calc!$Y$8:$Y$500&gt;0),Calc!$Y$8:$Y$500,99999),Kanban_Helper!$B164),Calc!$Y$8:$Y$500,0))," ",Calc!$V$7," ","!"),INDEX(Calc!$D$8:$D$500,MATCH(SMALL(IF((Calc!$K$8:$K$500=Kanban!C$11)*(Calc!$Y$8:$Y$500&gt;0),Calc!$Y$8:$Y$500,99999),Kanban_Helper!$B164),Calc!$Y$8:$Y$500,0))))),"")</f>
        <v/>
      </c>
      <c r="D171" s="170" t="str">
        <f t="array" ref="D171">IFERROR(IF(LEN(D$11)=0,"",IF($C$7&lt;&gt;"All",IF(INDEX(Calc!$V$8:$V$500,MATCH(INDEX(Calc!$D$8:$D$500,MATCH(SMALL(IF((Calc!$C$8:$C$500=Kanban!$C$7)*(Calc!$K$8:$K$500=Kanban!D$11)*(Calc!$Y$8:$Y$500&gt;0),Calc!$Y$8:$Y$500,99999),Kanban_Helper!$B164),Calc!$Y$8:$Y$500,0)),Calc!$D$8:$D$500,0))="Yes",CONCATENATE(INDEX(Calc!$D$8:$D$500,MATCH(SMALL(IF((Calc!$C$8:$C$500=Kanban!$C$7)*(Calc!$K$8:$K$500=Kanban!D$11)*(Calc!$Y$8:$Y$500&gt;0),Calc!$Y$8:$Y$500,99999),Kanban_Helper!$B164),Calc!$Y$8:$Y$500,0))," ",Calc!$V$7," ","!"),INDEX(Calc!$D$8:$D$500,MATCH(SMALL(IF((Calc!$C$8:$C$500=Kanban!$C$7)*(Calc!$K$8:$K$500=Kanban!D$11)*(Calc!$Y$8:$Y$500&gt;0),Calc!$Y$8:$Y$500,99999),Kanban_Helper!$B164),Calc!$Y$8:$Y$500,0))),IF(INDEX(Calc!$V$8:$V$500,MATCH(INDEX(Calc!$D$8:$D$500,MATCH(SMALL(IF((Calc!$K$8:$K$500=Kanban!D$11)*(Calc!$Y$8:$Y$500&gt;0),Calc!$Y$8:$Y$500,99999),Kanban_Helper!$B164),Calc!$Y$8:$Y$500,0)),Calc!$D$8:$D$500,0))="Yes",CONCATENATE(INDEX(Calc!$D$8:$D$500,MATCH(SMALL(IF((Calc!$K$8:$K$500=Kanban!D$11)*(Calc!$Y$8:$Y$500&gt;0),Calc!$Y$8:$Y$500,99999),Kanban_Helper!$B164),Calc!$Y$8:$Y$500,0))," ",Calc!$V$7," ","!"),INDEX(Calc!$D$8:$D$500,MATCH(SMALL(IF((Calc!$K$8:$K$500=Kanban!D$11)*(Calc!$Y$8:$Y$500&gt;0),Calc!$Y$8:$Y$500,99999),Kanban_Helper!$B164),Calc!$Y$8:$Y$500,0))))),"")</f>
        <v/>
      </c>
      <c r="E171" s="170" t="str">
        <f t="array" ref="E171">IFERROR(IF(LEN(E$11)=0,"",IF($C$7&lt;&gt;"All",IF(INDEX(Calc!$V$8:$V$500,MATCH(INDEX(Calc!$D$8:$D$500,MATCH(SMALL(IF((Calc!$C$8:$C$500=Kanban!$C$7)*(Calc!$K$8:$K$500=Kanban!E$11)*(Calc!$Y$8:$Y$500&gt;0),Calc!$Y$8:$Y$500,99999),Kanban_Helper!$B164),Calc!$Y$8:$Y$500,0)),Calc!$D$8:$D$500,0))="Yes",CONCATENATE(INDEX(Calc!$D$8:$D$500,MATCH(SMALL(IF((Calc!$C$8:$C$500=Kanban!$C$7)*(Calc!$K$8:$K$500=Kanban!E$11)*(Calc!$Y$8:$Y$500&gt;0),Calc!$Y$8:$Y$500,99999),Kanban_Helper!$B164),Calc!$Y$8:$Y$500,0))," ",Calc!$V$7," ","!"),INDEX(Calc!$D$8:$D$500,MATCH(SMALL(IF((Calc!$C$8:$C$500=Kanban!$C$7)*(Calc!$K$8:$K$500=Kanban!E$11)*(Calc!$Y$8:$Y$500&gt;0),Calc!$Y$8:$Y$500,99999),Kanban_Helper!$B164),Calc!$Y$8:$Y$500,0))),IF(INDEX(Calc!$V$8:$V$500,MATCH(INDEX(Calc!$D$8:$D$500,MATCH(SMALL(IF((Calc!$K$8:$K$500=Kanban!E$11)*(Calc!$Y$8:$Y$500&gt;0),Calc!$Y$8:$Y$500,99999),Kanban_Helper!$B164),Calc!$Y$8:$Y$500,0)),Calc!$D$8:$D$500,0))="Yes",CONCATENATE(INDEX(Calc!$D$8:$D$500,MATCH(SMALL(IF((Calc!$K$8:$K$500=Kanban!E$11)*(Calc!$Y$8:$Y$500&gt;0),Calc!$Y$8:$Y$500,99999),Kanban_Helper!$B164),Calc!$Y$8:$Y$500,0))," ",Calc!$V$7," ","!"),INDEX(Calc!$D$8:$D$500,MATCH(SMALL(IF((Calc!$K$8:$K$500=Kanban!E$11)*(Calc!$Y$8:$Y$500&gt;0),Calc!$Y$8:$Y$500,99999),Kanban_Helper!$B164),Calc!$Y$8:$Y$500,0))))),"")</f>
        <v/>
      </c>
      <c r="F171" s="170" t="str">
        <f t="array" ref="F171">IFERROR(IF(LEN(F$11)=0,"",IF($C$7&lt;&gt;"All",IF(INDEX(Calc!$V$8:$V$500,MATCH(INDEX(Calc!$D$8:$D$500,MATCH(SMALL(IF((Calc!$C$8:$C$500=Kanban!$C$7)*(Calc!$K$8:$K$500=Kanban!F$11)*(Calc!$Y$8:$Y$500&gt;0),Calc!$Y$8:$Y$500,99999),Kanban_Helper!$B164),Calc!$Y$8:$Y$500,0)),Calc!$D$8:$D$500,0))="Yes",CONCATENATE(INDEX(Calc!$D$8:$D$500,MATCH(SMALL(IF((Calc!$C$8:$C$500=Kanban!$C$7)*(Calc!$K$8:$K$500=Kanban!F$11)*(Calc!$Y$8:$Y$500&gt;0),Calc!$Y$8:$Y$500,99999),Kanban_Helper!$B164),Calc!$Y$8:$Y$500,0))," ",Calc!$V$7," ","!"),INDEX(Calc!$D$8:$D$500,MATCH(SMALL(IF((Calc!$C$8:$C$500=Kanban!$C$7)*(Calc!$K$8:$K$500=Kanban!F$11)*(Calc!$Y$8:$Y$500&gt;0),Calc!$Y$8:$Y$500,99999),Kanban_Helper!$B164),Calc!$Y$8:$Y$500,0))),IF(INDEX(Calc!$V$8:$V$500,MATCH(INDEX(Calc!$D$8:$D$500,MATCH(SMALL(IF((Calc!$K$8:$K$500=Kanban!F$11)*(Calc!$Y$8:$Y$500&gt;0),Calc!$Y$8:$Y$500,99999),Kanban_Helper!$B164),Calc!$Y$8:$Y$500,0)),Calc!$D$8:$D$500,0))="Yes",CONCATENATE(INDEX(Calc!$D$8:$D$500,MATCH(SMALL(IF((Calc!$K$8:$K$500=Kanban!F$11)*(Calc!$Y$8:$Y$500&gt;0),Calc!$Y$8:$Y$500,99999),Kanban_Helper!$B164),Calc!$Y$8:$Y$500,0))," ",Calc!$V$7," ","!"),INDEX(Calc!$D$8:$D$500,MATCH(SMALL(IF((Calc!$K$8:$K$500=Kanban!F$11)*(Calc!$Y$8:$Y$500&gt;0),Calc!$Y$8:$Y$500,99999),Kanban_Helper!$B164),Calc!$Y$8:$Y$500,0))))),"")</f>
        <v/>
      </c>
      <c r="G171" s="170" t="str">
        <f t="array" ref="G171">IFERROR(IF(LEN(G$11)=0,"",IF($C$7&lt;&gt;"All",IF(INDEX(Calc!$V$8:$V$500,MATCH(INDEX(Calc!$D$8:$D$500,MATCH(SMALL(IF((Calc!$C$8:$C$500=Kanban!$C$7)*(Calc!$K$8:$K$500=Kanban!G$11)*(Calc!$Y$8:$Y$500&gt;0),Calc!$Y$8:$Y$500,99999),Kanban_Helper!$B164),Calc!$Y$8:$Y$500,0)),Calc!$D$8:$D$500,0))="Yes",CONCATENATE(INDEX(Calc!$D$8:$D$500,MATCH(SMALL(IF((Calc!$C$8:$C$500=Kanban!$C$7)*(Calc!$K$8:$K$500=Kanban!G$11)*(Calc!$Y$8:$Y$500&gt;0),Calc!$Y$8:$Y$500,99999),Kanban_Helper!$B164),Calc!$Y$8:$Y$500,0))," ",Calc!$V$7," ","!"),INDEX(Calc!$D$8:$D$500,MATCH(SMALL(IF((Calc!$C$8:$C$500=Kanban!$C$7)*(Calc!$K$8:$K$500=Kanban!G$11)*(Calc!$Y$8:$Y$500&gt;0),Calc!$Y$8:$Y$500,99999),Kanban_Helper!$B164),Calc!$Y$8:$Y$500,0))),IF(INDEX(Calc!$V$8:$V$500,MATCH(INDEX(Calc!$D$8:$D$500,MATCH(SMALL(IF((Calc!$K$8:$K$500=Kanban!G$11)*(Calc!$Y$8:$Y$500&gt;0),Calc!$Y$8:$Y$500,99999),Kanban_Helper!$B164),Calc!$Y$8:$Y$500,0)),Calc!$D$8:$D$500,0))="Yes",CONCATENATE(INDEX(Calc!$D$8:$D$500,MATCH(SMALL(IF((Calc!$K$8:$K$500=Kanban!G$11)*(Calc!$Y$8:$Y$500&gt;0),Calc!$Y$8:$Y$500,99999),Kanban_Helper!$B164),Calc!$Y$8:$Y$500,0))," ",Calc!$V$7," ","!"),INDEX(Calc!$D$8:$D$500,MATCH(SMALL(IF((Calc!$K$8:$K$500=Kanban!G$11)*(Calc!$Y$8:$Y$500&gt;0),Calc!$Y$8:$Y$500,99999),Kanban_Helper!$B164),Calc!$Y$8:$Y$500,0))))),"")</f>
        <v/>
      </c>
      <c r="H171" s="170" t="str">
        <f t="array" ref="H171">IFERROR(IF(LEN(H$11)=0,"",IF($C$7&lt;&gt;"All",IF(INDEX(Calc!$V$8:$V$500,MATCH(INDEX(Calc!$D$8:$D$500,MATCH(SMALL(IF((Calc!$C$8:$C$500=Kanban!$C$7)*(Calc!$K$8:$K$500=Kanban!H$11)*(Calc!$Y$8:$Y$500&gt;0),Calc!$Y$8:$Y$500,99999),Kanban_Helper!$B164),Calc!$Y$8:$Y$500,0)),Calc!$D$8:$D$500,0))="Yes",CONCATENATE(INDEX(Calc!$D$8:$D$500,MATCH(SMALL(IF((Calc!$C$8:$C$500=Kanban!$C$7)*(Calc!$K$8:$K$500=Kanban!H$11)*(Calc!$Y$8:$Y$500&gt;0),Calc!$Y$8:$Y$500,99999),Kanban_Helper!$B164),Calc!$Y$8:$Y$500,0))," ",Calc!$V$7," ","!"),INDEX(Calc!$D$8:$D$500,MATCH(SMALL(IF((Calc!$C$8:$C$500=Kanban!$C$7)*(Calc!$K$8:$K$500=Kanban!H$11)*(Calc!$Y$8:$Y$500&gt;0),Calc!$Y$8:$Y$500,99999),Kanban_Helper!$B164),Calc!$Y$8:$Y$500,0))),IF(INDEX(Calc!$V$8:$V$500,MATCH(INDEX(Calc!$D$8:$D$500,MATCH(SMALL(IF((Calc!$K$8:$K$500=Kanban!H$11)*(Calc!$Y$8:$Y$500&gt;0),Calc!$Y$8:$Y$500,99999),Kanban_Helper!$B164),Calc!$Y$8:$Y$500,0)),Calc!$D$8:$D$500,0))="Yes",CONCATENATE(INDEX(Calc!$D$8:$D$500,MATCH(SMALL(IF((Calc!$K$8:$K$500=Kanban!H$11)*(Calc!$Y$8:$Y$500&gt;0),Calc!$Y$8:$Y$500,99999),Kanban_Helper!$B164),Calc!$Y$8:$Y$500,0))," ",Calc!$V$7," ","!"),INDEX(Calc!$D$8:$D$500,MATCH(SMALL(IF((Calc!$K$8:$K$500=Kanban!H$11)*(Calc!$Y$8:$Y$500&gt;0),Calc!$Y$8:$Y$500,99999),Kanban_Helper!$B164),Calc!$Y$8:$Y$500,0))))),"")</f>
        <v/>
      </c>
      <c r="I171" s="39"/>
    </row>
    <row r="172" spans="2:9" x14ac:dyDescent="0.35">
      <c r="B172" s="81"/>
      <c r="C172" s="171" t="str">
        <f t="array" ref="C172">IFERROR(IF(LEN(C$11)=0,"",IF($C$7&lt;&gt;"All",INDEX(Calc!$E$8:$E$500,MATCH(SMALL(IF((Calc!$C$8:$C$500=Kanban!$C$7)*(Calc!$K$8:$K$500=Kanban!C$11)*(Calc!$Y$8:$Y$500&gt;0),Calc!$Y$8:$Y$500,99999),Kanban_Helper!$B165),Calc!$Y$8:$Y$500,0)),INDEX(Calc!$E$8:$E$500,MATCH(SMALL(IF((Calc!$K$8:$K$500=Kanban!C$11)*(Calc!$Y$8:$Y$500&gt;0),Calc!$Y$8:$Y$500,99999),Kanban_Helper!$B165),Calc!$Y$8:$Y$500,0)))),"")</f>
        <v/>
      </c>
      <c r="D172" s="171" t="str">
        <f t="array" ref="D172">IFERROR(IF(LEN(D$11)=0,"",IF($C$7&lt;&gt;"All",INDEX(Calc!$E$8:$E$500,MATCH(SMALL(IF((Calc!$C$8:$C$500=Kanban!$C$7)*(Calc!$K$8:$K$500=Kanban!D$11)*(Calc!$Y$8:$Y$500&gt;0),Calc!$Y$8:$Y$500,99999),Kanban_Helper!$B165),Calc!$Y$8:$Y$500,0)),INDEX(Calc!$E$8:$E$500,MATCH(SMALL(IF((Calc!$K$8:$K$500=Kanban!D$11)*(Calc!$Y$8:$Y$500&gt;0),Calc!$Y$8:$Y$500,99999),Kanban_Helper!$B165),Calc!$Y$8:$Y$500,0)))),"")</f>
        <v/>
      </c>
      <c r="E172" s="171" t="str">
        <f t="array" ref="E172">IFERROR(IF(LEN(E$11)=0,"",IF($C$7&lt;&gt;"All",INDEX(Calc!$E$8:$E$500,MATCH(SMALL(IF((Calc!$C$8:$C$500=Kanban!$C$7)*(Calc!$K$8:$K$500=Kanban!E$11)*(Calc!$Y$8:$Y$500&gt;0),Calc!$Y$8:$Y$500,99999),Kanban_Helper!$B165),Calc!$Y$8:$Y$500,0)),INDEX(Calc!$E$8:$E$500,MATCH(SMALL(IF((Calc!$K$8:$K$500=Kanban!E$11)*(Calc!$Y$8:$Y$500&gt;0),Calc!$Y$8:$Y$500,99999),Kanban_Helper!$B165),Calc!$Y$8:$Y$500,0)))),"")</f>
        <v/>
      </c>
      <c r="F172" s="171" t="str">
        <f t="array" ref="F172">IFERROR(IF(LEN(F$11)=0,"",IF($C$7&lt;&gt;"All",INDEX(Calc!$E$8:$E$500,MATCH(SMALL(IF((Calc!$C$8:$C$500=Kanban!$C$7)*(Calc!$K$8:$K$500=Kanban!F$11)*(Calc!$Y$8:$Y$500&gt;0),Calc!$Y$8:$Y$500,99999),Kanban_Helper!$B165),Calc!$Y$8:$Y$500,0)),INDEX(Calc!$E$8:$E$500,MATCH(SMALL(IF((Calc!$K$8:$K$500=Kanban!F$11)*(Calc!$Y$8:$Y$500&gt;0),Calc!$Y$8:$Y$500,99999),Kanban_Helper!$B165),Calc!$Y$8:$Y$500,0)))),"")</f>
        <v/>
      </c>
      <c r="G172" s="171" t="str">
        <f t="array" ref="G172">IFERROR(IF(LEN(G$11)=0,"",IF($C$7&lt;&gt;"All",INDEX(Calc!$E$8:$E$500,MATCH(SMALL(IF((Calc!$C$8:$C$500=Kanban!$C$7)*(Calc!$K$8:$K$500=Kanban!G$11)*(Calc!$Y$8:$Y$500&gt;0),Calc!$Y$8:$Y$500,99999),Kanban_Helper!$B165),Calc!$Y$8:$Y$500,0)),INDEX(Calc!$E$8:$E$500,MATCH(SMALL(IF((Calc!$K$8:$K$500=Kanban!G$11)*(Calc!$Y$8:$Y$500&gt;0),Calc!$Y$8:$Y$500,99999),Kanban_Helper!$B165),Calc!$Y$8:$Y$500,0)))),"")</f>
        <v/>
      </c>
      <c r="H172" s="171" t="str">
        <f t="array" ref="H172">IFERROR(IF(LEN(H$11)=0,"",IF($C$7&lt;&gt;"All",INDEX(Calc!$E$8:$E$500,MATCH(SMALL(IF((Calc!$C$8:$C$500=Kanban!$C$7)*(Calc!$K$8:$K$500=Kanban!H$11)*(Calc!$Y$8:$Y$500&gt;0),Calc!$Y$8:$Y$500,99999),Kanban_Helper!$B165),Calc!$Y$8:$Y$500,0)),INDEX(Calc!$E$8:$E$500,MATCH(SMALL(IF((Calc!$K$8:$K$500=Kanban!H$11)*(Calc!$Y$8:$Y$500&gt;0),Calc!$Y$8:$Y$500,99999),Kanban_Helper!$B165),Calc!$Y$8:$Y$500,0)))),"")</f>
        <v/>
      </c>
      <c r="I172" s="39"/>
    </row>
    <row r="173" spans="2:9" ht="15" thickBot="1" x14ac:dyDescent="0.4">
      <c r="B173" s="81"/>
      <c r="C173" s="172" t="str">
        <f t="array" ref="C173">IFERROR(IF(LEN(C$11)=0,"",IF($C$7&lt;&gt;"All",IF(LEN(INDEX(Calc!$J$8:$J$500,MATCH(SMALL(IF((Calc!$C$8:$C$500=Kanban!$C$7)*(Calc!$K$8:$K$500=Kanban!C$11)*(Calc!$Y$8:$Y$500&gt;0),Calc!$Y$8:$Y$500,99999),Kanban_Helper!$B166),Calc!$Y$8:$Y$500,0)))=0,"",CONCATENATE(Calc!$AD$6,INDEX(Calc!$J$8:$J$500,MATCH(SMALL(IF((Calc!$C$8:$C$500=Kanban!$C$7)*(Calc!$K$8:$K$500=Kanban!C$11)*(Calc!$Y$8:$Y$500&gt;0),Calc!$Y$8:$Y$500,99999),Kanban_Helper!$B166),Calc!$Y$8:$Y$500,0)))),IF(LEN(INDEX(Calc!$J$8:$J$500,MATCH(SMALL(IF((Calc!$K$8:$K$500=Kanban!C$11)*(Calc!$Y$8:$Y$500&gt;0),Calc!$Y$8:$Y$500,99999),Kanban_Helper!$B166),Calc!$Y$8:$Y$500,0)))=0,"",CONCATENATE(Calc!$AD$6,INDEX(Calc!$J$8:$J$500,MATCH(SMALL(IF((Calc!$K$8:$K$500=Kanban!C$11)*(Calc!$Y$8:$Y$500&gt;0),Calc!$Y$8:$Y$500,99999),Kanban_Helper!$B166),Calc!$Y$8:$Y$500,0)))))),"")</f>
        <v/>
      </c>
      <c r="D173" s="172" t="str">
        <f t="array" ref="D173">IFERROR(IF(LEN(D$11)=0,"",IF($C$7&lt;&gt;"All",IF(LEN(INDEX(Calc!$J$8:$J$500,MATCH(SMALL(IF((Calc!$C$8:$C$500=Kanban!$C$7)*(Calc!$K$8:$K$500=Kanban!D$11)*(Calc!$Y$8:$Y$500&gt;0),Calc!$Y$8:$Y$500,99999),Kanban_Helper!$B166),Calc!$Y$8:$Y$500,0)))=0,"",CONCATENATE(Calc!$AD$6,INDEX(Calc!$J$8:$J$500,MATCH(SMALL(IF((Calc!$C$8:$C$500=Kanban!$C$7)*(Calc!$K$8:$K$500=Kanban!D$11)*(Calc!$Y$8:$Y$500&gt;0),Calc!$Y$8:$Y$500,99999),Kanban_Helper!$B166),Calc!$Y$8:$Y$500,0)))),IF(LEN(INDEX(Calc!$J$8:$J$500,MATCH(SMALL(IF((Calc!$K$8:$K$500=Kanban!D$11)*(Calc!$Y$8:$Y$500&gt;0),Calc!$Y$8:$Y$500,99999),Kanban_Helper!$B166),Calc!$Y$8:$Y$500,0)))=0,"",CONCATENATE(Calc!$AD$6,INDEX(Calc!$J$8:$J$500,MATCH(SMALL(IF((Calc!$K$8:$K$500=Kanban!D$11)*(Calc!$Y$8:$Y$500&gt;0),Calc!$Y$8:$Y$500,99999),Kanban_Helper!$B166),Calc!$Y$8:$Y$500,0)))))),"")</f>
        <v/>
      </c>
      <c r="E173" s="172" t="str">
        <f t="array" ref="E173">IFERROR(IF(LEN(E$11)=0,"",IF($C$7&lt;&gt;"All",IF(LEN(INDEX(Calc!$J$8:$J$500,MATCH(SMALL(IF((Calc!$C$8:$C$500=Kanban!$C$7)*(Calc!$K$8:$K$500=Kanban!E$11)*(Calc!$Y$8:$Y$500&gt;0),Calc!$Y$8:$Y$500,99999),Kanban_Helper!$B166),Calc!$Y$8:$Y$500,0)))=0,"",CONCATENATE(Calc!$AD$6,INDEX(Calc!$J$8:$J$500,MATCH(SMALL(IF((Calc!$C$8:$C$500=Kanban!$C$7)*(Calc!$K$8:$K$500=Kanban!E$11)*(Calc!$Y$8:$Y$500&gt;0),Calc!$Y$8:$Y$500,99999),Kanban_Helper!$B166),Calc!$Y$8:$Y$500,0)))),IF(LEN(INDEX(Calc!$J$8:$J$500,MATCH(SMALL(IF((Calc!$K$8:$K$500=Kanban!E$11)*(Calc!$Y$8:$Y$500&gt;0),Calc!$Y$8:$Y$500,99999),Kanban_Helper!$B166),Calc!$Y$8:$Y$500,0)))=0,"",CONCATENATE(Calc!$AD$6,INDEX(Calc!$J$8:$J$500,MATCH(SMALL(IF((Calc!$K$8:$K$500=Kanban!E$11)*(Calc!$Y$8:$Y$500&gt;0),Calc!$Y$8:$Y$500,99999),Kanban_Helper!$B166),Calc!$Y$8:$Y$500,0)))))),"")</f>
        <v/>
      </c>
      <c r="F173" s="172" t="str">
        <f t="array" ref="F173">IFERROR(IF(LEN(F$11)=0,"",IF($C$7&lt;&gt;"All",IF(LEN(INDEX(Calc!$J$8:$J$500,MATCH(SMALL(IF((Calc!$C$8:$C$500=Kanban!$C$7)*(Calc!$K$8:$K$500=Kanban!F$11)*(Calc!$Y$8:$Y$500&gt;0),Calc!$Y$8:$Y$500,99999),Kanban_Helper!$B166),Calc!$Y$8:$Y$500,0)))=0,"",CONCATENATE(Calc!$AD$6,INDEX(Calc!$J$8:$J$500,MATCH(SMALL(IF((Calc!$C$8:$C$500=Kanban!$C$7)*(Calc!$K$8:$K$500=Kanban!F$11)*(Calc!$Y$8:$Y$500&gt;0),Calc!$Y$8:$Y$500,99999),Kanban_Helper!$B166),Calc!$Y$8:$Y$500,0)))),IF(LEN(INDEX(Calc!$J$8:$J$500,MATCH(SMALL(IF((Calc!$K$8:$K$500=Kanban!F$11)*(Calc!$Y$8:$Y$500&gt;0),Calc!$Y$8:$Y$500,99999),Kanban_Helper!$B166),Calc!$Y$8:$Y$500,0)))=0,"",CONCATENATE(Calc!$AD$6,INDEX(Calc!$J$8:$J$500,MATCH(SMALL(IF((Calc!$K$8:$K$500=Kanban!F$11)*(Calc!$Y$8:$Y$500&gt;0),Calc!$Y$8:$Y$500,99999),Kanban_Helper!$B166),Calc!$Y$8:$Y$500,0)))))),"")</f>
        <v/>
      </c>
      <c r="G173" s="172" t="str">
        <f t="array" ref="G173">IFERROR(IF(LEN(G$11)=0,"",IF($C$7&lt;&gt;"All",IF(LEN(INDEX(Calc!$J$8:$J$500,MATCH(SMALL(IF((Calc!$C$8:$C$500=Kanban!$C$7)*(Calc!$K$8:$K$500=Kanban!G$11)*(Calc!$Y$8:$Y$500&gt;0),Calc!$Y$8:$Y$500,99999),Kanban_Helper!$B166),Calc!$Y$8:$Y$500,0)))=0,"",CONCATENATE(Calc!$AD$6,INDEX(Calc!$J$8:$J$500,MATCH(SMALL(IF((Calc!$C$8:$C$500=Kanban!$C$7)*(Calc!$K$8:$K$500=Kanban!G$11)*(Calc!$Y$8:$Y$500&gt;0),Calc!$Y$8:$Y$500,99999),Kanban_Helper!$B166),Calc!$Y$8:$Y$500,0)))),IF(LEN(INDEX(Calc!$J$8:$J$500,MATCH(SMALL(IF((Calc!$K$8:$K$500=Kanban!G$11)*(Calc!$Y$8:$Y$500&gt;0),Calc!$Y$8:$Y$500,99999),Kanban_Helper!$B166),Calc!$Y$8:$Y$500,0)))=0,"",CONCATENATE(Calc!$AD$6,INDEX(Calc!$J$8:$J$500,MATCH(SMALL(IF((Calc!$K$8:$K$500=Kanban!G$11)*(Calc!$Y$8:$Y$500&gt;0),Calc!$Y$8:$Y$500,99999),Kanban_Helper!$B166),Calc!$Y$8:$Y$500,0)))))),"")</f>
        <v/>
      </c>
      <c r="H173" s="172" t="str">
        <f t="array" ref="H173">IFERROR(IF(LEN(H$11)=0,"",IF($C$7&lt;&gt;"All",IF(LEN(INDEX(Calc!$J$8:$J$500,MATCH(SMALL(IF((Calc!$C$8:$C$500=Kanban!$C$7)*(Calc!$K$8:$K$500=Kanban!H$11)*(Calc!$Y$8:$Y$500&gt;0),Calc!$Y$8:$Y$500,99999),Kanban_Helper!$B166),Calc!$Y$8:$Y$500,0)))=0,"",CONCATENATE(Calc!$AD$6,INDEX(Calc!$J$8:$J$500,MATCH(SMALL(IF((Calc!$C$8:$C$500=Kanban!$C$7)*(Calc!$K$8:$K$500=Kanban!H$11)*(Calc!$Y$8:$Y$500&gt;0),Calc!$Y$8:$Y$500,99999),Kanban_Helper!$B166),Calc!$Y$8:$Y$500,0)))),IF(LEN(INDEX(Calc!$J$8:$J$500,MATCH(SMALL(IF((Calc!$K$8:$K$500=Kanban!H$11)*(Calc!$Y$8:$Y$500&gt;0),Calc!$Y$8:$Y$500,99999),Kanban_Helper!$B166),Calc!$Y$8:$Y$500,0)))=0,"",CONCATENATE(Calc!$AD$6,INDEX(Calc!$J$8:$J$500,MATCH(SMALL(IF((Calc!$K$8:$K$500=Kanban!H$11)*(Calc!$Y$8:$Y$500&gt;0),Calc!$Y$8:$Y$500,99999),Kanban_Helper!$B166),Calc!$Y$8:$Y$500,0)))))),"")</f>
        <v/>
      </c>
      <c r="I173" s="39"/>
    </row>
    <row r="174" spans="2:9" ht="15" thickTop="1" x14ac:dyDescent="0.35">
      <c r="B174" s="81"/>
      <c r="C174" s="170" t="str">
        <f t="array" ref="C174">IFERROR(IF(LEN(C$11)=0,"",IF($C$7&lt;&gt;"All",IF(INDEX(Calc!$V$8:$V$500,MATCH(INDEX(Calc!$D$8:$D$500,MATCH(SMALL(IF((Calc!$C$8:$C$500=Kanban!$C$7)*(Calc!$K$8:$K$500=Kanban!C$11)*(Calc!$Y$8:$Y$500&gt;0),Calc!$Y$8:$Y$500,99999),Kanban_Helper!$B167),Calc!$Y$8:$Y$500,0)),Calc!$D$8:$D$500,0))="Yes",CONCATENATE(INDEX(Calc!$D$8:$D$500,MATCH(SMALL(IF((Calc!$C$8:$C$500=Kanban!$C$7)*(Calc!$K$8:$K$500=Kanban!C$11)*(Calc!$Y$8:$Y$500&gt;0),Calc!$Y$8:$Y$500,99999),Kanban_Helper!$B167),Calc!$Y$8:$Y$500,0))," ",Calc!$V$7," ","!"),INDEX(Calc!$D$8:$D$500,MATCH(SMALL(IF((Calc!$C$8:$C$500=Kanban!$C$7)*(Calc!$K$8:$K$500=Kanban!C$11)*(Calc!$Y$8:$Y$500&gt;0),Calc!$Y$8:$Y$500,99999),Kanban_Helper!$B167),Calc!$Y$8:$Y$500,0))),IF(INDEX(Calc!$V$8:$V$500,MATCH(INDEX(Calc!$D$8:$D$500,MATCH(SMALL(IF((Calc!$K$8:$K$500=Kanban!C$11)*(Calc!$Y$8:$Y$500&gt;0),Calc!$Y$8:$Y$500,99999),Kanban_Helper!$B167),Calc!$Y$8:$Y$500,0)),Calc!$D$8:$D$500,0))="Yes",CONCATENATE(INDEX(Calc!$D$8:$D$500,MATCH(SMALL(IF((Calc!$K$8:$K$500=Kanban!C$11)*(Calc!$Y$8:$Y$500&gt;0),Calc!$Y$8:$Y$500,99999),Kanban_Helper!$B167),Calc!$Y$8:$Y$500,0))," ",Calc!$V$7," ","!"),INDEX(Calc!$D$8:$D$500,MATCH(SMALL(IF((Calc!$K$8:$K$500=Kanban!C$11)*(Calc!$Y$8:$Y$500&gt;0),Calc!$Y$8:$Y$500,99999),Kanban_Helper!$B167),Calc!$Y$8:$Y$500,0))))),"")</f>
        <v/>
      </c>
      <c r="D174" s="170" t="str">
        <f t="array" ref="D174">IFERROR(IF(LEN(D$11)=0,"",IF($C$7&lt;&gt;"All",IF(INDEX(Calc!$V$8:$V$500,MATCH(INDEX(Calc!$D$8:$D$500,MATCH(SMALL(IF((Calc!$C$8:$C$500=Kanban!$C$7)*(Calc!$K$8:$K$500=Kanban!D$11)*(Calc!$Y$8:$Y$500&gt;0),Calc!$Y$8:$Y$500,99999),Kanban_Helper!$B167),Calc!$Y$8:$Y$500,0)),Calc!$D$8:$D$500,0))="Yes",CONCATENATE(INDEX(Calc!$D$8:$D$500,MATCH(SMALL(IF((Calc!$C$8:$C$500=Kanban!$C$7)*(Calc!$K$8:$K$500=Kanban!D$11)*(Calc!$Y$8:$Y$500&gt;0),Calc!$Y$8:$Y$500,99999),Kanban_Helper!$B167),Calc!$Y$8:$Y$500,0))," ",Calc!$V$7," ","!"),INDEX(Calc!$D$8:$D$500,MATCH(SMALL(IF((Calc!$C$8:$C$500=Kanban!$C$7)*(Calc!$K$8:$K$500=Kanban!D$11)*(Calc!$Y$8:$Y$500&gt;0),Calc!$Y$8:$Y$500,99999),Kanban_Helper!$B167),Calc!$Y$8:$Y$500,0))),IF(INDEX(Calc!$V$8:$V$500,MATCH(INDEX(Calc!$D$8:$D$500,MATCH(SMALL(IF((Calc!$K$8:$K$500=Kanban!D$11)*(Calc!$Y$8:$Y$500&gt;0),Calc!$Y$8:$Y$500,99999),Kanban_Helper!$B167),Calc!$Y$8:$Y$500,0)),Calc!$D$8:$D$500,0))="Yes",CONCATENATE(INDEX(Calc!$D$8:$D$500,MATCH(SMALL(IF((Calc!$K$8:$K$500=Kanban!D$11)*(Calc!$Y$8:$Y$500&gt;0),Calc!$Y$8:$Y$500,99999),Kanban_Helper!$B167),Calc!$Y$8:$Y$500,0))," ",Calc!$V$7," ","!"),INDEX(Calc!$D$8:$D$500,MATCH(SMALL(IF((Calc!$K$8:$K$500=Kanban!D$11)*(Calc!$Y$8:$Y$500&gt;0),Calc!$Y$8:$Y$500,99999),Kanban_Helper!$B167),Calc!$Y$8:$Y$500,0))))),"")</f>
        <v/>
      </c>
      <c r="E174" s="170" t="str">
        <f t="array" ref="E174">IFERROR(IF(LEN(E$11)=0,"",IF($C$7&lt;&gt;"All",IF(INDEX(Calc!$V$8:$V$500,MATCH(INDEX(Calc!$D$8:$D$500,MATCH(SMALL(IF((Calc!$C$8:$C$500=Kanban!$C$7)*(Calc!$K$8:$K$500=Kanban!E$11)*(Calc!$Y$8:$Y$500&gt;0),Calc!$Y$8:$Y$500,99999),Kanban_Helper!$B167),Calc!$Y$8:$Y$500,0)),Calc!$D$8:$D$500,0))="Yes",CONCATENATE(INDEX(Calc!$D$8:$D$500,MATCH(SMALL(IF((Calc!$C$8:$C$500=Kanban!$C$7)*(Calc!$K$8:$K$500=Kanban!E$11)*(Calc!$Y$8:$Y$500&gt;0),Calc!$Y$8:$Y$500,99999),Kanban_Helper!$B167),Calc!$Y$8:$Y$500,0))," ",Calc!$V$7," ","!"),INDEX(Calc!$D$8:$D$500,MATCH(SMALL(IF((Calc!$C$8:$C$500=Kanban!$C$7)*(Calc!$K$8:$K$500=Kanban!E$11)*(Calc!$Y$8:$Y$500&gt;0),Calc!$Y$8:$Y$500,99999),Kanban_Helper!$B167),Calc!$Y$8:$Y$500,0))),IF(INDEX(Calc!$V$8:$V$500,MATCH(INDEX(Calc!$D$8:$D$500,MATCH(SMALL(IF((Calc!$K$8:$K$500=Kanban!E$11)*(Calc!$Y$8:$Y$500&gt;0),Calc!$Y$8:$Y$500,99999),Kanban_Helper!$B167),Calc!$Y$8:$Y$500,0)),Calc!$D$8:$D$500,0))="Yes",CONCATENATE(INDEX(Calc!$D$8:$D$500,MATCH(SMALL(IF((Calc!$K$8:$K$500=Kanban!E$11)*(Calc!$Y$8:$Y$500&gt;0),Calc!$Y$8:$Y$500,99999),Kanban_Helper!$B167),Calc!$Y$8:$Y$500,0))," ",Calc!$V$7," ","!"),INDEX(Calc!$D$8:$D$500,MATCH(SMALL(IF((Calc!$K$8:$K$500=Kanban!E$11)*(Calc!$Y$8:$Y$500&gt;0),Calc!$Y$8:$Y$500,99999),Kanban_Helper!$B167),Calc!$Y$8:$Y$500,0))))),"")</f>
        <v/>
      </c>
      <c r="F174" s="170" t="str">
        <f t="array" ref="F174">IFERROR(IF(LEN(F$11)=0,"",IF($C$7&lt;&gt;"All",IF(INDEX(Calc!$V$8:$V$500,MATCH(INDEX(Calc!$D$8:$D$500,MATCH(SMALL(IF((Calc!$C$8:$C$500=Kanban!$C$7)*(Calc!$K$8:$K$500=Kanban!F$11)*(Calc!$Y$8:$Y$500&gt;0),Calc!$Y$8:$Y$500,99999),Kanban_Helper!$B167),Calc!$Y$8:$Y$500,0)),Calc!$D$8:$D$500,0))="Yes",CONCATENATE(INDEX(Calc!$D$8:$D$500,MATCH(SMALL(IF((Calc!$C$8:$C$500=Kanban!$C$7)*(Calc!$K$8:$K$500=Kanban!F$11)*(Calc!$Y$8:$Y$500&gt;0),Calc!$Y$8:$Y$500,99999),Kanban_Helper!$B167),Calc!$Y$8:$Y$500,0))," ",Calc!$V$7," ","!"),INDEX(Calc!$D$8:$D$500,MATCH(SMALL(IF((Calc!$C$8:$C$500=Kanban!$C$7)*(Calc!$K$8:$K$500=Kanban!F$11)*(Calc!$Y$8:$Y$500&gt;0),Calc!$Y$8:$Y$500,99999),Kanban_Helper!$B167),Calc!$Y$8:$Y$500,0))),IF(INDEX(Calc!$V$8:$V$500,MATCH(INDEX(Calc!$D$8:$D$500,MATCH(SMALL(IF((Calc!$K$8:$K$500=Kanban!F$11)*(Calc!$Y$8:$Y$500&gt;0),Calc!$Y$8:$Y$500,99999),Kanban_Helper!$B167),Calc!$Y$8:$Y$500,0)),Calc!$D$8:$D$500,0))="Yes",CONCATENATE(INDEX(Calc!$D$8:$D$500,MATCH(SMALL(IF((Calc!$K$8:$K$500=Kanban!F$11)*(Calc!$Y$8:$Y$500&gt;0),Calc!$Y$8:$Y$500,99999),Kanban_Helper!$B167),Calc!$Y$8:$Y$500,0))," ",Calc!$V$7," ","!"),INDEX(Calc!$D$8:$D$500,MATCH(SMALL(IF((Calc!$K$8:$K$500=Kanban!F$11)*(Calc!$Y$8:$Y$500&gt;0),Calc!$Y$8:$Y$500,99999),Kanban_Helper!$B167),Calc!$Y$8:$Y$500,0))))),"")</f>
        <v/>
      </c>
      <c r="G174" s="170" t="str">
        <f t="array" ref="G174">IFERROR(IF(LEN(G$11)=0,"",IF($C$7&lt;&gt;"All",IF(INDEX(Calc!$V$8:$V$500,MATCH(INDEX(Calc!$D$8:$D$500,MATCH(SMALL(IF((Calc!$C$8:$C$500=Kanban!$C$7)*(Calc!$K$8:$K$500=Kanban!G$11)*(Calc!$Y$8:$Y$500&gt;0),Calc!$Y$8:$Y$500,99999),Kanban_Helper!$B167),Calc!$Y$8:$Y$500,0)),Calc!$D$8:$D$500,0))="Yes",CONCATENATE(INDEX(Calc!$D$8:$D$500,MATCH(SMALL(IF((Calc!$C$8:$C$500=Kanban!$C$7)*(Calc!$K$8:$K$500=Kanban!G$11)*(Calc!$Y$8:$Y$500&gt;0),Calc!$Y$8:$Y$500,99999),Kanban_Helper!$B167),Calc!$Y$8:$Y$500,0))," ",Calc!$V$7," ","!"),INDEX(Calc!$D$8:$D$500,MATCH(SMALL(IF((Calc!$C$8:$C$500=Kanban!$C$7)*(Calc!$K$8:$K$500=Kanban!G$11)*(Calc!$Y$8:$Y$500&gt;0),Calc!$Y$8:$Y$500,99999),Kanban_Helper!$B167),Calc!$Y$8:$Y$500,0))),IF(INDEX(Calc!$V$8:$V$500,MATCH(INDEX(Calc!$D$8:$D$500,MATCH(SMALL(IF((Calc!$K$8:$K$500=Kanban!G$11)*(Calc!$Y$8:$Y$500&gt;0),Calc!$Y$8:$Y$500,99999),Kanban_Helper!$B167),Calc!$Y$8:$Y$500,0)),Calc!$D$8:$D$500,0))="Yes",CONCATENATE(INDEX(Calc!$D$8:$D$500,MATCH(SMALL(IF((Calc!$K$8:$K$500=Kanban!G$11)*(Calc!$Y$8:$Y$500&gt;0),Calc!$Y$8:$Y$500,99999),Kanban_Helper!$B167),Calc!$Y$8:$Y$500,0))," ",Calc!$V$7," ","!"),INDEX(Calc!$D$8:$D$500,MATCH(SMALL(IF((Calc!$K$8:$K$500=Kanban!G$11)*(Calc!$Y$8:$Y$500&gt;0),Calc!$Y$8:$Y$500,99999),Kanban_Helper!$B167),Calc!$Y$8:$Y$500,0))))),"")</f>
        <v/>
      </c>
      <c r="H174" s="170" t="str">
        <f t="array" ref="H174">IFERROR(IF(LEN(H$11)=0,"",IF($C$7&lt;&gt;"All",IF(INDEX(Calc!$V$8:$V$500,MATCH(INDEX(Calc!$D$8:$D$500,MATCH(SMALL(IF((Calc!$C$8:$C$500=Kanban!$C$7)*(Calc!$K$8:$K$500=Kanban!H$11)*(Calc!$Y$8:$Y$500&gt;0),Calc!$Y$8:$Y$500,99999),Kanban_Helper!$B167),Calc!$Y$8:$Y$500,0)),Calc!$D$8:$D$500,0))="Yes",CONCATENATE(INDEX(Calc!$D$8:$D$500,MATCH(SMALL(IF((Calc!$C$8:$C$500=Kanban!$C$7)*(Calc!$K$8:$K$500=Kanban!H$11)*(Calc!$Y$8:$Y$500&gt;0),Calc!$Y$8:$Y$500,99999),Kanban_Helper!$B167),Calc!$Y$8:$Y$500,0))," ",Calc!$V$7," ","!"),INDEX(Calc!$D$8:$D$500,MATCH(SMALL(IF((Calc!$C$8:$C$500=Kanban!$C$7)*(Calc!$K$8:$K$500=Kanban!H$11)*(Calc!$Y$8:$Y$500&gt;0),Calc!$Y$8:$Y$500,99999),Kanban_Helper!$B167),Calc!$Y$8:$Y$500,0))),IF(INDEX(Calc!$V$8:$V$500,MATCH(INDEX(Calc!$D$8:$D$500,MATCH(SMALL(IF((Calc!$K$8:$K$500=Kanban!H$11)*(Calc!$Y$8:$Y$500&gt;0),Calc!$Y$8:$Y$500,99999),Kanban_Helper!$B167),Calc!$Y$8:$Y$500,0)),Calc!$D$8:$D$500,0))="Yes",CONCATENATE(INDEX(Calc!$D$8:$D$500,MATCH(SMALL(IF((Calc!$K$8:$K$500=Kanban!H$11)*(Calc!$Y$8:$Y$500&gt;0),Calc!$Y$8:$Y$500,99999),Kanban_Helper!$B167),Calc!$Y$8:$Y$500,0))," ",Calc!$V$7," ","!"),INDEX(Calc!$D$8:$D$500,MATCH(SMALL(IF((Calc!$K$8:$K$500=Kanban!H$11)*(Calc!$Y$8:$Y$500&gt;0),Calc!$Y$8:$Y$500,99999),Kanban_Helper!$B167),Calc!$Y$8:$Y$500,0))))),"")</f>
        <v/>
      </c>
      <c r="I174" s="39"/>
    </row>
    <row r="175" spans="2:9" x14ac:dyDescent="0.35">
      <c r="B175" s="81"/>
      <c r="C175" s="171" t="str">
        <f t="array" ref="C175">IFERROR(IF(LEN(C$11)=0,"",IF($C$7&lt;&gt;"All",INDEX(Calc!$E$8:$E$500,MATCH(SMALL(IF((Calc!$C$8:$C$500=Kanban!$C$7)*(Calc!$K$8:$K$500=Kanban!C$11)*(Calc!$Y$8:$Y$500&gt;0),Calc!$Y$8:$Y$500,99999),Kanban_Helper!$B168),Calc!$Y$8:$Y$500,0)),INDEX(Calc!$E$8:$E$500,MATCH(SMALL(IF((Calc!$K$8:$K$500=Kanban!C$11)*(Calc!$Y$8:$Y$500&gt;0),Calc!$Y$8:$Y$500,99999),Kanban_Helper!$B168),Calc!$Y$8:$Y$500,0)))),"")</f>
        <v/>
      </c>
      <c r="D175" s="171" t="str">
        <f t="array" ref="D175">IFERROR(IF(LEN(D$11)=0,"",IF($C$7&lt;&gt;"All",INDEX(Calc!$E$8:$E$500,MATCH(SMALL(IF((Calc!$C$8:$C$500=Kanban!$C$7)*(Calc!$K$8:$K$500=Kanban!D$11)*(Calc!$Y$8:$Y$500&gt;0),Calc!$Y$8:$Y$500,99999),Kanban_Helper!$B168),Calc!$Y$8:$Y$500,0)),INDEX(Calc!$E$8:$E$500,MATCH(SMALL(IF((Calc!$K$8:$K$500=Kanban!D$11)*(Calc!$Y$8:$Y$500&gt;0),Calc!$Y$8:$Y$500,99999),Kanban_Helper!$B168),Calc!$Y$8:$Y$500,0)))),"")</f>
        <v/>
      </c>
      <c r="E175" s="171" t="str">
        <f t="array" ref="E175">IFERROR(IF(LEN(E$11)=0,"",IF($C$7&lt;&gt;"All",INDEX(Calc!$E$8:$E$500,MATCH(SMALL(IF((Calc!$C$8:$C$500=Kanban!$C$7)*(Calc!$K$8:$K$500=Kanban!E$11)*(Calc!$Y$8:$Y$500&gt;0),Calc!$Y$8:$Y$500,99999),Kanban_Helper!$B168),Calc!$Y$8:$Y$500,0)),INDEX(Calc!$E$8:$E$500,MATCH(SMALL(IF((Calc!$K$8:$K$500=Kanban!E$11)*(Calc!$Y$8:$Y$500&gt;0),Calc!$Y$8:$Y$500,99999),Kanban_Helper!$B168),Calc!$Y$8:$Y$500,0)))),"")</f>
        <v/>
      </c>
      <c r="F175" s="171" t="str">
        <f t="array" ref="F175">IFERROR(IF(LEN(F$11)=0,"",IF($C$7&lt;&gt;"All",INDEX(Calc!$E$8:$E$500,MATCH(SMALL(IF((Calc!$C$8:$C$500=Kanban!$C$7)*(Calc!$K$8:$K$500=Kanban!F$11)*(Calc!$Y$8:$Y$500&gt;0),Calc!$Y$8:$Y$500,99999),Kanban_Helper!$B168),Calc!$Y$8:$Y$500,0)),INDEX(Calc!$E$8:$E$500,MATCH(SMALL(IF((Calc!$K$8:$K$500=Kanban!F$11)*(Calc!$Y$8:$Y$500&gt;0),Calc!$Y$8:$Y$500,99999),Kanban_Helper!$B168),Calc!$Y$8:$Y$500,0)))),"")</f>
        <v/>
      </c>
      <c r="G175" s="171" t="str">
        <f t="array" ref="G175">IFERROR(IF(LEN(G$11)=0,"",IF($C$7&lt;&gt;"All",INDEX(Calc!$E$8:$E$500,MATCH(SMALL(IF((Calc!$C$8:$C$500=Kanban!$C$7)*(Calc!$K$8:$K$500=Kanban!G$11)*(Calc!$Y$8:$Y$500&gt;0),Calc!$Y$8:$Y$500,99999),Kanban_Helper!$B168),Calc!$Y$8:$Y$500,0)),INDEX(Calc!$E$8:$E$500,MATCH(SMALL(IF((Calc!$K$8:$K$500=Kanban!G$11)*(Calc!$Y$8:$Y$500&gt;0),Calc!$Y$8:$Y$500,99999),Kanban_Helper!$B168),Calc!$Y$8:$Y$500,0)))),"")</f>
        <v/>
      </c>
      <c r="H175" s="171" t="str">
        <f t="array" ref="H175">IFERROR(IF(LEN(H$11)=0,"",IF($C$7&lt;&gt;"All",INDEX(Calc!$E$8:$E$500,MATCH(SMALL(IF((Calc!$C$8:$C$500=Kanban!$C$7)*(Calc!$K$8:$K$500=Kanban!H$11)*(Calc!$Y$8:$Y$500&gt;0),Calc!$Y$8:$Y$500,99999),Kanban_Helper!$B168),Calc!$Y$8:$Y$500,0)),INDEX(Calc!$E$8:$E$500,MATCH(SMALL(IF((Calc!$K$8:$K$500=Kanban!H$11)*(Calc!$Y$8:$Y$500&gt;0),Calc!$Y$8:$Y$500,99999),Kanban_Helper!$B168),Calc!$Y$8:$Y$500,0)))),"")</f>
        <v/>
      </c>
      <c r="I175" s="39"/>
    </row>
    <row r="176" spans="2:9" ht="15" thickBot="1" x14ac:dyDescent="0.4">
      <c r="B176" s="81"/>
      <c r="C176" s="172" t="str">
        <f t="array" ref="C176">IFERROR(IF(LEN(C$11)=0,"",IF($C$7&lt;&gt;"All",IF(LEN(INDEX(Calc!$J$8:$J$500,MATCH(SMALL(IF((Calc!$C$8:$C$500=Kanban!$C$7)*(Calc!$K$8:$K$500=Kanban!C$11)*(Calc!$Y$8:$Y$500&gt;0),Calc!$Y$8:$Y$500,99999),Kanban_Helper!$B169),Calc!$Y$8:$Y$500,0)))=0,"",CONCATENATE(Calc!$AD$6,INDEX(Calc!$J$8:$J$500,MATCH(SMALL(IF((Calc!$C$8:$C$500=Kanban!$C$7)*(Calc!$K$8:$K$500=Kanban!C$11)*(Calc!$Y$8:$Y$500&gt;0),Calc!$Y$8:$Y$500,99999),Kanban_Helper!$B169),Calc!$Y$8:$Y$500,0)))),IF(LEN(INDEX(Calc!$J$8:$J$500,MATCH(SMALL(IF((Calc!$K$8:$K$500=Kanban!C$11)*(Calc!$Y$8:$Y$500&gt;0),Calc!$Y$8:$Y$500,99999),Kanban_Helper!$B169),Calc!$Y$8:$Y$500,0)))=0,"",CONCATENATE(Calc!$AD$6,INDEX(Calc!$J$8:$J$500,MATCH(SMALL(IF((Calc!$K$8:$K$500=Kanban!C$11)*(Calc!$Y$8:$Y$500&gt;0),Calc!$Y$8:$Y$500,99999),Kanban_Helper!$B169),Calc!$Y$8:$Y$500,0)))))),"")</f>
        <v/>
      </c>
      <c r="D176" s="172" t="str">
        <f t="array" ref="D176">IFERROR(IF(LEN(D$11)=0,"",IF($C$7&lt;&gt;"All",IF(LEN(INDEX(Calc!$J$8:$J$500,MATCH(SMALL(IF((Calc!$C$8:$C$500=Kanban!$C$7)*(Calc!$K$8:$K$500=Kanban!D$11)*(Calc!$Y$8:$Y$500&gt;0),Calc!$Y$8:$Y$500,99999),Kanban_Helper!$B169),Calc!$Y$8:$Y$500,0)))=0,"",CONCATENATE(Calc!$AD$6,INDEX(Calc!$J$8:$J$500,MATCH(SMALL(IF((Calc!$C$8:$C$500=Kanban!$C$7)*(Calc!$K$8:$K$500=Kanban!D$11)*(Calc!$Y$8:$Y$500&gt;0),Calc!$Y$8:$Y$500,99999),Kanban_Helper!$B169),Calc!$Y$8:$Y$500,0)))),IF(LEN(INDEX(Calc!$J$8:$J$500,MATCH(SMALL(IF((Calc!$K$8:$K$500=Kanban!D$11)*(Calc!$Y$8:$Y$500&gt;0),Calc!$Y$8:$Y$500,99999),Kanban_Helper!$B169),Calc!$Y$8:$Y$500,0)))=0,"",CONCATENATE(Calc!$AD$6,INDEX(Calc!$J$8:$J$500,MATCH(SMALL(IF((Calc!$K$8:$K$500=Kanban!D$11)*(Calc!$Y$8:$Y$500&gt;0),Calc!$Y$8:$Y$500,99999),Kanban_Helper!$B169),Calc!$Y$8:$Y$500,0)))))),"")</f>
        <v/>
      </c>
      <c r="E176" s="172" t="str">
        <f t="array" ref="E176">IFERROR(IF(LEN(E$11)=0,"",IF($C$7&lt;&gt;"All",IF(LEN(INDEX(Calc!$J$8:$J$500,MATCH(SMALL(IF((Calc!$C$8:$C$500=Kanban!$C$7)*(Calc!$K$8:$K$500=Kanban!E$11)*(Calc!$Y$8:$Y$500&gt;0),Calc!$Y$8:$Y$500,99999),Kanban_Helper!$B169),Calc!$Y$8:$Y$500,0)))=0,"",CONCATENATE(Calc!$AD$6,INDEX(Calc!$J$8:$J$500,MATCH(SMALL(IF((Calc!$C$8:$C$500=Kanban!$C$7)*(Calc!$K$8:$K$500=Kanban!E$11)*(Calc!$Y$8:$Y$500&gt;0),Calc!$Y$8:$Y$500,99999),Kanban_Helper!$B169),Calc!$Y$8:$Y$500,0)))),IF(LEN(INDEX(Calc!$J$8:$J$500,MATCH(SMALL(IF((Calc!$K$8:$K$500=Kanban!E$11)*(Calc!$Y$8:$Y$500&gt;0),Calc!$Y$8:$Y$500,99999),Kanban_Helper!$B169),Calc!$Y$8:$Y$500,0)))=0,"",CONCATENATE(Calc!$AD$6,INDEX(Calc!$J$8:$J$500,MATCH(SMALL(IF((Calc!$K$8:$K$500=Kanban!E$11)*(Calc!$Y$8:$Y$500&gt;0),Calc!$Y$8:$Y$500,99999),Kanban_Helper!$B169),Calc!$Y$8:$Y$500,0)))))),"")</f>
        <v/>
      </c>
      <c r="F176" s="172" t="str">
        <f t="array" ref="F176">IFERROR(IF(LEN(F$11)=0,"",IF($C$7&lt;&gt;"All",IF(LEN(INDEX(Calc!$J$8:$J$500,MATCH(SMALL(IF((Calc!$C$8:$C$500=Kanban!$C$7)*(Calc!$K$8:$K$500=Kanban!F$11)*(Calc!$Y$8:$Y$500&gt;0),Calc!$Y$8:$Y$500,99999),Kanban_Helper!$B169),Calc!$Y$8:$Y$500,0)))=0,"",CONCATENATE(Calc!$AD$6,INDEX(Calc!$J$8:$J$500,MATCH(SMALL(IF((Calc!$C$8:$C$500=Kanban!$C$7)*(Calc!$K$8:$K$500=Kanban!F$11)*(Calc!$Y$8:$Y$500&gt;0),Calc!$Y$8:$Y$500,99999),Kanban_Helper!$B169),Calc!$Y$8:$Y$500,0)))),IF(LEN(INDEX(Calc!$J$8:$J$500,MATCH(SMALL(IF((Calc!$K$8:$K$500=Kanban!F$11)*(Calc!$Y$8:$Y$500&gt;0),Calc!$Y$8:$Y$500,99999),Kanban_Helper!$B169),Calc!$Y$8:$Y$500,0)))=0,"",CONCATENATE(Calc!$AD$6,INDEX(Calc!$J$8:$J$500,MATCH(SMALL(IF((Calc!$K$8:$K$500=Kanban!F$11)*(Calc!$Y$8:$Y$500&gt;0),Calc!$Y$8:$Y$500,99999),Kanban_Helper!$B169),Calc!$Y$8:$Y$500,0)))))),"")</f>
        <v/>
      </c>
      <c r="G176" s="172" t="str">
        <f t="array" ref="G176">IFERROR(IF(LEN(G$11)=0,"",IF($C$7&lt;&gt;"All",IF(LEN(INDEX(Calc!$J$8:$J$500,MATCH(SMALL(IF((Calc!$C$8:$C$500=Kanban!$C$7)*(Calc!$K$8:$K$500=Kanban!G$11)*(Calc!$Y$8:$Y$500&gt;0),Calc!$Y$8:$Y$500,99999),Kanban_Helper!$B169),Calc!$Y$8:$Y$500,0)))=0,"",CONCATENATE(Calc!$AD$6,INDEX(Calc!$J$8:$J$500,MATCH(SMALL(IF((Calc!$C$8:$C$500=Kanban!$C$7)*(Calc!$K$8:$K$500=Kanban!G$11)*(Calc!$Y$8:$Y$500&gt;0),Calc!$Y$8:$Y$500,99999),Kanban_Helper!$B169),Calc!$Y$8:$Y$500,0)))),IF(LEN(INDEX(Calc!$J$8:$J$500,MATCH(SMALL(IF((Calc!$K$8:$K$500=Kanban!G$11)*(Calc!$Y$8:$Y$500&gt;0),Calc!$Y$8:$Y$500,99999),Kanban_Helper!$B169),Calc!$Y$8:$Y$500,0)))=0,"",CONCATENATE(Calc!$AD$6,INDEX(Calc!$J$8:$J$500,MATCH(SMALL(IF((Calc!$K$8:$K$500=Kanban!G$11)*(Calc!$Y$8:$Y$500&gt;0),Calc!$Y$8:$Y$500,99999),Kanban_Helper!$B169),Calc!$Y$8:$Y$500,0)))))),"")</f>
        <v/>
      </c>
      <c r="H176" s="172" t="str">
        <f t="array" ref="H176">IFERROR(IF(LEN(H$11)=0,"",IF($C$7&lt;&gt;"All",IF(LEN(INDEX(Calc!$J$8:$J$500,MATCH(SMALL(IF((Calc!$C$8:$C$500=Kanban!$C$7)*(Calc!$K$8:$K$500=Kanban!H$11)*(Calc!$Y$8:$Y$500&gt;0),Calc!$Y$8:$Y$500,99999),Kanban_Helper!$B169),Calc!$Y$8:$Y$500,0)))=0,"",CONCATENATE(Calc!$AD$6,INDEX(Calc!$J$8:$J$500,MATCH(SMALL(IF((Calc!$C$8:$C$500=Kanban!$C$7)*(Calc!$K$8:$K$500=Kanban!H$11)*(Calc!$Y$8:$Y$500&gt;0),Calc!$Y$8:$Y$500,99999),Kanban_Helper!$B169),Calc!$Y$8:$Y$500,0)))),IF(LEN(INDEX(Calc!$J$8:$J$500,MATCH(SMALL(IF((Calc!$K$8:$K$500=Kanban!H$11)*(Calc!$Y$8:$Y$500&gt;0),Calc!$Y$8:$Y$500,99999),Kanban_Helper!$B169),Calc!$Y$8:$Y$500,0)))=0,"",CONCATENATE(Calc!$AD$6,INDEX(Calc!$J$8:$J$500,MATCH(SMALL(IF((Calc!$K$8:$K$500=Kanban!H$11)*(Calc!$Y$8:$Y$500&gt;0),Calc!$Y$8:$Y$500,99999),Kanban_Helper!$B169),Calc!$Y$8:$Y$500,0)))))),"")</f>
        <v/>
      </c>
      <c r="I176" s="39"/>
    </row>
    <row r="177" spans="2:9" ht="15" thickTop="1" x14ac:dyDescent="0.35">
      <c r="B177" s="81"/>
      <c r="C177" s="170" t="str">
        <f t="array" ref="C177">IFERROR(IF(LEN(C$11)=0,"",IF($C$7&lt;&gt;"All",IF(INDEX(Calc!$V$8:$V$500,MATCH(INDEX(Calc!$D$8:$D$500,MATCH(SMALL(IF((Calc!$C$8:$C$500=Kanban!$C$7)*(Calc!$K$8:$K$500=Kanban!C$11)*(Calc!$Y$8:$Y$500&gt;0),Calc!$Y$8:$Y$500,99999),Kanban_Helper!$B170),Calc!$Y$8:$Y$500,0)),Calc!$D$8:$D$500,0))="Yes",CONCATENATE(INDEX(Calc!$D$8:$D$500,MATCH(SMALL(IF((Calc!$C$8:$C$500=Kanban!$C$7)*(Calc!$K$8:$K$500=Kanban!C$11)*(Calc!$Y$8:$Y$500&gt;0),Calc!$Y$8:$Y$500,99999),Kanban_Helper!$B170),Calc!$Y$8:$Y$500,0))," ",Calc!$V$7," ","!"),INDEX(Calc!$D$8:$D$500,MATCH(SMALL(IF((Calc!$C$8:$C$500=Kanban!$C$7)*(Calc!$K$8:$K$500=Kanban!C$11)*(Calc!$Y$8:$Y$500&gt;0),Calc!$Y$8:$Y$500,99999),Kanban_Helper!$B170),Calc!$Y$8:$Y$500,0))),IF(INDEX(Calc!$V$8:$V$500,MATCH(INDEX(Calc!$D$8:$D$500,MATCH(SMALL(IF((Calc!$K$8:$K$500=Kanban!C$11)*(Calc!$Y$8:$Y$500&gt;0),Calc!$Y$8:$Y$500,99999),Kanban_Helper!$B170),Calc!$Y$8:$Y$500,0)),Calc!$D$8:$D$500,0))="Yes",CONCATENATE(INDEX(Calc!$D$8:$D$500,MATCH(SMALL(IF((Calc!$K$8:$K$500=Kanban!C$11)*(Calc!$Y$8:$Y$500&gt;0),Calc!$Y$8:$Y$500,99999),Kanban_Helper!$B170),Calc!$Y$8:$Y$500,0))," ",Calc!$V$7," ","!"),INDEX(Calc!$D$8:$D$500,MATCH(SMALL(IF((Calc!$K$8:$K$500=Kanban!C$11)*(Calc!$Y$8:$Y$500&gt;0),Calc!$Y$8:$Y$500,99999),Kanban_Helper!$B170),Calc!$Y$8:$Y$500,0))))),"")</f>
        <v/>
      </c>
      <c r="D177" s="170" t="str">
        <f t="array" ref="D177">IFERROR(IF(LEN(D$11)=0,"",IF($C$7&lt;&gt;"All",IF(INDEX(Calc!$V$8:$V$500,MATCH(INDEX(Calc!$D$8:$D$500,MATCH(SMALL(IF((Calc!$C$8:$C$500=Kanban!$C$7)*(Calc!$K$8:$K$500=Kanban!D$11)*(Calc!$Y$8:$Y$500&gt;0),Calc!$Y$8:$Y$500,99999),Kanban_Helper!$B170),Calc!$Y$8:$Y$500,0)),Calc!$D$8:$D$500,0))="Yes",CONCATENATE(INDEX(Calc!$D$8:$D$500,MATCH(SMALL(IF((Calc!$C$8:$C$500=Kanban!$C$7)*(Calc!$K$8:$K$500=Kanban!D$11)*(Calc!$Y$8:$Y$500&gt;0),Calc!$Y$8:$Y$500,99999),Kanban_Helper!$B170),Calc!$Y$8:$Y$500,0))," ",Calc!$V$7," ","!"),INDEX(Calc!$D$8:$D$500,MATCH(SMALL(IF((Calc!$C$8:$C$500=Kanban!$C$7)*(Calc!$K$8:$K$500=Kanban!D$11)*(Calc!$Y$8:$Y$500&gt;0),Calc!$Y$8:$Y$500,99999),Kanban_Helper!$B170),Calc!$Y$8:$Y$500,0))),IF(INDEX(Calc!$V$8:$V$500,MATCH(INDEX(Calc!$D$8:$D$500,MATCH(SMALL(IF((Calc!$K$8:$K$500=Kanban!D$11)*(Calc!$Y$8:$Y$500&gt;0),Calc!$Y$8:$Y$500,99999),Kanban_Helper!$B170),Calc!$Y$8:$Y$500,0)),Calc!$D$8:$D$500,0))="Yes",CONCATENATE(INDEX(Calc!$D$8:$D$500,MATCH(SMALL(IF((Calc!$K$8:$K$500=Kanban!D$11)*(Calc!$Y$8:$Y$500&gt;0),Calc!$Y$8:$Y$500,99999),Kanban_Helper!$B170),Calc!$Y$8:$Y$500,0))," ",Calc!$V$7," ","!"),INDEX(Calc!$D$8:$D$500,MATCH(SMALL(IF((Calc!$K$8:$K$500=Kanban!D$11)*(Calc!$Y$8:$Y$500&gt;0),Calc!$Y$8:$Y$500,99999),Kanban_Helper!$B170),Calc!$Y$8:$Y$500,0))))),"")</f>
        <v/>
      </c>
      <c r="E177" s="170" t="str">
        <f t="array" ref="E177">IFERROR(IF(LEN(E$11)=0,"",IF($C$7&lt;&gt;"All",IF(INDEX(Calc!$V$8:$V$500,MATCH(INDEX(Calc!$D$8:$D$500,MATCH(SMALL(IF((Calc!$C$8:$C$500=Kanban!$C$7)*(Calc!$K$8:$K$500=Kanban!E$11)*(Calc!$Y$8:$Y$500&gt;0),Calc!$Y$8:$Y$500,99999),Kanban_Helper!$B170),Calc!$Y$8:$Y$500,0)),Calc!$D$8:$D$500,0))="Yes",CONCATENATE(INDEX(Calc!$D$8:$D$500,MATCH(SMALL(IF((Calc!$C$8:$C$500=Kanban!$C$7)*(Calc!$K$8:$K$500=Kanban!E$11)*(Calc!$Y$8:$Y$500&gt;0),Calc!$Y$8:$Y$500,99999),Kanban_Helper!$B170),Calc!$Y$8:$Y$500,0))," ",Calc!$V$7," ","!"),INDEX(Calc!$D$8:$D$500,MATCH(SMALL(IF((Calc!$C$8:$C$500=Kanban!$C$7)*(Calc!$K$8:$K$500=Kanban!E$11)*(Calc!$Y$8:$Y$500&gt;0),Calc!$Y$8:$Y$500,99999),Kanban_Helper!$B170),Calc!$Y$8:$Y$500,0))),IF(INDEX(Calc!$V$8:$V$500,MATCH(INDEX(Calc!$D$8:$D$500,MATCH(SMALL(IF((Calc!$K$8:$K$500=Kanban!E$11)*(Calc!$Y$8:$Y$500&gt;0),Calc!$Y$8:$Y$500,99999),Kanban_Helper!$B170),Calc!$Y$8:$Y$500,0)),Calc!$D$8:$D$500,0))="Yes",CONCATENATE(INDEX(Calc!$D$8:$D$500,MATCH(SMALL(IF((Calc!$K$8:$K$500=Kanban!E$11)*(Calc!$Y$8:$Y$500&gt;0),Calc!$Y$8:$Y$500,99999),Kanban_Helper!$B170),Calc!$Y$8:$Y$500,0))," ",Calc!$V$7," ","!"),INDEX(Calc!$D$8:$D$500,MATCH(SMALL(IF((Calc!$K$8:$K$500=Kanban!E$11)*(Calc!$Y$8:$Y$500&gt;0),Calc!$Y$8:$Y$500,99999),Kanban_Helper!$B170),Calc!$Y$8:$Y$500,0))))),"")</f>
        <v/>
      </c>
      <c r="F177" s="170" t="str">
        <f t="array" ref="F177">IFERROR(IF(LEN(F$11)=0,"",IF($C$7&lt;&gt;"All",IF(INDEX(Calc!$V$8:$V$500,MATCH(INDEX(Calc!$D$8:$D$500,MATCH(SMALL(IF((Calc!$C$8:$C$500=Kanban!$C$7)*(Calc!$K$8:$K$500=Kanban!F$11)*(Calc!$Y$8:$Y$500&gt;0),Calc!$Y$8:$Y$500,99999),Kanban_Helper!$B170),Calc!$Y$8:$Y$500,0)),Calc!$D$8:$D$500,0))="Yes",CONCATENATE(INDEX(Calc!$D$8:$D$500,MATCH(SMALL(IF((Calc!$C$8:$C$500=Kanban!$C$7)*(Calc!$K$8:$K$500=Kanban!F$11)*(Calc!$Y$8:$Y$500&gt;0),Calc!$Y$8:$Y$500,99999),Kanban_Helper!$B170),Calc!$Y$8:$Y$500,0))," ",Calc!$V$7," ","!"),INDEX(Calc!$D$8:$D$500,MATCH(SMALL(IF((Calc!$C$8:$C$500=Kanban!$C$7)*(Calc!$K$8:$K$500=Kanban!F$11)*(Calc!$Y$8:$Y$500&gt;0),Calc!$Y$8:$Y$500,99999),Kanban_Helper!$B170),Calc!$Y$8:$Y$500,0))),IF(INDEX(Calc!$V$8:$V$500,MATCH(INDEX(Calc!$D$8:$D$500,MATCH(SMALL(IF((Calc!$K$8:$K$500=Kanban!F$11)*(Calc!$Y$8:$Y$500&gt;0),Calc!$Y$8:$Y$500,99999),Kanban_Helper!$B170),Calc!$Y$8:$Y$500,0)),Calc!$D$8:$D$500,0))="Yes",CONCATENATE(INDEX(Calc!$D$8:$D$500,MATCH(SMALL(IF((Calc!$K$8:$K$500=Kanban!F$11)*(Calc!$Y$8:$Y$500&gt;0),Calc!$Y$8:$Y$500,99999),Kanban_Helper!$B170),Calc!$Y$8:$Y$500,0))," ",Calc!$V$7," ","!"),INDEX(Calc!$D$8:$D$500,MATCH(SMALL(IF((Calc!$K$8:$K$500=Kanban!F$11)*(Calc!$Y$8:$Y$500&gt;0),Calc!$Y$8:$Y$500,99999),Kanban_Helper!$B170),Calc!$Y$8:$Y$500,0))))),"")</f>
        <v/>
      </c>
      <c r="G177" s="170" t="str">
        <f t="array" ref="G177">IFERROR(IF(LEN(G$11)=0,"",IF($C$7&lt;&gt;"All",IF(INDEX(Calc!$V$8:$V$500,MATCH(INDEX(Calc!$D$8:$D$500,MATCH(SMALL(IF((Calc!$C$8:$C$500=Kanban!$C$7)*(Calc!$K$8:$K$500=Kanban!G$11)*(Calc!$Y$8:$Y$500&gt;0),Calc!$Y$8:$Y$500,99999),Kanban_Helper!$B170),Calc!$Y$8:$Y$500,0)),Calc!$D$8:$D$500,0))="Yes",CONCATENATE(INDEX(Calc!$D$8:$D$500,MATCH(SMALL(IF((Calc!$C$8:$C$500=Kanban!$C$7)*(Calc!$K$8:$K$500=Kanban!G$11)*(Calc!$Y$8:$Y$500&gt;0),Calc!$Y$8:$Y$500,99999),Kanban_Helper!$B170),Calc!$Y$8:$Y$500,0))," ",Calc!$V$7," ","!"),INDEX(Calc!$D$8:$D$500,MATCH(SMALL(IF((Calc!$C$8:$C$500=Kanban!$C$7)*(Calc!$K$8:$K$500=Kanban!G$11)*(Calc!$Y$8:$Y$500&gt;0),Calc!$Y$8:$Y$500,99999),Kanban_Helper!$B170),Calc!$Y$8:$Y$500,0))),IF(INDEX(Calc!$V$8:$V$500,MATCH(INDEX(Calc!$D$8:$D$500,MATCH(SMALL(IF((Calc!$K$8:$K$500=Kanban!G$11)*(Calc!$Y$8:$Y$500&gt;0),Calc!$Y$8:$Y$500,99999),Kanban_Helper!$B170),Calc!$Y$8:$Y$500,0)),Calc!$D$8:$D$500,0))="Yes",CONCATENATE(INDEX(Calc!$D$8:$D$500,MATCH(SMALL(IF((Calc!$K$8:$K$500=Kanban!G$11)*(Calc!$Y$8:$Y$500&gt;0),Calc!$Y$8:$Y$500,99999),Kanban_Helper!$B170),Calc!$Y$8:$Y$500,0))," ",Calc!$V$7," ","!"),INDEX(Calc!$D$8:$D$500,MATCH(SMALL(IF((Calc!$K$8:$K$500=Kanban!G$11)*(Calc!$Y$8:$Y$500&gt;0),Calc!$Y$8:$Y$500,99999),Kanban_Helper!$B170),Calc!$Y$8:$Y$500,0))))),"")</f>
        <v/>
      </c>
      <c r="H177" s="170" t="str">
        <f t="array" ref="H177">IFERROR(IF(LEN(H$11)=0,"",IF($C$7&lt;&gt;"All",IF(INDEX(Calc!$V$8:$V$500,MATCH(INDEX(Calc!$D$8:$D$500,MATCH(SMALL(IF((Calc!$C$8:$C$500=Kanban!$C$7)*(Calc!$K$8:$K$500=Kanban!H$11)*(Calc!$Y$8:$Y$500&gt;0),Calc!$Y$8:$Y$500,99999),Kanban_Helper!$B170),Calc!$Y$8:$Y$500,0)),Calc!$D$8:$D$500,0))="Yes",CONCATENATE(INDEX(Calc!$D$8:$D$500,MATCH(SMALL(IF((Calc!$C$8:$C$500=Kanban!$C$7)*(Calc!$K$8:$K$500=Kanban!H$11)*(Calc!$Y$8:$Y$500&gt;0),Calc!$Y$8:$Y$500,99999),Kanban_Helper!$B170),Calc!$Y$8:$Y$500,0))," ",Calc!$V$7," ","!"),INDEX(Calc!$D$8:$D$500,MATCH(SMALL(IF((Calc!$C$8:$C$500=Kanban!$C$7)*(Calc!$K$8:$K$500=Kanban!H$11)*(Calc!$Y$8:$Y$500&gt;0),Calc!$Y$8:$Y$500,99999),Kanban_Helper!$B170),Calc!$Y$8:$Y$500,0))),IF(INDEX(Calc!$V$8:$V$500,MATCH(INDEX(Calc!$D$8:$D$500,MATCH(SMALL(IF((Calc!$K$8:$K$500=Kanban!H$11)*(Calc!$Y$8:$Y$500&gt;0),Calc!$Y$8:$Y$500,99999),Kanban_Helper!$B170),Calc!$Y$8:$Y$500,0)),Calc!$D$8:$D$500,0))="Yes",CONCATENATE(INDEX(Calc!$D$8:$D$500,MATCH(SMALL(IF((Calc!$K$8:$K$500=Kanban!H$11)*(Calc!$Y$8:$Y$500&gt;0),Calc!$Y$8:$Y$500,99999),Kanban_Helper!$B170),Calc!$Y$8:$Y$500,0))," ",Calc!$V$7," ","!"),INDEX(Calc!$D$8:$D$500,MATCH(SMALL(IF((Calc!$K$8:$K$500=Kanban!H$11)*(Calc!$Y$8:$Y$500&gt;0),Calc!$Y$8:$Y$500,99999),Kanban_Helper!$B170),Calc!$Y$8:$Y$500,0))))),"")</f>
        <v/>
      </c>
      <c r="I177" s="39"/>
    </row>
    <row r="178" spans="2:9" x14ac:dyDescent="0.35">
      <c r="B178" s="81"/>
      <c r="C178" s="171" t="str">
        <f t="array" ref="C178">IFERROR(IF(LEN(C$11)=0,"",IF($C$7&lt;&gt;"All",INDEX(Calc!$E$8:$E$500,MATCH(SMALL(IF((Calc!$C$8:$C$500=Kanban!$C$7)*(Calc!$K$8:$K$500=Kanban!C$11)*(Calc!$Y$8:$Y$500&gt;0),Calc!$Y$8:$Y$500,99999),Kanban_Helper!$B171),Calc!$Y$8:$Y$500,0)),INDEX(Calc!$E$8:$E$500,MATCH(SMALL(IF((Calc!$K$8:$K$500=Kanban!C$11)*(Calc!$Y$8:$Y$500&gt;0),Calc!$Y$8:$Y$500,99999),Kanban_Helper!$B171),Calc!$Y$8:$Y$500,0)))),"")</f>
        <v/>
      </c>
      <c r="D178" s="171" t="str">
        <f t="array" ref="D178">IFERROR(IF(LEN(D$11)=0,"",IF($C$7&lt;&gt;"All",INDEX(Calc!$E$8:$E$500,MATCH(SMALL(IF((Calc!$C$8:$C$500=Kanban!$C$7)*(Calc!$K$8:$K$500=Kanban!D$11)*(Calc!$Y$8:$Y$500&gt;0),Calc!$Y$8:$Y$500,99999),Kanban_Helper!$B171),Calc!$Y$8:$Y$500,0)),INDEX(Calc!$E$8:$E$500,MATCH(SMALL(IF((Calc!$K$8:$K$500=Kanban!D$11)*(Calc!$Y$8:$Y$500&gt;0),Calc!$Y$8:$Y$500,99999),Kanban_Helper!$B171),Calc!$Y$8:$Y$500,0)))),"")</f>
        <v/>
      </c>
      <c r="E178" s="171" t="str">
        <f t="array" ref="E178">IFERROR(IF(LEN(E$11)=0,"",IF($C$7&lt;&gt;"All",INDEX(Calc!$E$8:$E$500,MATCH(SMALL(IF((Calc!$C$8:$C$500=Kanban!$C$7)*(Calc!$K$8:$K$500=Kanban!E$11)*(Calc!$Y$8:$Y$500&gt;0),Calc!$Y$8:$Y$500,99999),Kanban_Helper!$B171),Calc!$Y$8:$Y$500,0)),INDEX(Calc!$E$8:$E$500,MATCH(SMALL(IF((Calc!$K$8:$K$500=Kanban!E$11)*(Calc!$Y$8:$Y$500&gt;0),Calc!$Y$8:$Y$500,99999),Kanban_Helper!$B171),Calc!$Y$8:$Y$500,0)))),"")</f>
        <v/>
      </c>
      <c r="F178" s="171" t="str">
        <f t="array" ref="F178">IFERROR(IF(LEN(F$11)=0,"",IF($C$7&lt;&gt;"All",INDEX(Calc!$E$8:$E$500,MATCH(SMALL(IF((Calc!$C$8:$C$500=Kanban!$C$7)*(Calc!$K$8:$K$500=Kanban!F$11)*(Calc!$Y$8:$Y$500&gt;0),Calc!$Y$8:$Y$500,99999),Kanban_Helper!$B171),Calc!$Y$8:$Y$500,0)),INDEX(Calc!$E$8:$E$500,MATCH(SMALL(IF((Calc!$K$8:$K$500=Kanban!F$11)*(Calc!$Y$8:$Y$500&gt;0),Calc!$Y$8:$Y$500,99999),Kanban_Helper!$B171),Calc!$Y$8:$Y$500,0)))),"")</f>
        <v/>
      </c>
      <c r="G178" s="171" t="str">
        <f t="array" ref="G178">IFERROR(IF(LEN(G$11)=0,"",IF($C$7&lt;&gt;"All",INDEX(Calc!$E$8:$E$500,MATCH(SMALL(IF((Calc!$C$8:$C$500=Kanban!$C$7)*(Calc!$K$8:$K$500=Kanban!G$11)*(Calc!$Y$8:$Y$500&gt;0),Calc!$Y$8:$Y$500,99999),Kanban_Helper!$B171),Calc!$Y$8:$Y$500,0)),INDEX(Calc!$E$8:$E$500,MATCH(SMALL(IF((Calc!$K$8:$K$500=Kanban!G$11)*(Calc!$Y$8:$Y$500&gt;0),Calc!$Y$8:$Y$500,99999),Kanban_Helper!$B171),Calc!$Y$8:$Y$500,0)))),"")</f>
        <v/>
      </c>
      <c r="H178" s="171" t="str">
        <f t="array" ref="H178">IFERROR(IF(LEN(H$11)=0,"",IF($C$7&lt;&gt;"All",INDEX(Calc!$E$8:$E$500,MATCH(SMALL(IF((Calc!$C$8:$C$500=Kanban!$C$7)*(Calc!$K$8:$K$500=Kanban!H$11)*(Calc!$Y$8:$Y$500&gt;0),Calc!$Y$8:$Y$500,99999),Kanban_Helper!$B171),Calc!$Y$8:$Y$500,0)),INDEX(Calc!$E$8:$E$500,MATCH(SMALL(IF((Calc!$K$8:$K$500=Kanban!H$11)*(Calc!$Y$8:$Y$500&gt;0),Calc!$Y$8:$Y$500,99999),Kanban_Helper!$B171),Calc!$Y$8:$Y$500,0)))),"")</f>
        <v/>
      </c>
      <c r="I178" s="39"/>
    </row>
    <row r="179" spans="2:9" ht="15" thickBot="1" x14ac:dyDescent="0.4">
      <c r="B179" s="81"/>
      <c r="C179" s="172" t="str">
        <f t="array" ref="C179">IFERROR(IF(LEN(C$11)=0,"",IF($C$7&lt;&gt;"All",IF(LEN(INDEX(Calc!$J$8:$J$500,MATCH(SMALL(IF((Calc!$C$8:$C$500=Kanban!$C$7)*(Calc!$K$8:$K$500=Kanban!C$11)*(Calc!$Y$8:$Y$500&gt;0),Calc!$Y$8:$Y$500,99999),Kanban_Helper!$B172),Calc!$Y$8:$Y$500,0)))=0,"",CONCATENATE(Calc!$AD$6,INDEX(Calc!$J$8:$J$500,MATCH(SMALL(IF((Calc!$C$8:$C$500=Kanban!$C$7)*(Calc!$K$8:$K$500=Kanban!C$11)*(Calc!$Y$8:$Y$500&gt;0),Calc!$Y$8:$Y$500,99999),Kanban_Helper!$B172),Calc!$Y$8:$Y$500,0)))),IF(LEN(INDEX(Calc!$J$8:$J$500,MATCH(SMALL(IF((Calc!$K$8:$K$500=Kanban!C$11)*(Calc!$Y$8:$Y$500&gt;0),Calc!$Y$8:$Y$500,99999),Kanban_Helper!$B172),Calc!$Y$8:$Y$500,0)))=0,"",CONCATENATE(Calc!$AD$6,INDEX(Calc!$J$8:$J$500,MATCH(SMALL(IF((Calc!$K$8:$K$500=Kanban!C$11)*(Calc!$Y$8:$Y$500&gt;0),Calc!$Y$8:$Y$500,99999),Kanban_Helper!$B172),Calc!$Y$8:$Y$500,0)))))),"")</f>
        <v/>
      </c>
      <c r="D179" s="172" t="str">
        <f t="array" ref="D179">IFERROR(IF(LEN(D$11)=0,"",IF($C$7&lt;&gt;"All",IF(LEN(INDEX(Calc!$J$8:$J$500,MATCH(SMALL(IF((Calc!$C$8:$C$500=Kanban!$C$7)*(Calc!$K$8:$K$500=Kanban!D$11)*(Calc!$Y$8:$Y$500&gt;0),Calc!$Y$8:$Y$500,99999),Kanban_Helper!$B172),Calc!$Y$8:$Y$500,0)))=0,"",CONCATENATE(Calc!$AD$6,INDEX(Calc!$J$8:$J$500,MATCH(SMALL(IF((Calc!$C$8:$C$500=Kanban!$C$7)*(Calc!$K$8:$K$500=Kanban!D$11)*(Calc!$Y$8:$Y$500&gt;0),Calc!$Y$8:$Y$500,99999),Kanban_Helper!$B172),Calc!$Y$8:$Y$500,0)))),IF(LEN(INDEX(Calc!$J$8:$J$500,MATCH(SMALL(IF((Calc!$K$8:$K$500=Kanban!D$11)*(Calc!$Y$8:$Y$500&gt;0),Calc!$Y$8:$Y$500,99999),Kanban_Helper!$B172),Calc!$Y$8:$Y$500,0)))=0,"",CONCATENATE(Calc!$AD$6,INDEX(Calc!$J$8:$J$500,MATCH(SMALL(IF((Calc!$K$8:$K$500=Kanban!D$11)*(Calc!$Y$8:$Y$500&gt;0),Calc!$Y$8:$Y$500,99999),Kanban_Helper!$B172),Calc!$Y$8:$Y$500,0)))))),"")</f>
        <v/>
      </c>
      <c r="E179" s="172" t="str">
        <f t="array" ref="E179">IFERROR(IF(LEN(E$11)=0,"",IF($C$7&lt;&gt;"All",IF(LEN(INDEX(Calc!$J$8:$J$500,MATCH(SMALL(IF((Calc!$C$8:$C$500=Kanban!$C$7)*(Calc!$K$8:$K$500=Kanban!E$11)*(Calc!$Y$8:$Y$500&gt;0),Calc!$Y$8:$Y$500,99999),Kanban_Helper!$B172),Calc!$Y$8:$Y$500,0)))=0,"",CONCATENATE(Calc!$AD$6,INDEX(Calc!$J$8:$J$500,MATCH(SMALL(IF((Calc!$C$8:$C$500=Kanban!$C$7)*(Calc!$K$8:$K$500=Kanban!E$11)*(Calc!$Y$8:$Y$500&gt;0),Calc!$Y$8:$Y$500,99999),Kanban_Helper!$B172),Calc!$Y$8:$Y$500,0)))),IF(LEN(INDEX(Calc!$J$8:$J$500,MATCH(SMALL(IF((Calc!$K$8:$K$500=Kanban!E$11)*(Calc!$Y$8:$Y$500&gt;0),Calc!$Y$8:$Y$500,99999),Kanban_Helper!$B172),Calc!$Y$8:$Y$500,0)))=0,"",CONCATENATE(Calc!$AD$6,INDEX(Calc!$J$8:$J$500,MATCH(SMALL(IF((Calc!$K$8:$K$500=Kanban!E$11)*(Calc!$Y$8:$Y$500&gt;0),Calc!$Y$8:$Y$500,99999),Kanban_Helper!$B172),Calc!$Y$8:$Y$500,0)))))),"")</f>
        <v/>
      </c>
      <c r="F179" s="172" t="str">
        <f t="array" ref="F179">IFERROR(IF(LEN(F$11)=0,"",IF($C$7&lt;&gt;"All",IF(LEN(INDEX(Calc!$J$8:$J$500,MATCH(SMALL(IF((Calc!$C$8:$C$500=Kanban!$C$7)*(Calc!$K$8:$K$500=Kanban!F$11)*(Calc!$Y$8:$Y$500&gt;0),Calc!$Y$8:$Y$500,99999),Kanban_Helper!$B172),Calc!$Y$8:$Y$500,0)))=0,"",CONCATENATE(Calc!$AD$6,INDEX(Calc!$J$8:$J$500,MATCH(SMALL(IF((Calc!$C$8:$C$500=Kanban!$C$7)*(Calc!$K$8:$K$500=Kanban!F$11)*(Calc!$Y$8:$Y$500&gt;0),Calc!$Y$8:$Y$500,99999),Kanban_Helper!$B172),Calc!$Y$8:$Y$500,0)))),IF(LEN(INDEX(Calc!$J$8:$J$500,MATCH(SMALL(IF((Calc!$K$8:$K$500=Kanban!F$11)*(Calc!$Y$8:$Y$500&gt;0),Calc!$Y$8:$Y$500,99999),Kanban_Helper!$B172),Calc!$Y$8:$Y$500,0)))=0,"",CONCATENATE(Calc!$AD$6,INDEX(Calc!$J$8:$J$500,MATCH(SMALL(IF((Calc!$K$8:$K$500=Kanban!F$11)*(Calc!$Y$8:$Y$500&gt;0),Calc!$Y$8:$Y$500,99999),Kanban_Helper!$B172),Calc!$Y$8:$Y$500,0)))))),"")</f>
        <v/>
      </c>
      <c r="G179" s="172" t="str">
        <f t="array" ref="G179">IFERROR(IF(LEN(G$11)=0,"",IF($C$7&lt;&gt;"All",IF(LEN(INDEX(Calc!$J$8:$J$500,MATCH(SMALL(IF((Calc!$C$8:$C$500=Kanban!$C$7)*(Calc!$K$8:$K$500=Kanban!G$11)*(Calc!$Y$8:$Y$500&gt;0),Calc!$Y$8:$Y$500,99999),Kanban_Helper!$B172),Calc!$Y$8:$Y$500,0)))=0,"",CONCATENATE(Calc!$AD$6,INDEX(Calc!$J$8:$J$500,MATCH(SMALL(IF((Calc!$C$8:$C$500=Kanban!$C$7)*(Calc!$K$8:$K$500=Kanban!G$11)*(Calc!$Y$8:$Y$500&gt;0),Calc!$Y$8:$Y$500,99999),Kanban_Helper!$B172),Calc!$Y$8:$Y$500,0)))),IF(LEN(INDEX(Calc!$J$8:$J$500,MATCH(SMALL(IF((Calc!$K$8:$K$500=Kanban!G$11)*(Calc!$Y$8:$Y$500&gt;0),Calc!$Y$8:$Y$500,99999),Kanban_Helper!$B172),Calc!$Y$8:$Y$500,0)))=0,"",CONCATENATE(Calc!$AD$6,INDEX(Calc!$J$8:$J$500,MATCH(SMALL(IF((Calc!$K$8:$K$500=Kanban!G$11)*(Calc!$Y$8:$Y$500&gt;0),Calc!$Y$8:$Y$500,99999),Kanban_Helper!$B172),Calc!$Y$8:$Y$500,0)))))),"")</f>
        <v/>
      </c>
      <c r="H179" s="172" t="str">
        <f t="array" ref="H179">IFERROR(IF(LEN(H$11)=0,"",IF($C$7&lt;&gt;"All",IF(LEN(INDEX(Calc!$J$8:$J$500,MATCH(SMALL(IF((Calc!$C$8:$C$500=Kanban!$C$7)*(Calc!$K$8:$K$500=Kanban!H$11)*(Calc!$Y$8:$Y$500&gt;0),Calc!$Y$8:$Y$500,99999),Kanban_Helper!$B172),Calc!$Y$8:$Y$500,0)))=0,"",CONCATENATE(Calc!$AD$6,INDEX(Calc!$J$8:$J$500,MATCH(SMALL(IF((Calc!$C$8:$C$500=Kanban!$C$7)*(Calc!$K$8:$K$500=Kanban!H$11)*(Calc!$Y$8:$Y$500&gt;0),Calc!$Y$8:$Y$500,99999),Kanban_Helper!$B172),Calc!$Y$8:$Y$500,0)))),IF(LEN(INDEX(Calc!$J$8:$J$500,MATCH(SMALL(IF((Calc!$K$8:$K$500=Kanban!H$11)*(Calc!$Y$8:$Y$500&gt;0),Calc!$Y$8:$Y$500,99999),Kanban_Helper!$B172),Calc!$Y$8:$Y$500,0)))=0,"",CONCATENATE(Calc!$AD$6,INDEX(Calc!$J$8:$J$500,MATCH(SMALL(IF((Calc!$K$8:$K$500=Kanban!H$11)*(Calc!$Y$8:$Y$500&gt;0),Calc!$Y$8:$Y$500,99999),Kanban_Helper!$B172),Calc!$Y$8:$Y$500,0)))))),"")</f>
        <v/>
      </c>
      <c r="I179" s="39"/>
    </row>
    <row r="180" spans="2:9" ht="15" thickTop="1" x14ac:dyDescent="0.35">
      <c r="B180" s="81"/>
      <c r="C180" s="170" t="str">
        <f t="array" ref="C180">IFERROR(IF(LEN(C$11)=0,"",IF($C$7&lt;&gt;"All",IF(INDEX(Calc!$V$8:$V$500,MATCH(INDEX(Calc!$D$8:$D$500,MATCH(SMALL(IF((Calc!$C$8:$C$500=Kanban!$C$7)*(Calc!$K$8:$K$500=Kanban!C$11)*(Calc!$Y$8:$Y$500&gt;0),Calc!$Y$8:$Y$500,99999),Kanban_Helper!$B173),Calc!$Y$8:$Y$500,0)),Calc!$D$8:$D$500,0))="Yes",CONCATENATE(INDEX(Calc!$D$8:$D$500,MATCH(SMALL(IF((Calc!$C$8:$C$500=Kanban!$C$7)*(Calc!$K$8:$K$500=Kanban!C$11)*(Calc!$Y$8:$Y$500&gt;0),Calc!$Y$8:$Y$500,99999),Kanban_Helper!$B173),Calc!$Y$8:$Y$500,0))," ",Calc!$V$7," ","!"),INDEX(Calc!$D$8:$D$500,MATCH(SMALL(IF((Calc!$C$8:$C$500=Kanban!$C$7)*(Calc!$K$8:$K$500=Kanban!C$11)*(Calc!$Y$8:$Y$500&gt;0),Calc!$Y$8:$Y$500,99999),Kanban_Helper!$B173),Calc!$Y$8:$Y$500,0))),IF(INDEX(Calc!$V$8:$V$500,MATCH(INDEX(Calc!$D$8:$D$500,MATCH(SMALL(IF((Calc!$K$8:$K$500=Kanban!C$11)*(Calc!$Y$8:$Y$500&gt;0),Calc!$Y$8:$Y$500,99999),Kanban_Helper!$B173),Calc!$Y$8:$Y$500,0)),Calc!$D$8:$D$500,0))="Yes",CONCATENATE(INDEX(Calc!$D$8:$D$500,MATCH(SMALL(IF((Calc!$K$8:$K$500=Kanban!C$11)*(Calc!$Y$8:$Y$500&gt;0),Calc!$Y$8:$Y$500,99999),Kanban_Helper!$B173),Calc!$Y$8:$Y$500,0))," ",Calc!$V$7," ","!"),INDEX(Calc!$D$8:$D$500,MATCH(SMALL(IF((Calc!$K$8:$K$500=Kanban!C$11)*(Calc!$Y$8:$Y$500&gt;0),Calc!$Y$8:$Y$500,99999),Kanban_Helper!$B173),Calc!$Y$8:$Y$500,0))))),"")</f>
        <v/>
      </c>
      <c r="D180" s="170" t="str">
        <f t="array" ref="D180">IFERROR(IF(LEN(D$11)=0,"",IF($C$7&lt;&gt;"All",IF(INDEX(Calc!$V$8:$V$500,MATCH(INDEX(Calc!$D$8:$D$500,MATCH(SMALL(IF((Calc!$C$8:$C$500=Kanban!$C$7)*(Calc!$K$8:$K$500=Kanban!D$11)*(Calc!$Y$8:$Y$500&gt;0),Calc!$Y$8:$Y$500,99999),Kanban_Helper!$B173),Calc!$Y$8:$Y$500,0)),Calc!$D$8:$D$500,0))="Yes",CONCATENATE(INDEX(Calc!$D$8:$D$500,MATCH(SMALL(IF((Calc!$C$8:$C$500=Kanban!$C$7)*(Calc!$K$8:$K$500=Kanban!D$11)*(Calc!$Y$8:$Y$500&gt;0),Calc!$Y$8:$Y$500,99999),Kanban_Helper!$B173),Calc!$Y$8:$Y$500,0))," ",Calc!$V$7," ","!"),INDEX(Calc!$D$8:$D$500,MATCH(SMALL(IF((Calc!$C$8:$C$500=Kanban!$C$7)*(Calc!$K$8:$K$500=Kanban!D$11)*(Calc!$Y$8:$Y$500&gt;0),Calc!$Y$8:$Y$500,99999),Kanban_Helper!$B173),Calc!$Y$8:$Y$500,0))),IF(INDEX(Calc!$V$8:$V$500,MATCH(INDEX(Calc!$D$8:$D$500,MATCH(SMALL(IF((Calc!$K$8:$K$500=Kanban!D$11)*(Calc!$Y$8:$Y$500&gt;0),Calc!$Y$8:$Y$500,99999),Kanban_Helper!$B173),Calc!$Y$8:$Y$500,0)),Calc!$D$8:$D$500,0))="Yes",CONCATENATE(INDEX(Calc!$D$8:$D$500,MATCH(SMALL(IF((Calc!$K$8:$K$500=Kanban!D$11)*(Calc!$Y$8:$Y$500&gt;0),Calc!$Y$8:$Y$500,99999),Kanban_Helper!$B173),Calc!$Y$8:$Y$500,0))," ",Calc!$V$7," ","!"),INDEX(Calc!$D$8:$D$500,MATCH(SMALL(IF((Calc!$K$8:$K$500=Kanban!D$11)*(Calc!$Y$8:$Y$500&gt;0),Calc!$Y$8:$Y$500,99999),Kanban_Helper!$B173),Calc!$Y$8:$Y$500,0))))),"")</f>
        <v/>
      </c>
      <c r="E180" s="170" t="str">
        <f t="array" ref="E180">IFERROR(IF(LEN(E$11)=0,"",IF($C$7&lt;&gt;"All",IF(INDEX(Calc!$V$8:$V$500,MATCH(INDEX(Calc!$D$8:$D$500,MATCH(SMALL(IF((Calc!$C$8:$C$500=Kanban!$C$7)*(Calc!$K$8:$K$500=Kanban!E$11)*(Calc!$Y$8:$Y$500&gt;0),Calc!$Y$8:$Y$500,99999),Kanban_Helper!$B173),Calc!$Y$8:$Y$500,0)),Calc!$D$8:$D$500,0))="Yes",CONCATENATE(INDEX(Calc!$D$8:$D$500,MATCH(SMALL(IF((Calc!$C$8:$C$500=Kanban!$C$7)*(Calc!$K$8:$K$500=Kanban!E$11)*(Calc!$Y$8:$Y$500&gt;0),Calc!$Y$8:$Y$500,99999),Kanban_Helper!$B173),Calc!$Y$8:$Y$500,0))," ",Calc!$V$7," ","!"),INDEX(Calc!$D$8:$D$500,MATCH(SMALL(IF((Calc!$C$8:$C$500=Kanban!$C$7)*(Calc!$K$8:$K$500=Kanban!E$11)*(Calc!$Y$8:$Y$500&gt;0),Calc!$Y$8:$Y$500,99999),Kanban_Helper!$B173),Calc!$Y$8:$Y$500,0))),IF(INDEX(Calc!$V$8:$V$500,MATCH(INDEX(Calc!$D$8:$D$500,MATCH(SMALL(IF((Calc!$K$8:$K$500=Kanban!E$11)*(Calc!$Y$8:$Y$500&gt;0),Calc!$Y$8:$Y$500,99999),Kanban_Helper!$B173),Calc!$Y$8:$Y$500,0)),Calc!$D$8:$D$500,0))="Yes",CONCATENATE(INDEX(Calc!$D$8:$D$500,MATCH(SMALL(IF((Calc!$K$8:$K$500=Kanban!E$11)*(Calc!$Y$8:$Y$500&gt;0),Calc!$Y$8:$Y$500,99999),Kanban_Helper!$B173),Calc!$Y$8:$Y$500,0))," ",Calc!$V$7," ","!"),INDEX(Calc!$D$8:$D$500,MATCH(SMALL(IF((Calc!$K$8:$K$500=Kanban!E$11)*(Calc!$Y$8:$Y$500&gt;0),Calc!$Y$8:$Y$500,99999),Kanban_Helper!$B173),Calc!$Y$8:$Y$500,0))))),"")</f>
        <v/>
      </c>
      <c r="F180" s="170" t="str">
        <f t="array" ref="F180">IFERROR(IF(LEN(F$11)=0,"",IF($C$7&lt;&gt;"All",IF(INDEX(Calc!$V$8:$V$500,MATCH(INDEX(Calc!$D$8:$D$500,MATCH(SMALL(IF((Calc!$C$8:$C$500=Kanban!$C$7)*(Calc!$K$8:$K$500=Kanban!F$11)*(Calc!$Y$8:$Y$500&gt;0),Calc!$Y$8:$Y$500,99999),Kanban_Helper!$B173),Calc!$Y$8:$Y$500,0)),Calc!$D$8:$D$500,0))="Yes",CONCATENATE(INDEX(Calc!$D$8:$D$500,MATCH(SMALL(IF((Calc!$C$8:$C$500=Kanban!$C$7)*(Calc!$K$8:$K$500=Kanban!F$11)*(Calc!$Y$8:$Y$500&gt;0),Calc!$Y$8:$Y$500,99999),Kanban_Helper!$B173),Calc!$Y$8:$Y$500,0))," ",Calc!$V$7," ","!"),INDEX(Calc!$D$8:$D$500,MATCH(SMALL(IF((Calc!$C$8:$C$500=Kanban!$C$7)*(Calc!$K$8:$K$500=Kanban!F$11)*(Calc!$Y$8:$Y$500&gt;0),Calc!$Y$8:$Y$500,99999),Kanban_Helper!$B173),Calc!$Y$8:$Y$500,0))),IF(INDEX(Calc!$V$8:$V$500,MATCH(INDEX(Calc!$D$8:$D$500,MATCH(SMALL(IF((Calc!$K$8:$K$500=Kanban!F$11)*(Calc!$Y$8:$Y$500&gt;0),Calc!$Y$8:$Y$500,99999),Kanban_Helper!$B173),Calc!$Y$8:$Y$500,0)),Calc!$D$8:$D$500,0))="Yes",CONCATENATE(INDEX(Calc!$D$8:$D$500,MATCH(SMALL(IF((Calc!$K$8:$K$500=Kanban!F$11)*(Calc!$Y$8:$Y$500&gt;0),Calc!$Y$8:$Y$500,99999),Kanban_Helper!$B173),Calc!$Y$8:$Y$500,0))," ",Calc!$V$7," ","!"),INDEX(Calc!$D$8:$D$500,MATCH(SMALL(IF((Calc!$K$8:$K$500=Kanban!F$11)*(Calc!$Y$8:$Y$500&gt;0),Calc!$Y$8:$Y$500,99999),Kanban_Helper!$B173),Calc!$Y$8:$Y$500,0))))),"")</f>
        <v/>
      </c>
      <c r="G180" s="170" t="str">
        <f t="array" ref="G180">IFERROR(IF(LEN(G$11)=0,"",IF($C$7&lt;&gt;"All",IF(INDEX(Calc!$V$8:$V$500,MATCH(INDEX(Calc!$D$8:$D$500,MATCH(SMALL(IF((Calc!$C$8:$C$500=Kanban!$C$7)*(Calc!$K$8:$K$500=Kanban!G$11)*(Calc!$Y$8:$Y$500&gt;0),Calc!$Y$8:$Y$500,99999),Kanban_Helper!$B173),Calc!$Y$8:$Y$500,0)),Calc!$D$8:$D$500,0))="Yes",CONCATENATE(INDEX(Calc!$D$8:$D$500,MATCH(SMALL(IF((Calc!$C$8:$C$500=Kanban!$C$7)*(Calc!$K$8:$K$500=Kanban!G$11)*(Calc!$Y$8:$Y$500&gt;0),Calc!$Y$8:$Y$500,99999),Kanban_Helper!$B173),Calc!$Y$8:$Y$500,0))," ",Calc!$V$7," ","!"),INDEX(Calc!$D$8:$D$500,MATCH(SMALL(IF((Calc!$C$8:$C$500=Kanban!$C$7)*(Calc!$K$8:$K$500=Kanban!G$11)*(Calc!$Y$8:$Y$500&gt;0),Calc!$Y$8:$Y$500,99999),Kanban_Helper!$B173),Calc!$Y$8:$Y$500,0))),IF(INDEX(Calc!$V$8:$V$500,MATCH(INDEX(Calc!$D$8:$D$500,MATCH(SMALL(IF((Calc!$K$8:$K$500=Kanban!G$11)*(Calc!$Y$8:$Y$500&gt;0),Calc!$Y$8:$Y$500,99999),Kanban_Helper!$B173),Calc!$Y$8:$Y$500,0)),Calc!$D$8:$D$500,0))="Yes",CONCATENATE(INDEX(Calc!$D$8:$D$500,MATCH(SMALL(IF((Calc!$K$8:$K$500=Kanban!G$11)*(Calc!$Y$8:$Y$500&gt;0),Calc!$Y$8:$Y$500,99999),Kanban_Helper!$B173),Calc!$Y$8:$Y$500,0))," ",Calc!$V$7," ","!"),INDEX(Calc!$D$8:$D$500,MATCH(SMALL(IF((Calc!$K$8:$K$500=Kanban!G$11)*(Calc!$Y$8:$Y$500&gt;0),Calc!$Y$8:$Y$500,99999),Kanban_Helper!$B173),Calc!$Y$8:$Y$500,0))))),"")</f>
        <v/>
      </c>
      <c r="H180" s="170" t="str">
        <f t="array" ref="H180">IFERROR(IF(LEN(H$11)=0,"",IF($C$7&lt;&gt;"All",IF(INDEX(Calc!$V$8:$V$500,MATCH(INDEX(Calc!$D$8:$D$500,MATCH(SMALL(IF((Calc!$C$8:$C$500=Kanban!$C$7)*(Calc!$K$8:$K$500=Kanban!H$11)*(Calc!$Y$8:$Y$500&gt;0),Calc!$Y$8:$Y$500,99999),Kanban_Helper!$B173),Calc!$Y$8:$Y$500,0)),Calc!$D$8:$D$500,0))="Yes",CONCATENATE(INDEX(Calc!$D$8:$D$500,MATCH(SMALL(IF((Calc!$C$8:$C$500=Kanban!$C$7)*(Calc!$K$8:$K$500=Kanban!H$11)*(Calc!$Y$8:$Y$500&gt;0),Calc!$Y$8:$Y$500,99999),Kanban_Helper!$B173),Calc!$Y$8:$Y$500,0))," ",Calc!$V$7," ","!"),INDEX(Calc!$D$8:$D$500,MATCH(SMALL(IF((Calc!$C$8:$C$500=Kanban!$C$7)*(Calc!$K$8:$K$500=Kanban!H$11)*(Calc!$Y$8:$Y$500&gt;0),Calc!$Y$8:$Y$500,99999),Kanban_Helper!$B173),Calc!$Y$8:$Y$500,0))),IF(INDEX(Calc!$V$8:$V$500,MATCH(INDEX(Calc!$D$8:$D$500,MATCH(SMALL(IF((Calc!$K$8:$K$500=Kanban!H$11)*(Calc!$Y$8:$Y$500&gt;0),Calc!$Y$8:$Y$500,99999),Kanban_Helper!$B173),Calc!$Y$8:$Y$500,0)),Calc!$D$8:$D$500,0))="Yes",CONCATENATE(INDEX(Calc!$D$8:$D$500,MATCH(SMALL(IF((Calc!$K$8:$K$500=Kanban!H$11)*(Calc!$Y$8:$Y$500&gt;0),Calc!$Y$8:$Y$500,99999),Kanban_Helper!$B173),Calc!$Y$8:$Y$500,0))," ",Calc!$V$7," ","!"),INDEX(Calc!$D$8:$D$500,MATCH(SMALL(IF((Calc!$K$8:$K$500=Kanban!H$11)*(Calc!$Y$8:$Y$500&gt;0),Calc!$Y$8:$Y$500,99999),Kanban_Helper!$B173),Calc!$Y$8:$Y$500,0))))),"")</f>
        <v/>
      </c>
      <c r="I180" s="39"/>
    </row>
    <row r="181" spans="2:9" x14ac:dyDescent="0.35">
      <c r="B181" s="81"/>
      <c r="C181" s="171" t="str">
        <f t="array" ref="C181">IFERROR(IF(LEN(C$11)=0,"",IF($C$7&lt;&gt;"All",INDEX(Calc!$E$8:$E$500,MATCH(SMALL(IF((Calc!$C$8:$C$500=Kanban!$C$7)*(Calc!$K$8:$K$500=Kanban!C$11)*(Calc!$Y$8:$Y$500&gt;0),Calc!$Y$8:$Y$500,99999),Kanban_Helper!$B174),Calc!$Y$8:$Y$500,0)),INDEX(Calc!$E$8:$E$500,MATCH(SMALL(IF((Calc!$K$8:$K$500=Kanban!C$11)*(Calc!$Y$8:$Y$500&gt;0),Calc!$Y$8:$Y$500,99999),Kanban_Helper!$B174),Calc!$Y$8:$Y$500,0)))),"")</f>
        <v/>
      </c>
      <c r="D181" s="171" t="str">
        <f t="array" ref="D181">IFERROR(IF(LEN(D$11)=0,"",IF($C$7&lt;&gt;"All",INDEX(Calc!$E$8:$E$500,MATCH(SMALL(IF((Calc!$C$8:$C$500=Kanban!$C$7)*(Calc!$K$8:$K$500=Kanban!D$11)*(Calc!$Y$8:$Y$500&gt;0),Calc!$Y$8:$Y$500,99999),Kanban_Helper!$B174),Calc!$Y$8:$Y$500,0)),INDEX(Calc!$E$8:$E$500,MATCH(SMALL(IF((Calc!$K$8:$K$500=Kanban!D$11)*(Calc!$Y$8:$Y$500&gt;0),Calc!$Y$8:$Y$500,99999),Kanban_Helper!$B174),Calc!$Y$8:$Y$500,0)))),"")</f>
        <v/>
      </c>
      <c r="E181" s="171" t="str">
        <f t="array" ref="E181">IFERROR(IF(LEN(E$11)=0,"",IF($C$7&lt;&gt;"All",INDEX(Calc!$E$8:$E$500,MATCH(SMALL(IF((Calc!$C$8:$C$500=Kanban!$C$7)*(Calc!$K$8:$K$500=Kanban!E$11)*(Calc!$Y$8:$Y$500&gt;0),Calc!$Y$8:$Y$500,99999),Kanban_Helper!$B174),Calc!$Y$8:$Y$500,0)),INDEX(Calc!$E$8:$E$500,MATCH(SMALL(IF((Calc!$K$8:$K$500=Kanban!E$11)*(Calc!$Y$8:$Y$500&gt;0),Calc!$Y$8:$Y$500,99999),Kanban_Helper!$B174),Calc!$Y$8:$Y$500,0)))),"")</f>
        <v/>
      </c>
      <c r="F181" s="171" t="str">
        <f t="array" ref="F181">IFERROR(IF(LEN(F$11)=0,"",IF($C$7&lt;&gt;"All",INDEX(Calc!$E$8:$E$500,MATCH(SMALL(IF((Calc!$C$8:$C$500=Kanban!$C$7)*(Calc!$K$8:$K$500=Kanban!F$11)*(Calc!$Y$8:$Y$500&gt;0),Calc!$Y$8:$Y$500,99999),Kanban_Helper!$B174),Calc!$Y$8:$Y$500,0)),INDEX(Calc!$E$8:$E$500,MATCH(SMALL(IF((Calc!$K$8:$K$500=Kanban!F$11)*(Calc!$Y$8:$Y$500&gt;0),Calc!$Y$8:$Y$500,99999),Kanban_Helper!$B174),Calc!$Y$8:$Y$500,0)))),"")</f>
        <v/>
      </c>
      <c r="G181" s="171" t="str">
        <f t="array" ref="G181">IFERROR(IF(LEN(G$11)=0,"",IF($C$7&lt;&gt;"All",INDEX(Calc!$E$8:$E$500,MATCH(SMALL(IF((Calc!$C$8:$C$500=Kanban!$C$7)*(Calc!$K$8:$K$500=Kanban!G$11)*(Calc!$Y$8:$Y$500&gt;0),Calc!$Y$8:$Y$500,99999),Kanban_Helper!$B174),Calc!$Y$8:$Y$500,0)),INDEX(Calc!$E$8:$E$500,MATCH(SMALL(IF((Calc!$K$8:$K$500=Kanban!G$11)*(Calc!$Y$8:$Y$500&gt;0),Calc!$Y$8:$Y$500,99999),Kanban_Helper!$B174),Calc!$Y$8:$Y$500,0)))),"")</f>
        <v/>
      </c>
      <c r="H181" s="171" t="str">
        <f t="array" ref="H181">IFERROR(IF(LEN(H$11)=0,"",IF($C$7&lt;&gt;"All",INDEX(Calc!$E$8:$E$500,MATCH(SMALL(IF((Calc!$C$8:$C$500=Kanban!$C$7)*(Calc!$K$8:$K$500=Kanban!H$11)*(Calc!$Y$8:$Y$500&gt;0),Calc!$Y$8:$Y$500,99999),Kanban_Helper!$B174),Calc!$Y$8:$Y$500,0)),INDEX(Calc!$E$8:$E$500,MATCH(SMALL(IF((Calc!$K$8:$K$500=Kanban!H$11)*(Calc!$Y$8:$Y$500&gt;0),Calc!$Y$8:$Y$500,99999),Kanban_Helper!$B174),Calc!$Y$8:$Y$500,0)))),"")</f>
        <v/>
      </c>
      <c r="I181" s="39"/>
    </row>
    <row r="182" spans="2:9" ht="15" thickBot="1" x14ac:dyDescent="0.4">
      <c r="B182" s="81"/>
      <c r="C182" s="172" t="str">
        <f t="array" ref="C182">IFERROR(IF(LEN(C$11)=0,"",IF($C$7&lt;&gt;"All",IF(LEN(INDEX(Calc!$J$8:$J$500,MATCH(SMALL(IF((Calc!$C$8:$C$500=Kanban!$C$7)*(Calc!$K$8:$K$500=Kanban!C$11)*(Calc!$Y$8:$Y$500&gt;0),Calc!$Y$8:$Y$500,99999),Kanban_Helper!$B175),Calc!$Y$8:$Y$500,0)))=0,"",CONCATENATE(Calc!$AD$6,INDEX(Calc!$J$8:$J$500,MATCH(SMALL(IF((Calc!$C$8:$C$500=Kanban!$C$7)*(Calc!$K$8:$K$500=Kanban!C$11)*(Calc!$Y$8:$Y$500&gt;0),Calc!$Y$8:$Y$500,99999),Kanban_Helper!$B175),Calc!$Y$8:$Y$500,0)))),IF(LEN(INDEX(Calc!$J$8:$J$500,MATCH(SMALL(IF((Calc!$K$8:$K$500=Kanban!C$11)*(Calc!$Y$8:$Y$500&gt;0),Calc!$Y$8:$Y$500,99999),Kanban_Helper!$B175),Calc!$Y$8:$Y$500,0)))=0,"",CONCATENATE(Calc!$AD$6,INDEX(Calc!$J$8:$J$500,MATCH(SMALL(IF((Calc!$K$8:$K$500=Kanban!C$11)*(Calc!$Y$8:$Y$500&gt;0),Calc!$Y$8:$Y$500,99999),Kanban_Helper!$B175),Calc!$Y$8:$Y$500,0)))))),"")</f>
        <v/>
      </c>
      <c r="D182" s="172" t="str">
        <f t="array" ref="D182">IFERROR(IF(LEN(D$11)=0,"",IF($C$7&lt;&gt;"All",IF(LEN(INDEX(Calc!$J$8:$J$500,MATCH(SMALL(IF((Calc!$C$8:$C$500=Kanban!$C$7)*(Calc!$K$8:$K$500=Kanban!D$11)*(Calc!$Y$8:$Y$500&gt;0),Calc!$Y$8:$Y$500,99999),Kanban_Helper!$B175),Calc!$Y$8:$Y$500,0)))=0,"",CONCATENATE(Calc!$AD$6,INDEX(Calc!$J$8:$J$500,MATCH(SMALL(IF((Calc!$C$8:$C$500=Kanban!$C$7)*(Calc!$K$8:$K$500=Kanban!D$11)*(Calc!$Y$8:$Y$500&gt;0),Calc!$Y$8:$Y$500,99999),Kanban_Helper!$B175),Calc!$Y$8:$Y$500,0)))),IF(LEN(INDEX(Calc!$J$8:$J$500,MATCH(SMALL(IF((Calc!$K$8:$K$500=Kanban!D$11)*(Calc!$Y$8:$Y$500&gt;0),Calc!$Y$8:$Y$500,99999),Kanban_Helper!$B175),Calc!$Y$8:$Y$500,0)))=0,"",CONCATENATE(Calc!$AD$6,INDEX(Calc!$J$8:$J$500,MATCH(SMALL(IF((Calc!$K$8:$K$500=Kanban!D$11)*(Calc!$Y$8:$Y$500&gt;0),Calc!$Y$8:$Y$500,99999),Kanban_Helper!$B175),Calc!$Y$8:$Y$500,0)))))),"")</f>
        <v/>
      </c>
      <c r="E182" s="172" t="str">
        <f t="array" ref="E182">IFERROR(IF(LEN(E$11)=0,"",IF($C$7&lt;&gt;"All",IF(LEN(INDEX(Calc!$J$8:$J$500,MATCH(SMALL(IF((Calc!$C$8:$C$500=Kanban!$C$7)*(Calc!$K$8:$K$500=Kanban!E$11)*(Calc!$Y$8:$Y$500&gt;0),Calc!$Y$8:$Y$500,99999),Kanban_Helper!$B175),Calc!$Y$8:$Y$500,0)))=0,"",CONCATENATE(Calc!$AD$6,INDEX(Calc!$J$8:$J$500,MATCH(SMALL(IF((Calc!$C$8:$C$500=Kanban!$C$7)*(Calc!$K$8:$K$500=Kanban!E$11)*(Calc!$Y$8:$Y$500&gt;0),Calc!$Y$8:$Y$500,99999),Kanban_Helper!$B175),Calc!$Y$8:$Y$500,0)))),IF(LEN(INDEX(Calc!$J$8:$J$500,MATCH(SMALL(IF((Calc!$K$8:$K$500=Kanban!E$11)*(Calc!$Y$8:$Y$500&gt;0),Calc!$Y$8:$Y$500,99999),Kanban_Helper!$B175),Calc!$Y$8:$Y$500,0)))=0,"",CONCATENATE(Calc!$AD$6,INDEX(Calc!$J$8:$J$500,MATCH(SMALL(IF((Calc!$K$8:$K$500=Kanban!E$11)*(Calc!$Y$8:$Y$500&gt;0),Calc!$Y$8:$Y$500,99999),Kanban_Helper!$B175),Calc!$Y$8:$Y$500,0)))))),"")</f>
        <v/>
      </c>
      <c r="F182" s="172" t="str">
        <f t="array" ref="F182">IFERROR(IF(LEN(F$11)=0,"",IF($C$7&lt;&gt;"All",IF(LEN(INDEX(Calc!$J$8:$J$500,MATCH(SMALL(IF((Calc!$C$8:$C$500=Kanban!$C$7)*(Calc!$K$8:$K$500=Kanban!F$11)*(Calc!$Y$8:$Y$500&gt;0),Calc!$Y$8:$Y$500,99999),Kanban_Helper!$B175),Calc!$Y$8:$Y$500,0)))=0,"",CONCATENATE(Calc!$AD$6,INDEX(Calc!$J$8:$J$500,MATCH(SMALL(IF((Calc!$C$8:$C$500=Kanban!$C$7)*(Calc!$K$8:$K$500=Kanban!F$11)*(Calc!$Y$8:$Y$500&gt;0),Calc!$Y$8:$Y$500,99999),Kanban_Helper!$B175),Calc!$Y$8:$Y$500,0)))),IF(LEN(INDEX(Calc!$J$8:$J$500,MATCH(SMALL(IF((Calc!$K$8:$K$500=Kanban!F$11)*(Calc!$Y$8:$Y$500&gt;0),Calc!$Y$8:$Y$500,99999),Kanban_Helper!$B175),Calc!$Y$8:$Y$500,0)))=0,"",CONCATENATE(Calc!$AD$6,INDEX(Calc!$J$8:$J$500,MATCH(SMALL(IF((Calc!$K$8:$K$500=Kanban!F$11)*(Calc!$Y$8:$Y$500&gt;0),Calc!$Y$8:$Y$500,99999),Kanban_Helper!$B175),Calc!$Y$8:$Y$500,0)))))),"")</f>
        <v/>
      </c>
      <c r="G182" s="172" t="str">
        <f t="array" ref="G182">IFERROR(IF(LEN(G$11)=0,"",IF($C$7&lt;&gt;"All",IF(LEN(INDEX(Calc!$J$8:$J$500,MATCH(SMALL(IF((Calc!$C$8:$C$500=Kanban!$C$7)*(Calc!$K$8:$K$500=Kanban!G$11)*(Calc!$Y$8:$Y$500&gt;0),Calc!$Y$8:$Y$500,99999),Kanban_Helper!$B175),Calc!$Y$8:$Y$500,0)))=0,"",CONCATENATE(Calc!$AD$6,INDEX(Calc!$J$8:$J$500,MATCH(SMALL(IF((Calc!$C$8:$C$500=Kanban!$C$7)*(Calc!$K$8:$K$500=Kanban!G$11)*(Calc!$Y$8:$Y$500&gt;0),Calc!$Y$8:$Y$500,99999),Kanban_Helper!$B175),Calc!$Y$8:$Y$500,0)))),IF(LEN(INDEX(Calc!$J$8:$J$500,MATCH(SMALL(IF((Calc!$K$8:$K$500=Kanban!G$11)*(Calc!$Y$8:$Y$500&gt;0),Calc!$Y$8:$Y$500,99999),Kanban_Helper!$B175),Calc!$Y$8:$Y$500,0)))=0,"",CONCATENATE(Calc!$AD$6,INDEX(Calc!$J$8:$J$500,MATCH(SMALL(IF((Calc!$K$8:$K$500=Kanban!G$11)*(Calc!$Y$8:$Y$500&gt;0),Calc!$Y$8:$Y$500,99999),Kanban_Helper!$B175),Calc!$Y$8:$Y$500,0)))))),"")</f>
        <v/>
      </c>
      <c r="H182" s="172" t="str">
        <f t="array" ref="H182">IFERROR(IF(LEN(H$11)=0,"",IF($C$7&lt;&gt;"All",IF(LEN(INDEX(Calc!$J$8:$J$500,MATCH(SMALL(IF((Calc!$C$8:$C$500=Kanban!$C$7)*(Calc!$K$8:$K$500=Kanban!H$11)*(Calc!$Y$8:$Y$500&gt;0),Calc!$Y$8:$Y$500,99999),Kanban_Helper!$B175),Calc!$Y$8:$Y$500,0)))=0,"",CONCATENATE(Calc!$AD$6,INDEX(Calc!$J$8:$J$500,MATCH(SMALL(IF((Calc!$C$8:$C$500=Kanban!$C$7)*(Calc!$K$8:$K$500=Kanban!H$11)*(Calc!$Y$8:$Y$500&gt;0),Calc!$Y$8:$Y$500,99999),Kanban_Helper!$B175),Calc!$Y$8:$Y$500,0)))),IF(LEN(INDEX(Calc!$J$8:$J$500,MATCH(SMALL(IF((Calc!$K$8:$K$500=Kanban!H$11)*(Calc!$Y$8:$Y$500&gt;0),Calc!$Y$8:$Y$500,99999),Kanban_Helper!$B175),Calc!$Y$8:$Y$500,0)))=0,"",CONCATENATE(Calc!$AD$6,INDEX(Calc!$J$8:$J$500,MATCH(SMALL(IF((Calc!$K$8:$K$500=Kanban!H$11)*(Calc!$Y$8:$Y$500&gt;0),Calc!$Y$8:$Y$500,99999),Kanban_Helper!$B175),Calc!$Y$8:$Y$500,0)))))),"")</f>
        <v/>
      </c>
      <c r="I182" s="39"/>
    </row>
    <row r="183" spans="2:9" ht="15" thickTop="1" x14ac:dyDescent="0.35">
      <c r="B183" s="81"/>
      <c r="C183" s="170" t="str">
        <f t="array" ref="C183">IFERROR(IF(LEN(C$11)=0,"",IF($C$7&lt;&gt;"All",IF(INDEX(Calc!$V$8:$V$500,MATCH(INDEX(Calc!$D$8:$D$500,MATCH(SMALL(IF((Calc!$C$8:$C$500=Kanban!$C$7)*(Calc!$K$8:$K$500=Kanban!C$11)*(Calc!$Y$8:$Y$500&gt;0),Calc!$Y$8:$Y$500,99999),Kanban_Helper!$B176),Calc!$Y$8:$Y$500,0)),Calc!$D$8:$D$500,0))="Yes",CONCATENATE(INDEX(Calc!$D$8:$D$500,MATCH(SMALL(IF((Calc!$C$8:$C$500=Kanban!$C$7)*(Calc!$K$8:$K$500=Kanban!C$11)*(Calc!$Y$8:$Y$500&gt;0),Calc!$Y$8:$Y$500,99999),Kanban_Helper!$B176),Calc!$Y$8:$Y$500,0))," ",Calc!$V$7," ","!"),INDEX(Calc!$D$8:$D$500,MATCH(SMALL(IF((Calc!$C$8:$C$500=Kanban!$C$7)*(Calc!$K$8:$K$500=Kanban!C$11)*(Calc!$Y$8:$Y$500&gt;0),Calc!$Y$8:$Y$500,99999),Kanban_Helper!$B176),Calc!$Y$8:$Y$500,0))),IF(INDEX(Calc!$V$8:$V$500,MATCH(INDEX(Calc!$D$8:$D$500,MATCH(SMALL(IF((Calc!$K$8:$K$500=Kanban!C$11)*(Calc!$Y$8:$Y$500&gt;0),Calc!$Y$8:$Y$500,99999),Kanban_Helper!$B176),Calc!$Y$8:$Y$500,0)),Calc!$D$8:$D$500,0))="Yes",CONCATENATE(INDEX(Calc!$D$8:$D$500,MATCH(SMALL(IF((Calc!$K$8:$K$500=Kanban!C$11)*(Calc!$Y$8:$Y$500&gt;0),Calc!$Y$8:$Y$500,99999),Kanban_Helper!$B176),Calc!$Y$8:$Y$500,0))," ",Calc!$V$7," ","!"),INDEX(Calc!$D$8:$D$500,MATCH(SMALL(IF((Calc!$K$8:$K$500=Kanban!C$11)*(Calc!$Y$8:$Y$500&gt;0),Calc!$Y$8:$Y$500,99999),Kanban_Helper!$B176),Calc!$Y$8:$Y$500,0))))),"")</f>
        <v/>
      </c>
      <c r="D183" s="170" t="str">
        <f t="array" ref="D183">IFERROR(IF(LEN(D$11)=0,"",IF($C$7&lt;&gt;"All",IF(INDEX(Calc!$V$8:$V$500,MATCH(INDEX(Calc!$D$8:$D$500,MATCH(SMALL(IF((Calc!$C$8:$C$500=Kanban!$C$7)*(Calc!$K$8:$K$500=Kanban!D$11)*(Calc!$Y$8:$Y$500&gt;0),Calc!$Y$8:$Y$500,99999),Kanban_Helper!$B176),Calc!$Y$8:$Y$500,0)),Calc!$D$8:$D$500,0))="Yes",CONCATENATE(INDEX(Calc!$D$8:$D$500,MATCH(SMALL(IF((Calc!$C$8:$C$500=Kanban!$C$7)*(Calc!$K$8:$K$500=Kanban!D$11)*(Calc!$Y$8:$Y$500&gt;0),Calc!$Y$8:$Y$500,99999),Kanban_Helper!$B176),Calc!$Y$8:$Y$500,0))," ",Calc!$V$7," ","!"),INDEX(Calc!$D$8:$D$500,MATCH(SMALL(IF((Calc!$C$8:$C$500=Kanban!$C$7)*(Calc!$K$8:$K$500=Kanban!D$11)*(Calc!$Y$8:$Y$500&gt;0),Calc!$Y$8:$Y$500,99999),Kanban_Helper!$B176),Calc!$Y$8:$Y$500,0))),IF(INDEX(Calc!$V$8:$V$500,MATCH(INDEX(Calc!$D$8:$D$500,MATCH(SMALL(IF((Calc!$K$8:$K$500=Kanban!D$11)*(Calc!$Y$8:$Y$500&gt;0),Calc!$Y$8:$Y$500,99999),Kanban_Helper!$B176),Calc!$Y$8:$Y$500,0)),Calc!$D$8:$D$500,0))="Yes",CONCATENATE(INDEX(Calc!$D$8:$D$500,MATCH(SMALL(IF((Calc!$K$8:$K$500=Kanban!D$11)*(Calc!$Y$8:$Y$500&gt;0),Calc!$Y$8:$Y$500,99999),Kanban_Helper!$B176),Calc!$Y$8:$Y$500,0))," ",Calc!$V$7," ","!"),INDEX(Calc!$D$8:$D$500,MATCH(SMALL(IF((Calc!$K$8:$K$500=Kanban!D$11)*(Calc!$Y$8:$Y$500&gt;0),Calc!$Y$8:$Y$500,99999),Kanban_Helper!$B176),Calc!$Y$8:$Y$500,0))))),"")</f>
        <v/>
      </c>
      <c r="E183" s="170" t="str">
        <f t="array" ref="E183">IFERROR(IF(LEN(E$11)=0,"",IF($C$7&lt;&gt;"All",IF(INDEX(Calc!$V$8:$V$500,MATCH(INDEX(Calc!$D$8:$D$500,MATCH(SMALL(IF((Calc!$C$8:$C$500=Kanban!$C$7)*(Calc!$K$8:$K$500=Kanban!E$11)*(Calc!$Y$8:$Y$500&gt;0),Calc!$Y$8:$Y$500,99999),Kanban_Helper!$B176),Calc!$Y$8:$Y$500,0)),Calc!$D$8:$D$500,0))="Yes",CONCATENATE(INDEX(Calc!$D$8:$D$500,MATCH(SMALL(IF((Calc!$C$8:$C$500=Kanban!$C$7)*(Calc!$K$8:$K$500=Kanban!E$11)*(Calc!$Y$8:$Y$500&gt;0),Calc!$Y$8:$Y$500,99999),Kanban_Helper!$B176),Calc!$Y$8:$Y$500,0))," ",Calc!$V$7," ","!"),INDEX(Calc!$D$8:$D$500,MATCH(SMALL(IF((Calc!$C$8:$C$500=Kanban!$C$7)*(Calc!$K$8:$K$500=Kanban!E$11)*(Calc!$Y$8:$Y$500&gt;0),Calc!$Y$8:$Y$500,99999),Kanban_Helper!$B176),Calc!$Y$8:$Y$500,0))),IF(INDEX(Calc!$V$8:$V$500,MATCH(INDEX(Calc!$D$8:$D$500,MATCH(SMALL(IF((Calc!$K$8:$K$500=Kanban!E$11)*(Calc!$Y$8:$Y$500&gt;0),Calc!$Y$8:$Y$500,99999),Kanban_Helper!$B176),Calc!$Y$8:$Y$500,0)),Calc!$D$8:$D$500,0))="Yes",CONCATENATE(INDEX(Calc!$D$8:$D$500,MATCH(SMALL(IF((Calc!$K$8:$K$500=Kanban!E$11)*(Calc!$Y$8:$Y$500&gt;0),Calc!$Y$8:$Y$500,99999),Kanban_Helper!$B176),Calc!$Y$8:$Y$500,0))," ",Calc!$V$7," ","!"),INDEX(Calc!$D$8:$D$500,MATCH(SMALL(IF((Calc!$K$8:$K$500=Kanban!E$11)*(Calc!$Y$8:$Y$500&gt;0),Calc!$Y$8:$Y$500,99999),Kanban_Helper!$B176),Calc!$Y$8:$Y$500,0))))),"")</f>
        <v/>
      </c>
      <c r="F183" s="170" t="str">
        <f t="array" ref="F183">IFERROR(IF(LEN(F$11)=0,"",IF($C$7&lt;&gt;"All",IF(INDEX(Calc!$V$8:$V$500,MATCH(INDEX(Calc!$D$8:$D$500,MATCH(SMALL(IF((Calc!$C$8:$C$500=Kanban!$C$7)*(Calc!$K$8:$K$500=Kanban!F$11)*(Calc!$Y$8:$Y$500&gt;0),Calc!$Y$8:$Y$500,99999),Kanban_Helper!$B176),Calc!$Y$8:$Y$500,0)),Calc!$D$8:$D$500,0))="Yes",CONCATENATE(INDEX(Calc!$D$8:$D$500,MATCH(SMALL(IF((Calc!$C$8:$C$500=Kanban!$C$7)*(Calc!$K$8:$K$500=Kanban!F$11)*(Calc!$Y$8:$Y$500&gt;0),Calc!$Y$8:$Y$500,99999),Kanban_Helper!$B176),Calc!$Y$8:$Y$500,0))," ",Calc!$V$7," ","!"),INDEX(Calc!$D$8:$D$500,MATCH(SMALL(IF((Calc!$C$8:$C$500=Kanban!$C$7)*(Calc!$K$8:$K$500=Kanban!F$11)*(Calc!$Y$8:$Y$500&gt;0),Calc!$Y$8:$Y$500,99999),Kanban_Helper!$B176),Calc!$Y$8:$Y$500,0))),IF(INDEX(Calc!$V$8:$V$500,MATCH(INDEX(Calc!$D$8:$D$500,MATCH(SMALL(IF((Calc!$K$8:$K$500=Kanban!F$11)*(Calc!$Y$8:$Y$500&gt;0),Calc!$Y$8:$Y$500,99999),Kanban_Helper!$B176),Calc!$Y$8:$Y$500,0)),Calc!$D$8:$D$500,0))="Yes",CONCATENATE(INDEX(Calc!$D$8:$D$500,MATCH(SMALL(IF((Calc!$K$8:$K$500=Kanban!F$11)*(Calc!$Y$8:$Y$500&gt;0),Calc!$Y$8:$Y$500,99999),Kanban_Helper!$B176),Calc!$Y$8:$Y$500,0))," ",Calc!$V$7," ","!"),INDEX(Calc!$D$8:$D$500,MATCH(SMALL(IF((Calc!$K$8:$K$500=Kanban!F$11)*(Calc!$Y$8:$Y$500&gt;0),Calc!$Y$8:$Y$500,99999),Kanban_Helper!$B176),Calc!$Y$8:$Y$500,0))))),"")</f>
        <v/>
      </c>
      <c r="G183" s="170" t="str">
        <f t="array" ref="G183">IFERROR(IF(LEN(G$11)=0,"",IF($C$7&lt;&gt;"All",IF(INDEX(Calc!$V$8:$V$500,MATCH(INDEX(Calc!$D$8:$D$500,MATCH(SMALL(IF((Calc!$C$8:$C$500=Kanban!$C$7)*(Calc!$K$8:$K$500=Kanban!G$11)*(Calc!$Y$8:$Y$500&gt;0),Calc!$Y$8:$Y$500,99999),Kanban_Helper!$B176),Calc!$Y$8:$Y$500,0)),Calc!$D$8:$D$500,0))="Yes",CONCATENATE(INDEX(Calc!$D$8:$D$500,MATCH(SMALL(IF((Calc!$C$8:$C$500=Kanban!$C$7)*(Calc!$K$8:$K$500=Kanban!G$11)*(Calc!$Y$8:$Y$500&gt;0),Calc!$Y$8:$Y$500,99999),Kanban_Helper!$B176),Calc!$Y$8:$Y$500,0))," ",Calc!$V$7," ","!"),INDEX(Calc!$D$8:$D$500,MATCH(SMALL(IF((Calc!$C$8:$C$500=Kanban!$C$7)*(Calc!$K$8:$K$500=Kanban!G$11)*(Calc!$Y$8:$Y$500&gt;0),Calc!$Y$8:$Y$500,99999),Kanban_Helper!$B176),Calc!$Y$8:$Y$500,0))),IF(INDEX(Calc!$V$8:$V$500,MATCH(INDEX(Calc!$D$8:$D$500,MATCH(SMALL(IF((Calc!$K$8:$K$500=Kanban!G$11)*(Calc!$Y$8:$Y$500&gt;0),Calc!$Y$8:$Y$500,99999),Kanban_Helper!$B176),Calc!$Y$8:$Y$500,0)),Calc!$D$8:$D$500,0))="Yes",CONCATENATE(INDEX(Calc!$D$8:$D$500,MATCH(SMALL(IF((Calc!$K$8:$K$500=Kanban!G$11)*(Calc!$Y$8:$Y$500&gt;0),Calc!$Y$8:$Y$500,99999),Kanban_Helper!$B176),Calc!$Y$8:$Y$500,0))," ",Calc!$V$7," ","!"),INDEX(Calc!$D$8:$D$500,MATCH(SMALL(IF((Calc!$K$8:$K$500=Kanban!G$11)*(Calc!$Y$8:$Y$500&gt;0),Calc!$Y$8:$Y$500,99999),Kanban_Helper!$B176),Calc!$Y$8:$Y$500,0))))),"")</f>
        <v/>
      </c>
      <c r="H183" s="170" t="str">
        <f t="array" ref="H183">IFERROR(IF(LEN(H$11)=0,"",IF($C$7&lt;&gt;"All",IF(INDEX(Calc!$V$8:$V$500,MATCH(INDEX(Calc!$D$8:$D$500,MATCH(SMALL(IF((Calc!$C$8:$C$500=Kanban!$C$7)*(Calc!$K$8:$K$500=Kanban!H$11)*(Calc!$Y$8:$Y$500&gt;0),Calc!$Y$8:$Y$500,99999),Kanban_Helper!$B176),Calc!$Y$8:$Y$500,0)),Calc!$D$8:$D$500,0))="Yes",CONCATENATE(INDEX(Calc!$D$8:$D$500,MATCH(SMALL(IF((Calc!$C$8:$C$500=Kanban!$C$7)*(Calc!$K$8:$K$500=Kanban!H$11)*(Calc!$Y$8:$Y$500&gt;0),Calc!$Y$8:$Y$500,99999),Kanban_Helper!$B176),Calc!$Y$8:$Y$500,0))," ",Calc!$V$7," ","!"),INDEX(Calc!$D$8:$D$500,MATCH(SMALL(IF((Calc!$C$8:$C$500=Kanban!$C$7)*(Calc!$K$8:$K$500=Kanban!H$11)*(Calc!$Y$8:$Y$500&gt;0),Calc!$Y$8:$Y$500,99999),Kanban_Helper!$B176),Calc!$Y$8:$Y$500,0))),IF(INDEX(Calc!$V$8:$V$500,MATCH(INDEX(Calc!$D$8:$D$500,MATCH(SMALL(IF((Calc!$K$8:$K$500=Kanban!H$11)*(Calc!$Y$8:$Y$500&gt;0),Calc!$Y$8:$Y$500,99999),Kanban_Helper!$B176),Calc!$Y$8:$Y$500,0)),Calc!$D$8:$D$500,0))="Yes",CONCATENATE(INDEX(Calc!$D$8:$D$500,MATCH(SMALL(IF((Calc!$K$8:$K$500=Kanban!H$11)*(Calc!$Y$8:$Y$500&gt;0),Calc!$Y$8:$Y$500,99999),Kanban_Helper!$B176),Calc!$Y$8:$Y$500,0))," ",Calc!$V$7," ","!"),INDEX(Calc!$D$8:$D$500,MATCH(SMALL(IF((Calc!$K$8:$K$500=Kanban!H$11)*(Calc!$Y$8:$Y$500&gt;0),Calc!$Y$8:$Y$500,99999),Kanban_Helper!$B176),Calc!$Y$8:$Y$500,0))))),"")</f>
        <v/>
      </c>
      <c r="I183" s="39"/>
    </row>
    <row r="184" spans="2:9" x14ac:dyDescent="0.35">
      <c r="B184" s="81"/>
      <c r="C184" s="171" t="str">
        <f t="array" ref="C184">IFERROR(IF(LEN(C$11)=0,"",IF($C$7&lt;&gt;"All",INDEX(Calc!$E$8:$E$500,MATCH(SMALL(IF((Calc!$C$8:$C$500=Kanban!$C$7)*(Calc!$K$8:$K$500=Kanban!C$11)*(Calc!$Y$8:$Y$500&gt;0),Calc!$Y$8:$Y$500,99999),Kanban_Helper!$B177),Calc!$Y$8:$Y$500,0)),INDEX(Calc!$E$8:$E$500,MATCH(SMALL(IF((Calc!$K$8:$K$500=Kanban!C$11)*(Calc!$Y$8:$Y$500&gt;0),Calc!$Y$8:$Y$500,99999),Kanban_Helper!$B177),Calc!$Y$8:$Y$500,0)))),"")</f>
        <v/>
      </c>
      <c r="D184" s="171" t="str">
        <f t="array" ref="D184">IFERROR(IF(LEN(D$11)=0,"",IF($C$7&lt;&gt;"All",INDEX(Calc!$E$8:$E$500,MATCH(SMALL(IF((Calc!$C$8:$C$500=Kanban!$C$7)*(Calc!$K$8:$K$500=Kanban!D$11)*(Calc!$Y$8:$Y$500&gt;0),Calc!$Y$8:$Y$500,99999),Kanban_Helper!$B177),Calc!$Y$8:$Y$500,0)),INDEX(Calc!$E$8:$E$500,MATCH(SMALL(IF((Calc!$K$8:$K$500=Kanban!D$11)*(Calc!$Y$8:$Y$500&gt;0),Calc!$Y$8:$Y$500,99999),Kanban_Helper!$B177),Calc!$Y$8:$Y$500,0)))),"")</f>
        <v/>
      </c>
      <c r="E184" s="171" t="str">
        <f t="array" ref="E184">IFERROR(IF(LEN(E$11)=0,"",IF($C$7&lt;&gt;"All",INDEX(Calc!$E$8:$E$500,MATCH(SMALL(IF((Calc!$C$8:$C$500=Kanban!$C$7)*(Calc!$K$8:$K$500=Kanban!E$11)*(Calc!$Y$8:$Y$500&gt;0),Calc!$Y$8:$Y$500,99999),Kanban_Helper!$B177),Calc!$Y$8:$Y$500,0)),INDEX(Calc!$E$8:$E$500,MATCH(SMALL(IF((Calc!$K$8:$K$500=Kanban!E$11)*(Calc!$Y$8:$Y$500&gt;0),Calc!$Y$8:$Y$500,99999),Kanban_Helper!$B177),Calc!$Y$8:$Y$500,0)))),"")</f>
        <v/>
      </c>
      <c r="F184" s="171" t="str">
        <f t="array" ref="F184">IFERROR(IF(LEN(F$11)=0,"",IF($C$7&lt;&gt;"All",INDEX(Calc!$E$8:$E$500,MATCH(SMALL(IF((Calc!$C$8:$C$500=Kanban!$C$7)*(Calc!$K$8:$K$500=Kanban!F$11)*(Calc!$Y$8:$Y$500&gt;0),Calc!$Y$8:$Y$500,99999),Kanban_Helper!$B177),Calc!$Y$8:$Y$500,0)),INDEX(Calc!$E$8:$E$500,MATCH(SMALL(IF((Calc!$K$8:$K$500=Kanban!F$11)*(Calc!$Y$8:$Y$500&gt;0),Calc!$Y$8:$Y$500,99999),Kanban_Helper!$B177),Calc!$Y$8:$Y$500,0)))),"")</f>
        <v/>
      </c>
      <c r="G184" s="171" t="str">
        <f t="array" ref="G184">IFERROR(IF(LEN(G$11)=0,"",IF($C$7&lt;&gt;"All",INDEX(Calc!$E$8:$E$500,MATCH(SMALL(IF((Calc!$C$8:$C$500=Kanban!$C$7)*(Calc!$K$8:$K$500=Kanban!G$11)*(Calc!$Y$8:$Y$500&gt;0),Calc!$Y$8:$Y$500,99999),Kanban_Helper!$B177),Calc!$Y$8:$Y$500,0)),INDEX(Calc!$E$8:$E$500,MATCH(SMALL(IF((Calc!$K$8:$K$500=Kanban!G$11)*(Calc!$Y$8:$Y$500&gt;0),Calc!$Y$8:$Y$500,99999),Kanban_Helper!$B177),Calc!$Y$8:$Y$500,0)))),"")</f>
        <v/>
      </c>
      <c r="H184" s="171" t="str">
        <f t="array" ref="H184">IFERROR(IF(LEN(H$11)=0,"",IF($C$7&lt;&gt;"All",INDEX(Calc!$E$8:$E$500,MATCH(SMALL(IF((Calc!$C$8:$C$500=Kanban!$C$7)*(Calc!$K$8:$K$500=Kanban!H$11)*(Calc!$Y$8:$Y$500&gt;0),Calc!$Y$8:$Y$500,99999),Kanban_Helper!$B177),Calc!$Y$8:$Y$500,0)),INDEX(Calc!$E$8:$E$500,MATCH(SMALL(IF((Calc!$K$8:$K$500=Kanban!H$11)*(Calc!$Y$8:$Y$500&gt;0),Calc!$Y$8:$Y$500,99999),Kanban_Helper!$B177),Calc!$Y$8:$Y$500,0)))),"")</f>
        <v/>
      </c>
      <c r="I184" s="39"/>
    </row>
    <row r="185" spans="2:9" ht="15" thickBot="1" x14ac:dyDescent="0.4">
      <c r="B185" s="81"/>
      <c r="C185" s="172" t="str">
        <f t="array" ref="C185">IFERROR(IF(LEN(C$11)=0,"",IF($C$7&lt;&gt;"All",IF(LEN(INDEX(Calc!$J$8:$J$500,MATCH(SMALL(IF((Calc!$C$8:$C$500=Kanban!$C$7)*(Calc!$K$8:$K$500=Kanban!C$11)*(Calc!$Y$8:$Y$500&gt;0),Calc!$Y$8:$Y$500,99999),Kanban_Helper!$B178),Calc!$Y$8:$Y$500,0)))=0,"",CONCATENATE(Calc!$AD$6,INDEX(Calc!$J$8:$J$500,MATCH(SMALL(IF((Calc!$C$8:$C$500=Kanban!$C$7)*(Calc!$K$8:$K$500=Kanban!C$11)*(Calc!$Y$8:$Y$500&gt;0),Calc!$Y$8:$Y$500,99999),Kanban_Helper!$B178),Calc!$Y$8:$Y$500,0)))),IF(LEN(INDEX(Calc!$J$8:$J$500,MATCH(SMALL(IF((Calc!$K$8:$K$500=Kanban!C$11)*(Calc!$Y$8:$Y$500&gt;0),Calc!$Y$8:$Y$500,99999),Kanban_Helper!$B178),Calc!$Y$8:$Y$500,0)))=0,"",CONCATENATE(Calc!$AD$6,INDEX(Calc!$J$8:$J$500,MATCH(SMALL(IF((Calc!$K$8:$K$500=Kanban!C$11)*(Calc!$Y$8:$Y$500&gt;0),Calc!$Y$8:$Y$500,99999),Kanban_Helper!$B178),Calc!$Y$8:$Y$500,0)))))),"")</f>
        <v/>
      </c>
      <c r="D185" s="172" t="str">
        <f t="array" ref="D185">IFERROR(IF(LEN(D$11)=0,"",IF($C$7&lt;&gt;"All",IF(LEN(INDEX(Calc!$J$8:$J$500,MATCH(SMALL(IF((Calc!$C$8:$C$500=Kanban!$C$7)*(Calc!$K$8:$K$500=Kanban!D$11)*(Calc!$Y$8:$Y$500&gt;0),Calc!$Y$8:$Y$500,99999),Kanban_Helper!$B178),Calc!$Y$8:$Y$500,0)))=0,"",CONCATENATE(Calc!$AD$6,INDEX(Calc!$J$8:$J$500,MATCH(SMALL(IF((Calc!$C$8:$C$500=Kanban!$C$7)*(Calc!$K$8:$K$500=Kanban!D$11)*(Calc!$Y$8:$Y$500&gt;0),Calc!$Y$8:$Y$500,99999),Kanban_Helper!$B178),Calc!$Y$8:$Y$500,0)))),IF(LEN(INDEX(Calc!$J$8:$J$500,MATCH(SMALL(IF((Calc!$K$8:$K$500=Kanban!D$11)*(Calc!$Y$8:$Y$500&gt;0),Calc!$Y$8:$Y$500,99999),Kanban_Helper!$B178),Calc!$Y$8:$Y$500,0)))=0,"",CONCATENATE(Calc!$AD$6,INDEX(Calc!$J$8:$J$500,MATCH(SMALL(IF((Calc!$K$8:$K$500=Kanban!D$11)*(Calc!$Y$8:$Y$500&gt;0),Calc!$Y$8:$Y$500,99999),Kanban_Helper!$B178),Calc!$Y$8:$Y$500,0)))))),"")</f>
        <v/>
      </c>
      <c r="E185" s="172" t="str">
        <f t="array" ref="E185">IFERROR(IF(LEN(E$11)=0,"",IF($C$7&lt;&gt;"All",IF(LEN(INDEX(Calc!$J$8:$J$500,MATCH(SMALL(IF((Calc!$C$8:$C$500=Kanban!$C$7)*(Calc!$K$8:$K$500=Kanban!E$11)*(Calc!$Y$8:$Y$500&gt;0),Calc!$Y$8:$Y$500,99999),Kanban_Helper!$B178),Calc!$Y$8:$Y$500,0)))=0,"",CONCATENATE(Calc!$AD$6,INDEX(Calc!$J$8:$J$500,MATCH(SMALL(IF((Calc!$C$8:$C$500=Kanban!$C$7)*(Calc!$K$8:$K$500=Kanban!E$11)*(Calc!$Y$8:$Y$500&gt;0),Calc!$Y$8:$Y$500,99999),Kanban_Helper!$B178),Calc!$Y$8:$Y$500,0)))),IF(LEN(INDEX(Calc!$J$8:$J$500,MATCH(SMALL(IF((Calc!$K$8:$K$500=Kanban!E$11)*(Calc!$Y$8:$Y$500&gt;0),Calc!$Y$8:$Y$500,99999),Kanban_Helper!$B178),Calc!$Y$8:$Y$500,0)))=0,"",CONCATENATE(Calc!$AD$6,INDEX(Calc!$J$8:$J$500,MATCH(SMALL(IF((Calc!$K$8:$K$500=Kanban!E$11)*(Calc!$Y$8:$Y$500&gt;0),Calc!$Y$8:$Y$500,99999),Kanban_Helper!$B178),Calc!$Y$8:$Y$500,0)))))),"")</f>
        <v/>
      </c>
      <c r="F185" s="172" t="str">
        <f t="array" ref="F185">IFERROR(IF(LEN(F$11)=0,"",IF($C$7&lt;&gt;"All",IF(LEN(INDEX(Calc!$J$8:$J$500,MATCH(SMALL(IF((Calc!$C$8:$C$500=Kanban!$C$7)*(Calc!$K$8:$K$500=Kanban!F$11)*(Calc!$Y$8:$Y$500&gt;0),Calc!$Y$8:$Y$500,99999),Kanban_Helper!$B178),Calc!$Y$8:$Y$500,0)))=0,"",CONCATENATE(Calc!$AD$6,INDEX(Calc!$J$8:$J$500,MATCH(SMALL(IF((Calc!$C$8:$C$500=Kanban!$C$7)*(Calc!$K$8:$K$500=Kanban!F$11)*(Calc!$Y$8:$Y$500&gt;0),Calc!$Y$8:$Y$500,99999),Kanban_Helper!$B178),Calc!$Y$8:$Y$500,0)))),IF(LEN(INDEX(Calc!$J$8:$J$500,MATCH(SMALL(IF((Calc!$K$8:$K$500=Kanban!F$11)*(Calc!$Y$8:$Y$500&gt;0),Calc!$Y$8:$Y$500,99999),Kanban_Helper!$B178),Calc!$Y$8:$Y$500,0)))=0,"",CONCATENATE(Calc!$AD$6,INDEX(Calc!$J$8:$J$500,MATCH(SMALL(IF((Calc!$K$8:$K$500=Kanban!F$11)*(Calc!$Y$8:$Y$500&gt;0),Calc!$Y$8:$Y$500,99999),Kanban_Helper!$B178),Calc!$Y$8:$Y$500,0)))))),"")</f>
        <v/>
      </c>
      <c r="G185" s="172" t="str">
        <f t="array" ref="G185">IFERROR(IF(LEN(G$11)=0,"",IF($C$7&lt;&gt;"All",IF(LEN(INDEX(Calc!$J$8:$J$500,MATCH(SMALL(IF((Calc!$C$8:$C$500=Kanban!$C$7)*(Calc!$K$8:$K$500=Kanban!G$11)*(Calc!$Y$8:$Y$500&gt;0),Calc!$Y$8:$Y$500,99999),Kanban_Helper!$B178),Calc!$Y$8:$Y$500,0)))=0,"",CONCATENATE(Calc!$AD$6,INDEX(Calc!$J$8:$J$500,MATCH(SMALL(IF((Calc!$C$8:$C$500=Kanban!$C$7)*(Calc!$K$8:$K$500=Kanban!G$11)*(Calc!$Y$8:$Y$500&gt;0),Calc!$Y$8:$Y$500,99999),Kanban_Helper!$B178),Calc!$Y$8:$Y$500,0)))),IF(LEN(INDEX(Calc!$J$8:$J$500,MATCH(SMALL(IF((Calc!$K$8:$K$500=Kanban!G$11)*(Calc!$Y$8:$Y$500&gt;0),Calc!$Y$8:$Y$500,99999),Kanban_Helper!$B178),Calc!$Y$8:$Y$500,0)))=0,"",CONCATENATE(Calc!$AD$6,INDEX(Calc!$J$8:$J$500,MATCH(SMALL(IF((Calc!$K$8:$K$500=Kanban!G$11)*(Calc!$Y$8:$Y$500&gt;0),Calc!$Y$8:$Y$500,99999),Kanban_Helper!$B178),Calc!$Y$8:$Y$500,0)))))),"")</f>
        <v/>
      </c>
      <c r="H185" s="172" t="str">
        <f t="array" ref="H185">IFERROR(IF(LEN(H$11)=0,"",IF($C$7&lt;&gt;"All",IF(LEN(INDEX(Calc!$J$8:$J$500,MATCH(SMALL(IF((Calc!$C$8:$C$500=Kanban!$C$7)*(Calc!$K$8:$K$500=Kanban!H$11)*(Calc!$Y$8:$Y$500&gt;0),Calc!$Y$8:$Y$500,99999),Kanban_Helper!$B178),Calc!$Y$8:$Y$500,0)))=0,"",CONCATENATE(Calc!$AD$6,INDEX(Calc!$J$8:$J$500,MATCH(SMALL(IF((Calc!$C$8:$C$500=Kanban!$C$7)*(Calc!$K$8:$K$500=Kanban!H$11)*(Calc!$Y$8:$Y$500&gt;0),Calc!$Y$8:$Y$500,99999),Kanban_Helper!$B178),Calc!$Y$8:$Y$500,0)))),IF(LEN(INDEX(Calc!$J$8:$J$500,MATCH(SMALL(IF((Calc!$K$8:$K$500=Kanban!H$11)*(Calc!$Y$8:$Y$500&gt;0),Calc!$Y$8:$Y$500,99999),Kanban_Helper!$B178),Calc!$Y$8:$Y$500,0)))=0,"",CONCATENATE(Calc!$AD$6,INDEX(Calc!$J$8:$J$500,MATCH(SMALL(IF((Calc!$K$8:$K$500=Kanban!H$11)*(Calc!$Y$8:$Y$500&gt;0),Calc!$Y$8:$Y$500,99999),Kanban_Helper!$B178),Calc!$Y$8:$Y$500,0)))))),"")</f>
        <v/>
      </c>
      <c r="I185" s="39"/>
    </row>
    <row r="186" spans="2:9" ht="15" thickTop="1" x14ac:dyDescent="0.35">
      <c r="B186" s="81"/>
      <c r="C186" s="170" t="str">
        <f t="array" ref="C186">IFERROR(IF(LEN(C$11)=0,"",IF($C$7&lt;&gt;"All",IF(INDEX(Calc!$V$8:$V$500,MATCH(INDEX(Calc!$D$8:$D$500,MATCH(SMALL(IF((Calc!$C$8:$C$500=Kanban!$C$7)*(Calc!$K$8:$K$500=Kanban!C$11)*(Calc!$Y$8:$Y$500&gt;0),Calc!$Y$8:$Y$500,99999),Kanban_Helper!$B179),Calc!$Y$8:$Y$500,0)),Calc!$D$8:$D$500,0))="Yes",CONCATENATE(INDEX(Calc!$D$8:$D$500,MATCH(SMALL(IF((Calc!$C$8:$C$500=Kanban!$C$7)*(Calc!$K$8:$K$500=Kanban!C$11)*(Calc!$Y$8:$Y$500&gt;0),Calc!$Y$8:$Y$500,99999),Kanban_Helper!$B179),Calc!$Y$8:$Y$500,0))," ",Calc!$V$7," ","!"),INDEX(Calc!$D$8:$D$500,MATCH(SMALL(IF((Calc!$C$8:$C$500=Kanban!$C$7)*(Calc!$K$8:$K$500=Kanban!C$11)*(Calc!$Y$8:$Y$500&gt;0),Calc!$Y$8:$Y$500,99999),Kanban_Helper!$B179),Calc!$Y$8:$Y$500,0))),IF(INDEX(Calc!$V$8:$V$500,MATCH(INDEX(Calc!$D$8:$D$500,MATCH(SMALL(IF((Calc!$K$8:$K$500=Kanban!C$11)*(Calc!$Y$8:$Y$500&gt;0),Calc!$Y$8:$Y$500,99999),Kanban_Helper!$B179),Calc!$Y$8:$Y$500,0)),Calc!$D$8:$D$500,0))="Yes",CONCATENATE(INDEX(Calc!$D$8:$D$500,MATCH(SMALL(IF((Calc!$K$8:$K$500=Kanban!C$11)*(Calc!$Y$8:$Y$500&gt;0),Calc!$Y$8:$Y$500,99999),Kanban_Helper!$B179),Calc!$Y$8:$Y$500,0))," ",Calc!$V$7," ","!"),INDEX(Calc!$D$8:$D$500,MATCH(SMALL(IF((Calc!$K$8:$K$500=Kanban!C$11)*(Calc!$Y$8:$Y$500&gt;0),Calc!$Y$8:$Y$500,99999),Kanban_Helper!$B179),Calc!$Y$8:$Y$500,0))))),"")</f>
        <v/>
      </c>
      <c r="D186" s="170" t="str">
        <f t="array" ref="D186">IFERROR(IF(LEN(D$11)=0,"",IF($C$7&lt;&gt;"All",IF(INDEX(Calc!$V$8:$V$500,MATCH(INDEX(Calc!$D$8:$D$500,MATCH(SMALL(IF((Calc!$C$8:$C$500=Kanban!$C$7)*(Calc!$K$8:$K$500=Kanban!D$11)*(Calc!$Y$8:$Y$500&gt;0),Calc!$Y$8:$Y$500,99999),Kanban_Helper!$B179),Calc!$Y$8:$Y$500,0)),Calc!$D$8:$D$500,0))="Yes",CONCATENATE(INDEX(Calc!$D$8:$D$500,MATCH(SMALL(IF((Calc!$C$8:$C$500=Kanban!$C$7)*(Calc!$K$8:$K$500=Kanban!D$11)*(Calc!$Y$8:$Y$500&gt;0),Calc!$Y$8:$Y$500,99999),Kanban_Helper!$B179),Calc!$Y$8:$Y$500,0))," ",Calc!$V$7," ","!"),INDEX(Calc!$D$8:$D$500,MATCH(SMALL(IF((Calc!$C$8:$C$500=Kanban!$C$7)*(Calc!$K$8:$K$500=Kanban!D$11)*(Calc!$Y$8:$Y$500&gt;0),Calc!$Y$8:$Y$500,99999),Kanban_Helper!$B179),Calc!$Y$8:$Y$500,0))),IF(INDEX(Calc!$V$8:$V$500,MATCH(INDEX(Calc!$D$8:$D$500,MATCH(SMALL(IF((Calc!$K$8:$K$500=Kanban!D$11)*(Calc!$Y$8:$Y$500&gt;0),Calc!$Y$8:$Y$500,99999),Kanban_Helper!$B179),Calc!$Y$8:$Y$500,0)),Calc!$D$8:$D$500,0))="Yes",CONCATENATE(INDEX(Calc!$D$8:$D$500,MATCH(SMALL(IF((Calc!$K$8:$K$500=Kanban!D$11)*(Calc!$Y$8:$Y$500&gt;0),Calc!$Y$8:$Y$500,99999),Kanban_Helper!$B179),Calc!$Y$8:$Y$500,0))," ",Calc!$V$7," ","!"),INDEX(Calc!$D$8:$D$500,MATCH(SMALL(IF((Calc!$K$8:$K$500=Kanban!D$11)*(Calc!$Y$8:$Y$500&gt;0),Calc!$Y$8:$Y$500,99999),Kanban_Helper!$B179),Calc!$Y$8:$Y$500,0))))),"")</f>
        <v/>
      </c>
      <c r="E186" s="170" t="str">
        <f t="array" ref="E186">IFERROR(IF(LEN(E$11)=0,"",IF($C$7&lt;&gt;"All",IF(INDEX(Calc!$V$8:$V$500,MATCH(INDEX(Calc!$D$8:$D$500,MATCH(SMALL(IF((Calc!$C$8:$C$500=Kanban!$C$7)*(Calc!$K$8:$K$500=Kanban!E$11)*(Calc!$Y$8:$Y$500&gt;0),Calc!$Y$8:$Y$500,99999),Kanban_Helper!$B179),Calc!$Y$8:$Y$500,0)),Calc!$D$8:$D$500,0))="Yes",CONCATENATE(INDEX(Calc!$D$8:$D$500,MATCH(SMALL(IF((Calc!$C$8:$C$500=Kanban!$C$7)*(Calc!$K$8:$K$500=Kanban!E$11)*(Calc!$Y$8:$Y$500&gt;0),Calc!$Y$8:$Y$500,99999),Kanban_Helper!$B179),Calc!$Y$8:$Y$500,0))," ",Calc!$V$7," ","!"),INDEX(Calc!$D$8:$D$500,MATCH(SMALL(IF((Calc!$C$8:$C$500=Kanban!$C$7)*(Calc!$K$8:$K$500=Kanban!E$11)*(Calc!$Y$8:$Y$500&gt;0),Calc!$Y$8:$Y$500,99999),Kanban_Helper!$B179),Calc!$Y$8:$Y$500,0))),IF(INDEX(Calc!$V$8:$V$500,MATCH(INDEX(Calc!$D$8:$D$500,MATCH(SMALL(IF((Calc!$K$8:$K$500=Kanban!E$11)*(Calc!$Y$8:$Y$500&gt;0),Calc!$Y$8:$Y$500,99999),Kanban_Helper!$B179),Calc!$Y$8:$Y$500,0)),Calc!$D$8:$D$500,0))="Yes",CONCATENATE(INDEX(Calc!$D$8:$D$500,MATCH(SMALL(IF((Calc!$K$8:$K$500=Kanban!E$11)*(Calc!$Y$8:$Y$500&gt;0),Calc!$Y$8:$Y$500,99999),Kanban_Helper!$B179),Calc!$Y$8:$Y$500,0))," ",Calc!$V$7," ","!"),INDEX(Calc!$D$8:$D$500,MATCH(SMALL(IF((Calc!$K$8:$K$500=Kanban!E$11)*(Calc!$Y$8:$Y$500&gt;0),Calc!$Y$8:$Y$500,99999),Kanban_Helper!$B179),Calc!$Y$8:$Y$500,0))))),"")</f>
        <v/>
      </c>
      <c r="F186" s="170" t="str">
        <f t="array" ref="F186">IFERROR(IF(LEN(F$11)=0,"",IF($C$7&lt;&gt;"All",IF(INDEX(Calc!$V$8:$V$500,MATCH(INDEX(Calc!$D$8:$D$500,MATCH(SMALL(IF((Calc!$C$8:$C$500=Kanban!$C$7)*(Calc!$K$8:$K$500=Kanban!F$11)*(Calc!$Y$8:$Y$500&gt;0),Calc!$Y$8:$Y$500,99999),Kanban_Helper!$B179),Calc!$Y$8:$Y$500,0)),Calc!$D$8:$D$500,0))="Yes",CONCATENATE(INDEX(Calc!$D$8:$D$500,MATCH(SMALL(IF((Calc!$C$8:$C$500=Kanban!$C$7)*(Calc!$K$8:$K$500=Kanban!F$11)*(Calc!$Y$8:$Y$500&gt;0),Calc!$Y$8:$Y$500,99999),Kanban_Helper!$B179),Calc!$Y$8:$Y$500,0))," ",Calc!$V$7," ","!"),INDEX(Calc!$D$8:$D$500,MATCH(SMALL(IF((Calc!$C$8:$C$500=Kanban!$C$7)*(Calc!$K$8:$K$500=Kanban!F$11)*(Calc!$Y$8:$Y$500&gt;0),Calc!$Y$8:$Y$500,99999),Kanban_Helper!$B179),Calc!$Y$8:$Y$500,0))),IF(INDEX(Calc!$V$8:$V$500,MATCH(INDEX(Calc!$D$8:$D$500,MATCH(SMALL(IF((Calc!$K$8:$K$500=Kanban!F$11)*(Calc!$Y$8:$Y$500&gt;0),Calc!$Y$8:$Y$500,99999),Kanban_Helper!$B179),Calc!$Y$8:$Y$500,0)),Calc!$D$8:$D$500,0))="Yes",CONCATENATE(INDEX(Calc!$D$8:$D$500,MATCH(SMALL(IF((Calc!$K$8:$K$500=Kanban!F$11)*(Calc!$Y$8:$Y$500&gt;0),Calc!$Y$8:$Y$500,99999),Kanban_Helper!$B179),Calc!$Y$8:$Y$500,0))," ",Calc!$V$7," ","!"),INDEX(Calc!$D$8:$D$500,MATCH(SMALL(IF((Calc!$K$8:$K$500=Kanban!F$11)*(Calc!$Y$8:$Y$500&gt;0),Calc!$Y$8:$Y$500,99999),Kanban_Helper!$B179),Calc!$Y$8:$Y$500,0))))),"")</f>
        <v/>
      </c>
      <c r="G186" s="170" t="str">
        <f t="array" ref="G186">IFERROR(IF(LEN(G$11)=0,"",IF($C$7&lt;&gt;"All",IF(INDEX(Calc!$V$8:$V$500,MATCH(INDEX(Calc!$D$8:$D$500,MATCH(SMALL(IF((Calc!$C$8:$C$500=Kanban!$C$7)*(Calc!$K$8:$K$500=Kanban!G$11)*(Calc!$Y$8:$Y$500&gt;0),Calc!$Y$8:$Y$500,99999),Kanban_Helper!$B179),Calc!$Y$8:$Y$500,0)),Calc!$D$8:$D$500,0))="Yes",CONCATENATE(INDEX(Calc!$D$8:$D$500,MATCH(SMALL(IF((Calc!$C$8:$C$500=Kanban!$C$7)*(Calc!$K$8:$K$500=Kanban!G$11)*(Calc!$Y$8:$Y$500&gt;0),Calc!$Y$8:$Y$500,99999),Kanban_Helper!$B179),Calc!$Y$8:$Y$500,0))," ",Calc!$V$7," ","!"),INDEX(Calc!$D$8:$D$500,MATCH(SMALL(IF((Calc!$C$8:$C$500=Kanban!$C$7)*(Calc!$K$8:$K$500=Kanban!G$11)*(Calc!$Y$8:$Y$500&gt;0),Calc!$Y$8:$Y$500,99999),Kanban_Helper!$B179),Calc!$Y$8:$Y$500,0))),IF(INDEX(Calc!$V$8:$V$500,MATCH(INDEX(Calc!$D$8:$D$500,MATCH(SMALL(IF((Calc!$K$8:$K$500=Kanban!G$11)*(Calc!$Y$8:$Y$500&gt;0),Calc!$Y$8:$Y$500,99999),Kanban_Helper!$B179),Calc!$Y$8:$Y$500,0)),Calc!$D$8:$D$500,0))="Yes",CONCATENATE(INDEX(Calc!$D$8:$D$500,MATCH(SMALL(IF((Calc!$K$8:$K$500=Kanban!G$11)*(Calc!$Y$8:$Y$500&gt;0),Calc!$Y$8:$Y$500,99999),Kanban_Helper!$B179),Calc!$Y$8:$Y$500,0))," ",Calc!$V$7," ","!"),INDEX(Calc!$D$8:$D$500,MATCH(SMALL(IF((Calc!$K$8:$K$500=Kanban!G$11)*(Calc!$Y$8:$Y$500&gt;0),Calc!$Y$8:$Y$500,99999),Kanban_Helper!$B179),Calc!$Y$8:$Y$500,0))))),"")</f>
        <v/>
      </c>
      <c r="H186" s="170" t="str">
        <f t="array" ref="H186">IFERROR(IF(LEN(H$11)=0,"",IF($C$7&lt;&gt;"All",IF(INDEX(Calc!$V$8:$V$500,MATCH(INDEX(Calc!$D$8:$D$500,MATCH(SMALL(IF((Calc!$C$8:$C$500=Kanban!$C$7)*(Calc!$K$8:$K$500=Kanban!H$11)*(Calc!$Y$8:$Y$500&gt;0),Calc!$Y$8:$Y$500,99999),Kanban_Helper!$B179),Calc!$Y$8:$Y$500,0)),Calc!$D$8:$D$500,0))="Yes",CONCATENATE(INDEX(Calc!$D$8:$D$500,MATCH(SMALL(IF((Calc!$C$8:$C$500=Kanban!$C$7)*(Calc!$K$8:$K$500=Kanban!H$11)*(Calc!$Y$8:$Y$500&gt;0),Calc!$Y$8:$Y$500,99999),Kanban_Helper!$B179),Calc!$Y$8:$Y$500,0))," ",Calc!$V$7," ","!"),INDEX(Calc!$D$8:$D$500,MATCH(SMALL(IF((Calc!$C$8:$C$500=Kanban!$C$7)*(Calc!$K$8:$K$500=Kanban!H$11)*(Calc!$Y$8:$Y$500&gt;0),Calc!$Y$8:$Y$500,99999),Kanban_Helper!$B179),Calc!$Y$8:$Y$500,0))),IF(INDEX(Calc!$V$8:$V$500,MATCH(INDEX(Calc!$D$8:$D$500,MATCH(SMALL(IF((Calc!$K$8:$K$500=Kanban!H$11)*(Calc!$Y$8:$Y$500&gt;0),Calc!$Y$8:$Y$500,99999),Kanban_Helper!$B179),Calc!$Y$8:$Y$500,0)),Calc!$D$8:$D$500,0))="Yes",CONCATENATE(INDEX(Calc!$D$8:$D$500,MATCH(SMALL(IF((Calc!$K$8:$K$500=Kanban!H$11)*(Calc!$Y$8:$Y$500&gt;0),Calc!$Y$8:$Y$500,99999),Kanban_Helper!$B179),Calc!$Y$8:$Y$500,0))," ",Calc!$V$7," ","!"),INDEX(Calc!$D$8:$D$500,MATCH(SMALL(IF((Calc!$K$8:$K$500=Kanban!H$11)*(Calc!$Y$8:$Y$500&gt;0),Calc!$Y$8:$Y$500,99999),Kanban_Helper!$B179),Calc!$Y$8:$Y$500,0))))),"")</f>
        <v/>
      </c>
      <c r="I186" s="39"/>
    </row>
    <row r="187" spans="2:9" x14ac:dyDescent="0.35">
      <c r="B187" s="81"/>
      <c r="C187" s="171" t="str">
        <f t="array" ref="C187">IFERROR(IF(LEN(C$11)=0,"",IF($C$7&lt;&gt;"All",INDEX(Calc!$E$8:$E$500,MATCH(SMALL(IF((Calc!$C$8:$C$500=Kanban!$C$7)*(Calc!$K$8:$K$500=Kanban!C$11)*(Calc!$Y$8:$Y$500&gt;0),Calc!$Y$8:$Y$500,99999),Kanban_Helper!$B180),Calc!$Y$8:$Y$500,0)),INDEX(Calc!$E$8:$E$500,MATCH(SMALL(IF((Calc!$K$8:$K$500=Kanban!C$11)*(Calc!$Y$8:$Y$500&gt;0),Calc!$Y$8:$Y$500,99999),Kanban_Helper!$B180),Calc!$Y$8:$Y$500,0)))),"")</f>
        <v/>
      </c>
      <c r="D187" s="171" t="str">
        <f t="array" ref="D187">IFERROR(IF(LEN(D$11)=0,"",IF($C$7&lt;&gt;"All",INDEX(Calc!$E$8:$E$500,MATCH(SMALL(IF((Calc!$C$8:$C$500=Kanban!$C$7)*(Calc!$K$8:$K$500=Kanban!D$11)*(Calc!$Y$8:$Y$500&gt;0),Calc!$Y$8:$Y$500,99999),Kanban_Helper!$B180),Calc!$Y$8:$Y$500,0)),INDEX(Calc!$E$8:$E$500,MATCH(SMALL(IF((Calc!$K$8:$K$500=Kanban!D$11)*(Calc!$Y$8:$Y$500&gt;0),Calc!$Y$8:$Y$500,99999),Kanban_Helper!$B180),Calc!$Y$8:$Y$500,0)))),"")</f>
        <v/>
      </c>
      <c r="E187" s="171" t="str">
        <f t="array" ref="E187">IFERROR(IF(LEN(E$11)=0,"",IF($C$7&lt;&gt;"All",INDEX(Calc!$E$8:$E$500,MATCH(SMALL(IF((Calc!$C$8:$C$500=Kanban!$C$7)*(Calc!$K$8:$K$500=Kanban!E$11)*(Calc!$Y$8:$Y$500&gt;0),Calc!$Y$8:$Y$500,99999),Kanban_Helper!$B180),Calc!$Y$8:$Y$500,0)),INDEX(Calc!$E$8:$E$500,MATCH(SMALL(IF((Calc!$K$8:$K$500=Kanban!E$11)*(Calc!$Y$8:$Y$500&gt;0),Calc!$Y$8:$Y$500,99999),Kanban_Helper!$B180),Calc!$Y$8:$Y$500,0)))),"")</f>
        <v/>
      </c>
      <c r="F187" s="171" t="str">
        <f t="array" ref="F187">IFERROR(IF(LEN(F$11)=0,"",IF($C$7&lt;&gt;"All",INDEX(Calc!$E$8:$E$500,MATCH(SMALL(IF((Calc!$C$8:$C$500=Kanban!$C$7)*(Calc!$K$8:$K$500=Kanban!F$11)*(Calc!$Y$8:$Y$500&gt;0),Calc!$Y$8:$Y$500,99999),Kanban_Helper!$B180),Calc!$Y$8:$Y$500,0)),INDEX(Calc!$E$8:$E$500,MATCH(SMALL(IF((Calc!$K$8:$K$500=Kanban!F$11)*(Calc!$Y$8:$Y$500&gt;0),Calc!$Y$8:$Y$500,99999),Kanban_Helper!$B180),Calc!$Y$8:$Y$500,0)))),"")</f>
        <v/>
      </c>
      <c r="G187" s="171" t="str">
        <f t="array" ref="G187">IFERROR(IF(LEN(G$11)=0,"",IF($C$7&lt;&gt;"All",INDEX(Calc!$E$8:$E$500,MATCH(SMALL(IF((Calc!$C$8:$C$500=Kanban!$C$7)*(Calc!$K$8:$K$500=Kanban!G$11)*(Calc!$Y$8:$Y$500&gt;0),Calc!$Y$8:$Y$500,99999),Kanban_Helper!$B180),Calc!$Y$8:$Y$500,0)),INDEX(Calc!$E$8:$E$500,MATCH(SMALL(IF((Calc!$K$8:$K$500=Kanban!G$11)*(Calc!$Y$8:$Y$500&gt;0),Calc!$Y$8:$Y$500,99999),Kanban_Helper!$B180),Calc!$Y$8:$Y$500,0)))),"")</f>
        <v/>
      </c>
      <c r="H187" s="171" t="str">
        <f t="array" ref="H187">IFERROR(IF(LEN(H$11)=0,"",IF($C$7&lt;&gt;"All",INDEX(Calc!$E$8:$E$500,MATCH(SMALL(IF((Calc!$C$8:$C$500=Kanban!$C$7)*(Calc!$K$8:$K$500=Kanban!H$11)*(Calc!$Y$8:$Y$500&gt;0),Calc!$Y$8:$Y$500,99999),Kanban_Helper!$B180),Calc!$Y$8:$Y$500,0)),INDEX(Calc!$E$8:$E$500,MATCH(SMALL(IF((Calc!$K$8:$K$500=Kanban!H$11)*(Calc!$Y$8:$Y$500&gt;0),Calc!$Y$8:$Y$500,99999),Kanban_Helper!$B180),Calc!$Y$8:$Y$500,0)))),"")</f>
        <v/>
      </c>
      <c r="I187" s="39"/>
    </row>
    <row r="188" spans="2:9" ht="15" thickBot="1" x14ac:dyDescent="0.4">
      <c r="B188" s="81"/>
      <c r="C188" s="172" t="str">
        <f t="array" ref="C188">IFERROR(IF(LEN(C$11)=0,"",IF($C$7&lt;&gt;"All",IF(LEN(INDEX(Calc!$J$8:$J$500,MATCH(SMALL(IF((Calc!$C$8:$C$500=Kanban!$C$7)*(Calc!$K$8:$K$500=Kanban!C$11)*(Calc!$Y$8:$Y$500&gt;0),Calc!$Y$8:$Y$500,99999),Kanban_Helper!$B181),Calc!$Y$8:$Y$500,0)))=0,"",CONCATENATE(Calc!$AD$6,INDEX(Calc!$J$8:$J$500,MATCH(SMALL(IF((Calc!$C$8:$C$500=Kanban!$C$7)*(Calc!$K$8:$K$500=Kanban!C$11)*(Calc!$Y$8:$Y$500&gt;0),Calc!$Y$8:$Y$500,99999),Kanban_Helper!$B181),Calc!$Y$8:$Y$500,0)))),IF(LEN(INDEX(Calc!$J$8:$J$500,MATCH(SMALL(IF((Calc!$K$8:$K$500=Kanban!C$11)*(Calc!$Y$8:$Y$500&gt;0),Calc!$Y$8:$Y$500,99999),Kanban_Helper!$B181),Calc!$Y$8:$Y$500,0)))=0,"",CONCATENATE(Calc!$AD$6,INDEX(Calc!$J$8:$J$500,MATCH(SMALL(IF((Calc!$K$8:$K$500=Kanban!C$11)*(Calc!$Y$8:$Y$500&gt;0),Calc!$Y$8:$Y$500,99999),Kanban_Helper!$B181),Calc!$Y$8:$Y$500,0)))))),"")</f>
        <v/>
      </c>
      <c r="D188" s="172" t="str">
        <f t="array" ref="D188">IFERROR(IF(LEN(D$11)=0,"",IF($C$7&lt;&gt;"All",IF(LEN(INDEX(Calc!$J$8:$J$500,MATCH(SMALL(IF((Calc!$C$8:$C$500=Kanban!$C$7)*(Calc!$K$8:$K$500=Kanban!D$11)*(Calc!$Y$8:$Y$500&gt;0),Calc!$Y$8:$Y$500,99999),Kanban_Helper!$B181),Calc!$Y$8:$Y$500,0)))=0,"",CONCATENATE(Calc!$AD$6,INDEX(Calc!$J$8:$J$500,MATCH(SMALL(IF((Calc!$C$8:$C$500=Kanban!$C$7)*(Calc!$K$8:$K$500=Kanban!D$11)*(Calc!$Y$8:$Y$500&gt;0),Calc!$Y$8:$Y$500,99999),Kanban_Helper!$B181),Calc!$Y$8:$Y$500,0)))),IF(LEN(INDEX(Calc!$J$8:$J$500,MATCH(SMALL(IF((Calc!$K$8:$K$500=Kanban!D$11)*(Calc!$Y$8:$Y$500&gt;0),Calc!$Y$8:$Y$500,99999),Kanban_Helper!$B181),Calc!$Y$8:$Y$500,0)))=0,"",CONCATENATE(Calc!$AD$6,INDEX(Calc!$J$8:$J$500,MATCH(SMALL(IF((Calc!$K$8:$K$500=Kanban!D$11)*(Calc!$Y$8:$Y$500&gt;0),Calc!$Y$8:$Y$500,99999),Kanban_Helper!$B181),Calc!$Y$8:$Y$500,0)))))),"")</f>
        <v/>
      </c>
      <c r="E188" s="172" t="str">
        <f t="array" ref="E188">IFERROR(IF(LEN(E$11)=0,"",IF($C$7&lt;&gt;"All",IF(LEN(INDEX(Calc!$J$8:$J$500,MATCH(SMALL(IF((Calc!$C$8:$C$500=Kanban!$C$7)*(Calc!$K$8:$K$500=Kanban!E$11)*(Calc!$Y$8:$Y$500&gt;0),Calc!$Y$8:$Y$500,99999),Kanban_Helper!$B181),Calc!$Y$8:$Y$500,0)))=0,"",CONCATENATE(Calc!$AD$6,INDEX(Calc!$J$8:$J$500,MATCH(SMALL(IF((Calc!$C$8:$C$500=Kanban!$C$7)*(Calc!$K$8:$K$500=Kanban!E$11)*(Calc!$Y$8:$Y$500&gt;0),Calc!$Y$8:$Y$500,99999),Kanban_Helper!$B181),Calc!$Y$8:$Y$500,0)))),IF(LEN(INDEX(Calc!$J$8:$J$500,MATCH(SMALL(IF((Calc!$K$8:$K$500=Kanban!E$11)*(Calc!$Y$8:$Y$500&gt;0),Calc!$Y$8:$Y$500,99999),Kanban_Helper!$B181),Calc!$Y$8:$Y$500,0)))=0,"",CONCATENATE(Calc!$AD$6,INDEX(Calc!$J$8:$J$500,MATCH(SMALL(IF((Calc!$K$8:$K$500=Kanban!E$11)*(Calc!$Y$8:$Y$500&gt;0),Calc!$Y$8:$Y$500,99999),Kanban_Helper!$B181),Calc!$Y$8:$Y$500,0)))))),"")</f>
        <v/>
      </c>
      <c r="F188" s="172" t="str">
        <f t="array" ref="F188">IFERROR(IF(LEN(F$11)=0,"",IF($C$7&lt;&gt;"All",IF(LEN(INDEX(Calc!$J$8:$J$500,MATCH(SMALL(IF((Calc!$C$8:$C$500=Kanban!$C$7)*(Calc!$K$8:$K$500=Kanban!F$11)*(Calc!$Y$8:$Y$500&gt;0),Calc!$Y$8:$Y$500,99999),Kanban_Helper!$B181),Calc!$Y$8:$Y$500,0)))=0,"",CONCATENATE(Calc!$AD$6,INDEX(Calc!$J$8:$J$500,MATCH(SMALL(IF((Calc!$C$8:$C$500=Kanban!$C$7)*(Calc!$K$8:$K$500=Kanban!F$11)*(Calc!$Y$8:$Y$500&gt;0),Calc!$Y$8:$Y$500,99999),Kanban_Helper!$B181),Calc!$Y$8:$Y$500,0)))),IF(LEN(INDEX(Calc!$J$8:$J$500,MATCH(SMALL(IF((Calc!$K$8:$K$500=Kanban!F$11)*(Calc!$Y$8:$Y$500&gt;0),Calc!$Y$8:$Y$500,99999),Kanban_Helper!$B181),Calc!$Y$8:$Y$500,0)))=0,"",CONCATENATE(Calc!$AD$6,INDEX(Calc!$J$8:$J$500,MATCH(SMALL(IF((Calc!$K$8:$K$500=Kanban!F$11)*(Calc!$Y$8:$Y$500&gt;0),Calc!$Y$8:$Y$500,99999),Kanban_Helper!$B181),Calc!$Y$8:$Y$500,0)))))),"")</f>
        <v/>
      </c>
      <c r="G188" s="172" t="str">
        <f t="array" ref="G188">IFERROR(IF(LEN(G$11)=0,"",IF($C$7&lt;&gt;"All",IF(LEN(INDEX(Calc!$J$8:$J$500,MATCH(SMALL(IF((Calc!$C$8:$C$500=Kanban!$C$7)*(Calc!$K$8:$K$500=Kanban!G$11)*(Calc!$Y$8:$Y$500&gt;0),Calc!$Y$8:$Y$500,99999),Kanban_Helper!$B181),Calc!$Y$8:$Y$500,0)))=0,"",CONCATENATE(Calc!$AD$6,INDEX(Calc!$J$8:$J$500,MATCH(SMALL(IF((Calc!$C$8:$C$500=Kanban!$C$7)*(Calc!$K$8:$K$500=Kanban!G$11)*(Calc!$Y$8:$Y$500&gt;0),Calc!$Y$8:$Y$500,99999),Kanban_Helper!$B181),Calc!$Y$8:$Y$500,0)))),IF(LEN(INDEX(Calc!$J$8:$J$500,MATCH(SMALL(IF((Calc!$K$8:$K$500=Kanban!G$11)*(Calc!$Y$8:$Y$500&gt;0),Calc!$Y$8:$Y$500,99999),Kanban_Helper!$B181),Calc!$Y$8:$Y$500,0)))=0,"",CONCATENATE(Calc!$AD$6,INDEX(Calc!$J$8:$J$500,MATCH(SMALL(IF((Calc!$K$8:$K$500=Kanban!G$11)*(Calc!$Y$8:$Y$500&gt;0),Calc!$Y$8:$Y$500,99999),Kanban_Helper!$B181),Calc!$Y$8:$Y$500,0)))))),"")</f>
        <v/>
      </c>
      <c r="H188" s="172" t="str">
        <f t="array" ref="H188">IFERROR(IF(LEN(H$11)=0,"",IF($C$7&lt;&gt;"All",IF(LEN(INDEX(Calc!$J$8:$J$500,MATCH(SMALL(IF((Calc!$C$8:$C$500=Kanban!$C$7)*(Calc!$K$8:$K$500=Kanban!H$11)*(Calc!$Y$8:$Y$500&gt;0),Calc!$Y$8:$Y$500,99999),Kanban_Helper!$B181),Calc!$Y$8:$Y$500,0)))=0,"",CONCATENATE(Calc!$AD$6,INDEX(Calc!$J$8:$J$500,MATCH(SMALL(IF((Calc!$C$8:$C$500=Kanban!$C$7)*(Calc!$K$8:$K$500=Kanban!H$11)*(Calc!$Y$8:$Y$500&gt;0),Calc!$Y$8:$Y$500,99999),Kanban_Helper!$B181),Calc!$Y$8:$Y$500,0)))),IF(LEN(INDEX(Calc!$J$8:$J$500,MATCH(SMALL(IF((Calc!$K$8:$K$500=Kanban!H$11)*(Calc!$Y$8:$Y$500&gt;0),Calc!$Y$8:$Y$500,99999),Kanban_Helper!$B181),Calc!$Y$8:$Y$500,0)))=0,"",CONCATENATE(Calc!$AD$6,INDEX(Calc!$J$8:$J$500,MATCH(SMALL(IF((Calc!$K$8:$K$500=Kanban!H$11)*(Calc!$Y$8:$Y$500&gt;0),Calc!$Y$8:$Y$500,99999),Kanban_Helper!$B181),Calc!$Y$8:$Y$500,0)))))),"")</f>
        <v/>
      </c>
      <c r="I188" s="39"/>
    </row>
    <row r="189" spans="2:9" ht="15" thickTop="1" x14ac:dyDescent="0.35">
      <c r="B189" s="81"/>
      <c r="C189" s="170" t="str">
        <f t="array" ref="C189">IFERROR(IF(LEN(C$11)=0,"",IF($C$7&lt;&gt;"All",IF(INDEX(Calc!$V$8:$V$500,MATCH(INDEX(Calc!$D$8:$D$500,MATCH(SMALL(IF((Calc!$C$8:$C$500=Kanban!$C$7)*(Calc!$K$8:$K$500=Kanban!C$11)*(Calc!$Y$8:$Y$500&gt;0),Calc!$Y$8:$Y$500,99999),Kanban_Helper!$B182),Calc!$Y$8:$Y$500,0)),Calc!$D$8:$D$500,0))="Yes",CONCATENATE(INDEX(Calc!$D$8:$D$500,MATCH(SMALL(IF((Calc!$C$8:$C$500=Kanban!$C$7)*(Calc!$K$8:$K$500=Kanban!C$11)*(Calc!$Y$8:$Y$500&gt;0),Calc!$Y$8:$Y$500,99999),Kanban_Helper!$B182),Calc!$Y$8:$Y$500,0))," ",Calc!$V$7," ","!"),INDEX(Calc!$D$8:$D$500,MATCH(SMALL(IF((Calc!$C$8:$C$500=Kanban!$C$7)*(Calc!$K$8:$K$500=Kanban!C$11)*(Calc!$Y$8:$Y$500&gt;0),Calc!$Y$8:$Y$500,99999),Kanban_Helper!$B182),Calc!$Y$8:$Y$500,0))),IF(INDEX(Calc!$V$8:$V$500,MATCH(INDEX(Calc!$D$8:$D$500,MATCH(SMALL(IF((Calc!$K$8:$K$500=Kanban!C$11)*(Calc!$Y$8:$Y$500&gt;0),Calc!$Y$8:$Y$500,99999),Kanban_Helper!$B182),Calc!$Y$8:$Y$500,0)),Calc!$D$8:$D$500,0))="Yes",CONCATENATE(INDEX(Calc!$D$8:$D$500,MATCH(SMALL(IF((Calc!$K$8:$K$500=Kanban!C$11)*(Calc!$Y$8:$Y$500&gt;0),Calc!$Y$8:$Y$500,99999),Kanban_Helper!$B182),Calc!$Y$8:$Y$500,0))," ",Calc!$V$7," ","!"),INDEX(Calc!$D$8:$D$500,MATCH(SMALL(IF((Calc!$K$8:$K$500=Kanban!C$11)*(Calc!$Y$8:$Y$500&gt;0),Calc!$Y$8:$Y$500,99999),Kanban_Helper!$B182),Calc!$Y$8:$Y$500,0))))),"")</f>
        <v/>
      </c>
      <c r="D189" s="170" t="str">
        <f t="array" ref="D189">IFERROR(IF(LEN(D$11)=0,"",IF($C$7&lt;&gt;"All",IF(INDEX(Calc!$V$8:$V$500,MATCH(INDEX(Calc!$D$8:$D$500,MATCH(SMALL(IF((Calc!$C$8:$C$500=Kanban!$C$7)*(Calc!$K$8:$K$500=Kanban!D$11)*(Calc!$Y$8:$Y$500&gt;0),Calc!$Y$8:$Y$500,99999),Kanban_Helper!$B182),Calc!$Y$8:$Y$500,0)),Calc!$D$8:$D$500,0))="Yes",CONCATENATE(INDEX(Calc!$D$8:$D$500,MATCH(SMALL(IF((Calc!$C$8:$C$500=Kanban!$C$7)*(Calc!$K$8:$K$500=Kanban!D$11)*(Calc!$Y$8:$Y$500&gt;0),Calc!$Y$8:$Y$500,99999),Kanban_Helper!$B182),Calc!$Y$8:$Y$500,0))," ",Calc!$V$7," ","!"),INDEX(Calc!$D$8:$D$500,MATCH(SMALL(IF((Calc!$C$8:$C$500=Kanban!$C$7)*(Calc!$K$8:$K$500=Kanban!D$11)*(Calc!$Y$8:$Y$500&gt;0),Calc!$Y$8:$Y$500,99999),Kanban_Helper!$B182),Calc!$Y$8:$Y$500,0))),IF(INDEX(Calc!$V$8:$V$500,MATCH(INDEX(Calc!$D$8:$D$500,MATCH(SMALL(IF((Calc!$K$8:$K$500=Kanban!D$11)*(Calc!$Y$8:$Y$500&gt;0),Calc!$Y$8:$Y$500,99999),Kanban_Helper!$B182),Calc!$Y$8:$Y$500,0)),Calc!$D$8:$D$500,0))="Yes",CONCATENATE(INDEX(Calc!$D$8:$D$500,MATCH(SMALL(IF((Calc!$K$8:$K$500=Kanban!D$11)*(Calc!$Y$8:$Y$500&gt;0),Calc!$Y$8:$Y$500,99999),Kanban_Helper!$B182),Calc!$Y$8:$Y$500,0))," ",Calc!$V$7," ","!"),INDEX(Calc!$D$8:$D$500,MATCH(SMALL(IF((Calc!$K$8:$K$500=Kanban!D$11)*(Calc!$Y$8:$Y$500&gt;0),Calc!$Y$8:$Y$500,99999),Kanban_Helper!$B182),Calc!$Y$8:$Y$500,0))))),"")</f>
        <v/>
      </c>
      <c r="E189" s="170" t="str">
        <f t="array" ref="E189">IFERROR(IF(LEN(E$11)=0,"",IF($C$7&lt;&gt;"All",IF(INDEX(Calc!$V$8:$V$500,MATCH(INDEX(Calc!$D$8:$D$500,MATCH(SMALL(IF((Calc!$C$8:$C$500=Kanban!$C$7)*(Calc!$K$8:$K$500=Kanban!E$11)*(Calc!$Y$8:$Y$500&gt;0),Calc!$Y$8:$Y$500,99999),Kanban_Helper!$B182),Calc!$Y$8:$Y$500,0)),Calc!$D$8:$D$500,0))="Yes",CONCATENATE(INDEX(Calc!$D$8:$D$500,MATCH(SMALL(IF((Calc!$C$8:$C$500=Kanban!$C$7)*(Calc!$K$8:$K$500=Kanban!E$11)*(Calc!$Y$8:$Y$500&gt;0),Calc!$Y$8:$Y$500,99999),Kanban_Helper!$B182),Calc!$Y$8:$Y$500,0))," ",Calc!$V$7," ","!"),INDEX(Calc!$D$8:$D$500,MATCH(SMALL(IF((Calc!$C$8:$C$500=Kanban!$C$7)*(Calc!$K$8:$K$500=Kanban!E$11)*(Calc!$Y$8:$Y$500&gt;0),Calc!$Y$8:$Y$500,99999),Kanban_Helper!$B182),Calc!$Y$8:$Y$500,0))),IF(INDEX(Calc!$V$8:$V$500,MATCH(INDEX(Calc!$D$8:$D$500,MATCH(SMALL(IF((Calc!$K$8:$K$500=Kanban!E$11)*(Calc!$Y$8:$Y$500&gt;0),Calc!$Y$8:$Y$500,99999),Kanban_Helper!$B182),Calc!$Y$8:$Y$500,0)),Calc!$D$8:$D$500,0))="Yes",CONCATENATE(INDEX(Calc!$D$8:$D$500,MATCH(SMALL(IF((Calc!$K$8:$K$500=Kanban!E$11)*(Calc!$Y$8:$Y$500&gt;0),Calc!$Y$8:$Y$500,99999),Kanban_Helper!$B182),Calc!$Y$8:$Y$500,0))," ",Calc!$V$7," ","!"),INDEX(Calc!$D$8:$D$500,MATCH(SMALL(IF((Calc!$K$8:$K$500=Kanban!E$11)*(Calc!$Y$8:$Y$500&gt;0),Calc!$Y$8:$Y$500,99999),Kanban_Helper!$B182),Calc!$Y$8:$Y$500,0))))),"")</f>
        <v/>
      </c>
      <c r="F189" s="170" t="str">
        <f t="array" ref="F189">IFERROR(IF(LEN(F$11)=0,"",IF($C$7&lt;&gt;"All",IF(INDEX(Calc!$V$8:$V$500,MATCH(INDEX(Calc!$D$8:$D$500,MATCH(SMALL(IF((Calc!$C$8:$C$500=Kanban!$C$7)*(Calc!$K$8:$K$500=Kanban!F$11)*(Calc!$Y$8:$Y$500&gt;0),Calc!$Y$8:$Y$500,99999),Kanban_Helper!$B182),Calc!$Y$8:$Y$500,0)),Calc!$D$8:$D$500,0))="Yes",CONCATENATE(INDEX(Calc!$D$8:$D$500,MATCH(SMALL(IF((Calc!$C$8:$C$500=Kanban!$C$7)*(Calc!$K$8:$K$500=Kanban!F$11)*(Calc!$Y$8:$Y$500&gt;0),Calc!$Y$8:$Y$500,99999),Kanban_Helper!$B182),Calc!$Y$8:$Y$500,0))," ",Calc!$V$7," ","!"),INDEX(Calc!$D$8:$D$500,MATCH(SMALL(IF((Calc!$C$8:$C$500=Kanban!$C$7)*(Calc!$K$8:$K$500=Kanban!F$11)*(Calc!$Y$8:$Y$500&gt;0),Calc!$Y$8:$Y$500,99999),Kanban_Helper!$B182),Calc!$Y$8:$Y$500,0))),IF(INDEX(Calc!$V$8:$V$500,MATCH(INDEX(Calc!$D$8:$D$500,MATCH(SMALL(IF((Calc!$K$8:$K$500=Kanban!F$11)*(Calc!$Y$8:$Y$500&gt;0),Calc!$Y$8:$Y$500,99999),Kanban_Helper!$B182),Calc!$Y$8:$Y$500,0)),Calc!$D$8:$D$500,0))="Yes",CONCATENATE(INDEX(Calc!$D$8:$D$500,MATCH(SMALL(IF((Calc!$K$8:$K$500=Kanban!F$11)*(Calc!$Y$8:$Y$500&gt;0),Calc!$Y$8:$Y$500,99999),Kanban_Helper!$B182),Calc!$Y$8:$Y$500,0))," ",Calc!$V$7," ","!"),INDEX(Calc!$D$8:$D$500,MATCH(SMALL(IF((Calc!$K$8:$K$500=Kanban!F$11)*(Calc!$Y$8:$Y$500&gt;0),Calc!$Y$8:$Y$500,99999),Kanban_Helper!$B182),Calc!$Y$8:$Y$500,0))))),"")</f>
        <v/>
      </c>
      <c r="G189" s="170" t="str">
        <f t="array" ref="G189">IFERROR(IF(LEN(G$11)=0,"",IF($C$7&lt;&gt;"All",IF(INDEX(Calc!$V$8:$V$500,MATCH(INDEX(Calc!$D$8:$D$500,MATCH(SMALL(IF((Calc!$C$8:$C$500=Kanban!$C$7)*(Calc!$K$8:$K$500=Kanban!G$11)*(Calc!$Y$8:$Y$500&gt;0),Calc!$Y$8:$Y$500,99999),Kanban_Helper!$B182),Calc!$Y$8:$Y$500,0)),Calc!$D$8:$D$500,0))="Yes",CONCATENATE(INDEX(Calc!$D$8:$D$500,MATCH(SMALL(IF((Calc!$C$8:$C$500=Kanban!$C$7)*(Calc!$K$8:$K$500=Kanban!G$11)*(Calc!$Y$8:$Y$500&gt;0),Calc!$Y$8:$Y$500,99999),Kanban_Helper!$B182),Calc!$Y$8:$Y$500,0))," ",Calc!$V$7," ","!"),INDEX(Calc!$D$8:$D$500,MATCH(SMALL(IF((Calc!$C$8:$C$500=Kanban!$C$7)*(Calc!$K$8:$K$500=Kanban!G$11)*(Calc!$Y$8:$Y$500&gt;0),Calc!$Y$8:$Y$500,99999),Kanban_Helper!$B182),Calc!$Y$8:$Y$500,0))),IF(INDEX(Calc!$V$8:$V$500,MATCH(INDEX(Calc!$D$8:$D$500,MATCH(SMALL(IF((Calc!$K$8:$K$500=Kanban!G$11)*(Calc!$Y$8:$Y$500&gt;0),Calc!$Y$8:$Y$500,99999),Kanban_Helper!$B182),Calc!$Y$8:$Y$500,0)),Calc!$D$8:$D$500,0))="Yes",CONCATENATE(INDEX(Calc!$D$8:$D$500,MATCH(SMALL(IF((Calc!$K$8:$K$500=Kanban!G$11)*(Calc!$Y$8:$Y$500&gt;0),Calc!$Y$8:$Y$500,99999),Kanban_Helper!$B182),Calc!$Y$8:$Y$500,0))," ",Calc!$V$7," ","!"),INDEX(Calc!$D$8:$D$500,MATCH(SMALL(IF((Calc!$K$8:$K$500=Kanban!G$11)*(Calc!$Y$8:$Y$500&gt;0),Calc!$Y$8:$Y$500,99999),Kanban_Helper!$B182),Calc!$Y$8:$Y$500,0))))),"")</f>
        <v/>
      </c>
      <c r="H189" s="170" t="str">
        <f t="array" ref="H189">IFERROR(IF(LEN(H$11)=0,"",IF($C$7&lt;&gt;"All",IF(INDEX(Calc!$V$8:$V$500,MATCH(INDEX(Calc!$D$8:$D$500,MATCH(SMALL(IF((Calc!$C$8:$C$500=Kanban!$C$7)*(Calc!$K$8:$K$500=Kanban!H$11)*(Calc!$Y$8:$Y$500&gt;0),Calc!$Y$8:$Y$500,99999),Kanban_Helper!$B182),Calc!$Y$8:$Y$500,0)),Calc!$D$8:$D$500,0))="Yes",CONCATENATE(INDEX(Calc!$D$8:$D$500,MATCH(SMALL(IF((Calc!$C$8:$C$500=Kanban!$C$7)*(Calc!$K$8:$K$500=Kanban!H$11)*(Calc!$Y$8:$Y$500&gt;0),Calc!$Y$8:$Y$500,99999),Kanban_Helper!$B182),Calc!$Y$8:$Y$500,0))," ",Calc!$V$7," ","!"),INDEX(Calc!$D$8:$D$500,MATCH(SMALL(IF((Calc!$C$8:$C$500=Kanban!$C$7)*(Calc!$K$8:$K$500=Kanban!H$11)*(Calc!$Y$8:$Y$500&gt;0),Calc!$Y$8:$Y$500,99999),Kanban_Helper!$B182),Calc!$Y$8:$Y$500,0))),IF(INDEX(Calc!$V$8:$V$500,MATCH(INDEX(Calc!$D$8:$D$500,MATCH(SMALL(IF((Calc!$K$8:$K$500=Kanban!H$11)*(Calc!$Y$8:$Y$500&gt;0),Calc!$Y$8:$Y$500,99999),Kanban_Helper!$B182),Calc!$Y$8:$Y$500,0)),Calc!$D$8:$D$500,0))="Yes",CONCATENATE(INDEX(Calc!$D$8:$D$500,MATCH(SMALL(IF((Calc!$K$8:$K$500=Kanban!H$11)*(Calc!$Y$8:$Y$500&gt;0),Calc!$Y$8:$Y$500,99999),Kanban_Helper!$B182),Calc!$Y$8:$Y$500,0))," ",Calc!$V$7," ","!"),INDEX(Calc!$D$8:$D$500,MATCH(SMALL(IF((Calc!$K$8:$K$500=Kanban!H$11)*(Calc!$Y$8:$Y$500&gt;0),Calc!$Y$8:$Y$500,99999),Kanban_Helper!$B182),Calc!$Y$8:$Y$500,0))))),"")</f>
        <v/>
      </c>
      <c r="I189" s="39"/>
    </row>
    <row r="190" spans="2:9" x14ac:dyDescent="0.35">
      <c r="B190" s="81"/>
      <c r="C190" s="171" t="str">
        <f t="array" ref="C190">IFERROR(IF(LEN(C$11)=0,"",IF($C$7&lt;&gt;"All",INDEX(Calc!$E$8:$E$500,MATCH(SMALL(IF((Calc!$C$8:$C$500=Kanban!$C$7)*(Calc!$K$8:$K$500=Kanban!C$11)*(Calc!$Y$8:$Y$500&gt;0),Calc!$Y$8:$Y$500,99999),Kanban_Helper!$B183),Calc!$Y$8:$Y$500,0)),INDEX(Calc!$E$8:$E$500,MATCH(SMALL(IF((Calc!$K$8:$K$500=Kanban!C$11)*(Calc!$Y$8:$Y$500&gt;0),Calc!$Y$8:$Y$500,99999),Kanban_Helper!$B183),Calc!$Y$8:$Y$500,0)))),"")</f>
        <v/>
      </c>
      <c r="D190" s="171" t="str">
        <f t="array" ref="D190">IFERROR(IF(LEN(D$11)=0,"",IF($C$7&lt;&gt;"All",INDEX(Calc!$E$8:$E$500,MATCH(SMALL(IF((Calc!$C$8:$C$500=Kanban!$C$7)*(Calc!$K$8:$K$500=Kanban!D$11)*(Calc!$Y$8:$Y$500&gt;0),Calc!$Y$8:$Y$500,99999),Kanban_Helper!$B183),Calc!$Y$8:$Y$500,0)),INDEX(Calc!$E$8:$E$500,MATCH(SMALL(IF((Calc!$K$8:$K$500=Kanban!D$11)*(Calc!$Y$8:$Y$500&gt;0),Calc!$Y$8:$Y$500,99999),Kanban_Helper!$B183),Calc!$Y$8:$Y$500,0)))),"")</f>
        <v/>
      </c>
      <c r="E190" s="171" t="str">
        <f t="array" ref="E190">IFERROR(IF(LEN(E$11)=0,"",IF($C$7&lt;&gt;"All",INDEX(Calc!$E$8:$E$500,MATCH(SMALL(IF((Calc!$C$8:$C$500=Kanban!$C$7)*(Calc!$K$8:$K$500=Kanban!E$11)*(Calc!$Y$8:$Y$500&gt;0),Calc!$Y$8:$Y$500,99999),Kanban_Helper!$B183),Calc!$Y$8:$Y$500,0)),INDEX(Calc!$E$8:$E$500,MATCH(SMALL(IF((Calc!$K$8:$K$500=Kanban!E$11)*(Calc!$Y$8:$Y$500&gt;0),Calc!$Y$8:$Y$500,99999),Kanban_Helper!$B183),Calc!$Y$8:$Y$500,0)))),"")</f>
        <v/>
      </c>
      <c r="F190" s="171" t="str">
        <f t="array" ref="F190">IFERROR(IF(LEN(F$11)=0,"",IF($C$7&lt;&gt;"All",INDEX(Calc!$E$8:$E$500,MATCH(SMALL(IF((Calc!$C$8:$C$500=Kanban!$C$7)*(Calc!$K$8:$K$500=Kanban!F$11)*(Calc!$Y$8:$Y$500&gt;0),Calc!$Y$8:$Y$500,99999),Kanban_Helper!$B183),Calc!$Y$8:$Y$500,0)),INDEX(Calc!$E$8:$E$500,MATCH(SMALL(IF((Calc!$K$8:$K$500=Kanban!F$11)*(Calc!$Y$8:$Y$500&gt;0),Calc!$Y$8:$Y$500,99999),Kanban_Helper!$B183),Calc!$Y$8:$Y$500,0)))),"")</f>
        <v/>
      </c>
      <c r="G190" s="171" t="str">
        <f t="array" ref="G190">IFERROR(IF(LEN(G$11)=0,"",IF($C$7&lt;&gt;"All",INDEX(Calc!$E$8:$E$500,MATCH(SMALL(IF((Calc!$C$8:$C$500=Kanban!$C$7)*(Calc!$K$8:$K$500=Kanban!G$11)*(Calc!$Y$8:$Y$500&gt;0),Calc!$Y$8:$Y$500,99999),Kanban_Helper!$B183),Calc!$Y$8:$Y$500,0)),INDEX(Calc!$E$8:$E$500,MATCH(SMALL(IF((Calc!$K$8:$K$500=Kanban!G$11)*(Calc!$Y$8:$Y$500&gt;0),Calc!$Y$8:$Y$500,99999),Kanban_Helper!$B183),Calc!$Y$8:$Y$500,0)))),"")</f>
        <v/>
      </c>
      <c r="H190" s="171" t="str">
        <f t="array" ref="H190">IFERROR(IF(LEN(H$11)=0,"",IF($C$7&lt;&gt;"All",INDEX(Calc!$E$8:$E$500,MATCH(SMALL(IF((Calc!$C$8:$C$500=Kanban!$C$7)*(Calc!$K$8:$K$500=Kanban!H$11)*(Calc!$Y$8:$Y$500&gt;0),Calc!$Y$8:$Y$500,99999),Kanban_Helper!$B183),Calc!$Y$8:$Y$500,0)),INDEX(Calc!$E$8:$E$500,MATCH(SMALL(IF((Calc!$K$8:$K$500=Kanban!H$11)*(Calc!$Y$8:$Y$500&gt;0),Calc!$Y$8:$Y$500,99999),Kanban_Helper!$B183),Calc!$Y$8:$Y$500,0)))),"")</f>
        <v/>
      </c>
      <c r="I190" s="39"/>
    </row>
    <row r="191" spans="2:9" ht="15" thickBot="1" x14ac:dyDescent="0.4">
      <c r="B191" s="81"/>
      <c r="C191" s="172" t="str">
        <f t="array" ref="C191">IFERROR(IF(LEN(C$11)=0,"",IF($C$7&lt;&gt;"All",IF(LEN(INDEX(Calc!$J$8:$J$500,MATCH(SMALL(IF((Calc!$C$8:$C$500=Kanban!$C$7)*(Calc!$K$8:$K$500=Kanban!C$11)*(Calc!$Y$8:$Y$500&gt;0),Calc!$Y$8:$Y$500,99999),Kanban_Helper!$B184),Calc!$Y$8:$Y$500,0)))=0,"",CONCATENATE(Calc!$AD$6,INDEX(Calc!$J$8:$J$500,MATCH(SMALL(IF((Calc!$C$8:$C$500=Kanban!$C$7)*(Calc!$K$8:$K$500=Kanban!C$11)*(Calc!$Y$8:$Y$500&gt;0),Calc!$Y$8:$Y$500,99999),Kanban_Helper!$B184),Calc!$Y$8:$Y$500,0)))),IF(LEN(INDEX(Calc!$J$8:$J$500,MATCH(SMALL(IF((Calc!$K$8:$K$500=Kanban!C$11)*(Calc!$Y$8:$Y$500&gt;0),Calc!$Y$8:$Y$500,99999),Kanban_Helper!$B184),Calc!$Y$8:$Y$500,0)))=0,"",CONCATENATE(Calc!$AD$6,INDEX(Calc!$J$8:$J$500,MATCH(SMALL(IF((Calc!$K$8:$K$500=Kanban!C$11)*(Calc!$Y$8:$Y$500&gt;0),Calc!$Y$8:$Y$500,99999),Kanban_Helper!$B184),Calc!$Y$8:$Y$500,0)))))),"")</f>
        <v/>
      </c>
      <c r="D191" s="172" t="str">
        <f t="array" ref="D191">IFERROR(IF(LEN(D$11)=0,"",IF($C$7&lt;&gt;"All",IF(LEN(INDEX(Calc!$J$8:$J$500,MATCH(SMALL(IF((Calc!$C$8:$C$500=Kanban!$C$7)*(Calc!$K$8:$K$500=Kanban!D$11)*(Calc!$Y$8:$Y$500&gt;0),Calc!$Y$8:$Y$500,99999),Kanban_Helper!$B184),Calc!$Y$8:$Y$500,0)))=0,"",CONCATENATE(Calc!$AD$6,INDEX(Calc!$J$8:$J$500,MATCH(SMALL(IF((Calc!$C$8:$C$500=Kanban!$C$7)*(Calc!$K$8:$K$500=Kanban!D$11)*(Calc!$Y$8:$Y$500&gt;0),Calc!$Y$8:$Y$500,99999),Kanban_Helper!$B184),Calc!$Y$8:$Y$500,0)))),IF(LEN(INDEX(Calc!$J$8:$J$500,MATCH(SMALL(IF((Calc!$K$8:$K$500=Kanban!D$11)*(Calc!$Y$8:$Y$500&gt;0),Calc!$Y$8:$Y$500,99999),Kanban_Helper!$B184),Calc!$Y$8:$Y$500,0)))=0,"",CONCATENATE(Calc!$AD$6,INDEX(Calc!$J$8:$J$500,MATCH(SMALL(IF((Calc!$K$8:$K$500=Kanban!D$11)*(Calc!$Y$8:$Y$500&gt;0),Calc!$Y$8:$Y$500,99999),Kanban_Helper!$B184),Calc!$Y$8:$Y$500,0)))))),"")</f>
        <v/>
      </c>
      <c r="E191" s="172" t="str">
        <f t="array" ref="E191">IFERROR(IF(LEN(E$11)=0,"",IF($C$7&lt;&gt;"All",IF(LEN(INDEX(Calc!$J$8:$J$500,MATCH(SMALL(IF((Calc!$C$8:$C$500=Kanban!$C$7)*(Calc!$K$8:$K$500=Kanban!E$11)*(Calc!$Y$8:$Y$500&gt;0),Calc!$Y$8:$Y$500,99999),Kanban_Helper!$B184),Calc!$Y$8:$Y$500,0)))=0,"",CONCATENATE(Calc!$AD$6,INDEX(Calc!$J$8:$J$500,MATCH(SMALL(IF((Calc!$C$8:$C$500=Kanban!$C$7)*(Calc!$K$8:$K$500=Kanban!E$11)*(Calc!$Y$8:$Y$500&gt;0),Calc!$Y$8:$Y$500,99999),Kanban_Helper!$B184),Calc!$Y$8:$Y$500,0)))),IF(LEN(INDEX(Calc!$J$8:$J$500,MATCH(SMALL(IF((Calc!$K$8:$K$500=Kanban!E$11)*(Calc!$Y$8:$Y$500&gt;0),Calc!$Y$8:$Y$500,99999),Kanban_Helper!$B184),Calc!$Y$8:$Y$500,0)))=0,"",CONCATENATE(Calc!$AD$6,INDEX(Calc!$J$8:$J$500,MATCH(SMALL(IF((Calc!$K$8:$K$500=Kanban!E$11)*(Calc!$Y$8:$Y$500&gt;0),Calc!$Y$8:$Y$500,99999),Kanban_Helper!$B184),Calc!$Y$8:$Y$500,0)))))),"")</f>
        <v/>
      </c>
      <c r="F191" s="172" t="str">
        <f t="array" ref="F191">IFERROR(IF(LEN(F$11)=0,"",IF($C$7&lt;&gt;"All",IF(LEN(INDEX(Calc!$J$8:$J$500,MATCH(SMALL(IF((Calc!$C$8:$C$500=Kanban!$C$7)*(Calc!$K$8:$K$500=Kanban!F$11)*(Calc!$Y$8:$Y$500&gt;0),Calc!$Y$8:$Y$500,99999),Kanban_Helper!$B184),Calc!$Y$8:$Y$500,0)))=0,"",CONCATENATE(Calc!$AD$6,INDEX(Calc!$J$8:$J$500,MATCH(SMALL(IF((Calc!$C$8:$C$500=Kanban!$C$7)*(Calc!$K$8:$K$500=Kanban!F$11)*(Calc!$Y$8:$Y$500&gt;0),Calc!$Y$8:$Y$500,99999),Kanban_Helper!$B184),Calc!$Y$8:$Y$500,0)))),IF(LEN(INDEX(Calc!$J$8:$J$500,MATCH(SMALL(IF((Calc!$K$8:$K$500=Kanban!F$11)*(Calc!$Y$8:$Y$500&gt;0),Calc!$Y$8:$Y$500,99999),Kanban_Helper!$B184),Calc!$Y$8:$Y$500,0)))=0,"",CONCATENATE(Calc!$AD$6,INDEX(Calc!$J$8:$J$500,MATCH(SMALL(IF((Calc!$K$8:$K$500=Kanban!F$11)*(Calc!$Y$8:$Y$500&gt;0),Calc!$Y$8:$Y$500,99999),Kanban_Helper!$B184),Calc!$Y$8:$Y$500,0)))))),"")</f>
        <v/>
      </c>
      <c r="G191" s="172" t="str">
        <f t="array" ref="G191">IFERROR(IF(LEN(G$11)=0,"",IF($C$7&lt;&gt;"All",IF(LEN(INDEX(Calc!$J$8:$J$500,MATCH(SMALL(IF((Calc!$C$8:$C$500=Kanban!$C$7)*(Calc!$K$8:$K$500=Kanban!G$11)*(Calc!$Y$8:$Y$500&gt;0),Calc!$Y$8:$Y$500,99999),Kanban_Helper!$B184),Calc!$Y$8:$Y$500,0)))=0,"",CONCATENATE(Calc!$AD$6,INDEX(Calc!$J$8:$J$500,MATCH(SMALL(IF((Calc!$C$8:$C$500=Kanban!$C$7)*(Calc!$K$8:$K$500=Kanban!G$11)*(Calc!$Y$8:$Y$500&gt;0),Calc!$Y$8:$Y$500,99999),Kanban_Helper!$B184),Calc!$Y$8:$Y$500,0)))),IF(LEN(INDEX(Calc!$J$8:$J$500,MATCH(SMALL(IF((Calc!$K$8:$K$500=Kanban!G$11)*(Calc!$Y$8:$Y$500&gt;0),Calc!$Y$8:$Y$500,99999),Kanban_Helper!$B184),Calc!$Y$8:$Y$500,0)))=0,"",CONCATENATE(Calc!$AD$6,INDEX(Calc!$J$8:$J$500,MATCH(SMALL(IF((Calc!$K$8:$K$500=Kanban!G$11)*(Calc!$Y$8:$Y$500&gt;0),Calc!$Y$8:$Y$500,99999),Kanban_Helper!$B184),Calc!$Y$8:$Y$500,0)))))),"")</f>
        <v/>
      </c>
      <c r="H191" s="172" t="str">
        <f t="array" ref="H191">IFERROR(IF(LEN(H$11)=0,"",IF($C$7&lt;&gt;"All",IF(LEN(INDEX(Calc!$J$8:$J$500,MATCH(SMALL(IF((Calc!$C$8:$C$500=Kanban!$C$7)*(Calc!$K$8:$K$500=Kanban!H$11)*(Calc!$Y$8:$Y$500&gt;0),Calc!$Y$8:$Y$500,99999),Kanban_Helper!$B184),Calc!$Y$8:$Y$500,0)))=0,"",CONCATENATE(Calc!$AD$6,INDEX(Calc!$J$8:$J$500,MATCH(SMALL(IF((Calc!$C$8:$C$500=Kanban!$C$7)*(Calc!$K$8:$K$500=Kanban!H$11)*(Calc!$Y$8:$Y$500&gt;0),Calc!$Y$8:$Y$500,99999),Kanban_Helper!$B184),Calc!$Y$8:$Y$500,0)))),IF(LEN(INDEX(Calc!$J$8:$J$500,MATCH(SMALL(IF((Calc!$K$8:$K$500=Kanban!H$11)*(Calc!$Y$8:$Y$500&gt;0),Calc!$Y$8:$Y$500,99999),Kanban_Helper!$B184),Calc!$Y$8:$Y$500,0)))=0,"",CONCATENATE(Calc!$AD$6,INDEX(Calc!$J$8:$J$500,MATCH(SMALL(IF((Calc!$K$8:$K$500=Kanban!H$11)*(Calc!$Y$8:$Y$500&gt;0),Calc!$Y$8:$Y$500,99999),Kanban_Helper!$B184),Calc!$Y$8:$Y$500,0)))))),"")</f>
        <v/>
      </c>
      <c r="I191" s="39"/>
    </row>
    <row r="192" spans="2:9" ht="15" thickTop="1" x14ac:dyDescent="0.35">
      <c r="B192" s="81"/>
      <c r="C192" s="170" t="str">
        <f t="array" ref="C192">IFERROR(IF(LEN(C$11)=0,"",IF($C$7&lt;&gt;"All",IF(INDEX(Calc!$V$8:$V$500,MATCH(INDEX(Calc!$D$8:$D$500,MATCH(SMALL(IF((Calc!$C$8:$C$500=Kanban!$C$7)*(Calc!$K$8:$K$500=Kanban!C$11)*(Calc!$Y$8:$Y$500&gt;0),Calc!$Y$8:$Y$500,99999),Kanban_Helper!$B185),Calc!$Y$8:$Y$500,0)),Calc!$D$8:$D$500,0))="Yes",CONCATENATE(INDEX(Calc!$D$8:$D$500,MATCH(SMALL(IF((Calc!$C$8:$C$500=Kanban!$C$7)*(Calc!$K$8:$K$500=Kanban!C$11)*(Calc!$Y$8:$Y$500&gt;0),Calc!$Y$8:$Y$500,99999),Kanban_Helper!$B185),Calc!$Y$8:$Y$500,0))," ",Calc!$V$7," ","!"),INDEX(Calc!$D$8:$D$500,MATCH(SMALL(IF((Calc!$C$8:$C$500=Kanban!$C$7)*(Calc!$K$8:$K$500=Kanban!C$11)*(Calc!$Y$8:$Y$500&gt;0),Calc!$Y$8:$Y$500,99999),Kanban_Helper!$B185),Calc!$Y$8:$Y$500,0))),IF(INDEX(Calc!$V$8:$V$500,MATCH(INDEX(Calc!$D$8:$D$500,MATCH(SMALL(IF((Calc!$K$8:$K$500=Kanban!C$11)*(Calc!$Y$8:$Y$500&gt;0),Calc!$Y$8:$Y$500,99999),Kanban_Helper!$B185),Calc!$Y$8:$Y$500,0)),Calc!$D$8:$D$500,0))="Yes",CONCATENATE(INDEX(Calc!$D$8:$D$500,MATCH(SMALL(IF((Calc!$K$8:$K$500=Kanban!C$11)*(Calc!$Y$8:$Y$500&gt;0),Calc!$Y$8:$Y$500,99999),Kanban_Helper!$B185),Calc!$Y$8:$Y$500,0))," ",Calc!$V$7," ","!"),INDEX(Calc!$D$8:$D$500,MATCH(SMALL(IF((Calc!$K$8:$K$500=Kanban!C$11)*(Calc!$Y$8:$Y$500&gt;0),Calc!$Y$8:$Y$500,99999),Kanban_Helper!$B185),Calc!$Y$8:$Y$500,0))))),"")</f>
        <v/>
      </c>
      <c r="D192" s="170" t="str">
        <f t="array" ref="D192">IFERROR(IF(LEN(D$11)=0,"",IF($C$7&lt;&gt;"All",IF(INDEX(Calc!$V$8:$V$500,MATCH(INDEX(Calc!$D$8:$D$500,MATCH(SMALL(IF((Calc!$C$8:$C$500=Kanban!$C$7)*(Calc!$K$8:$K$500=Kanban!D$11)*(Calc!$Y$8:$Y$500&gt;0),Calc!$Y$8:$Y$500,99999),Kanban_Helper!$B185),Calc!$Y$8:$Y$500,0)),Calc!$D$8:$D$500,0))="Yes",CONCATENATE(INDEX(Calc!$D$8:$D$500,MATCH(SMALL(IF((Calc!$C$8:$C$500=Kanban!$C$7)*(Calc!$K$8:$K$500=Kanban!D$11)*(Calc!$Y$8:$Y$500&gt;0),Calc!$Y$8:$Y$500,99999),Kanban_Helper!$B185),Calc!$Y$8:$Y$500,0))," ",Calc!$V$7," ","!"),INDEX(Calc!$D$8:$D$500,MATCH(SMALL(IF((Calc!$C$8:$C$500=Kanban!$C$7)*(Calc!$K$8:$K$500=Kanban!D$11)*(Calc!$Y$8:$Y$500&gt;0),Calc!$Y$8:$Y$500,99999),Kanban_Helper!$B185),Calc!$Y$8:$Y$500,0))),IF(INDEX(Calc!$V$8:$V$500,MATCH(INDEX(Calc!$D$8:$D$500,MATCH(SMALL(IF((Calc!$K$8:$K$500=Kanban!D$11)*(Calc!$Y$8:$Y$500&gt;0),Calc!$Y$8:$Y$500,99999),Kanban_Helper!$B185),Calc!$Y$8:$Y$500,0)),Calc!$D$8:$D$500,0))="Yes",CONCATENATE(INDEX(Calc!$D$8:$D$500,MATCH(SMALL(IF((Calc!$K$8:$K$500=Kanban!D$11)*(Calc!$Y$8:$Y$500&gt;0),Calc!$Y$8:$Y$500,99999),Kanban_Helper!$B185),Calc!$Y$8:$Y$500,0))," ",Calc!$V$7," ","!"),INDEX(Calc!$D$8:$D$500,MATCH(SMALL(IF((Calc!$K$8:$K$500=Kanban!D$11)*(Calc!$Y$8:$Y$500&gt;0),Calc!$Y$8:$Y$500,99999),Kanban_Helper!$B185),Calc!$Y$8:$Y$500,0))))),"")</f>
        <v/>
      </c>
      <c r="E192" s="170" t="str">
        <f t="array" ref="E192">IFERROR(IF(LEN(E$11)=0,"",IF($C$7&lt;&gt;"All",IF(INDEX(Calc!$V$8:$V$500,MATCH(INDEX(Calc!$D$8:$D$500,MATCH(SMALL(IF((Calc!$C$8:$C$500=Kanban!$C$7)*(Calc!$K$8:$K$500=Kanban!E$11)*(Calc!$Y$8:$Y$500&gt;0),Calc!$Y$8:$Y$500,99999),Kanban_Helper!$B185),Calc!$Y$8:$Y$500,0)),Calc!$D$8:$D$500,0))="Yes",CONCATENATE(INDEX(Calc!$D$8:$D$500,MATCH(SMALL(IF((Calc!$C$8:$C$500=Kanban!$C$7)*(Calc!$K$8:$K$500=Kanban!E$11)*(Calc!$Y$8:$Y$500&gt;0),Calc!$Y$8:$Y$500,99999),Kanban_Helper!$B185),Calc!$Y$8:$Y$500,0))," ",Calc!$V$7," ","!"),INDEX(Calc!$D$8:$D$500,MATCH(SMALL(IF((Calc!$C$8:$C$500=Kanban!$C$7)*(Calc!$K$8:$K$500=Kanban!E$11)*(Calc!$Y$8:$Y$500&gt;0),Calc!$Y$8:$Y$500,99999),Kanban_Helper!$B185),Calc!$Y$8:$Y$500,0))),IF(INDEX(Calc!$V$8:$V$500,MATCH(INDEX(Calc!$D$8:$D$500,MATCH(SMALL(IF((Calc!$K$8:$K$500=Kanban!E$11)*(Calc!$Y$8:$Y$500&gt;0),Calc!$Y$8:$Y$500,99999),Kanban_Helper!$B185),Calc!$Y$8:$Y$500,0)),Calc!$D$8:$D$500,0))="Yes",CONCATENATE(INDEX(Calc!$D$8:$D$500,MATCH(SMALL(IF((Calc!$K$8:$K$500=Kanban!E$11)*(Calc!$Y$8:$Y$500&gt;0),Calc!$Y$8:$Y$500,99999),Kanban_Helper!$B185),Calc!$Y$8:$Y$500,0))," ",Calc!$V$7," ","!"),INDEX(Calc!$D$8:$D$500,MATCH(SMALL(IF((Calc!$K$8:$K$500=Kanban!E$11)*(Calc!$Y$8:$Y$500&gt;0),Calc!$Y$8:$Y$500,99999),Kanban_Helper!$B185),Calc!$Y$8:$Y$500,0))))),"")</f>
        <v/>
      </c>
      <c r="F192" s="170" t="str">
        <f t="array" ref="F192">IFERROR(IF(LEN(F$11)=0,"",IF($C$7&lt;&gt;"All",IF(INDEX(Calc!$V$8:$V$500,MATCH(INDEX(Calc!$D$8:$D$500,MATCH(SMALL(IF((Calc!$C$8:$C$500=Kanban!$C$7)*(Calc!$K$8:$K$500=Kanban!F$11)*(Calc!$Y$8:$Y$500&gt;0),Calc!$Y$8:$Y$500,99999),Kanban_Helper!$B185),Calc!$Y$8:$Y$500,0)),Calc!$D$8:$D$500,0))="Yes",CONCATENATE(INDEX(Calc!$D$8:$D$500,MATCH(SMALL(IF((Calc!$C$8:$C$500=Kanban!$C$7)*(Calc!$K$8:$K$500=Kanban!F$11)*(Calc!$Y$8:$Y$500&gt;0),Calc!$Y$8:$Y$500,99999),Kanban_Helper!$B185),Calc!$Y$8:$Y$500,0))," ",Calc!$V$7," ","!"),INDEX(Calc!$D$8:$D$500,MATCH(SMALL(IF((Calc!$C$8:$C$500=Kanban!$C$7)*(Calc!$K$8:$K$500=Kanban!F$11)*(Calc!$Y$8:$Y$500&gt;0),Calc!$Y$8:$Y$500,99999),Kanban_Helper!$B185),Calc!$Y$8:$Y$500,0))),IF(INDEX(Calc!$V$8:$V$500,MATCH(INDEX(Calc!$D$8:$D$500,MATCH(SMALL(IF((Calc!$K$8:$K$500=Kanban!F$11)*(Calc!$Y$8:$Y$500&gt;0),Calc!$Y$8:$Y$500,99999),Kanban_Helper!$B185),Calc!$Y$8:$Y$500,0)),Calc!$D$8:$D$500,0))="Yes",CONCATENATE(INDEX(Calc!$D$8:$D$500,MATCH(SMALL(IF((Calc!$K$8:$K$500=Kanban!F$11)*(Calc!$Y$8:$Y$500&gt;0),Calc!$Y$8:$Y$500,99999),Kanban_Helper!$B185),Calc!$Y$8:$Y$500,0))," ",Calc!$V$7," ","!"),INDEX(Calc!$D$8:$D$500,MATCH(SMALL(IF((Calc!$K$8:$K$500=Kanban!F$11)*(Calc!$Y$8:$Y$500&gt;0),Calc!$Y$8:$Y$500,99999),Kanban_Helper!$B185),Calc!$Y$8:$Y$500,0))))),"")</f>
        <v/>
      </c>
      <c r="G192" s="170" t="str">
        <f t="array" ref="G192">IFERROR(IF(LEN(G$11)=0,"",IF($C$7&lt;&gt;"All",IF(INDEX(Calc!$V$8:$V$500,MATCH(INDEX(Calc!$D$8:$D$500,MATCH(SMALL(IF((Calc!$C$8:$C$500=Kanban!$C$7)*(Calc!$K$8:$K$500=Kanban!G$11)*(Calc!$Y$8:$Y$500&gt;0),Calc!$Y$8:$Y$500,99999),Kanban_Helper!$B185),Calc!$Y$8:$Y$500,0)),Calc!$D$8:$D$500,0))="Yes",CONCATENATE(INDEX(Calc!$D$8:$D$500,MATCH(SMALL(IF((Calc!$C$8:$C$500=Kanban!$C$7)*(Calc!$K$8:$K$500=Kanban!G$11)*(Calc!$Y$8:$Y$500&gt;0),Calc!$Y$8:$Y$500,99999),Kanban_Helper!$B185),Calc!$Y$8:$Y$500,0))," ",Calc!$V$7," ","!"),INDEX(Calc!$D$8:$D$500,MATCH(SMALL(IF((Calc!$C$8:$C$500=Kanban!$C$7)*(Calc!$K$8:$K$500=Kanban!G$11)*(Calc!$Y$8:$Y$500&gt;0),Calc!$Y$8:$Y$500,99999),Kanban_Helper!$B185),Calc!$Y$8:$Y$500,0))),IF(INDEX(Calc!$V$8:$V$500,MATCH(INDEX(Calc!$D$8:$D$500,MATCH(SMALL(IF((Calc!$K$8:$K$500=Kanban!G$11)*(Calc!$Y$8:$Y$500&gt;0),Calc!$Y$8:$Y$500,99999),Kanban_Helper!$B185),Calc!$Y$8:$Y$500,0)),Calc!$D$8:$D$500,0))="Yes",CONCATENATE(INDEX(Calc!$D$8:$D$500,MATCH(SMALL(IF((Calc!$K$8:$K$500=Kanban!G$11)*(Calc!$Y$8:$Y$500&gt;0),Calc!$Y$8:$Y$500,99999),Kanban_Helper!$B185),Calc!$Y$8:$Y$500,0))," ",Calc!$V$7," ","!"),INDEX(Calc!$D$8:$D$500,MATCH(SMALL(IF((Calc!$K$8:$K$500=Kanban!G$11)*(Calc!$Y$8:$Y$500&gt;0),Calc!$Y$8:$Y$500,99999),Kanban_Helper!$B185),Calc!$Y$8:$Y$500,0))))),"")</f>
        <v/>
      </c>
      <c r="H192" s="170" t="str">
        <f t="array" ref="H192">IFERROR(IF(LEN(H$11)=0,"",IF($C$7&lt;&gt;"All",IF(INDEX(Calc!$V$8:$V$500,MATCH(INDEX(Calc!$D$8:$D$500,MATCH(SMALL(IF((Calc!$C$8:$C$500=Kanban!$C$7)*(Calc!$K$8:$K$500=Kanban!H$11)*(Calc!$Y$8:$Y$500&gt;0),Calc!$Y$8:$Y$500,99999),Kanban_Helper!$B185),Calc!$Y$8:$Y$500,0)),Calc!$D$8:$D$500,0))="Yes",CONCATENATE(INDEX(Calc!$D$8:$D$500,MATCH(SMALL(IF((Calc!$C$8:$C$500=Kanban!$C$7)*(Calc!$K$8:$K$500=Kanban!H$11)*(Calc!$Y$8:$Y$500&gt;0),Calc!$Y$8:$Y$500,99999),Kanban_Helper!$B185),Calc!$Y$8:$Y$500,0))," ",Calc!$V$7," ","!"),INDEX(Calc!$D$8:$D$500,MATCH(SMALL(IF((Calc!$C$8:$C$500=Kanban!$C$7)*(Calc!$K$8:$K$500=Kanban!H$11)*(Calc!$Y$8:$Y$500&gt;0),Calc!$Y$8:$Y$500,99999),Kanban_Helper!$B185),Calc!$Y$8:$Y$500,0))),IF(INDEX(Calc!$V$8:$V$500,MATCH(INDEX(Calc!$D$8:$D$500,MATCH(SMALL(IF((Calc!$K$8:$K$500=Kanban!H$11)*(Calc!$Y$8:$Y$500&gt;0),Calc!$Y$8:$Y$500,99999),Kanban_Helper!$B185),Calc!$Y$8:$Y$500,0)),Calc!$D$8:$D$500,0))="Yes",CONCATENATE(INDEX(Calc!$D$8:$D$500,MATCH(SMALL(IF((Calc!$K$8:$K$500=Kanban!H$11)*(Calc!$Y$8:$Y$500&gt;0),Calc!$Y$8:$Y$500,99999),Kanban_Helper!$B185),Calc!$Y$8:$Y$500,0))," ",Calc!$V$7," ","!"),INDEX(Calc!$D$8:$D$500,MATCH(SMALL(IF((Calc!$K$8:$K$500=Kanban!H$11)*(Calc!$Y$8:$Y$500&gt;0),Calc!$Y$8:$Y$500,99999),Kanban_Helper!$B185),Calc!$Y$8:$Y$500,0))))),"")</f>
        <v/>
      </c>
      <c r="I192" s="39"/>
    </row>
    <row r="193" spans="2:9" x14ac:dyDescent="0.35">
      <c r="B193" s="81"/>
      <c r="C193" s="171" t="str">
        <f t="array" ref="C193">IFERROR(IF(LEN(C$11)=0,"",IF($C$7&lt;&gt;"All",INDEX(Calc!$E$8:$E$500,MATCH(SMALL(IF((Calc!$C$8:$C$500=Kanban!$C$7)*(Calc!$K$8:$K$500=Kanban!C$11)*(Calc!$Y$8:$Y$500&gt;0),Calc!$Y$8:$Y$500,99999),Kanban_Helper!$B186),Calc!$Y$8:$Y$500,0)),INDEX(Calc!$E$8:$E$500,MATCH(SMALL(IF((Calc!$K$8:$K$500=Kanban!C$11)*(Calc!$Y$8:$Y$500&gt;0),Calc!$Y$8:$Y$500,99999),Kanban_Helper!$B186),Calc!$Y$8:$Y$500,0)))),"")</f>
        <v/>
      </c>
      <c r="D193" s="171" t="str">
        <f t="array" ref="D193">IFERROR(IF(LEN(D$11)=0,"",IF($C$7&lt;&gt;"All",INDEX(Calc!$E$8:$E$500,MATCH(SMALL(IF((Calc!$C$8:$C$500=Kanban!$C$7)*(Calc!$K$8:$K$500=Kanban!D$11)*(Calc!$Y$8:$Y$500&gt;0),Calc!$Y$8:$Y$500,99999),Kanban_Helper!$B186),Calc!$Y$8:$Y$500,0)),INDEX(Calc!$E$8:$E$500,MATCH(SMALL(IF((Calc!$K$8:$K$500=Kanban!D$11)*(Calc!$Y$8:$Y$500&gt;0),Calc!$Y$8:$Y$500,99999),Kanban_Helper!$B186),Calc!$Y$8:$Y$500,0)))),"")</f>
        <v/>
      </c>
      <c r="E193" s="171" t="str">
        <f t="array" ref="E193">IFERROR(IF(LEN(E$11)=0,"",IF($C$7&lt;&gt;"All",INDEX(Calc!$E$8:$E$500,MATCH(SMALL(IF((Calc!$C$8:$C$500=Kanban!$C$7)*(Calc!$K$8:$K$500=Kanban!E$11)*(Calc!$Y$8:$Y$500&gt;0),Calc!$Y$8:$Y$500,99999),Kanban_Helper!$B186),Calc!$Y$8:$Y$500,0)),INDEX(Calc!$E$8:$E$500,MATCH(SMALL(IF((Calc!$K$8:$K$500=Kanban!E$11)*(Calc!$Y$8:$Y$500&gt;0),Calc!$Y$8:$Y$500,99999),Kanban_Helper!$B186),Calc!$Y$8:$Y$500,0)))),"")</f>
        <v/>
      </c>
      <c r="F193" s="171" t="str">
        <f t="array" ref="F193">IFERROR(IF(LEN(F$11)=0,"",IF($C$7&lt;&gt;"All",INDEX(Calc!$E$8:$E$500,MATCH(SMALL(IF((Calc!$C$8:$C$500=Kanban!$C$7)*(Calc!$K$8:$K$500=Kanban!F$11)*(Calc!$Y$8:$Y$500&gt;0),Calc!$Y$8:$Y$500,99999),Kanban_Helper!$B186),Calc!$Y$8:$Y$500,0)),INDEX(Calc!$E$8:$E$500,MATCH(SMALL(IF((Calc!$K$8:$K$500=Kanban!F$11)*(Calc!$Y$8:$Y$500&gt;0),Calc!$Y$8:$Y$500,99999),Kanban_Helper!$B186),Calc!$Y$8:$Y$500,0)))),"")</f>
        <v/>
      </c>
      <c r="G193" s="171" t="str">
        <f t="array" ref="G193">IFERROR(IF(LEN(G$11)=0,"",IF($C$7&lt;&gt;"All",INDEX(Calc!$E$8:$E$500,MATCH(SMALL(IF((Calc!$C$8:$C$500=Kanban!$C$7)*(Calc!$K$8:$K$500=Kanban!G$11)*(Calc!$Y$8:$Y$500&gt;0),Calc!$Y$8:$Y$500,99999),Kanban_Helper!$B186),Calc!$Y$8:$Y$500,0)),INDEX(Calc!$E$8:$E$500,MATCH(SMALL(IF((Calc!$K$8:$K$500=Kanban!G$11)*(Calc!$Y$8:$Y$500&gt;0),Calc!$Y$8:$Y$500,99999),Kanban_Helper!$B186),Calc!$Y$8:$Y$500,0)))),"")</f>
        <v/>
      </c>
      <c r="H193" s="171" t="str">
        <f t="array" ref="H193">IFERROR(IF(LEN(H$11)=0,"",IF($C$7&lt;&gt;"All",INDEX(Calc!$E$8:$E$500,MATCH(SMALL(IF((Calc!$C$8:$C$500=Kanban!$C$7)*(Calc!$K$8:$K$500=Kanban!H$11)*(Calc!$Y$8:$Y$500&gt;0),Calc!$Y$8:$Y$500,99999),Kanban_Helper!$B186),Calc!$Y$8:$Y$500,0)),INDEX(Calc!$E$8:$E$500,MATCH(SMALL(IF((Calc!$K$8:$K$500=Kanban!H$11)*(Calc!$Y$8:$Y$500&gt;0),Calc!$Y$8:$Y$500,99999),Kanban_Helper!$B186),Calc!$Y$8:$Y$500,0)))),"")</f>
        <v/>
      </c>
      <c r="I193" s="39"/>
    </row>
    <row r="194" spans="2:9" ht="15" thickBot="1" x14ac:dyDescent="0.4">
      <c r="B194" s="81"/>
      <c r="C194" s="172" t="str">
        <f t="array" ref="C194">IFERROR(IF(LEN(C$11)=0,"",IF($C$7&lt;&gt;"All",IF(LEN(INDEX(Calc!$J$8:$J$500,MATCH(SMALL(IF((Calc!$C$8:$C$500=Kanban!$C$7)*(Calc!$K$8:$K$500=Kanban!C$11)*(Calc!$Y$8:$Y$500&gt;0),Calc!$Y$8:$Y$500,99999),Kanban_Helper!$B187),Calc!$Y$8:$Y$500,0)))=0,"",CONCATENATE(Calc!$AD$6,INDEX(Calc!$J$8:$J$500,MATCH(SMALL(IF((Calc!$C$8:$C$500=Kanban!$C$7)*(Calc!$K$8:$K$500=Kanban!C$11)*(Calc!$Y$8:$Y$500&gt;0),Calc!$Y$8:$Y$500,99999),Kanban_Helper!$B187),Calc!$Y$8:$Y$500,0)))),IF(LEN(INDEX(Calc!$J$8:$J$500,MATCH(SMALL(IF((Calc!$K$8:$K$500=Kanban!C$11)*(Calc!$Y$8:$Y$500&gt;0),Calc!$Y$8:$Y$500,99999),Kanban_Helper!$B187),Calc!$Y$8:$Y$500,0)))=0,"",CONCATENATE(Calc!$AD$6,INDEX(Calc!$J$8:$J$500,MATCH(SMALL(IF((Calc!$K$8:$K$500=Kanban!C$11)*(Calc!$Y$8:$Y$500&gt;0),Calc!$Y$8:$Y$500,99999),Kanban_Helper!$B187),Calc!$Y$8:$Y$500,0)))))),"")</f>
        <v/>
      </c>
      <c r="D194" s="172" t="str">
        <f t="array" ref="D194">IFERROR(IF(LEN(D$11)=0,"",IF($C$7&lt;&gt;"All",IF(LEN(INDEX(Calc!$J$8:$J$500,MATCH(SMALL(IF((Calc!$C$8:$C$500=Kanban!$C$7)*(Calc!$K$8:$K$500=Kanban!D$11)*(Calc!$Y$8:$Y$500&gt;0),Calc!$Y$8:$Y$500,99999),Kanban_Helper!$B187),Calc!$Y$8:$Y$500,0)))=0,"",CONCATENATE(Calc!$AD$6,INDEX(Calc!$J$8:$J$500,MATCH(SMALL(IF((Calc!$C$8:$C$500=Kanban!$C$7)*(Calc!$K$8:$K$500=Kanban!D$11)*(Calc!$Y$8:$Y$500&gt;0),Calc!$Y$8:$Y$500,99999),Kanban_Helper!$B187),Calc!$Y$8:$Y$500,0)))),IF(LEN(INDEX(Calc!$J$8:$J$500,MATCH(SMALL(IF((Calc!$K$8:$K$500=Kanban!D$11)*(Calc!$Y$8:$Y$500&gt;0),Calc!$Y$8:$Y$500,99999),Kanban_Helper!$B187),Calc!$Y$8:$Y$500,0)))=0,"",CONCATENATE(Calc!$AD$6,INDEX(Calc!$J$8:$J$500,MATCH(SMALL(IF((Calc!$K$8:$K$500=Kanban!D$11)*(Calc!$Y$8:$Y$500&gt;0),Calc!$Y$8:$Y$500,99999),Kanban_Helper!$B187),Calc!$Y$8:$Y$500,0)))))),"")</f>
        <v/>
      </c>
      <c r="E194" s="172" t="str">
        <f t="array" ref="E194">IFERROR(IF(LEN(E$11)=0,"",IF($C$7&lt;&gt;"All",IF(LEN(INDEX(Calc!$J$8:$J$500,MATCH(SMALL(IF((Calc!$C$8:$C$500=Kanban!$C$7)*(Calc!$K$8:$K$500=Kanban!E$11)*(Calc!$Y$8:$Y$500&gt;0),Calc!$Y$8:$Y$500,99999),Kanban_Helper!$B187),Calc!$Y$8:$Y$500,0)))=0,"",CONCATENATE(Calc!$AD$6,INDEX(Calc!$J$8:$J$500,MATCH(SMALL(IF((Calc!$C$8:$C$500=Kanban!$C$7)*(Calc!$K$8:$K$500=Kanban!E$11)*(Calc!$Y$8:$Y$500&gt;0),Calc!$Y$8:$Y$500,99999),Kanban_Helper!$B187),Calc!$Y$8:$Y$500,0)))),IF(LEN(INDEX(Calc!$J$8:$J$500,MATCH(SMALL(IF((Calc!$K$8:$K$500=Kanban!E$11)*(Calc!$Y$8:$Y$500&gt;0),Calc!$Y$8:$Y$500,99999),Kanban_Helper!$B187),Calc!$Y$8:$Y$500,0)))=0,"",CONCATENATE(Calc!$AD$6,INDEX(Calc!$J$8:$J$500,MATCH(SMALL(IF((Calc!$K$8:$K$500=Kanban!E$11)*(Calc!$Y$8:$Y$500&gt;0),Calc!$Y$8:$Y$500,99999),Kanban_Helper!$B187),Calc!$Y$8:$Y$500,0)))))),"")</f>
        <v/>
      </c>
      <c r="F194" s="172" t="str">
        <f t="array" ref="F194">IFERROR(IF(LEN(F$11)=0,"",IF($C$7&lt;&gt;"All",IF(LEN(INDEX(Calc!$J$8:$J$500,MATCH(SMALL(IF((Calc!$C$8:$C$500=Kanban!$C$7)*(Calc!$K$8:$K$500=Kanban!F$11)*(Calc!$Y$8:$Y$500&gt;0),Calc!$Y$8:$Y$500,99999),Kanban_Helper!$B187),Calc!$Y$8:$Y$500,0)))=0,"",CONCATENATE(Calc!$AD$6,INDEX(Calc!$J$8:$J$500,MATCH(SMALL(IF((Calc!$C$8:$C$500=Kanban!$C$7)*(Calc!$K$8:$K$500=Kanban!F$11)*(Calc!$Y$8:$Y$500&gt;0),Calc!$Y$8:$Y$500,99999),Kanban_Helper!$B187),Calc!$Y$8:$Y$500,0)))),IF(LEN(INDEX(Calc!$J$8:$J$500,MATCH(SMALL(IF((Calc!$K$8:$K$500=Kanban!F$11)*(Calc!$Y$8:$Y$500&gt;0),Calc!$Y$8:$Y$500,99999),Kanban_Helper!$B187),Calc!$Y$8:$Y$500,0)))=0,"",CONCATENATE(Calc!$AD$6,INDEX(Calc!$J$8:$J$500,MATCH(SMALL(IF((Calc!$K$8:$K$500=Kanban!F$11)*(Calc!$Y$8:$Y$500&gt;0),Calc!$Y$8:$Y$500,99999),Kanban_Helper!$B187),Calc!$Y$8:$Y$500,0)))))),"")</f>
        <v/>
      </c>
      <c r="G194" s="172" t="str">
        <f t="array" ref="G194">IFERROR(IF(LEN(G$11)=0,"",IF($C$7&lt;&gt;"All",IF(LEN(INDEX(Calc!$J$8:$J$500,MATCH(SMALL(IF((Calc!$C$8:$C$500=Kanban!$C$7)*(Calc!$K$8:$K$500=Kanban!G$11)*(Calc!$Y$8:$Y$500&gt;0),Calc!$Y$8:$Y$500,99999),Kanban_Helper!$B187),Calc!$Y$8:$Y$500,0)))=0,"",CONCATENATE(Calc!$AD$6,INDEX(Calc!$J$8:$J$500,MATCH(SMALL(IF((Calc!$C$8:$C$500=Kanban!$C$7)*(Calc!$K$8:$K$500=Kanban!G$11)*(Calc!$Y$8:$Y$500&gt;0),Calc!$Y$8:$Y$500,99999),Kanban_Helper!$B187),Calc!$Y$8:$Y$500,0)))),IF(LEN(INDEX(Calc!$J$8:$J$500,MATCH(SMALL(IF((Calc!$K$8:$K$500=Kanban!G$11)*(Calc!$Y$8:$Y$500&gt;0),Calc!$Y$8:$Y$500,99999),Kanban_Helper!$B187),Calc!$Y$8:$Y$500,0)))=0,"",CONCATENATE(Calc!$AD$6,INDEX(Calc!$J$8:$J$500,MATCH(SMALL(IF((Calc!$K$8:$K$500=Kanban!G$11)*(Calc!$Y$8:$Y$500&gt;0),Calc!$Y$8:$Y$500,99999),Kanban_Helper!$B187),Calc!$Y$8:$Y$500,0)))))),"")</f>
        <v/>
      </c>
      <c r="H194" s="172" t="str">
        <f t="array" ref="H194">IFERROR(IF(LEN(H$11)=0,"",IF($C$7&lt;&gt;"All",IF(LEN(INDEX(Calc!$J$8:$J$500,MATCH(SMALL(IF((Calc!$C$8:$C$500=Kanban!$C$7)*(Calc!$K$8:$K$500=Kanban!H$11)*(Calc!$Y$8:$Y$500&gt;0),Calc!$Y$8:$Y$500,99999),Kanban_Helper!$B187),Calc!$Y$8:$Y$500,0)))=0,"",CONCATENATE(Calc!$AD$6,INDEX(Calc!$J$8:$J$500,MATCH(SMALL(IF((Calc!$C$8:$C$500=Kanban!$C$7)*(Calc!$K$8:$K$500=Kanban!H$11)*(Calc!$Y$8:$Y$500&gt;0),Calc!$Y$8:$Y$500,99999),Kanban_Helper!$B187),Calc!$Y$8:$Y$500,0)))),IF(LEN(INDEX(Calc!$J$8:$J$500,MATCH(SMALL(IF((Calc!$K$8:$K$500=Kanban!H$11)*(Calc!$Y$8:$Y$500&gt;0),Calc!$Y$8:$Y$500,99999),Kanban_Helper!$B187),Calc!$Y$8:$Y$500,0)))=0,"",CONCATENATE(Calc!$AD$6,INDEX(Calc!$J$8:$J$500,MATCH(SMALL(IF((Calc!$K$8:$K$500=Kanban!H$11)*(Calc!$Y$8:$Y$500&gt;0),Calc!$Y$8:$Y$500,99999),Kanban_Helper!$B187),Calc!$Y$8:$Y$500,0)))))),"")</f>
        <v/>
      </c>
      <c r="I194" s="39"/>
    </row>
    <row r="195" spans="2:9" ht="15" thickTop="1" x14ac:dyDescent="0.35">
      <c r="B195" s="81"/>
      <c r="C195" s="170" t="str">
        <f t="array" ref="C195">IFERROR(IF(LEN(C$11)=0,"",IF($C$7&lt;&gt;"All",IF(INDEX(Calc!$V$8:$V$500,MATCH(INDEX(Calc!$D$8:$D$500,MATCH(SMALL(IF((Calc!$C$8:$C$500=Kanban!$C$7)*(Calc!$K$8:$K$500=Kanban!C$11)*(Calc!$Y$8:$Y$500&gt;0),Calc!$Y$8:$Y$500,99999),Kanban_Helper!$B188),Calc!$Y$8:$Y$500,0)),Calc!$D$8:$D$500,0))="Yes",CONCATENATE(INDEX(Calc!$D$8:$D$500,MATCH(SMALL(IF((Calc!$C$8:$C$500=Kanban!$C$7)*(Calc!$K$8:$K$500=Kanban!C$11)*(Calc!$Y$8:$Y$500&gt;0),Calc!$Y$8:$Y$500,99999),Kanban_Helper!$B188),Calc!$Y$8:$Y$500,0))," ",Calc!$V$7," ","!"),INDEX(Calc!$D$8:$D$500,MATCH(SMALL(IF((Calc!$C$8:$C$500=Kanban!$C$7)*(Calc!$K$8:$K$500=Kanban!C$11)*(Calc!$Y$8:$Y$500&gt;0),Calc!$Y$8:$Y$500,99999),Kanban_Helper!$B188),Calc!$Y$8:$Y$500,0))),IF(INDEX(Calc!$V$8:$V$500,MATCH(INDEX(Calc!$D$8:$D$500,MATCH(SMALL(IF((Calc!$K$8:$K$500=Kanban!C$11)*(Calc!$Y$8:$Y$500&gt;0),Calc!$Y$8:$Y$500,99999),Kanban_Helper!$B188),Calc!$Y$8:$Y$500,0)),Calc!$D$8:$D$500,0))="Yes",CONCATENATE(INDEX(Calc!$D$8:$D$500,MATCH(SMALL(IF((Calc!$K$8:$K$500=Kanban!C$11)*(Calc!$Y$8:$Y$500&gt;0),Calc!$Y$8:$Y$500,99999),Kanban_Helper!$B188),Calc!$Y$8:$Y$500,0))," ",Calc!$V$7," ","!"),INDEX(Calc!$D$8:$D$500,MATCH(SMALL(IF((Calc!$K$8:$K$500=Kanban!C$11)*(Calc!$Y$8:$Y$500&gt;0),Calc!$Y$8:$Y$500,99999),Kanban_Helper!$B188),Calc!$Y$8:$Y$500,0))))),"")</f>
        <v/>
      </c>
      <c r="D195" s="170" t="str">
        <f t="array" ref="D195">IFERROR(IF(LEN(D$11)=0,"",IF($C$7&lt;&gt;"All",IF(INDEX(Calc!$V$8:$V$500,MATCH(INDEX(Calc!$D$8:$D$500,MATCH(SMALL(IF((Calc!$C$8:$C$500=Kanban!$C$7)*(Calc!$K$8:$K$500=Kanban!D$11)*(Calc!$Y$8:$Y$500&gt;0),Calc!$Y$8:$Y$500,99999),Kanban_Helper!$B188),Calc!$Y$8:$Y$500,0)),Calc!$D$8:$D$500,0))="Yes",CONCATENATE(INDEX(Calc!$D$8:$D$500,MATCH(SMALL(IF((Calc!$C$8:$C$500=Kanban!$C$7)*(Calc!$K$8:$K$500=Kanban!D$11)*(Calc!$Y$8:$Y$500&gt;0),Calc!$Y$8:$Y$500,99999),Kanban_Helper!$B188),Calc!$Y$8:$Y$500,0))," ",Calc!$V$7," ","!"),INDEX(Calc!$D$8:$D$500,MATCH(SMALL(IF((Calc!$C$8:$C$500=Kanban!$C$7)*(Calc!$K$8:$K$500=Kanban!D$11)*(Calc!$Y$8:$Y$500&gt;0),Calc!$Y$8:$Y$500,99999),Kanban_Helper!$B188),Calc!$Y$8:$Y$500,0))),IF(INDEX(Calc!$V$8:$V$500,MATCH(INDEX(Calc!$D$8:$D$500,MATCH(SMALL(IF((Calc!$K$8:$K$500=Kanban!D$11)*(Calc!$Y$8:$Y$500&gt;0),Calc!$Y$8:$Y$500,99999),Kanban_Helper!$B188),Calc!$Y$8:$Y$500,0)),Calc!$D$8:$D$500,0))="Yes",CONCATENATE(INDEX(Calc!$D$8:$D$500,MATCH(SMALL(IF((Calc!$K$8:$K$500=Kanban!D$11)*(Calc!$Y$8:$Y$500&gt;0),Calc!$Y$8:$Y$500,99999),Kanban_Helper!$B188),Calc!$Y$8:$Y$500,0))," ",Calc!$V$7," ","!"),INDEX(Calc!$D$8:$D$500,MATCH(SMALL(IF((Calc!$K$8:$K$500=Kanban!D$11)*(Calc!$Y$8:$Y$500&gt;0),Calc!$Y$8:$Y$500,99999),Kanban_Helper!$B188),Calc!$Y$8:$Y$500,0))))),"")</f>
        <v/>
      </c>
      <c r="E195" s="170" t="str">
        <f t="array" ref="E195">IFERROR(IF(LEN(E$11)=0,"",IF($C$7&lt;&gt;"All",IF(INDEX(Calc!$V$8:$V$500,MATCH(INDEX(Calc!$D$8:$D$500,MATCH(SMALL(IF((Calc!$C$8:$C$500=Kanban!$C$7)*(Calc!$K$8:$K$500=Kanban!E$11)*(Calc!$Y$8:$Y$500&gt;0),Calc!$Y$8:$Y$500,99999),Kanban_Helper!$B188),Calc!$Y$8:$Y$500,0)),Calc!$D$8:$D$500,0))="Yes",CONCATENATE(INDEX(Calc!$D$8:$D$500,MATCH(SMALL(IF((Calc!$C$8:$C$500=Kanban!$C$7)*(Calc!$K$8:$K$500=Kanban!E$11)*(Calc!$Y$8:$Y$500&gt;0),Calc!$Y$8:$Y$500,99999),Kanban_Helper!$B188),Calc!$Y$8:$Y$500,0))," ",Calc!$V$7," ","!"),INDEX(Calc!$D$8:$D$500,MATCH(SMALL(IF((Calc!$C$8:$C$500=Kanban!$C$7)*(Calc!$K$8:$K$500=Kanban!E$11)*(Calc!$Y$8:$Y$500&gt;0),Calc!$Y$8:$Y$500,99999),Kanban_Helper!$B188),Calc!$Y$8:$Y$500,0))),IF(INDEX(Calc!$V$8:$V$500,MATCH(INDEX(Calc!$D$8:$D$500,MATCH(SMALL(IF((Calc!$K$8:$K$500=Kanban!E$11)*(Calc!$Y$8:$Y$500&gt;0),Calc!$Y$8:$Y$500,99999),Kanban_Helper!$B188),Calc!$Y$8:$Y$500,0)),Calc!$D$8:$D$500,0))="Yes",CONCATENATE(INDEX(Calc!$D$8:$D$500,MATCH(SMALL(IF((Calc!$K$8:$K$500=Kanban!E$11)*(Calc!$Y$8:$Y$500&gt;0),Calc!$Y$8:$Y$500,99999),Kanban_Helper!$B188),Calc!$Y$8:$Y$500,0))," ",Calc!$V$7," ","!"),INDEX(Calc!$D$8:$D$500,MATCH(SMALL(IF((Calc!$K$8:$K$500=Kanban!E$11)*(Calc!$Y$8:$Y$500&gt;0),Calc!$Y$8:$Y$500,99999),Kanban_Helper!$B188),Calc!$Y$8:$Y$500,0))))),"")</f>
        <v/>
      </c>
      <c r="F195" s="170" t="str">
        <f t="array" ref="F195">IFERROR(IF(LEN(F$11)=0,"",IF($C$7&lt;&gt;"All",IF(INDEX(Calc!$V$8:$V$500,MATCH(INDEX(Calc!$D$8:$D$500,MATCH(SMALL(IF((Calc!$C$8:$C$500=Kanban!$C$7)*(Calc!$K$8:$K$500=Kanban!F$11)*(Calc!$Y$8:$Y$500&gt;0),Calc!$Y$8:$Y$500,99999),Kanban_Helper!$B188),Calc!$Y$8:$Y$500,0)),Calc!$D$8:$D$500,0))="Yes",CONCATENATE(INDEX(Calc!$D$8:$D$500,MATCH(SMALL(IF((Calc!$C$8:$C$500=Kanban!$C$7)*(Calc!$K$8:$K$500=Kanban!F$11)*(Calc!$Y$8:$Y$500&gt;0),Calc!$Y$8:$Y$500,99999),Kanban_Helper!$B188),Calc!$Y$8:$Y$500,0))," ",Calc!$V$7," ","!"),INDEX(Calc!$D$8:$D$500,MATCH(SMALL(IF((Calc!$C$8:$C$500=Kanban!$C$7)*(Calc!$K$8:$K$500=Kanban!F$11)*(Calc!$Y$8:$Y$500&gt;0),Calc!$Y$8:$Y$500,99999),Kanban_Helper!$B188),Calc!$Y$8:$Y$500,0))),IF(INDEX(Calc!$V$8:$V$500,MATCH(INDEX(Calc!$D$8:$D$500,MATCH(SMALL(IF((Calc!$K$8:$K$500=Kanban!F$11)*(Calc!$Y$8:$Y$500&gt;0),Calc!$Y$8:$Y$500,99999),Kanban_Helper!$B188),Calc!$Y$8:$Y$500,0)),Calc!$D$8:$D$500,0))="Yes",CONCATENATE(INDEX(Calc!$D$8:$D$500,MATCH(SMALL(IF((Calc!$K$8:$K$500=Kanban!F$11)*(Calc!$Y$8:$Y$500&gt;0),Calc!$Y$8:$Y$500,99999),Kanban_Helper!$B188),Calc!$Y$8:$Y$500,0))," ",Calc!$V$7," ","!"),INDEX(Calc!$D$8:$D$500,MATCH(SMALL(IF((Calc!$K$8:$K$500=Kanban!F$11)*(Calc!$Y$8:$Y$500&gt;0),Calc!$Y$8:$Y$500,99999),Kanban_Helper!$B188),Calc!$Y$8:$Y$500,0))))),"")</f>
        <v/>
      </c>
      <c r="G195" s="170" t="str">
        <f t="array" ref="G195">IFERROR(IF(LEN(G$11)=0,"",IF($C$7&lt;&gt;"All",IF(INDEX(Calc!$V$8:$V$500,MATCH(INDEX(Calc!$D$8:$D$500,MATCH(SMALL(IF((Calc!$C$8:$C$500=Kanban!$C$7)*(Calc!$K$8:$K$500=Kanban!G$11)*(Calc!$Y$8:$Y$500&gt;0),Calc!$Y$8:$Y$500,99999),Kanban_Helper!$B188),Calc!$Y$8:$Y$500,0)),Calc!$D$8:$D$500,0))="Yes",CONCATENATE(INDEX(Calc!$D$8:$D$500,MATCH(SMALL(IF((Calc!$C$8:$C$500=Kanban!$C$7)*(Calc!$K$8:$K$500=Kanban!G$11)*(Calc!$Y$8:$Y$500&gt;0),Calc!$Y$8:$Y$500,99999),Kanban_Helper!$B188),Calc!$Y$8:$Y$500,0))," ",Calc!$V$7," ","!"),INDEX(Calc!$D$8:$D$500,MATCH(SMALL(IF((Calc!$C$8:$C$500=Kanban!$C$7)*(Calc!$K$8:$K$500=Kanban!G$11)*(Calc!$Y$8:$Y$500&gt;0),Calc!$Y$8:$Y$500,99999),Kanban_Helper!$B188),Calc!$Y$8:$Y$500,0))),IF(INDEX(Calc!$V$8:$V$500,MATCH(INDEX(Calc!$D$8:$D$500,MATCH(SMALL(IF((Calc!$K$8:$K$500=Kanban!G$11)*(Calc!$Y$8:$Y$500&gt;0),Calc!$Y$8:$Y$500,99999),Kanban_Helper!$B188),Calc!$Y$8:$Y$500,0)),Calc!$D$8:$D$500,0))="Yes",CONCATENATE(INDEX(Calc!$D$8:$D$500,MATCH(SMALL(IF((Calc!$K$8:$K$500=Kanban!G$11)*(Calc!$Y$8:$Y$500&gt;0),Calc!$Y$8:$Y$500,99999),Kanban_Helper!$B188),Calc!$Y$8:$Y$500,0))," ",Calc!$V$7," ","!"),INDEX(Calc!$D$8:$D$500,MATCH(SMALL(IF((Calc!$K$8:$K$500=Kanban!G$11)*(Calc!$Y$8:$Y$500&gt;0),Calc!$Y$8:$Y$500,99999),Kanban_Helper!$B188),Calc!$Y$8:$Y$500,0))))),"")</f>
        <v/>
      </c>
      <c r="H195" s="170" t="str">
        <f t="array" ref="H195">IFERROR(IF(LEN(H$11)=0,"",IF($C$7&lt;&gt;"All",IF(INDEX(Calc!$V$8:$V$500,MATCH(INDEX(Calc!$D$8:$D$500,MATCH(SMALL(IF((Calc!$C$8:$C$500=Kanban!$C$7)*(Calc!$K$8:$K$500=Kanban!H$11)*(Calc!$Y$8:$Y$500&gt;0),Calc!$Y$8:$Y$500,99999),Kanban_Helper!$B188),Calc!$Y$8:$Y$500,0)),Calc!$D$8:$D$500,0))="Yes",CONCATENATE(INDEX(Calc!$D$8:$D$500,MATCH(SMALL(IF((Calc!$C$8:$C$500=Kanban!$C$7)*(Calc!$K$8:$K$500=Kanban!H$11)*(Calc!$Y$8:$Y$500&gt;0),Calc!$Y$8:$Y$500,99999),Kanban_Helper!$B188),Calc!$Y$8:$Y$500,0))," ",Calc!$V$7," ","!"),INDEX(Calc!$D$8:$D$500,MATCH(SMALL(IF((Calc!$C$8:$C$500=Kanban!$C$7)*(Calc!$K$8:$K$500=Kanban!H$11)*(Calc!$Y$8:$Y$500&gt;0),Calc!$Y$8:$Y$500,99999),Kanban_Helper!$B188),Calc!$Y$8:$Y$500,0))),IF(INDEX(Calc!$V$8:$V$500,MATCH(INDEX(Calc!$D$8:$D$500,MATCH(SMALL(IF((Calc!$K$8:$K$500=Kanban!H$11)*(Calc!$Y$8:$Y$500&gt;0),Calc!$Y$8:$Y$500,99999),Kanban_Helper!$B188),Calc!$Y$8:$Y$500,0)),Calc!$D$8:$D$500,0))="Yes",CONCATENATE(INDEX(Calc!$D$8:$D$500,MATCH(SMALL(IF((Calc!$K$8:$K$500=Kanban!H$11)*(Calc!$Y$8:$Y$500&gt;0),Calc!$Y$8:$Y$500,99999),Kanban_Helper!$B188),Calc!$Y$8:$Y$500,0))," ",Calc!$V$7," ","!"),INDEX(Calc!$D$8:$D$500,MATCH(SMALL(IF((Calc!$K$8:$K$500=Kanban!H$11)*(Calc!$Y$8:$Y$500&gt;0),Calc!$Y$8:$Y$500,99999),Kanban_Helper!$B188),Calc!$Y$8:$Y$500,0))))),"")</f>
        <v/>
      </c>
      <c r="I195" s="39"/>
    </row>
    <row r="196" spans="2:9" x14ac:dyDescent="0.35">
      <c r="B196" s="81"/>
      <c r="C196" s="171" t="str">
        <f t="array" ref="C196">IFERROR(IF(LEN(C$11)=0,"",IF($C$7&lt;&gt;"All",INDEX(Calc!$E$8:$E$500,MATCH(SMALL(IF((Calc!$C$8:$C$500=Kanban!$C$7)*(Calc!$K$8:$K$500=Kanban!C$11)*(Calc!$Y$8:$Y$500&gt;0),Calc!$Y$8:$Y$500,99999),Kanban_Helper!$B189),Calc!$Y$8:$Y$500,0)),INDEX(Calc!$E$8:$E$500,MATCH(SMALL(IF((Calc!$K$8:$K$500=Kanban!C$11)*(Calc!$Y$8:$Y$500&gt;0),Calc!$Y$8:$Y$500,99999),Kanban_Helper!$B189),Calc!$Y$8:$Y$500,0)))),"")</f>
        <v/>
      </c>
      <c r="D196" s="171" t="str">
        <f t="array" ref="D196">IFERROR(IF(LEN(D$11)=0,"",IF($C$7&lt;&gt;"All",INDEX(Calc!$E$8:$E$500,MATCH(SMALL(IF((Calc!$C$8:$C$500=Kanban!$C$7)*(Calc!$K$8:$K$500=Kanban!D$11)*(Calc!$Y$8:$Y$500&gt;0),Calc!$Y$8:$Y$500,99999),Kanban_Helper!$B189),Calc!$Y$8:$Y$500,0)),INDEX(Calc!$E$8:$E$500,MATCH(SMALL(IF((Calc!$K$8:$K$500=Kanban!D$11)*(Calc!$Y$8:$Y$500&gt;0),Calc!$Y$8:$Y$500,99999),Kanban_Helper!$B189),Calc!$Y$8:$Y$500,0)))),"")</f>
        <v/>
      </c>
      <c r="E196" s="171" t="str">
        <f t="array" ref="E196">IFERROR(IF(LEN(E$11)=0,"",IF($C$7&lt;&gt;"All",INDEX(Calc!$E$8:$E$500,MATCH(SMALL(IF((Calc!$C$8:$C$500=Kanban!$C$7)*(Calc!$K$8:$K$500=Kanban!E$11)*(Calc!$Y$8:$Y$500&gt;0),Calc!$Y$8:$Y$500,99999),Kanban_Helper!$B189),Calc!$Y$8:$Y$500,0)),INDEX(Calc!$E$8:$E$500,MATCH(SMALL(IF((Calc!$K$8:$K$500=Kanban!E$11)*(Calc!$Y$8:$Y$500&gt;0),Calc!$Y$8:$Y$500,99999),Kanban_Helper!$B189),Calc!$Y$8:$Y$500,0)))),"")</f>
        <v/>
      </c>
      <c r="F196" s="171" t="str">
        <f t="array" ref="F196">IFERROR(IF(LEN(F$11)=0,"",IF($C$7&lt;&gt;"All",INDEX(Calc!$E$8:$E$500,MATCH(SMALL(IF((Calc!$C$8:$C$500=Kanban!$C$7)*(Calc!$K$8:$K$500=Kanban!F$11)*(Calc!$Y$8:$Y$500&gt;0),Calc!$Y$8:$Y$500,99999),Kanban_Helper!$B189),Calc!$Y$8:$Y$500,0)),INDEX(Calc!$E$8:$E$500,MATCH(SMALL(IF((Calc!$K$8:$K$500=Kanban!F$11)*(Calc!$Y$8:$Y$500&gt;0),Calc!$Y$8:$Y$500,99999),Kanban_Helper!$B189),Calc!$Y$8:$Y$500,0)))),"")</f>
        <v/>
      </c>
      <c r="G196" s="171" t="str">
        <f t="array" ref="G196">IFERROR(IF(LEN(G$11)=0,"",IF($C$7&lt;&gt;"All",INDEX(Calc!$E$8:$E$500,MATCH(SMALL(IF((Calc!$C$8:$C$500=Kanban!$C$7)*(Calc!$K$8:$K$500=Kanban!G$11)*(Calc!$Y$8:$Y$500&gt;0),Calc!$Y$8:$Y$500,99999),Kanban_Helper!$B189),Calc!$Y$8:$Y$500,0)),INDEX(Calc!$E$8:$E$500,MATCH(SMALL(IF((Calc!$K$8:$K$500=Kanban!G$11)*(Calc!$Y$8:$Y$500&gt;0),Calc!$Y$8:$Y$500,99999),Kanban_Helper!$B189),Calc!$Y$8:$Y$500,0)))),"")</f>
        <v/>
      </c>
      <c r="H196" s="171" t="str">
        <f t="array" ref="H196">IFERROR(IF(LEN(H$11)=0,"",IF($C$7&lt;&gt;"All",INDEX(Calc!$E$8:$E$500,MATCH(SMALL(IF((Calc!$C$8:$C$500=Kanban!$C$7)*(Calc!$K$8:$K$500=Kanban!H$11)*(Calc!$Y$8:$Y$500&gt;0),Calc!$Y$8:$Y$500,99999),Kanban_Helper!$B189),Calc!$Y$8:$Y$500,0)),INDEX(Calc!$E$8:$E$500,MATCH(SMALL(IF((Calc!$K$8:$K$500=Kanban!H$11)*(Calc!$Y$8:$Y$500&gt;0),Calc!$Y$8:$Y$500,99999),Kanban_Helper!$B189),Calc!$Y$8:$Y$500,0)))),"")</f>
        <v/>
      </c>
      <c r="I196" s="39"/>
    </row>
    <row r="197" spans="2:9" ht="15" thickBot="1" x14ac:dyDescent="0.4">
      <c r="B197" s="81"/>
      <c r="C197" s="172" t="str">
        <f t="array" ref="C197">IFERROR(IF(LEN(C$11)=0,"",IF($C$7&lt;&gt;"All",IF(LEN(INDEX(Calc!$J$8:$J$500,MATCH(SMALL(IF((Calc!$C$8:$C$500=Kanban!$C$7)*(Calc!$K$8:$K$500=Kanban!C$11)*(Calc!$Y$8:$Y$500&gt;0),Calc!$Y$8:$Y$500,99999),Kanban_Helper!$B190),Calc!$Y$8:$Y$500,0)))=0,"",CONCATENATE(Calc!$AD$6,INDEX(Calc!$J$8:$J$500,MATCH(SMALL(IF((Calc!$C$8:$C$500=Kanban!$C$7)*(Calc!$K$8:$K$500=Kanban!C$11)*(Calc!$Y$8:$Y$500&gt;0),Calc!$Y$8:$Y$500,99999),Kanban_Helper!$B190),Calc!$Y$8:$Y$500,0)))),IF(LEN(INDEX(Calc!$J$8:$J$500,MATCH(SMALL(IF((Calc!$K$8:$K$500=Kanban!C$11)*(Calc!$Y$8:$Y$500&gt;0),Calc!$Y$8:$Y$500,99999),Kanban_Helper!$B190),Calc!$Y$8:$Y$500,0)))=0,"",CONCATENATE(Calc!$AD$6,INDEX(Calc!$J$8:$J$500,MATCH(SMALL(IF((Calc!$K$8:$K$500=Kanban!C$11)*(Calc!$Y$8:$Y$500&gt;0),Calc!$Y$8:$Y$500,99999),Kanban_Helper!$B190),Calc!$Y$8:$Y$500,0)))))),"")</f>
        <v/>
      </c>
      <c r="D197" s="172" t="str">
        <f t="array" ref="D197">IFERROR(IF(LEN(D$11)=0,"",IF($C$7&lt;&gt;"All",IF(LEN(INDEX(Calc!$J$8:$J$500,MATCH(SMALL(IF((Calc!$C$8:$C$500=Kanban!$C$7)*(Calc!$K$8:$K$500=Kanban!D$11)*(Calc!$Y$8:$Y$500&gt;0),Calc!$Y$8:$Y$500,99999),Kanban_Helper!$B190),Calc!$Y$8:$Y$500,0)))=0,"",CONCATENATE(Calc!$AD$6,INDEX(Calc!$J$8:$J$500,MATCH(SMALL(IF((Calc!$C$8:$C$500=Kanban!$C$7)*(Calc!$K$8:$K$500=Kanban!D$11)*(Calc!$Y$8:$Y$500&gt;0),Calc!$Y$8:$Y$500,99999),Kanban_Helper!$B190),Calc!$Y$8:$Y$500,0)))),IF(LEN(INDEX(Calc!$J$8:$J$500,MATCH(SMALL(IF((Calc!$K$8:$K$500=Kanban!D$11)*(Calc!$Y$8:$Y$500&gt;0),Calc!$Y$8:$Y$500,99999),Kanban_Helper!$B190),Calc!$Y$8:$Y$500,0)))=0,"",CONCATENATE(Calc!$AD$6,INDEX(Calc!$J$8:$J$500,MATCH(SMALL(IF((Calc!$K$8:$K$500=Kanban!D$11)*(Calc!$Y$8:$Y$500&gt;0),Calc!$Y$8:$Y$500,99999),Kanban_Helper!$B190),Calc!$Y$8:$Y$500,0)))))),"")</f>
        <v/>
      </c>
      <c r="E197" s="172" t="str">
        <f t="array" ref="E197">IFERROR(IF(LEN(E$11)=0,"",IF($C$7&lt;&gt;"All",IF(LEN(INDEX(Calc!$J$8:$J$500,MATCH(SMALL(IF((Calc!$C$8:$C$500=Kanban!$C$7)*(Calc!$K$8:$K$500=Kanban!E$11)*(Calc!$Y$8:$Y$500&gt;0),Calc!$Y$8:$Y$500,99999),Kanban_Helper!$B190),Calc!$Y$8:$Y$500,0)))=0,"",CONCATENATE(Calc!$AD$6,INDEX(Calc!$J$8:$J$500,MATCH(SMALL(IF((Calc!$C$8:$C$500=Kanban!$C$7)*(Calc!$K$8:$K$500=Kanban!E$11)*(Calc!$Y$8:$Y$500&gt;0),Calc!$Y$8:$Y$500,99999),Kanban_Helper!$B190),Calc!$Y$8:$Y$500,0)))),IF(LEN(INDEX(Calc!$J$8:$J$500,MATCH(SMALL(IF((Calc!$K$8:$K$500=Kanban!E$11)*(Calc!$Y$8:$Y$500&gt;0),Calc!$Y$8:$Y$500,99999),Kanban_Helper!$B190),Calc!$Y$8:$Y$500,0)))=0,"",CONCATENATE(Calc!$AD$6,INDEX(Calc!$J$8:$J$500,MATCH(SMALL(IF((Calc!$K$8:$K$500=Kanban!E$11)*(Calc!$Y$8:$Y$500&gt;0),Calc!$Y$8:$Y$500,99999),Kanban_Helper!$B190),Calc!$Y$8:$Y$500,0)))))),"")</f>
        <v/>
      </c>
      <c r="F197" s="172" t="str">
        <f t="array" ref="F197">IFERROR(IF(LEN(F$11)=0,"",IF($C$7&lt;&gt;"All",IF(LEN(INDEX(Calc!$J$8:$J$500,MATCH(SMALL(IF((Calc!$C$8:$C$500=Kanban!$C$7)*(Calc!$K$8:$K$500=Kanban!F$11)*(Calc!$Y$8:$Y$500&gt;0),Calc!$Y$8:$Y$500,99999),Kanban_Helper!$B190),Calc!$Y$8:$Y$500,0)))=0,"",CONCATENATE(Calc!$AD$6,INDEX(Calc!$J$8:$J$500,MATCH(SMALL(IF((Calc!$C$8:$C$500=Kanban!$C$7)*(Calc!$K$8:$K$500=Kanban!F$11)*(Calc!$Y$8:$Y$500&gt;0),Calc!$Y$8:$Y$500,99999),Kanban_Helper!$B190),Calc!$Y$8:$Y$500,0)))),IF(LEN(INDEX(Calc!$J$8:$J$500,MATCH(SMALL(IF((Calc!$K$8:$K$500=Kanban!F$11)*(Calc!$Y$8:$Y$500&gt;0),Calc!$Y$8:$Y$500,99999),Kanban_Helper!$B190),Calc!$Y$8:$Y$500,0)))=0,"",CONCATENATE(Calc!$AD$6,INDEX(Calc!$J$8:$J$500,MATCH(SMALL(IF((Calc!$K$8:$K$500=Kanban!F$11)*(Calc!$Y$8:$Y$500&gt;0),Calc!$Y$8:$Y$500,99999),Kanban_Helper!$B190),Calc!$Y$8:$Y$500,0)))))),"")</f>
        <v/>
      </c>
      <c r="G197" s="172" t="str">
        <f t="array" ref="G197">IFERROR(IF(LEN(G$11)=0,"",IF($C$7&lt;&gt;"All",IF(LEN(INDEX(Calc!$J$8:$J$500,MATCH(SMALL(IF((Calc!$C$8:$C$500=Kanban!$C$7)*(Calc!$K$8:$K$500=Kanban!G$11)*(Calc!$Y$8:$Y$500&gt;0),Calc!$Y$8:$Y$500,99999),Kanban_Helper!$B190),Calc!$Y$8:$Y$500,0)))=0,"",CONCATENATE(Calc!$AD$6,INDEX(Calc!$J$8:$J$500,MATCH(SMALL(IF((Calc!$C$8:$C$500=Kanban!$C$7)*(Calc!$K$8:$K$500=Kanban!G$11)*(Calc!$Y$8:$Y$500&gt;0),Calc!$Y$8:$Y$500,99999),Kanban_Helper!$B190),Calc!$Y$8:$Y$500,0)))),IF(LEN(INDEX(Calc!$J$8:$J$500,MATCH(SMALL(IF((Calc!$K$8:$K$500=Kanban!G$11)*(Calc!$Y$8:$Y$500&gt;0),Calc!$Y$8:$Y$500,99999),Kanban_Helper!$B190),Calc!$Y$8:$Y$500,0)))=0,"",CONCATENATE(Calc!$AD$6,INDEX(Calc!$J$8:$J$500,MATCH(SMALL(IF((Calc!$K$8:$K$500=Kanban!G$11)*(Calc!$Y$8:$Y$500&gt;0),Calc!$Y$8:$Y$500,99999),Kanban_Helper!$B190),Calc!$Y$8:$Y$500,0)))))),"")</f>
        <v/>
      </c>
      <c r="H197" s="172" t="str">
        <f t="array" ref="H197">IFERROR(IF(LEN(H$11)=0,"",IF($C$7&lt;&gt;"All",IF(LEN(INDEX(Calc!$J$8:$J$500,MATCH(SMALL(IF((Calc!$C$8:$C$500=Kanban!$C$7)*(Calc!$K$8:$K$500=Kanban!H$11)*(Calc!$Y$8:$Y$500&gt;0),Calc!$Y$8:$Y$500,99999),Kanban_Helper!$B190),Calc!$Y$8:$Y$500,0)))=0,"",CONCATENATE(Calc!$AD$6,INDEX(Calc!$J$8:$J$500,MATCH(SMALL(IF((Calc!$C$8:$C$500=Kanban!$C$7)*(Calc!$K$8:$K$500=Kanban!H$11)*(Calc!$Y$8:$Y$500&gt;0),Calc!$Y$8:$Y$500,99999),Kanban_Helper!$B190),Calc!$Y$8:$Y$500,0)))),IF(LEN(INDEX(Calc!$J$8:$J$500,MATCH(SMALL(IF((Calc!$K$8:$K$500=Kanban!H$11)*(Calc!$Y$8:$Y$500&gt;0),Calc!$Y$8:$Y$500,99999),Kanban_Helper!$B190),Calc!$Y$8:$Y$500,0)))=0,"",CONCATENATE(Calc!$AD$6,INDEX(Calc!$J$8:$J$500,MATCH(SMALL(IF((Calc!$K$8:$K$500=Kanban!H$11)*(Calc!$Y$8:$Y$500&gt;0),Calc!$Y$8:$Y$500,99999),Kanban_Helper!$B190),Calc!$Y$8:$Y$500,0)))))),"")</f>
        <v/>
      </c>
      <c r="I197" s="39"/>
    </row>
    <row r="198" spans="2:9" ht="15" thickTop="1" x14ac:dyDescent="0.35">
      <c r="B198" s="81"/>
      <c r="C198" s="170" t="str">
        <f t="array" ref="C198">IFERROR(IF(LEN(C$11)=0,"",IF($C$7&lt;&gt;"All",IF(INDEX(Calc!$V$8:$V$500,MATCH(INDEX(Calc!$D$8:$D$500,MATCH(SMALL(IF((Calc!$C$8:$C$500=Kanban!$C$7)*(Calc!$K$8:$K$500=Kanban!C$11)*(Calc!$Y$8:$Y$500&gt;0),Calc!$Y$8:$Y$500,99999),Kanban_Helper!$B191),Calc!$Y$8:$Y$500,0)),Calc!$D$8:$D$500,0))="Yes",CONCATENATE(INDEX(Calc!$D$8:$D$500,MATCH(SMALL(IF((Calc!$C$8:$C$500=Kanban!$C$7)*(Calc!$K$8:$K$500=Kanban!C$11)*(Calc!$Y$8:$Y$500&gt;0),Calc!$Y$8:$Y$500,99999),Kanban_Helper!$B191),Calc!$Y$8:$Y$500,0))," ",Calc!$V$7," ","!"),INDEX(Calc!$D$8:$D$500,MATCH(SMALL(IF((Calc!$C$8:$C$500=Kanban!$C$7)*(Calc!$K$8:$K$500=Kanban!C$11)*(Calc!$Y$8:$Y$500&gt;0),Calc!$Y$8:$Y$500,99999),Kanban_Helper!$B191),Calc!$Y$8:$Y$500,0))),IF(INDEX(Calc!$V$8:$V$500,MATCH(INDEX(Calc!$D$8:$D$500,MATCH(SMALL(IF((Calc!$K$8:$K$500=Kanban!C$11)*(Calc!$Y$8:$Y$500&gt;0),Calc!$Y$8:$Y$500,99999),Kanban_Helper!$B191),Calc!$Y$8:$Y$500,0)),Calc!$D$8:$D$500,0))="Yes",CONCATENATE(INDEX(Calc!$D$8:$D$500,MATCH(SMALL(IF((Calc!$K$8:$K$500=Kanban!C$11)*(Calc!$Y$8:$Y$500&gt;0),Calc!$Y$8:$Y$500,99999),Kanban_Helper!$B191),Calc!$Y$8:$Y$500,0))," ",Calc!$V$7," ","!"),INDEX(Calc!$D$8:$D$500,MATCH(SMALL(IF((Calc!$K$8:$K$500=Kanban!C$11)*(Calc!$Y$8:$Y$500&gt;0),Calc!$Y$8:$Y$500,99999),Kanban_Helper!$B191),Calc!$Y$8:$Y$500,0))))),"")</f>
        <v/>
      </c>
      <c r="D198" s="170" t="str">
        <f t="array" ref="D198">IFERROR(IF(LEN(D$11)=0,"",IF($C$7&lt;&gt;"All",IF(INDEX(Calc!$V$8:$V$500,MATCH(INDEX(Calc!$D$8:$D$500,MATCH(SMALL(IF((Calc!$C$8:$C$500=Kanban!$C$7)*(Calc!$K$8:$K$500=Kanban!D$11)*(Calc!$Y$8:$Y$500&gt;0),Calc!$Y$8:$Y$500,99999),Kanban_Helper!$B191),Calc!$Y$8:$Y$500,0)),Calc!$D$8:$D$500,0))="Yes",CONCATENATE(INDEX(Calc!$D$8:$D$500,MATCH(SMALL(IF((Calc!$C$8:$C$500=Kanban!$C$7)*(Calc!$K$8:$K$500=Kanban!D$11)*(Calc!$Y$8:$Y$500&gt;0),Calc!$Y$8:$Y$500,99999),Kanban_Helper!$B191),Calc!$Y$8:$Y$500,0))," ",Calc!$V$7," ","!"),INDEX(Calc!$D$8:$D$500,MATCH(SMALL(IF((Calc!$C$8:$C$500=Kanban!$C$7)*(Calc!$K$8:$K$500=Kanban!D$11)*(Calc!$Y$8:$Y$500&gt;0),Calc!$Y$8:$Y$500,99999),Kanban_Helper!$B191),Calc!$Y$8:$Y$500,0))),IF(INDEX(Calc!$V$8:$V$500,MATCH(INDEX(Calc!$D$8:$D$500,MATCH(SMALL(IF((Calc!$K$8:$K$500=Kanban!D$11)*(Calc!$Y$8:$Y$500&gt;0),Calc!$Y$8:$Y$500,99999),Kanban_Helper!$B191),Calc!$Y$8:$Y$500,0)),Calc!$D$8:$D$500,0))="Yes",CONCATENATE(INDEX(Calc!$D$8:$D$500,MATCH(SMALL(IF((Calc!$K$8:$K$500=Kanban!D$11)*(Calc!$Y$8:$Y$500&gt;0),Calc!$Y$8:$Y$500,99999),Kanban_Helper!$B191),Calc!$Y$8:$Y$500,0))," ",Calc!$V$7," ","!"),INDEX(Calc!$D$8:$D$500,MATCH(SMALL(IF((Calc!$K$8:$K$500=Kanban!D$11)*(Calc!$Y$8:$Y$500&gt;0),Calc!$Y$8:$Y$500,99999),Kanban_Helper!$B191),Calc!$Y$8:$Y$500,0))))),"")</f>
        <v/>
      </c>
      <c r="E198" s="170" t="str">
        <f t="array" ref="E198">IFERROR(IF(LEN(E$11)=0,"",IF($C$7&lt;&gt;"All",IF(INDEX(Calc!$V$8:$V$500,MATCH(INDEX(Calc!$D$8:$D$500,MATCH(SMALL(IF((Calc!$C$8:$C$500=Kanban!$C$7)*(Calc!$K$8:$K$500=Kanban!E$11)*(Calc!$Y$8:$Y$500&gt;0),Calc!$Y$8:$Y$500,99999),Kanban_Helper!$B191),Calc!$Y$8:$Y$500,0)),Calc!$D$8:$D$500,0))="Yes",CONCATENATE(INDEX(Calc!$D$8:$D$500,MATCH(SMALL(IF((Calc!$C$8:$C$500=Kanban!$C$7)*(Calc!$K$8:$K$500=Kanban!E$11)*(Calc!$Y$8:$Y$500&gt;0),Calc!$Y$8:$Y$500,99999),Kanban_Helper!$B191),Calc!$Y$8:$Y$500,0))," ",Calc!$V$7," ","!"),INDEX(Calc!$D$8:$D$500,MATCH(SMALL(IF((Calc!$C$8:$C$500=Kanban!$C$7)*(Calc!$K$8:$K$500=Kanban!E$11)*(Calc!$Y$8:$Y$500&gt;0),Calc!$Y$8:$Y$500,99999),Kanban_Helper!$B191),Calc!$Y$8:$Y$500,0))),IF(INDEX(Calc!$V$8:$V$500,MATCH(INDEX(Calc!$D$8:$D$500,MATCH(SMALL(IF((Calc!$K$8:$K$500=Kanban!E$11)*(Calc!$Y$8:$Y$500&gt;0),Calc!$Y$8:$Y$500,99999),Kanban_Helper!$B191),Calc!$Y$8:$Y$500,0)),Calc!$D$8:$D$500,0))="Yes",CONCATENATE(INDEX(Calc!$D$8:$D$500,MATCH(SMALL(IF((Calc!$K$8:$K$500=Kanban!E$11)*(Calc!$Y$8:$Y$500&gt;0),Calc!$Y$8:$Y$500,99999),Kanban_Helper!$B191),Calc!$Y$8:$Y$500,0))," ",Calc!$V$7," ","!"),INDEX(Calc!$D$8:$D$500,MATCH(SMALL(IF((Calc!$K$8:$K$500=Kanban!E$11)*(Calc!$Y$8:$Y$500&gt;0),Calc!$Y$8:$Y$500,99999),Kanban_Helper!$B191),Calc!$Y$8:$Y$500,0))))),"")</f>
        <v/>
      </c>
      <c r="F198" s="170" t="str">
        <f t="array" ref="F198">IFERROR(IF(LEN(F$11)=0,"",IF($C$7&lt;&gt;"All",IF(INDEX(Calc!$V$8:$V$500,MATCH(INDEX(Calc!$D$8:$D$500,MATCH(SMALL(IF((Calc!$C$8:$C$500=Kanban!$C$7)*(Calc!$K$8:$K$500=Kanban!F$11)*(Calc!$Y$8:$Y$500&gt;0),Calc!$Y$8:$Y$500,99999),Kanban_Helper!$B191),Calc!$Y$8:$Y$500,0)),Calc!$D$8:$D$500,0))="Yes",CONCATENATE(INDEX(Calc!$D$8:$D$500,MATCH(SMALL(IF((Calc!$C$8:$C$500=Kanban!$C$7)*(Calc!$K$8:$K$500=Kanban!F$11)*(Calc!$Y$8:$Y$500&gt;0),Calc!$Y$8:$Y$500,99999),Kanban_Helper!$B191),Calc!$Y$8:$Y$500,0))," ",Calc!$V$7," ","!"),INDEX(Calc!$D$8:$D$500,MATCH(SMALL(IF((Calc!$C$8:$C$500=Kanban!$C$7)*(Calc!$K$8:$K$500=Kanban!F$11)*(Calc!$Y$8:$Y$500&gt;0),Calc!$Y$8:$Y$500,99999),Kanban_Helper!$B191),Calc!$Y$8:$Y$500,0))),IF(INDEX(Calc!$V$8:$V$500,MATCH(INDEX(Calc!$D$8:$D$500,MATCH(SMALL(IF((Calc!$K$8:$K$500=Kanban!F$11)*(Calc!$Y$8:$Y$500&gt;0),Calc!$Y$8:$Y$500,99999),Kanban_Helper!$B191),Calc!$Y$8:$Y$500,0)),Calc!$D$8:$D$500,0))="Yes",CONCATENATE(INDEX(Calc!$D$8:$D$500,MATCH(SMALL(IF((Calc!$K$8:$K$500=Kanban!F$11)*(Calc!$Y$8:$Y$500&gt;0),Calc!$Y$8:$Y$500,99999),Kanban_Helper!$B191),Calc!$Y$8:$Y$500,0))," ",Calc!$V$7," ","!"),INDEX(Calc!$D$8:$D$500,MATCH(SMALL(IF((Calc!$K$8:$K$500=Kanban!F$11)*(Calc!$Y$8:$Y$500&gt;0),Calc!$Y$8:$Y$500,99999),Kanban_Helper!$B191),Calc!$Y$8:$Y$500,0))))),"")</f>
        <v/>
      </c>
      <c r="G198" s="170" t="str">
        <f t="array" ref="G198">IFERROR(IF(LEN(G$11)=0,"",IF($C$7&lt;&gt;"All",IF(INDEX(Calc!$V$8:$V$500,MATCH(INDEX(Calc!$D$8:$D$500,MATCH(SMALL(IF((Calc!$C$8:$C$500=Kanban!$C$7)*(Calc!$K$8:$K$500=Kanban!G$11)*(Calc!$Y$8:$Y$500&gt;0),Calc!$Y$8:$Y$500,99999),Kanban_Helper!$B191),Calc!$Y$8:$Y$500,0)),Calc!$D$8:$D$500,0))="Yes",CONCATENATE(INDEX(Calc!$D$8:$D$500,MATCH(SMALL(IF((Calc!$C$8:$C$500=Kanban!$C$7)*(Calc!$K$8:$K$500=Kanban!G$11)*(Calc!$Y$8:$Y$500&gt;0),Calc!$Y$8:$Y$500,99999),Kanban_Helper!$B191),Calc!$Y$8:$Y$500,0))," ",Calc!$V$7," ","!"),INDEX(Calc!$D$8:$D$500,MATCH(SMALL(IF((Calc!$C$8:$C$500=Kanban!$C$7)*(Calc!$K$8:$K$500=Kanban!G$11)*(Calc!$Y$8:$Y$500&gt;0),Calc!$Y$8:$Y$500,99999),Kanban_Helper!$B191),Calc!$Y$8:$Y$500,0))),IF(INDEX(Calc!$V$8:$V$500,MATCH(INDEX(Calc!$D$8:$D$500,MATCH(SMALL(IF((Calc!$K$8:$K$500=Kanban!G$11)*(Calc!$Y$8:$Y$500&gt;0),Calc!$Y$8:$Y$500,99999),Kanban_Helper!$B191),Calc!$Y$8:$Y$500,0)),Calc!$D$8:$D$500,0))="Yes",CONCATENATE(INDEX(Calc!$D$8:$D$500,MATCH(SMALL(IF((Calc!$K$8:$K$500=Kanban!G$11)*(Calc!$Y$8:$Y$500&gt;0),Calc!$Y$8:$Y$500,99999),Kanban_Helper!$B191),Calc!$Y$8:$Y$500,0))," ",Calc!$V$7," ","!"),INDEX(Calc!$D$8:$D$500,MATCH(SMALL(IF((Calc!$K$8:$K$500=Kanban!G$11)*(Calc!$Y$8:$Y$500&gt;0),Calc!$Y$8:$Y$500,99999),Kanban_Helper!$B191),Calc!$Y$8:$Y$500,0))))),"")</f>
        <v/>
      </c>
      <c r="H198" s="170" t="str">
        <f t="array" ref="H198">IFERROR(IF(LEN(H$11)=0,"",IF($C$7&lt;&gt;"All",IF(INDEX(Calc!$V$8:$V$500,MATCH(INDEX(Calc!$D$8:$D$500,MATCH(SMALL(IF((Calc!$C$8:$C$500=Kanban!$C$7)*(Calc!$K$8:$K$500=Kanban!H$11)*(Calc!$Y$8:$Y$500&gt;0),Calc!$Y$8:$Y$500,99999),Kanban_Helper!$B191),Calc!$Y$8:$Y$500,0)),Calc!$D$8:$D$500,0))="Yes",CONCATENATE(INDEX(Calc!$D$8:$D$500,MATCH(SMALL(IF((Calc!$C$8:$C$500=Kanban!$C$7)*(Calc!$K$8:$K$500=Kanban!H$11)*(Calc!$Y$8:$Y$500&gt;0),Calc!$Y$8:$Y$500,99999),Kanban_Helper!$B191),Calc!$Y$8:$Y$500,0))," ",Calc!$V$7," ","!"),INDEX(Calc!$D$8:$D$500,MATCH(SMALL(IF((Calc!$C$8:$C$500=Kanban!$C$7)*(Calc!$K$8:$K$500=Kanban!H$11)*(Calc!$Y$8:$Y$500&gt;0),Calc!$Y$8:$Y$500,99999),Kanban_Helper!$B191),Calc!$Y$8:$Y$500,0))),IF(INDEX(Calc!$V$8:$V$500,MATCH(INDEX(Calc!$D$8:$D$500,MATCH(SMALL(IF((Calc!$K$8:$K$500=Kanban!H$11)*(Calc!$Y$8:$Y$500&gt;0),Calc!$Y$8:$Y$500,99999),Kanban_Helper!$B191),Calc!$Y$8:$Y$500,0)),Calc!$D$8:$D$500,0))="Yes",CONCATENATE(INDEX(Calc!$D$8:$D$500,MATCH(SMALL(IF((Calc!$K$8:$K$500=Kanban!H$11)*(Calc!$Y$8:$Y$500&gt;0),Calc!$Y$8:$Y$500,99999),Kanban_Helper!$B191),Calc!$Y$8:$Y$500,0))," ",Calc!$V$7," ","!"),INDEX(Calc!$D$8:$D$500,MATCH(SMALL(IF((Calc!$K$8:$K$500=Kanban!H$11)*(Calc!$Y$8:$Y$500&gt;0),Calc!$Y$8:$Y$500,99999),Kanban_Helper!$B191),Calc!$Y$8:$Y$500,0))))),"")</f>
        <v/>
      </c>
      <c r="I198" s="39"/>
    </row>
    <row r="199" spans="2:9" x14ac:dyDescent="0.35">
      <c r="B199" s="81"/>
      <c r="C199" s="171" t="str">
        <f t="array" ref="C199">IFERROR(IF(LEN(C$11)=0,"",IF($C$7&lt;&gt;"All",INDEX(Calc!$E$8:$E$500,MATCH(SMALL(IF((Calc!$C$8:$C$500=Kanban!$C$7)*(Calc!$K$8:$K$500=Kanban!C$11)*(Calc!$Y$8:$Y$500&gt;0),Calc!$Y$8:$Y$500,99999),Kanban_Helper!$B192),Calc!$Y$8:$Y$500,0)),INDEX(Calc!$E$8:$E$500,MATCH(SMALL(IF((Calc!$K$8:$K$500=Kanban!C$11)*(Calc!$Y$8:$Y$500&gt;0),Calc!$Y$8:$Y$500,99999),Kanban_Helper!$B192),Calc!$Y$8:$Y$500,0)))),"")</f>
        <v/>
      </c>
      <c r="D199" s="171" t="str">
        <f t="array" ref="D199">IFERROR(IF(LEN(D$11)=0,"",IF($C$7&lt;&gt;"All",INDEX(Calc!$E$8:$E$500,MATCH(SMALL(IF((Calc!$C$8:$C$500=Kanban!$C$7)*(Calc!$K$8:$K$500=Kanban!D$11)*(Calc!$Y$8:$Y$500&gt;0),Calc!$Y$8:$Y$500,99999),Kanban_Helper!$B192),Calc!$Y$8:$Y$500,0)),INDEX(Calc!$E$8:$E$500,MATCH(SMALL(IF((Calc!$K$8:$K$500=Kanban!D$11)*(Calc!$Y$8:$Y$500&gt;0),Calc!$Y$8:$Y$500,99999),Kanban_Helper!$B192),Calc!$Y$8:$Y$500,0)))),"")</f>
        <v/>
      </c>
      <c r="E199" s="171" t="str">
        <f t="array" ref="E199">IFERROR(IF(LEN(E$11)=0,"",IF($C$7&lt;&gt;"All",INDEX(Calc!$E$8:$E$500,MATCH(SMALL(IF((Calc!$C$8:$C$500=Kanban!$C$7)*(Calc!$K$8:$K$500=Kanban!E$11)*(Calc!$Y$8:$Y$500&gt;0),Calc!$Y$8:$Y$500,99999),Kanban_Helper!$B192),Calc!$Y$8:$Y$500,0)),INDEX(Calc!$E$8:$E$500,MATCH(SMALL(IF((Calc!$K$8:$K$500=Kanban!E$11)*(Calc!$Y$8:$Y$500&gt;0),Calc!$Y$8:$Y$500,99999),Kanban_Helper!$B192),Calc!$Y$8:$Y$500,0)))),"")</f>
        <v/>
      </c>
      <c r="F199" s="171" t="str">
        <f t="array" ref="F199">IFERROR(IF(LEN(F$11)=0,"",IF($C$7&lt;&gt;"All",INDEX(Calc!$E$8:$E$500,MATCH(SMALL(IF((Calc!$C$8:$C$500=Kanban!$C$7)*(Calc!$K$8:$K$500=Kanban!F$11)*(Calc!$Y$8:$Y$500&gt;0),Calc!$Y$8:$Y$500,99999),Kanban_Helper!$B192),Calc!$Y$8:$Y$500,0)),INDEX(Calc!$E$8:$E$500,MATCH(SMALL(IF((Calc!$K$8:$K$500=Kanban!F$11)*(Calc!$Y$8:$Y$500&gt;0),Calc!$Y$8:$Y$500,99999),Kanban_Helper!$B192),Calc!$Y$8:$Y$500,0)))),"")</f>
        <v/>
      </c>
      <c r="G199" s="171" t="str">
        <f t="array" ref="G199">IFERROR(IF(LEN(G$11)=0,"",IF($C$7&lt;&gt;"All",INDEX(Calc!$E$8:$E$500,MATCH(SMALL(IF((Calc!$C$8:$C$500=Kanban!$C$7)*(Calc!$K$8:$K$500=Kanban!G$11)*(Calc!$Y$8:$Y$500&gt;0),Calc!$Y$8:$Y$500,99999),Kanban_Helper!$B192),Calc!$Y$8:$Y$500,0)),INDEX(Calc!$E$8:$E$500,MATCH(SMALL(IF((Calc!$K$8:$K$500=Kanban!G$11)*(Calc!$Y$8:$Y$500&gt;0),Calc!$Y$8:$Y$500,99999),Kanban_Helper!$B192),Calc!$Y$8:$Y$500,0)))),"")</f>
        <v/>
      </c>
      <c r="H199" s="171" t="str">
        <f t="array" ref="H199">IFERROR(IF(LEN(H$11)=0,"",IF($C$7&lt;&gt;"All",INDEX(Calc!$E$8:$E$500,MATCH(SMALL(IF((Calc!$C$8:$C$500=Kanban!$C$7)*(Calc!$K$8:$K$500=Kanban!H$11)*(Calc!$Y$8:$Y$500&gt;0),Calc!$Y$8:$Y$500,99999),Kanban_Helper!$B192),Calc!$Y$8:$Y$500,0)),INDEX(Calc!$E$8:$E$500,MATCH(SMALL(IF((Calc!$K$8:$K$500=Kanban!H$11)*(Calc!$Y$8:$Y$500&gt;0),Calc!$Y$8:$Y$500,99999),Kanban_Helper!$B192),Calc!$Y$8:$Y$500,0)))),"")</f>
        <v/>
      </c>
      <c r="I199" s="39"/>
    </row>
    <row r="200" spans="2:9" ht="15" thickBot="1" x14ac:dyDescent="0.4">
      <c r="B200" s="81"/>
      <c r="C200" s="172" t="str">
        <f t="array" ref="C200">IFERROR(IF(LEN(C$11)=0,"",IF($C$7&lt;&gt;"All",IF(LEN(INDEX(Calc!$J$8:$J$500,MATCH(SMALL(IF((Calc!$C$8:$C$500=Kanban!$C$7)*(Calc!$K$8:$K$500=Kanban!C$11)*(Calc!$Y$8:$Y$500&gt;0),Calc!$Y$8:$Y$500,99999),Kanban_Helper!$B193),Calc!$Y$8:$Y$500,0)))=0,"",CONCATENATE(Calc!$AD$6,INDEX(Calc!$J$8:$J$500,MATCH(SMALL(IF((Calc!$C$8:$C$500=Kanban!$C$7)*(Calc!$K$8:$K$500=Kanban!C$11)*(Calc!$Y$8:$Y$500&gt;0),Calc!$Y$8:$Y$500,99999),Kanban_Helper!$B193),Calc!$Y$8:$Y$500,0)))),IF(LEN(INDEX(Calc!$J$8:$J$500,MATCH(SMALL(IF((Calc!$K$8:$K$500=Kanban!C$11)*(Calc!$Y$8:$Y$500&gt;0),Calc!$Y$8:$Y$500,99999),Kanban_Helper!$B193),Calc!$Y$8:$Y$500,0)))=0,"",CONCATENATE(Calc!$AD$6,INDEX(Calc!$J$8:$J$500,MATCH(SMALL(IF((Calc!$K$8:$K$500=Kanban!C$11)*(Calc!$Y$8:$Y$500&gt;0),Calc!$Y$8:$Y$500,99999),Kanban_Helper!$B193),Calc!$Y$8:$Y$500,0)))))),"")</f>
        <v/>
      </c>
      <c r="D200" s="172" t="str">
        <f t="array" ref="D200">IFERROR(IF(LEN(D$11)=0,"",IF($C$7&lt;&gt;"All",IF(LEN(INDEX(Calc!$J$8:$J$500,MATCH(SMALL(IF((Calc!$C$8:$C$500=Kanban!$C$7)*(Calc!$K$8:$K$500=Kanban!D$11)*(Calc!$Y$8:$Y$500&gt;0),Calc!$Y$8:$Y$500,99999),Kanban_Helper!$B193),Calc!$Y$8:$Y$500,0)))=0,"",CONCATENATE(Calc!$AD$6,INDEX(Calc!$J$8:$J$500,MATCH(SMALL(IF((Calc!$C$8:$C$500=Kanban!$C$7)*(Calc!$K$8:$K$500=Kanban!D$11)*(Calc!$Y$8:$Y$500&gt;0),Calc!$Y$8:$Y$500,99999),Kanban_Helper!$B193),Calc!$Y$8:$Y$500,0)))),IF(LEN(INDEX(Calc!$J$8:$J$500,MATCH(SMALL(IF((Calc!$K$8:$K$500=Kanban!D$11)*(Calc!$Y$8:$Y$500&gt;0),Calc!$Y$8:$Y$500,99999),Kanban_Helper!$B193),Calc!$Y$8:$Y$500,0)))=0,"",CONCATENATE(Calc!$AD$6,INDEX(Calc!$J$8:$J$500,MATCH(SMALL(IF((Calc!$K$8:$K$500=Kanban!D$11)*(Calc!$Y$8:$Y$500&gt;0),Calc!$Y$8:$Y$500,99999),Kanban_Helper!$B193),Calc!$Y$8:$Y$500,0)))))),"")</f>
        <v/>
      </c>
      <c r="E200" s="172" t="str">
        <f t="array" ref="E200">IFERROR(IF(LEN(E$11)=0,"",IF($C$7&lt;&gt;"All",IF(LEN(INDEX(Calc!$J$8:$J$500,MATCH(SMALL(IF((Calc!$C$8:$C$500=Kanban!$C$7)*(Calc!$K$8:$K$500=Kanban!E$11)*(Calc!$Y$8:$Y$500&gt;0),Calc!$Y$8:$Y$500,99999),Kanban_Helper!$B193),Calc!$Y$8:$Y$500,0)))=0,"",CONCATENATE(Calc!$AD$6,INDEX(Calc!$J$8:$J$500,MATCH(SMALL(IF((Calc!$C$8:$C$500=Kanban!$C$7)*(Calc!$K$8:$K$500=Kanban!E$11)*(Calc!$Y$8:$Y$500&gt;0),Calc!$Y$8:$Y$500,99999),Kanban_Helper!$B193),Calc!$Y$8:$Y$500,0)))),IF(LEN(INDEX(Calc!$J$8:$J$500,MATCH(SMALL(IF((Calc!$K$8:$K$500=Kanban!E$11)*(Calc!$Y$8:$Y$500&gt;0),Calc!$Y$8:$Y$500,99999),Kanban_Helper!$B193),Calc!$Y$8:$Y$500,0)))=0,"",CONCATENATE(Calc!$AD$6,INDEX(Calc!$J$8:$J$500,MATCH(SMALL(IF((Calc!$K$8:$K$500=Kanban!E$11)*(Calc!$Y$8:$Y$500&gt;0),Calc!$Y$8:$Y$500,99999),Kanban_Helper!$B193),Calc!$Y$8:$Y$500,0)))))),"")</f>
        <v/>
      </c>
      <c r="F200" s="172" t="str">
        <f t="array" ref="F200">IFERROR(IF(LEN(F$11)=0,"",IF($C$7&lt;&gt;"All",IF(LEN(INDEX(Calc!$J$8:$J$500,MATCH(SMALL(IF((Calc!$C$8:$C$500=Kanban!$C$7)*(Calc!$K$8:$K$500=Kanban!F$11)*(Calc!$Y$8:$Y$500&gt;0),Calc!$Y$8:$Y$500,99999),Kanban_Helper!$B193),Calc!$Y$8:$Y$500,0)))=0,"",CONCATENATE(Calc!$AD$6,INDEX(Calc!$J$8:$J$500,MATCH(SMALL(IF((Calc!$C$8:$C$500=Kanban!$C$7)*(Calc!$K$8:$K$500=Kanban!F$11)*(Calc!$Y$8:$Y$500&gt;0),Calc!$Y$8:$Y$500,99999),Kanban_Helper!$B193),Calc!$Y$8:$Y$500,0)))),IF(LEN(INDEX(Calc!$J$8:$J$500,MATCH(SMALL(IF((Calc!$K$8:$K$500=Kanban!F$11)*(Calc!$Y$8:$Y$500&gt;0),Calc!$Y$8:$Y$500,99999),Kanban_Helper!$B193),Calc!$Y$8:$Y$500,0)))=0,"",CONCATENATE(Calc!$AD$6,INDEX(Calc!$J$8:$J$500,MATCH(SMALL(IF((Calc!$K$8:$K$500=Kanban!F$11)*(Calc!$Y$8:$Y$500&gt;0),Calc!$Y$8:$Y$500,99999),Kanban_Helper!$B193),Calc!$Y$8:$Y$500,0)))))),"")</f>
        <v/>
      </c>
      <c r="G200" s="172" t="str">
        <f t="array" ref="G200">IFERROR(IF(LEN(G$11)=0,"",IF($C$7&lt;&gt;"All",IF(LEN(INDEX(Calc!$J$8:$J$500,MATCH(SMALL(IF((Calc!$C$8:$C$500=Kanban!$C$7)*(Calc!$K$8:$K$500=Kanban!G$11)*(Calc!$Y$8:$Y$500&gt;0),Calc!$Y$8:$Y$500,99999),Kanban_Helper!$B193),Calc!$Y$8:$Y$500,0)))=0,"",CONCATENATE(Calc!$AD$6,INDEX(Calc!$J$8:$J$500,MATCH(SMALL(IF((Calc!$C$8:$C$500=Kanban!$C$7)*(Calc!$K$8:$K$500=Kanban!G$11)*(Calc!$Y$8:$Y$500&gt;0),Calc!$Y$8:$Y$500,99999),Kanban_Helper!$B193),Calc!$Y$8:$Y$500,0)))),IF(LEN(INDEX(Calc!$J$8:$J$500,MATCH(SMALL(IF((Calc!$K$8:$K$500=Kanban!G$11)*(Calc!$Y$8:$Y$500&gt;0),Calc!$Y$8:$Y$500,99999),Kanban_Helper!$B193),Calc!$Y$8:$Y$500,0)))=0,"",CONCATENATE(Calc!$AD$6,INDEX(Calc!$J$8:$J$500,MATCH(SMALL(IF((Calc!$K$8:$K$500=Kanban!G$11)*(Calc!$Y$8:$Y$500&gt;0),Calc!$Y$8:$Y$500,99999),Kanban_Helper!$B193),Calc!$Y$8:$Y$500,0)))))),"")</f>
        <v/>
      </c>
      <c r="H200" s="172" t="str">
        <f t="array" ref="H200">IFERROR(IF(LEN(H$11)=0,"",IF($C$7&lt;&gt;"All",IF(LEN(INDEX(Calc!$J$8:$J$500,MATCH(SMALL(IF((Calc!$C$8:$C$500=Kanban!$C$7)*(Calc!$K$8:$K$500=Kanban!H$11)*(Calc!$Y$8:$Y$500&gt;0),Calc!$Y$8:$Y$500,99999),Kanban_Helper!$B193),Calc!$Y$8:$Y$500,0)))=0,"",CONCATENATE(Calc!$AD$6,INDEX(Calc!$J$8:$J$500,MATCH(SMALL(IF((Calc!$C$8:$C$500=Kanban!$C$7)*(Calc!$K$8:$K$500=Kanban!H$11)*(Calc!$Y$8:$Y$500&gt;0),Calc!$Y$8:$Y$500,99999),Kanban_Helper!$B193),Calc!$Y$8:$Y$500,0)))),IF(LEN(INDEX(Calc!$J$8:$J$500,MATCH(SMALL(IF((Calc!$K$8:$K$500=Kanban!H$11)*(Calc!$Y$8:$Y$500&gt;0),Calc!$Y$8:$Y$500,99999),Kanban_Helper!$B193),Calc!$Y$8:$Y$500,0)))=0,"",CONCATENATE(Calc!$AD$6,INDEX(Calc!$J$8:$J$500,MATCH(SMALL(IF((Calc!$K$8:$K$500=Kanban!H$11)*(Calc!$Y$8:$Y$500&gt;0),Calc!$Y$8:$Y$500,99999),Kanban_Helper!$B193),Calc!$Y$8:$Y$500,0)))))),"")</f>
        <v/>
      </c>
      <c r="I200" s="39"/>
    </row>
    <row r="201" spans="2:9" ht="15" thickTop="1" x14ac:dyDescent="0.35">
      <c r="B201" s="81"/>
      <c r="C201" s="170" t="str">
        <f t="array" ref="C201">IFERROR(IF(LEN(C$11)=0,"",IF($C$7&lt;&gt;"All",IF(INDEX(Calc!$V$8:$V$500,MATCH(INDEX(Calc!$D$8:$D$500,MATCH(SMALL(IF((Calc!$C$8:$C$500=Kanban!$C$7)*(Calc!$K$8:$K$500=Kanban!C$11)*(Calc!$Y$8:$Y$500&gt;0),Calc!$Y$8:$Y$500,99999),Kanban_Helper!$B194),Calc!$Y$8:$Y$500,0)),Calc!$D$8:$D$500,0))="Yes",CONCATENATE(INDEX(Calc!$D$8:$D$500,MATCH(SMALL(IF((Calc!$C$8:$C$500=Kanban!$C$7)*(Calc!$K$8:$K$500=Kanban!C$11)*(Calc!$Y$8:$Y$500&gt;0),Calc!$Y$8:$Y$500,99999),Kanban_Helper!$B194),Calc!$Y$8:$Y$500,0))," ",Calc!$V$7," ","!"),INDEX(Calc!$D$8:$D$500,MATCH(SMALL(IF((Calc!$C$8:$C$500=Kanban!$C$7)*(Calc!$K$8:$K$500=Kanban!C$11)*(Calc!$Y$8:$Y$500&gt;0),Calc!$Y$8:$Y$500,99999),Kanban_Helper!$B194),Calc!$Y$8:$Y$500,0))),IF(INDEX(Calc!$V$8:$V$500,MATCH(INDEX(Calc!$D$8:$D$500,MATCH(SMALL(IF((Calc!$K$8:$K$500=Kanban!C$11)*(Calc!$Y$8:$Y$500&gt;0),Calc!$Y$8:$Y$500,99999),Kanban_Helper!$B194),Calc!$Y$8:$Y$500,0)),Calc!$D$8:$D$500,0))="Yes",CONCATENATE(INDEX(Calc!$D$8:$D$500,MATCH(SMALL(IF((Calc!$K$8:$K$500=Kanban!C$11)*(Calc!$Y$8:$Y$500&gt;0),Calc!$Y$8:$Y$500,99999),Kanban_Helper!$B194),Calc!$Y$8:$Y$500,0))," ",Calc!$V$7," ","!"),INDEX(Calc!$D$8:$D$500,MATCH(SMALL(IF((Calc!$K$8:$K$500=Kanban!C$11)*(Calc!$Y$8:$Y$500&gt;0),Calc!$Y$8:$Y$500,99999),Kanban_Helper!$B194),Calc!$Y$8:$Y$500,0))))),"")</f>
        <v/>
      </c>
      <c r="D201" s="170" t="str">
        <f t="array" ref="D201">IFERROR(IF(LEN(D$11)=0,"",IF($C$7&lt;&gt;"All",IF(INDEX(Calc!$V$8:$V$500,MATCH(INDEX(Calc!$D$8:$D$500,MATCH(SMALL(IF((Calc!$C$8:$C$500=Kanban!$C$7)*(Calc!$K$8:$K$500=Kanban!D$11)*(Calc!$Y$8:$Y$500&gt;0),Calc!$Y$8:$Y$500,99999),Kanban_Helper!$B194),Calc!$Y$8:$Y$500,0)),Calc!$D$8:$D$500,0))="Yes",CONCATENATE(INDEX(Calc!$D$8:$D$500,MATCH(SMALL(IF((Calc!$C$8:$C$500=Kanban!$C$7)*(Calc!$K$8:$K$500=Kanban!D$11)*(Calc!$Y$8:$Y$500&gt;0),Calc!$Y$8:$Y$500,99999),Kanban_Helper!$B194),Calc!$Y$8:$Y$500,0))," ",Calc!$V$7," ","!"),INDEX(Calc!$D$8:$D$500,MATCH(SMALL(IF((Calc!$C$8:$C$500=Kanban!$C$7)*(Calc!$K$8:$K$500=Kanban!D$11)*(Calc!$Y$8:$Y$500&gt;0),Calc!$Y$8:$Y$500,99999),Kanban_Helper!$B194),Calc!$Y$8:$Y$500,0))),IF(INDEX(Calc!$V$8:$V$500,MATCH(INDEX(Calc!$D$8:$D$500,MATCH(SMALL(IF((Calc!$K$8:$K$500=Kanban!D$11)*(Calc!$Y$8:$Y$500&gt;0),Calc!$Y$8:$Y$500,99999),Kanban_Helper!$B194),Calc!$Y$8:$Y$500,0)),Calc!$D$8:$D$500,0))="Yes",CONCATENATE(INDEX(Calc!$D$8:$D$500,MATCH(SMALL(IF((Calc!$K$8:$K$500=Kanban!D$11)*(Calc!$Y$8:$Y$500&gt;0),Calc!$Y$8:$Y$500,99999),Kanban_Helper!$B194),Calc!$Y$8:$Y$500,0))," ",Calc!$V$7," ","!"),INDEX(Calc!$D$8:$D$500,MATCH(SMALL(IF((Calc!$K$8:$K$500=Kanban!D$11)*(Calc!$Y$8:$Y$500&gt;0),Calc!$Y$8:$Y$500,99999),Kanban_Helper!$B194),Calc!$Y$8:$Y$500,0))))),"")</f>
        <v/>
      </c>
      <c r="E201" s="170" t="str">
        <f t="array" ref="E201">IFERROR(IF(LEN(E$11)=0,"",IF($C$7&lt;&gt;"All",IF(INDEX(Calc!$V$8:$V$500,MATCH(INDEX(Calc!$D$8:$D$500,MATCH(SMALL(IF((Calc!$C$8:$C$500=Kanban!$C$7)*(Calc!$K$8:$K$500=Kanban!E$11)*(Calc!$Y$8:$Y$500&gt;0),Calc!$Y$8:$Y$500,99999),Kanban_Helper!$B194),Calc!$Y$8:$Y$500,0)),Calc!$D$8:$D$500,0))="Yes",CONCATENATE(INDEX(Calc!$D$8:$D$500,MATCH(SMALL(IF((Calc!$C$8:$C$500=Kanban!$C$7)*(Calc!$K$8:$K$500=Kanban!E$11)*(Calc!$Y$8:$Y$500&gt;0),Calc!$Y$8:$Y$500,99999),Kanban_Helper!$B194),Calc!$Y$8:$Y$500,0))," ",Calc!$V$7," ","!"),INDEX(Calc!$D$8:$D$500,MATCH(SMALL(IF((Calc!$C$8:$C$500=Kanban!$C$7)*(Calc!$K$8:$K$500=Kanban!E$11)*(Calc!$Y$8:$Y$500&gt;0),Calc!$Y$8:$Y$500,99999),Kanban_Helper!$B194),Calc!$Y$8:$Y$500,0))),IF(INDEX(Calc!$V$8:$V$500,MATCH(INDEX(Calc!$D$8:$D$500,MATCH(SMALL(IF((Calc!$K$8:$K$500=Kanban!E$11)*(Calc!$Y$8:$Y$500&gt;0),Calc!$Y$8:$Y$500,99999),Kanban_Helper!$B194),Calc!$Y$8:$Y$500,0)),Calc!$D$8:$D$500,0))="Yes",CONCATENATE(INDEX(Calc!$D$8:$D$500,MATCH(SMALL(IF((Calc!$K$8:$K$500=Kanban!E$11)*(Calc!$Y$8:$Y$500&gt;0),Calc!$Y$8:$Y$500,99999),Kanban_Helper!$B194),Calc!$Y$8:$Y$500,0))," ",Calc!$V$7," ","!"),INDEX(Calc!$D$8:$D$500,MATCH(SMALL(IF((Calc!$K$8:$K$500=Kanban!E$11)*(Calc!$Y$8:$Y$500&gt;0),Calc!$Y$8:$Y$500,99999),Kanban_Helper!$B194),Calc!$Y$8:$Y$500,0))))),"")</f>
        <v/>
      </c>
      <c r="F201" s="170" t="str">
        <f t="array" ref="F201">IFERROR(IF(LEN(F$11)=0,"",IF($C$7&lt;&gt;"All",IF(INDEX(Calc!$V$8:$V$500,MATCH(INDEX(Calc!$D$8:$D$500,MATCH(SMALL(IF((Calc!$C$8:$C$500=Kanban!$C$7)*(Calc!$K$8:$K$500=Kanban!F$11)*(Calc!$Y$8:$Y$500&gt;0),Calc!$Y$8:$Y$500,99999),Kanban_Helper!$B194),Calc!$Y$8:$Y$500,0)),Calc!$D$8:$D$500,0))="Yes",CONCATENATE(INDEX(Calc!$D$8:$D$500,MATCH(SMALL(IF((Calc!$C$8:$C$500=Kanban!$C$7)*(Calc!$K$8:$K$500=Kanban!F$11)*(Calc!$Y$8:$Y$500&gt;0),Calc!$Y$8:$Y$500,99999),Kanban_Helper!$B194),Calc!$Y$8:$Y$500,0))," ",Calc!$V$7," ","!"),INDEX(Calc!$D$8:$D$500,MATCH(SMALL(IF((Calc!$C$8:$C$500=Kanban!$C$7)*(Calc!$K$8:$K$500=Kanban!F$11)*(Calc!$Y$8:$Y$500&gt;0),Calc!$Y$8:$Y$500,99999),Kanban_Helper!$B194),Calc!$Y$8:$Y$500,0))),IF(INDEX(Calc!$V$8:$V$500,MATCH(INDEX(Calc!$D$8:$D$500,MATCH(SMALL(IF((Calc!$K$8:$K$500=Kanban!F$11)*(Calc!$Y$8:$Y$500&gt;0),Calc!$Y$8:$Y$500,99999),Kanban_Helper!$B194),Calc!$Y$8:$Y$500,0)),Calc!$D$8:$D$500,0))="Yes",CONCATENATE(INDEX(Calc!$D$8:$D$500,MATCH(SMALL(IF((Calc!$K$8:$K$500=Kanban!F$11)*(Calc!$Y$8:$Y$500&gt;0),Calc!$Y$8:$Y$500,99999),Kanban_Helper!$B194),Calc!$Y$8:$Y$500,0))," ",Calc!$V$7," ","!"),INDEX(Calc!$D$8:$D$500,MATCH(SMALL(IF((Calc!$K$8:$K$500=Kanban!F$11)*(Calc!$Y$8:$Y$500&gt;0),Calc!$Y$8:$Y$500,99999),Kanban_Helper!$B194),Calc!$Y$8:$Y$500,0))))),"")</f>
        <v/>
      </c>
      <c r="G201" s="170" t="str">
        <f t="array" ref="G201">IFERROR(IF(LEN(G$11)=0,"",IF($C$7&lt;&gt;"All",IF(INDEX(Calc!$V$8:$V$500,MATCH(INDEX(Calc!$D$8:$D$500,MATCH(SMALL(IF((Calc!$C$8:$C$500=Kanban!$C$7)*(Calc!$K$8:$K$500=Kanban!G$11)*(Calc!$Y$8:$Y$500&gt;0),Calc!$Y$8:$Y$500,99999),Kanban_Helper!$B194),Calc!$Y$8:$Y$500,0)),Calc!$D$8:$D$500,0))="Yes",CONCATENATE(INDEX(Calc!$D$8:$D$500,MATCH(SMALL(IF((Calc!$C$8:$C$500=Kanban!$C$7)*(Calc!$K$8:$K$500=Kanban!G$11)*(Calc!$Y$8:$Y$500&gt;0),Calc!$Y$8:$Y$500,99999),Kanban_Helper!$B194),Calc!$Y$8:$Y$500,0))," ",Calc!$V$7," ","!"),INDEX(Calc!$D$8:$D$500,MATCH(SMALL(IF((Calc!$C$8:$C$500=Kanban!$C$7)*(Calc!$K$8:$K$500=Kanban!G$11)*(Calc!$Y$8:$Y$500&gt;0),Calc!$Y$8:$Y$500,99999),Kanban_Helper!$B194),Calc!$Y$8:$Y$500,0))),IF(INDEX(Calc!$V$8:$V$500,MATCH(INDEX(Calc!$D$8:$D$500,MATCH(SMALL(IF((Calc!$K$8:$K$500=Kanban!G$11)*(Calc!$Y$8:$Y$500&gt;0),Calc!$Y$8:$Y$500,99999),Kanban_Helper!$B194),Calc!$Y$8:$Y$500,0)),Calc!$D$8:$D$500,0))="Yes",CONCATENATE(INDEX(Calc!$D$8:$D$500,MATCH(SMALL(IF((Calc!$K$8:$K$500=Kanban!G$11)*(Calc!$Y$8:$Y$500&gt;0),Calc!$Y$8:$Y$500,99999),Kanban_Helper!$B194),Calc!$Y$8:$Y$500,0))," ",Calc!$V$7," ","!"),INDEX(Calc!$D$8:$D$500,MATCH(SMALL(IF((Calc!$K$8:$K$500=Kanban!G$11)*(Calc!$Y$8:$Y$500&gt;0),Calc!$Y$8:$Y$500,99999),Kanban_Helper!$B194),Calc!$Y$8:$Y$500,0))))),"")</f>
        <v/>
      </c>
      <c r="H201" s="170" t="str">
        <f t="array" ref="H201">IFERROR(IF(LEN(H$11)=0,"",IF($C$7&lt;&gt;"All",IF(INDEX(Calc!$V$8:$V$500,MATCH(INDEX(Calc!$D$8:$D$500,MATCH(SMALL(IF((Calc!$C$8:$C$500=Kanban!$C$7)*(Calc!$K$8:$K$500=Kanban!H$11)*(Calc!$Y$8:$Y$500&gt;0),Calc!$Y$8:$Y$500,99999),Kanban_Helper!$B194),Calc!$Y$8:$Y$500,0)),Calc!$D$8:$D$500,0))="Yes",CONCATENATE(INDEX(Calc!$D$8:$D$500,MATCH(SMALL(IF((Calc!$C$8:$C$500=Kanban!$C$7)*(Calc!$K$8:$K$500=Kanban!H$11)*(Calc!$Y$8:$Y$500&gt;0),Calc!$Y$8:$Y$500,99999),Kanban_Helper!$B194),Calc!$Y$8:$Y$500,0))," ",Calc!$V$7," ","!"),INDEX(Calc!$D$8:$D$500,MATCH(SMALL(IF((Calc!$C$8:$C$500=Kanban!$C$7)*(Calc!$K$8:$K$500=Kanban!H$11)*(Calc!$Y$8:$Y$500&gt;0),Calc!$Y$8:$Y$500,99999),Kanban_Helper!$B194),Calc!$Y$8:$Y$500,0))),IF(INDEX(Calc!$V$8:$V$500,MATCH(INDEX(Calc!$D$8:$D$500,MATCH(SMALL(IF((Calc!$K$8:$K$500=Kanban!H$11)*(Calc!$Y$8:$Y$500&gt;0),Calc!$Y$8:$Y$500,99999),Kanban_Helper!$B194),Calc!$Y$8:$Y$500,0)),Calc!$D$8:$D$500,0))="Yes",CONCATENATE(INDEX(Calc!$D$8:$D$500,MATCH(SMALL(IF((Calc!$K$8:$K$500=Kanban!H$11)*(Calc!$Y$8:$Y$500&gt;0),Calc!$Y$8:$Y$500,99999),Kanban_Helper!$B194),Calc!$Y$8:$Y$500,0))," ",Calc!$V$7," ","!"),INDEX(Calc!$D$8:$D$500,MATCH(SMALL(IF((Calc!$K$8:$K$500=Kanban!H$11)*(Calc!$Y$8:$Y$500&gt;0),Calc!$Y$8:$Y$500,99999),Kanban_Helper!$B194),Calc!$Y$8:$Y$500,0))))),"")</f>
        <v/>
      </c>
      <c r="I201" s="39"/>
    </row>
    <row r="202" spans="2:9" x14ac:dyDescent="0.35">
      <c r="B202" s="81"/>
      <c r="C202" s="171" t="str">
        <f t="array" ref="C202">IFERROR(IF(LEN(C$11)=0,"",IF($C$7&lt;&gt;"All",INDEX(Calc!$E$8:$E$500,MATCH(SMALL(IF((Calc!$C$8:$C$500=Kanban!$C$7)*(Calc!$K$8:$K$500=Kanban!C$11)*(Calc!$Y$8:$Y$500&gt;0),Calc!$Y$8:$Y$500,99999),Kanban_Helper!$B195),Calc!$Y$8:$Y$500,0)),INDEX(Calc!$E$8:$E$500,MATCH(SMALL(IF((Calc!$K$8:$K$500=Kanban!C$11)*(Calc!$Y$8:$Y$500&gt;0),Calc!$Y$8:$Y$500,99999),Kanban_Helper!$B195),Calc!$Y$8:$Y$500,0)))),"")</f>
        <v/>
      </c>
      <c r="D202" s="171" t="str">
        <f t="array" ref="D202">IFERROR(IF(LEN(D$11)=0,"",IF($C$7&lt;&gt;"All",INDEX(Calc!$E$8:$E$500,MATCH(SMALL(IF((Calc!$C$8:$C$500=Kanban!$C$7)*(Calc!$K$8:$K$500=Kanban!D$11)*(Calc!$Y$8:$Y$500&gt;0),Calc!$Y$8:$Y$500,99999),Kanban_Helper!$B195),Calc!$Y$8:$Y$500,0)),INDEX(Calc!$E$8:$E$500,MATCH(SMALL(IF((Calc!$K$8:$K$500=Kanban!D$11)*(Calc!$Y$8:$Y$500&gt;0),Calc!$Y$8:$Y$500,99999),Kanban_Helper!$B195),Calc!$Y$8:$Y$500,0)))),"")</f>
        <v/>
      </c>
      <c r="E202" s="171" t="str">
        <f t="array" ref="E202">IFERROR(IF(LEN(E$11)=0,"",IF($C$7&lt;&gt;"All",INDEX(Calc!$E$8:$E$500,MATCH(SMALL(IF((Calc!$C$8:$C$500=Kanban!$C$7)*(Calc!$K$8:$K$500=Kanban!E$11)*(Calc!$Y$8:$Y$500&gt;0),Calc!$Y$8:$Y$500,99999),Kanban_Helper!$B195),Calc!$Y$8:$Y$500,0)),INDEX(Calc!$E$8:$E$500,MATCH(SMALL(IF((Calc!$K$8:$K$500=Kanban!E$11)*(Calc!$Y$8:$Y$500&gt;0),Calc!$Y$8:$Y$500,99999),Kanban_Helper!$B195),Calc!$Y$8:$Y$500,0)))),"")</f>
        <v/>
      </c>
      <c r="F202" s="171" t="str">
        <f t="array" ref="F202">IFERROR(IF(LEN(F$11)=0,"",IF($C$7&lt;&gt;"All",INDEX(Calc!$E$8:$E$500,MATCH(SMALL(IF((Calc!$C$8:$C$500=Kanban!$C$7)*(Calc!$K$8:$K$500=Kanban!F$11)*(Calc!$Y$8:$Y$500&gt;0),Calc!$Y$8:$Y$500,99999),Kanban_Helper!$B195),Calc!$Y$8:$Y$500,0)),INDEX(Calc!$E$8:$E$500,MATCH(SMALL(IF((Calc!$K$8:$K$500=Kanban!F$11)*(Calc!$Y$8:$Y$500&gt;0),Calc!$Y$8:$Y$500,99999),Kanban_Helper!$B195),Calc!$Y$8:$Y$500,0)))),"")</f>
        <v/>
      </c>
      <c r="G202" s="171" t="str">
        <f t="array" ref="G202">IFERROR(IF(LEN(G$11)=0,"",IF($C$7&lt;&gt;"All",INDEX(Calc!$E$8:$E$500,MATCH(SMALL(IF((Calc!$C$8:$C$500=Kanban!$C$7)*(Calc!$K$8:$K$500=Kanban!G$11)*(Calc!$Y$8:$Y$500&gt;0),Calc!$Y$8:$Y$500,99999),Kanban_Helper!$B195),Calc!$Y$8:$Y$500,0)),INDEX(Calc!$E$8:$E$500,MATCH(SMALL(IF((Calc!$K$8:$K$500=Kanban!G$11)*(Calc!$Y$8:$Y$500&gt;0),Calc!$Y$8:$Y$500,99999),Kanban_Helper!$B195),Calc!$Y$8:$Y$500,0)))),"")</f>
        <v/>
      </c>
      <c r="H202" s="171" t="str">
        <f t="array" ref="H202">IFERROR(IF(LEN(H$11)=0,"",IF($C$7&lt;&gt;"All",INDEX(Calc!$E$8:$E$500,MATCH(SMALL(IF((Calc!$C$8:$C$500=Kanban!$C$7)*(Calc!$K$8:$K$500=Kanban!H$11)*(Calc!$Y$8:$Y$500&gt;0),Calc!$Y$8:$Y$500,99999),Kanban_Helper!$B195),Calc!$Y$8:$Y$500,0)),INDEX(Calc!$E$8:$E$500,MATCH(SMALL(IF((Calc!$K$8:$K$500=Kanban!H$11)*(Calc!$Y$8:$Y$500&gt;0),Calc!$Y$8:$Y$500,99999),Kanban_Helper!$B195),Calc!$Y$8:$Y$500,0)))),"")</f>
        <v/>
      </c>
      <c r="I202" s="39"/>
    </row>
    <row r="203" spans="2:9" ht="15" thickBot="1" x14ac:dyDescent="0.4">
      <c r="B203" s="81"/>
      <c r="C203" s="172" t="str">
        <f t="array" ref="C203">IFERROR(IF(LEN(C$11)=0,"",IF($C$7&lt;&gt;"All",IF(LEN(INDEX(Calc!$J$8:$J$500,MATCH(SMALL(IF((Calc!$C$8:$C$500=Kanban!$C$7)*(Calc!$K$8:$K$500=Kanban!C$11)*(Calc!$Y$8:$Y$500&gt;0),Calc!$Y$8:$Y$500,99999),Kanban_Helper!$B196),Calc!$Y$8:$Y$500,0)))=0,"",CONCATENATE(Calc!$AD$6,INDEX(Calc!$J$8:$J$500,MATCH(SMALL(IF((Calc!$C$8:$C$500=Kanban!$C$7)*(Calc!$K$8:$K$500=Kanban!C$11)*(Calc!$Y$8:$Y$500&gt;0),Calc!$Y$8:$Y$500,99999),Kanban_Helper!$B196),Calc!$Y$8:$Y$500,0)))),IF(LEN(INDEX(Calc!$J$8:$J$500,MATCH(SMALL(IF((Calc!$K$8:$K$500=Kanban!C$11)*(Calc!$Y$8:$Y$500&gt;0),Calc!$Y$8:$Y$500,99999),Kanban_Helper!$B196),Calc!$Y$8:$Y$500,0)))=0,"",CONCATENATE(Calc!$AD$6,INDEX(Calc!$J$8:$J$500,MATCH(SMALL(IF((Calc!$K$8:$K$500=Kanban!C$11)*(Calc!$Y$8:$Y$500&gt;0),Calc!$Y$8:$Y$500,99999),Kanban_Helper!$B196),Calc!$Y$8:$Y$500,0)))))),"")</f>
        <v/>
      </c>
      <c r="D203" s="172" t="str">
        <f t="array" ref="D203">IFERROR(IF(LEN(D$11)=0,"",IF($C$7&lt;&gt;"All",IF(LEN(INDEX(Calc!$J$8:$J$500,MATCH(SMALL(IF((Calc!$C$8:$C$500=Kanban!$C$7)*(Calc!$K$8:$K$500=Kanban!D$11)*(Calc!$Y$8:$Y$500&gt;0),Calc!$Y$8:$Y$500,99999),Kanban_Helper!$B196),Calc!$Y$8:$Y$500,0)))=0,"",CONCATENATE(Calc!$AD$6,INDEX(Calc!$J$8:$J$500,MATCH(SMALL(IF((Calc!$C$8:$C$500=Kanban!$C$7)*(Calc!$K$8:$K$500=Kanban!D$11)*(Calc!$Y$8:$Y$500&gt;0),Calc!$Y$8:$Y$500,99999),Kanban_Helper!$B196),Calc!$Y$8:$Y$500,0)))),IF(LEN(INDEX(Calc!$J$8:$J$500,MATCH(SMALL(IF((Calc!$K$8:$K$500=Kanban!D$11)*(Calc!$Y$8:$Y$500&gt;0),Calc!$Y$8:$Y$500,99999),Kanban_Helper!$B196),Calc!$Y$8:$Y$500,0)))=0,"",CONCATENATE(Calc!$AD$6,INDEX(Calc!$J$8:$J$500,MATCH(SMALL(IF((Calc!$K$8:$K$500=Kanban!D$11)*(Calc!$Y$8:$Y$500&gt;0),Calc!$Y$8:$Y$500,99999),Kanban_Helper!$B196),Calc!$Y$8:$Y$500,0)))))),"")</f>
        <v/>
      </c>
      <c r="E203" s="172" t="str">
        <f t="array" ref="E203">IFERROR(IF(LEN(E$11)=0,"",IF($C$7&lt;&gt;"All",IF(LEN(INDEX(Calc!$J$8:$J$500,MATCH(SMALL(IF((Calc!$C$8:$C$500=Kanban!$C$7)*(Calc!$K$8:$K$500=Kanban!E$11)*(Calc!$Y$8:$Y$500&gt;0),Calc!$Y$8:$Y$500,99999),Kanban_Helper!$B196),Calc!$Y$8:$Y$500,0)))=0,"",CONCATENATE(Calc!$AD$6,INDEX(Calc!$J$8:$J$500,MATCH(SMALL(IF((Calc!$C$8:$C$500=Kanban!$C$7)*(Calc!$K$8:$K$500=Kanban!E$11)*(Calc!$Y$8:$Y$500&gt;0),Calc!$Y$8:$Y$500,99999),Kanban_Helper!$B196),Calc!$Y$8:$Y$500,0)))),IF(LEN(INDEX(Calc!$J$8:$J$500,MATCH(SMALL(IF((Calc!$K$8:$K$500=Kanban!E$11)*(Calc!$Y$8:$Y$500&gt;0),Calc!$Y$8:$Y$500,99999),Kanban_Helper!$B196),Calc!$Y$8:$Y$500,0)))=0,"",CONCATENATE(Calc!$AD$6,INDEX(Calc!$J$8:$J$500,MATCH(SMALL(IF((Calc!$K$8:$K$500=Kanban!E$11)*(Calc!$Y$8:$Y$500&gt;0),Calc!$Y$8:$Y$500,99999),Kanban_Helper!$B196),Calc!$Y$8:$Y$500,0)))))),"")</f>
        <v/>
      </c>
      <c r="F203" s="172" t="str">
        <f t="array" ref="F203">IFERROR(IF(LEN(F$11)=0,"",IF($C$7&lt;&gt;"All",IF(LEN(INDEX(Calc!$J$8:$J$500,MATCH(SMALL(IF((Calc!$C$8:$C$500=Kanban!$C$7)*(Calc!$K$8:$K$500=Kanban!F$11)*(Calc!$Y$8:$Y$500&gt;0),Calc!$Y$8:$Y$500,99999),Kanban_Helper!$B196),Calc!$Y$8:$Y$500,0)))=0,"",CONCATENATE(Calc!$AD$6,INDEX(Calc!$J$8:$J$500,MATCH(SMALL(IF((Calc!$C$8:$C$500=Kanban!$C$7)*(Calc!$K$8:$K$500=Kanban!F$11)*(Calc!$Y$8:$Y$500&gt;0),Calc!$Y$8:$Y$500,99999),Kanban_Helper!$B196),Calc!$Y$8:$Y$500,0)))),IF(LEN(INDEX(Calc!$J$8:$J$500,MATCH(SMALL(IF((Calc!$K$8:$K$500=Kanban!F$11)*(Calc!$Y$8:$Y$500&gt;0),Calc!$Y$8:$Y$500,99999),Kanban_Helper!$B196),Calc!$Y$8:$Y$500,0)))=0,"",CONCATENATE(Calc!$AD$6,INDEX(Calc!$J$8:$J$500,MATCH(SMALL(IF((Calc!$K$8:$K$500=Kanban!F$11)*(Calc!$Y$8:$Y$500&gt;0),Calc!$Y$8:$Y$500,99999),Kanban_Helper!$B196),Calc!$Y$8:$Y$500,0)))))),"")</f>
        <v/>
      </c>
      <c r="G203" s="172" t="str">
        <f t="array" ref="G203">IFERROR(IF(LEN(G$11)=0,"",IF($C$7&lt;&gt;"All",IF(LEN(INDEX(Calc!$J$8:$J$500,MATCH(SMALL(IF((Calc!$C$8:$C$500=Kanban!$C$7)*(Calc!$K$8:$K$500=Kanban!G$11)*(Calc!$Y$8:$Y$500&gt;0),Calc!$Y$8:$Y$500,99999),Kanban_Helper!$B196),Calc!$Y$8:$Y$500,0)))=0,"",CONCATENATE(Calc!$AD$6,INDEX(Calc!$J$8:$J$500,MATCH(SMALL(IF((Calc!$C$8:$C$500=Kanban!$C$7)*(Calc!$K$8:$K$500=Kanban!G$11)*(Calc!$Y$8:$Y$500&gt;0),Calc!$Y$8:$Y$500,99999),Kanban_Helper!$B196),Calc!$Y$8:$Y$500,0)))),IF(LEN(INDEX(Calc!$J$8:$J$500,MATCH(SMALL(IF((Calc!$K$8:$K$500=Kanban!G$11)*(Calc!$Y$8:$Y$500&gt;0),Calc!$Y$8:$Y$500,99999),Kanban_Helper!$B196),Calc!$Y$8:$Y$500,0)))=0,"",CONCATENATE(Calc!$AD$6,INDEX(Calc!$J$8:$J$500,MATCH(SMALL(IF((Calc!$K$8:$K$500=Kanban!G$11)*(Calc!$Y$8:$Y$500&gt;0),Calc!$Y$8:$Y$500,99999),Kanban_Helper!$B196),Calc!$Y$8:$Y$500,0)))))),"")</f>
        <v/>
      </c>
      <c r="H203" s="172" t="str">
        <f t="array" ref="H203">IFERROR(IF(LEN(H$11)=0,"",IF($C$7&lt;&gt;"All",IF(LEN(INDEX(Calc!$J$8:$J$500,MATCH(SMALL(IF((Calc!$C$8:$C$500=Kanban!$C$7)*(Calc!$K$8:$K$500=Kanban!H$11)*(Calc!$Y$8:$Y$500&gt;0),Calc!$Y$8:$Y$500,99999),Kanban_Helper!$B196),Calc!$Y$8:$Y$500,0)))=0,"",CONCATENATE(Calc!$AD$6,INDEX(Calc!$J$8:$J$500,MATCH(SMALL(IF((Calc!$C$8:$C$500=Kanban!$C$7)*(Calc!$K$8:$K$500=Kanban!H$11)*(Calc!$Y$8:$Y$500&gt;0),Calc!$Y$8:$Y$500,99999),Kanban_Helper!$B196),Calc!$Y$8:$Y$500,0)))),IF(LEN(INDEX(Calc!$J$8:$J$500,MATCH(SMALL(IF((Calc!$K$8:$K$500=Kanban!H$11)*(Calc!$Y$8:$Y$500&gt;0),Calc!$Y$8:$Y$500,99999),Kanban_Helper!$B196),Calc!$Y$8:$Y$500,0)))=0,"",CONCATENATE(Calc!$AD$6,INDEX(Calc!$J$8:$J$500,MATCH(SMALL(IF((Calc!$K$8:$K$500=Kanban!H$11)*(Calc!$Y$8:$Y$500&gt;0),Calc!$Y$8:$Y$500,99999),Kanban_Helper!$B196),Calc!$Y$8:$Y$500,0)))))),"")</f>
        <v/>
      </c>
      <c r="I203" s="39"/>
    </row>
    <row r="204" spans="2:9" ht="15" thickTop="1" x14ac:dyDescent="0.35">
      <c r="B204" s="81"/>
      <c r="C204" s="170" t="str">
        <f t="array" ref="C204">IFERROR(IF(LEN(C$11)=0,"",IF($C$7&lt;&gt;"All",IF(INDEX(Calc!$V$8:$V$500,MATCH(INDEX(Calc!$D$8:$D$500,MATCH(SMALL(IF((Calc!$C$8:$C$500=Kanban!$C$7)*(Calc!$K$8:$K$500=Kanban!C$11)*(Calc!$Y$8:$Y$500&gt;0),Calc!$Y$8:$Y$500,99999),Kanban_Helper!$B197),Calc!$Y$8:$Y$500,0)),Calc!$D$8:$D$500,0))="Yes",CONCATENATE(INDEX(Calc!$D$8:$D$500,MATCH(SMALL(IF((Calc!$C$8:$C$500=Kanban!$C$7)*(Calc!$K$8:$K$500=Kanban!C$11)*(Calc!$Y$8:$Y$500&gt;0),Calc!$Y$8:$Y$500,99999),Kanban_Helper!$B197),Calc!$Y$8:$Y$500,0))," ",Calc!$V$7," ","!"),INDEX(Calc!$D$8:$D$500,MATCH(SMALL(IF((Calc!$C$8:$C$500=Kanban!$C$7)*(Calc!$K$8:$K$500=Kanban!C$11)*(Calc!$Y$8:$Y$500&gt;0),Calc!$Y$8:$Y$500,99999),Kanban_Helper!$B197),Calc!$Y$8:$Y$500,0))),IF(INDEX(Calc!$V$8:$V$500,MATCH(INDEX(Calc!$D$8:$D$500,MATCH(SMALL(IF((Calc!$K$8:$K$500=Kanban!C$11)*(Calc!$Y$8:$Y$500&gt;0),Calc!$Y$8:$Y$500,99999),Kanban_Helper!$B197),Calc!$Y$8:$Y$500,0)),Calc!$D$8:$D$500,0))="Yes",CONCATENATE(INDEX(Calc!$D$8:$D$500,MATCH(SMALL(IF((Calc!$K$8:$K$500=Kanban!C$11)*(Calc!$Y$8:$Y$500&gt;0),Calc!$Y$8:$Y$500,99999),Kanban_Helper!$B197),Calc!$Y$8:$Y$500,0))," ",Calc!$V$7," ","!"),INDEX(Calc!$D$8:$D$500,MATCH(SMALL(IF((Calc!$K$8:$K$500=Kanban!C$11)*(Calc!$Y$8:$Y$500&gt;0),Calc!$Y$8:$Y$500,99999),Kanban_Helper!$B197),Calc!$Y$8:$Y$500,0))))),"")</f>
        <v/>
      </c>
      <c r="D204" s="170" t="str">
        <f t="array" ref="D204">IFERROR(IF(LEN(D$11)=0,"",IF($C$7&lt;&gt;"All",IF(INDEX(Calc!$V$8:$V$500,MATCH(INDEX(Calc!$D$8:$D$500,MATCH(SMALL(IF((Calc!$C$8:$C$500=Kanban!$C$7)*(Calc!$K$8:$K$500=Kanban!D$11)*(Calc!$Y$8:$Y$500&gt;0),Calc!$Y$8:$Y$500,99999),Kanban_Helper!$B197),Calc!$Y$8:$Y$500,0)),Calc!$D$8:$D$500,0))="Yes",CONCATENATE(INDEX(Calc!$D$8:$D$500,MATCH(SMALL(IF((Calc!$C$8:$C$500=Kanban!$C$7)*(Calc!$K$8:$K$500=Kanban!D$11)*(Calc!$Y$8:$Y$500&gt;0),Calc!$Y$8:$Y$500,99999),Kanban_Helper!$B197),Calc!$Y$8:$Y$500,0))," ",Calc!$V$7," ","!"),INDEX(Calc!$D$8:$D$500,MATCH(SMALL(IF((Calc!$C$8:$C$500=Kanban!$C$7)*(Calc!$K$8:$K$500=Kanban!D$11)*(Calc!$Y$8:$Y$500&gt;0),Calc!$Y$8:$Y$500,99999),Kanban_Helper!$B197),Calc!$Y$8:$Y$500,0))),IF(INDEX(Calc!$V$8:$V$500,MATCH(INDEX(Calc!$D$8:$D$500,MATCH(SMALL(IF((Calc!$K$8:$K$500=Kanban!D$11)*(Calc!$Y$8:$Y$500&gt;0),Calc!$Y$8:$Y$500,99999),Kanban_Helper!$B197),Calc!$Y$8:$Y$500,0)),Calc!$D$8:$D$500,0))="Yes",CONCATENATE(INDEX(Calc!$D$8:$D$500,MATCH(SMALL(IF((Calc!$K$8:$K$500=Kanban!D$11)*(Calc!$Y$8:$Y$500&gt;0),Calc!$Y$8:$Y$500,99999),Kanban_Helper!$B197),Calc!$Y$8:$Y$500,0))," ",Calc!$V$7," ","!"),INDEX(Calc!$D$8:$D$500,MATCH(SMALL(IF((Calc!$K$8:$K$500=Kanban!D$11)*(Calc!$Y$8:$Y$500&gt;0),Calc!$Y$8:$Y$500,99999),Kanban_Helper!$B197),Calc!$Y$8:$Y$500,0))))),"")</f>
        <v/>
      </c>
      <c r="E204" s="170" t="str">
        <f t="array" ref="E204">IFERROR(IF(LEN(E$11)=0,"",IF($C$7&lt;&gt;"All",IF(INDEX(Calc!$V$8:$V$500,MATCH(INDEX(Calc!$D$8:$D$500,MATCH(SMALL(IF((Calc!$C$8:$C$500=Kanban!$C$7)*(Calc!$K$8:$K$500=Kanban!E$11)*(Calc!$Y$8:$Y$500&gt;0),Calc!$Y$8:$Y$500,99999),Kanban_Helper!$B197),Calc!$Y$8:$Y$500,0)),Calc!$D$8:$D$500,0))="Yes",CONCATENATE(INDEX(Calc!$D$8:$D$500,MATCH(SMALL(IF((Calc!$C$8:$C$500=Kanban!$C$7)*(Calc!$K$8:$K$500=Kanban!E$11)*(Calc!$Y$8:$Y$500&gt;0),Calc!$Y$8:$Y$500,99999),Kanban_Helper!$B197),Calc!$Y$8:$Y$500,0))," ",Calc!$V$7," ","!"),INDEX(Calc!$D$8:$D$500,MATCH(SMALL(IF((Calc!$C$8:$C$500=Kanban!$C$7)*(Calc!$K$8:$K$500=Kanban!E$11)*(Calc!$Y$8:$Y$500&gt;0),Calc!$Y$8:$Y$500,99999),Kanban_Helper!$B197),Calc!$Y$8:$Y$500,0))),IF(INDEX(Calc!$V$8:$V$500,MATCH(INDEX(Calc!$D$8:$D$500,MATCH(SMALL(IF((Calc!$K$8:$K$500=Kanban!E$11)*(Calc!$Y$8:$Y$500&gt;0),Calc!$Y$8:$Y$500,99999),Kanban_Helper!$B197),Calc!$Y$8:$Y$500,0)),Calc!$D$8:$D$500,0))="Yes",CONCATENATE(INDEX(Calc!$D$8:$D$500,MATCH(SMALL(IF((Calc!$K$8:$K$500=Kanban!E$11)*(Calc!$Y$8:$Y$500&gt;0),Calc!$Y$8:$Y$500,99999),Kanban_Helper!$B197),Calc!$Y$8:$Y$500,0))," ",Calc!$V$7," ","!"),INDEX(Calc!$D$8:$D$500,MATCH(SMALL(IF((Calc!$K$8:$K$500=Kanban!E$11)*(Calc!$Y$8:$Y$500&gt;0),Calc!$Y$8:$Y$500,99999),Kanban_Helper!$B197),Calc!$Y$8:$Y$500,0))))),"")</f>
        <v/>
      </c>
      <c r="F204" s="170" t="str">
        <f t="array" ref="F204">IFERROR(IF(LEN(F$11)=0,"",IF($C$7&lt;&gt;"All",IF(INDEX(Calc!$V$8:$V$500,MATCH(INDEX(Calc!$D$8:$D$500,MATCH(SMALL(IF((Calc!$C$8:$C$500=Kanban!$C$7)*(Calc!$K$8:$K$500=Kanban!F$11)*(Calc!$Y$8:$Y$500&gt;0),Calc!$Y$8:$Y$500,99999),Kanban_Helper!$B197),Calc!$Y$8:$Y$500,0)),Calc!$D$8:$D$500,0))="Yes",CONCATENATE(INDEX(Calc!$D$8:$D$500,MATCH(SMALL(IF((Calc!$C$8:$C$500=Kanban!$C$7)*(Calc!$K$8:$K$500=Kanban!F$11)*(Calc!$Y$8:$Y$500&gt;0),Calc!$Y$8:$Y$500,99999),Kanban_Helper!$B197),Calc!$Y$8:$Y$500,0))," ",Calc!$V$7," ","!"),INDEX(Calc!$D$8:$D$500,MATCH(SMALL(IF((Calc!$C$8:$C$500=Kanban!$C$7)*(Calc!$K$8:$K$500=Kanban!F$11)*(Calc!$Y$8:$Y$500&gt;0),Calc!$Y$8:$Y$500,99999),Kanban_Helper!$B197),Calc!$Y$8:$Y$500,0))),IF(INDEX(Calc!$V$8:$V$500,MATCH(INDEX(Calc!$D$8:$D$500,MATCH(SMALL(IF((Calc!$K$8:$K$500=Kanban!F$11)*(Calc!$Y$8:$Y$500&gt;0),Calc!$Y$8:$Y$500,99999),Kanban_Helper!$B197),Calc!$Y$8:$Y$500,0)),Calc!$D$8:$D$500,0))="Yes",CONCATENATE(INDEX(Calc!$D$8:$D$500,MATCH(SMALL(IF((Calc!$K$8:$K$500=Kanban!F$11)*(Calc!$Y$8:$Y$500&gt;0),Calc!$Y$8:$Y$500,99999),Kanban_Helper!$B197),Calc!$Y$8:$Y$500,0))," ",Calc!$V$7," ","!"),INDEX(Calc!$D$8:$D$500,MATCH(SMALL(IF((Calc!$K$8:$K$500=Kanban!F$11)*(Calc!$Y$8:$Y$500&gt;0),Calc!$Y$8:$Y$500,99999),Kanban_Helper!$B197),Calc!$Y$8:$Y$500,0))))),"")</f>
        <v/>
      </c>
      <c r="G204" s="170" t="str">
        <f t="array" ref="G204">IFERROR(IF(LEN(G$11)=0,"",IF($C$7&lt;&gt;"All",IF(INDEX(Calc!$V$8:$V$500,MATCH(INDEX(Calc!$D$8:$D$500,MATCH(SMALL(IF((Calc!$C$8:$C$500=Kanban!$C$7)*(Calc!$K$8:$K$500=Kanban!G$11)*(Calc!$Y$8:$Y$500&gt;0),Calc!$Y$8:$Y$500,99999),Kanban_Helper!$B197),Calc!$Y$8:$Y$500,0)),Calc!$D$8:$D$500,0))="Yes",CONCATENATE(INDEX(Calc!$D$8:$D$500,MATCH(SMALL(IF((Calc!$C$8:$C$500=Kanban!$C$7)*(Calc!$K$8:$K$500=Kanban!G$11)*(Calc!$Y$8:$Y$500&gt;0),Calc!$Y$8:$Y$500,99999),Kanban_Helper!$B197),Calc!$Y$8:$Y$500,0))," ",Calc!$V$7," ","!"),INDEX(Calc!$D$8:$D$500,MATCH(SMALL(IF((Calc!$C$8:$C$500=Kanban!$C$7)*(Calc!$K$8:$K$500=Kanban!G$11)*(Calc!$Y$8:$Y$500&gt;0),Calc!$Y$8:$Y$500,99999),Kanban_Helper!$B197),Calc!$Y$8:$Y$500,0))),IF(INDEX(Calc!$V$8:$V$500,MATCH(INDEX(Calc!$D$8:$D$500,MATCH(SMALL(IF((Calc!$K$8:$K$500=Kanban!G$11)*(Calc!$Y$8:$Y$500&gt;0),Calc!$Y$8:$Y$500,99999),Kanban_Helper!$B197),Calc!$Y$8:$Y$500,0)),Calc!$D$8:$D$500,0))="Yes",CONCATENATE(INDEX(Calc!$D$8:$D$500,MATCH(SMALL(IF((Calc!$K$8:$K$500=Kanban!G$11)*(Calc!$Y$8:$Y$500&gt;0),Calc!$Y$8:$Y$500,99999),Kanban_Helper!$B197),Calc!$Y$8:$Y$500,0))," ",Calc!$V$7," ","!"),INDEX(Calc!$D$8:$D$500,MATCH(SMALL(IF((Calc!$K$8:$K$500=Kanban!G$11)*(Calc!$Y$8:$Y$500&gt;0),Calc!$Y$8:$Y$500,99999),Kanban_Helper!$B197),Calc!$Y$8:$Y$500,0))))),"")</f>
        <v/>
      </c>
      <c r="H204" s="170" t="str">
        <f t="array" ref="H204">IFERROR(IF(LEN(H$11)=0,"",IF($C$7&lt;&gt;"All",IF(INDEX(Calc!$V$8:$V$500,MATCH(INDEX(Calc!$D$8:$D$500,MATCH(SMALL(IF((Calc!$C$8:$C$500=Kanban!$C$7)*(Calc!$K$8:$K$500=Kanban!H$11)*(Calc!$Y$8:$Y$500&gt;0),Calc!$Y$8:$Y$500,99999),Kanban_Helper!$B197),Calc!$Y$8:$Y$500,0)),Calc!$D$8:$D$500,0))="Yes",CONCATENATE(INDEX(Calc!$D$8:$D$500,MATCH(SMALL(IF((Calc!$C$8:$C$500=Kanban!$C$7)*(Calc!$K$8:$K$500=Kanban!H$11)*(Calc!$Y$8:$Y$500&gt;0),Calc!$Y$8:$Y$500,99999),Kanban_Helper!$B197),Calc!$Y$8:$Y$500,0))," ",Calc!$V$7," ","!"),INDEX(Calc!$D$8:$D$500,MATCH(SMALL(IF((Calc!$C$8:$C$500=Kanban!$C$7)*(Calc!$K$8:$K$500=Kanban!H$11)*(Calc!$Y$8:$Y$500&gt;0),Calc!$Y$8:$Y$500,99999),Kanban_Helper!$B197),Calc!$Y$8:$Y$500,0))),IF(INDEX(Calc!$V$8:$V$500,MATCH(INDEX(Calc!$D$8:$D$500,MATCH(SMALL(IF((Calc!$K$8:$K$500=Kanban!H$11)*(Calc!$Y$8:$Y$500&gt;0),Calc!$Y$8:$Y$500,99999),Kanban_Helper!$B197),Calc!$Y$8:$Y$500,0)),Calc!$D$8:$D$500,0))="Yes",CONCATENATE(INDEX(Calc!$D$8:$D$500,MATCH(SMALL(IF((Calc!$K$8:$K$500=Kanban!H$11)*(Calc!$Y$8:$Y$500&gt;0),Calc!$Y$8:$Y$500,99999),Kanban_Helper!$B197),Calc!$Y$8:$Y$500,0))," ",Calc!$V$7," ","!"),INDEX(Calc!$D$8:$D$500,MATCH(SMALL(IF((Calc!$K$8:$K$500=Kanban!H$11)*(Calc!$Y$8:$Y$500&gt;0),Calc!$Y$8:$Y$500,99999),Kanban_Helper!$B197),Calc!$Y$8:$Y$500,0))))),"")</f>
        <v/>
      </c>
      <c r="I204" s="39"/>
    </row>
    <row r="205" spans="2:9" x14ac:dyDescent="0.35">
      <c r="B205" s="81"/>
      <c r="C205" s="171" t="str">
        <f t="array" ref="C205">IFERROR(IF(LEN(C$11)=0,"",IF($C$7&lt;&gt;"All",INDEX(Calc!$E$8:$E$500,MATCH(SMALL(IF((Calc!$C$8:$C$500=Kanban!$C$7)*(Calc!$K$8:$K$500=Kanban!C$11)*(Calc!$Y$8:$Y$500&gt;0),Calc!$Y$8:$Y$500,99999),Kanban_Helper!$B198),Calc!$Y$8:$Y$500,0)),INDEX(Calc!$E$8:$E$500,MATCH(SMALL(IF((Calc!$K$8:$K$500=Kanban!C$11)*(Calc!$Y$8:$Y$500&gt;0),Calc!$Y$8:$Y$500,99999),Kanban_Helper!$B198),Calc!$Y$8:$Y$500,0)))),"")</f>
        <v/>
      </c>
      <c r="D205" s="171" t="str">
        <f t="array" ref="D205">IFERROR(IF(LEN(D$11)=0,"",IF($C$7&lt;&gt;"All",INDEX(Calc!$E$8:$E$500,MATCH(SMALL(IF((Calc!$C$8:$C$500=Kanban!$C$7)*(Calc!$K$8:$K$500=Kanban!D$11)*(Calc!$Y$8:$Y$500&gt;0),Calc!$Y$8:$Y$500,99999),Kanban_Helper!$B198),Calc!$Y$8:$Y$500,0)),INDEX(Calc!$E$8:$E$500,MATCH(SMALL(IF((Calc!$K$8:$K$500=Kanban!D$11)*(Calc!$Y$8:$Y$500&gt;0),Calc!$Y$8:$Y$500,99999),Kanban_Helper!$B198),Calc!$Y$8:$Y$500,0)))),"")</f>
        <v/>
      </c>
      <c r="E205" s="171" t="str">
        <f t="array" ref="E205">IFERROR(IF(LEN(E$11)=0,"",IF($C$7&lt;&gt;"All",INDEX(Calc!$E$8:$E$500,MATCH(SMALL(IF((Calc!$C$8:$C$500=Kanban!$C$7)*(Calc!$K$8:$K$500=Kanban!E$11)*(Calc!$Y$8:$Y$500&gt;0),Calc!$Y$8:$Y$500,99999),Kanban_Helper!$B198),Calc!$Y$8:$Y$500,0)),INDEX(Calc!$E$8:$E$500,MATCH(SMALL(IF((Calc!$K$8:$K$500=Kanban!E$11)*(Calc!$Y$8:$Y$500&gt;0),Calc!$Y$8:$Y$500,99999),Kanban_Helper!$B198),Calc!$Y$8:$Y$500,0)))),"")</f>
        <v/>
      </c>
      <c r="F205" s="171" t="str">
        <f t="array" ref="F205">IFERROR(IF(LEN(F$11)=0,"",IF($C$7&lt;&gt;"All",INDEX(Calc!$E$8:$E$500,MATCH(SMALL(IF((Calc!$C$8:$C$500=Kanban!$C$7)*(Calc!$K$8:$K$500=Kanban!F$11)*(Calc!$Y$8:$Y$500&gt;0),Calc!$Y$8:$Y$500,99999),Kanban_Helper!$B198),Calc!$Y$8:$Y$500,0)),INDEX(Calc!$E$8:$E$500,MATCH(SMALL(IF((Calc!$K$8:$K$500=Kanban!F$11)*(Calc!$Y$8:$Y$500&gt;0),Calc!$Y$8:$Y$500,99999),Kanban_Helper!$B198),Calc!$Y$8:$Y$500,0)))),"")</f>
        <v/>
      </c>
      <c r="G205" s="171" t="str">
        <f t="array" ref="G205">IFERROR(IF(LEN(G$11)=0,"",IF($C$7&lt;&gt;"All",INDEX(Calc!$E$8:$E$500,MATCH(SMALL(IF((Calc!$C$8:$C$500=Kanban!$C$7)*(Calc!$K$8:$K$500=Kanban!G$11)*(Calc!$Y$8:$Y$500&gt;0),Calc!$Y$8:$Y$500,99999),Kanban_Helper!$B198),Calc!$Y$8:$Y$500,0)),INDEX(Calc!$E$8:$E$500,MATCH(SMALL(IF((Calc!$K$8:$K$500=Kanban!G$11)*(Calc!$Y$8:$Y$500&gt;0),Calc!$Y$8:$Y$500,99999),Kanban_Helper!$B198),Calc!$Y$8:$Y$500,0)))),"")</f>
        <v/>
      </c>
      <c r="H205" s="171" t="str">
        <f t="array" ref="H205">IFERROR(IF(LEN(H$11)=0,"",IF($C$7&lt;&gt;"All",INDEX(Calc!$E$8:$E$500,MATCH(SMALL(IF((Calc!$C$8:$C$500=Kanban!$C$7)*(Calc!$K$8:$K$500=Kanban!H$11)*(Calc!$Y$8:$Y$500&gt;0),Calc!$Y$8:$Y$500,99999),Kanban_Helper!$B198),Calc!$Y$8:$Y$500,0)),INDEX(Calc!$E$8:$E$500,MATCH(SMALL(IF((Calc!$K$8:$K$500=Kanban!H$11)*(Calc!$Y$8:$Y$500&gt;0),Calc!$Y$8:$Y$500,99999),Kanban_Helper!$B198),Calc!$Y$8:$Y$500,0)))),"")</f>
        <v/>
      </c>
      <c r="I205" s="39"/>
    </row>
    <row r="206" spans="2:9" ht="15" thickBot="1" x14ac:dyDescent="0.4">
      <c r="B206" s="81"/>
      <c r="C206" s="172" t="str">
        <f t="array" ref="C206">IFERROR(IF(LEN(C$11)=0,"",IF($C$7&lt;&gt;"All",IF(LEN(INDEX(Calc!$J$8:$J$500,MATCH(SMALL(IF((Calc!$C$8:$C$500=Kanban!$C$7)*(Calc!$K$8:$K$500=Kanban!C$11)*(Calc!$Y$8:$Y$500&gt;0),Calc!$Y$8:$Y$500,99999),Kanban_Helper!$B199),Calc!$Y$8:$Y$500,0)))=0,"",CONCATENATE(Calc!$AD$6,INDEX(Calc!$J$8:$J$500,MATCH(SMALL(IF((Calc!$C$8:$C$500=Kanban!$C$7)*(Calc!$K$8:$K$500=Kanban!C$11)*(Calc!$Y$8:$Y$500&gt;0),Calc!$Y$8:$Y$500,99999),Kanban_Helper!$B199),Calc!$Y$8:$Y$500,0)))),IF(LEN(INDEX(Calc!$J$8:$J$500,MATCH(SMALL(IF((Calc!$K$8:$K$500=Kanban!C$11)*(Calc!$Y$8:$Y$500&gt;0),Calc!$Y$8:$Y$500,99999),Kanban_Helper!$B199),Calc!$Y$8:$Y$500,0)))=0,"",CONCATENATE(Calc!$AD$6,INDEX(Calc!$J$8:$J$500,MATCH(SMALL(IF((Calc!$K$8:$K$500=Kanban!C$11)*(Calc!$Y$8:$Y$500&gt;0),Calc!$Y$8:$Y$500,99999),Kanban_Helper!$B199),Calc!$Y$8:$Y$500,0)))))),"")</f>
        <v/>
      </c>
      <c r="D206" s="172" t="str">
        <f t="array" ref="D206">IFERROR(IF(LEN(D$11)=0,"",IF($C$7&lt;&gt;"All",IF(LEN(INDEX(Calc!$J$8:$J$500,MATCH(SMALL(IF((Calc!$C$8:$C$500=Kanban!$C$7)*(Calc!$K$8:$K$500=Kanban!D$11)*(Calc!$Y$8:$Y$500&gt;0),Calc!$Y$8:$Y$500,99999),Kanban_Helper!$B199),Calc!$Y$8:$Y$500,0)))=0,"",CONCATENATE(Calc!$AD$6,INDEX(Calc!$J$8:$J$500,MATCH(SMALL(IF((Calc!$C$8:$C$500=Kanban!$C$7)*(Calc!$K$8:$K$500=Kanban!D$11)*(Calc!$Y$8:$Y$500&gt;0),Calc!$Y$8:$Y$500,99999),Kanban_Helper!$B199),Calc!$Y$8:$Y$500,0)))),IF(LEN(INDEX(Calc!$J$8:$J$500,MATCH(SMALL(IF((Calc!$K$8:$K$500=Kanban!D$11)*(Calc!$Y$8:$Y$500&gt;0),Calc!$Y$8:$Y$500,99999),Kanban_Helper!$B199),Calc!$Y$8:$Y$500,0)))=0,"",CONCATENATE(Calc!$AD$6,INDEX(Calc!$J$8:$J$500,MATCH(SMALL(IF((Calc!$K$8:$K$500=Kanban!D$11)*(Calc!$Y$8:$Y$500&gt;0),Calc!$Y$8:$Y$500,99999),Kanban_Helper!$B199),Calc!$Y$8:$Y$500,0)))))),"")</f>
        <v/>
      </c>
      <c r="E206" s="172" t="str">
        <f t="array" ref="E206">IFERROR(IF(LEN(E$11)=0,"",IF($C$7&lt;&gt;"All",IF(LEN(INDEX(Calc!$J$8:$J$500,MATCH(SMALL(IF((Calc!$C$8:$C$500=Kanban!$C$7)*(Calc!$K$8:$K$500=Kanban!E$11)*(Calc!$Y$8:$Y$500&gt;0),Calc!$Y$8:$Y$500,99999),Kanban_Helper!$B199),Calc!$Y$8:$Y$500,0)))=0,"",CONCATENATE(Calc!$AD$6,INDEX(Calc!$J$8:$J$500,MATCH(SMALL(IF((Calc!$C$8:$C$500=Kanban!$C$7)*(Calc!$K$8:$K$500=Kanban!E$11)*(Calc!$Y$8:$Y$500&gt;0),Calc!$Y$8:$Y$500,99999),Kanban_Helper!$B199),Calc!$Y$8:$Y$500,0)))),IF(LEN(INDEX(Calc!$J$8:$J$500,MATCH(SMALL(IF((Calc!$K$8:$K$500=Kanban!E$11)*(Calc!$Y$8:$Y$500&gt;0),Calc!$Y$8:$Y$500,99999),Kanban_Helper!$B199),Calc!$Y$8:$Y$500,0)))=0,"",CONCATENATE(Calc!$AD$6,INDEX(Calc!$J$8:$J$500,MATCH(SMALL(IF((Calc!$K$8:$K$500=Kanban!E$11)*(Calc!$Y$8:$Y$500&gt;0),Calc!$Y$8:$Y$500,99999),Kanban_Helper!$B199),Calc!$Y$8:$Y$500,0)))))),"")</f>
        <v/>
      </c>
      <c r="F206" s="172" t="str">
        <f t="array" ref="F206">IFERROR(IF(LEN(F$11)=0,"",IF($C$7&lt;&gt;"All",IF(LEN(INDEX(Calc!$J$8:$J$500,MATCH(SMALL(IF((Calc!$C$8:$C$500=Kanban!$C$7)*(Calc!$K$8:$K$500=Kanban!F$11)*(Calc!$Y$8:$Y$500&gt;0),Calc!$Y$8:$Y$500,99999),Kanban_Helper!$B199),Calc!$Y$8:$Y$500,0)))=0,"",CONCATENATE(Calc!$AD$6,INDEX(Calc!$J$8:$J$500,MATCH(SMALL(IF((Calc!$C$8:$C$500=Kanban!$C$7)*(Calc!$K$8:$K$500=Kanban!F$11)*(Calc!$Y$8:$Y$500&gt;0),Calc!$Y$8:$Y$500,99999),Kanban_Helper!$B199),Calc!$Y$8:$Y$500,0)))),IF(LEN(INDEX(Calc!$J$8:$J$500,MATCH(SMALL(IF((Calc!$K$8:$K$500=Kanban!F$11)*(Calc!$Y$8:$Y$500&gt;0),Calc!$Y$8:$Y$500,99999),Kanban_Helper!$B199),Calc!$Y$8:$Y$500,0)))=0,"",CONCATENATE(Calc!$AD$6,INDEX(Calc!$J$8:$J$500,MATCH(SMALL(IF((Calc!$K$8:$K$500=Kanban!F$11)*(Calc!$Y$8:$Y$500&gt;0),Calc!$Y$8:$Y$500,99999),Kanban_Helper!$B199),Calc!$Y$8:$Y$500,0)))))),"")</f>
        <v/>
      </c>
      <c r="G206" s="172" t="str">
        <f t="array" ref="G206">IFERROR(IF(LEN(G$11)=0,"",IF($C$7&lt;&gt;"All",IF(LEN(INDEX(Calc!$J$8:$J$500,MATCH(SMALL(IF((Calc!$C$8:$C$500=Kanban!$C$7)*(Calc!$K$8:$K$500=Kanban!G$11)*(Calc!$Y$8:$Y$500&gt;0),Calc!$Y$8:$Y$500,99999),Kanban_Helper!$B199),Calc!$Y$8:$Y$500,0)))=0,"",CONCATENATE(Calc!$AD$6,INDEX(Calc!$J$8:$J$500,MATCH(SMALL(IF((Calc!$C$8:$C$500=Kanban!$C$7)*(Calc!$K$8:$K$500=Kanban!G$11)*(Calc!$Y$8:$Y$500&gt;0),Calc!$Y$8:$Y$500,99999),Kanban_Helper!$B199),Calc!$Y$8:$Y$500,0)))),IF(LEN(INDEX(Calc!$J$8:$J$500,MATCH(SMALL(IF((Calc!$K$8:$K$500=Kanban!G$11)*(Calc!$Y$8:$Y$500&gt;0),Calc!$Y$8:$Y$500,99999),Kanban_Helper!$B199),Calc!$Y$8:$Y$500,0)))=0,"",CONCATENATE(Calc!$AD$6,INDEX(Calc!$J$8:$J$500,MATCH(SMALL(IF((Calc!$K$8:$K$500=Kanban!G$11)*(Calc!$Y$8:$Y$500&gt;0),Calc!$Y$8:$Y$500,99999),Kanban_Helper!$B199),Calc!$Y$8:$Y$500,0)))))),"")</f>
        <v/>
      </c>
      <c r="H206" s="172" t="str">
        <f t="array" ref="H206">IFERROR(IF(LEN(H$11)=0,"",IF($C$7&lt;&gt;"All",IF(LEN(INDEX(Calc!$J$8:$J$500,MATCH(SMALL(IF((Calc!$C$8:$C$500=Kanban!$C$7)*(Calc!$K$8:$K$500=Kanban!H$11)*(Calc!$Y$8:$Y$500&gt;0),Calc!$Y$8:$Y$500,99999),Kanban_Helper!$B199),Calc!$Y$8:$Y$500,0)))=0,"",CONCATENATE(Calc!$AD$6,INDEX(Calc!$J$8:$J$500,MATCH(SMALL(IF((Calc!$C$8:$C$500=Kanban!$C$7)*(Calc!$K$8:$K$500=Kanban!H$11)*(Calc!$Y$8:$Y$500&gt;0),Calc!$Y$8:$Y$500,99999),Kanban_Helper!$B199),Calc!$Y$8:$Y$500,0)))),IF(LEN(INDEX(Calc!$J$8:$J$500,MATCH(SMALL(IF((Calc!$K$8:$K$500=Kanban!H$11)*(Calc!$Y$8:$Y$500&gt;0),Calc!$Y$8:$Y$500,99999),Kanban_Helper!$B199),Calc!$Y$8:$Y$500,0)))=0,"",CONCATENATE(Calc!$AD$6,INDEX(Calc!$J$8:$J$500,MATCH(SMALL(IF((Calc!$K$8:$K$500=Kanban!H$11)*(Calc!$Y$8:$Y$500&gt;0),Calc!$Y$8:$Y$500,99999),Kanban_Helper!$B199),Calc!$Y$8:$Y$500,0)))))),"")</f>
        <v/>
      </c>
      <c r="I206" s="39"/>
    </row>
    <row r="207" spans="2:9" ht="15" thickTop="1" x14ac:dyDescent="0.35">
      <c r="B207" s="81"/>
      <c r="C207" s="170" t="str">
        <f t="array" ref="C207">IFERROR(IF(LEN(C$11)=0,"",IF($C$7&lt;&gt;"All",IF(INDEX(Calc!$V$8:$V$500,MATCH(INDEX(Calc!$D$8:$D$500,MATCH(SMALL(IF((Calc!$C$8:$C$500=Kanban!$C$7)*(Calc!$K$8:$K$500=Kanban!C$11)*(Calc!$Y$8:$Y$500&gt;0),Calc!$Y$8:$Y$500,99999),Kanban_Helper!$B200),Calc!$Y$8:$Y$500,0)),Calc!$D$8:$D$500,0))="Yes",CONCATENATE(INDEX(Calc!$D$8:$D$500,MATCH(SMALL(IF((Calc!$C$8:$C$500=Kanban!$C$7)*(Calc!$K$8:$K$500=Kanban!C$11)*(Calc!$Y$8:$Y$500&gt;0),Calc!$Y$8:$Y$500,99999),Kanban_Helper!$B200),Calc!$Y$8:$Y$500,0))," ",Calc!$V$7," ","!"),INDEX(Calc!$D$8:$D$500,MATCH(SMALL(IF((Calc!$C$8:$C$500=Kanban!$C$7)*(Calc!$K$8:$K$500=Kanban!C$11)*(Calc!$Y$8:$Y$500&gt;0),Calc!$Y$8:$Y$500,99999),Kanban_Helper!$B200),Calc!$Y$8:$Y$500,0))),IF(INDEX(Calc!$V$8:$V$500,MATCH(INDEX(Calc!$D$8:$D$500,MATCH(SMALL(IF((Calc!$K$8:$K$500=Kanban!C$11)*(Calc!$Y$8:$Y$500&gt;0),Calc!$Y$8:$Y$500,99999),Kanban_Helper!$B200),Calc!$Y$8:$Y$500,0)),Calc!$D$8:$D$500,0))="Yes",CONCATENATE(INDEX(Calc!$D$8:$D$500,MATCH(SMALL(IF((Calc!$K$8:$K$500=Kanban!C$11)*(Calc!$Y$8:$Y$500&gt;0),Calc!$Y$8:$Y$500,99999),Kanban_Helper!$B200),Calc!$Y$8:$Y$500,0))," ",Calc!$V$7," ","!"),INDEX(Calc!$D$8:$D$500,MATCH(SMALL(IF((Calc!$K$8:$K$500=Kanban!C$11)*(Calc!$Y$8:$Y$500&gt;0),Calc!$Y$8:$Y$500,99999),Kanban_Helper!$B200),Calc!$Y$8:$Y$500,0))))),"")</f>
        <v/>
      </c>
      <c r="D207" s="170" t="str">
        <f t="array" ref="D207">IFERROR(IF(LEN(D$11)=0,"",IF($C$7&lt;&gt;"All",IF(INDEX(Calc!$V$8:$V$500,MATCH(INDEX(Calc!$D$8:$D$500,MATCH(SMALL(IF((Calc!$C$8:$C$500=Kanban!$C$7)*(Calc!$K$8:$K$500=Kanban!D$11)*(Calc!$Y$8:$Y$500&gt;0),Calc!$Y$8:$Y$500,99999),Kanban_Helper!$B200),Calc!$Y$8:$Y$500,0)),Calc!$D$8:$D$500,0))="Yes",CONCATENATE(INDEX(Calc!$D$8:$D$500,MATCH(SMALL(IF((Calc!$C$8:$C$500=Kanban!$C$7)*(Calc!$K$8:$K$500=Kanban!D$11)*(Calc!$Y$8:$Y$500&gt;0),Calc!$Y$8:$Y$500,99999),Kanban_Helper!$B200),Calc!$Y$8:$Y$500,0))," ",Calc!$V$7," ","!"),INDEX(Calc!$D$8:$D$500,MATCH(SMALL(IF((Calc!$C$8:$C$500=Kanban!$C$7)*(Calc!$K$8:$K$500=Kanban!D$11)*(Calc!$Y$8:$Y$500&gt;0),Calc!$Y$8:$Y$500,99999),Kanban_Helper!$B200),Calc!$Y$8:$Y$500,0))),IF(INDEX(Calc!$V$8:$V$500,MATCH(INDEX(Calc!$D$8:$D$500,MATCH(SMALL(IF((Calc!$K$8:$K$500=Kanban!D$11)*(Calc!$Y$8:$Y$500&gt;0),Calc!$Y$8:$Y$500,99999),Kanban_Helper!$B200),Calc!$Y$8:$Y$500,0)),Calc!$D$8:$D$500,0))="Yes",CONCATENATE(INDEX(Calc!$D$8:$D$500,MATCH(SMALL(IF((Calc!$K$8:$K$500=Kanban!D$11)*(Calc!$Y$8:$Y$500&gt;0),Calc!$Y$8:$Y$500,99999),Kanban_Helper!$B200),Calc!$Y$8:$Y$500,0))," ",Calc!$V$7," ","!"),INDEX(Calc!$D$8:$D$500,MATCH(SMALL(IF((Calc!$K$8:$K$500=Kanban!D$11)*(Calc!$Y$8:$Y$500&gt;0),Calc!$Y$8:$Y$500,99999),Kanban_Helper!$B200),Calc!$Y$8:$Y$500,0))))),"")</f>
        <v/>
      </c>
      <c r="E207" s="170" t="str">
        <f t="array" ref="E207">IFERROR(IF(LEN(E$11)=0,"",IF($C$7&lt;&gt;"All",IF(INDEX(Calc!$V$8:$V$500,MATCH(INDEX(Calc!$D$8:$D$500,MATCH(SMALL(IF((Calc!$C$8:$C$500=Kanban!$C$7)*(Calc!$K$8:$K$500=Kanban!E$11)*(Calc!$Y$8:$Y$500&gt;0),Calc!$Y$8:$Y$500,99999),Kanban_Helper!$B200),Calc!$Y$8:$Y$500,0)),Calc!$D$8:$D$500,0))="Yes",CONCATENATE(INDEX(Calc!$D$8:$D$500,MATCH(SMALL(IF((Calc!$C$8:$C$500=Kanban!$C$7)*(Calc!$K$8:$K$500=Kanban!E$11)*(Calc!$Y$8:$Y$500&gt;0),Calc!$Y$8:$Y$500,99999),Kanban_Helper!$B200),Calc!$Y$8:$Y$500,0))," ",Calc!$V$7," ","!"),INDEX(Calc!$D$8:$D$500,MATCH(SMALL(IF((Calc!$C$8:$C$500=Kanban!$C$7)*(Calc!$K$8:$K$500=Kanban!E$11)*(Calc!$Y$8:$Y$500&gt;0),Calc!$Y$8:$Y$500,99999),Kanban_Helper!$B200),Calc!$Y$8:$Y$500,0))),IF(INDEX(Calc!$V$8:$V$500,MATCH(INDEX(Calc!$D$8:$D$500,MATCH(SMALL(IF((Calc!$K$8:$K$500=Kanban!E$11)*(Calc!$Y$8:$Y$500&gt;0),Calc!$Y$8:$Y$500,99999),Kanban_Helper!$B200),Calc!$Y$8:$Y$500,0)),Calc!$D$8:$D$500,0))="Yes",CONCATENATE(INDEX(Calc!$D$8:$D$500,MATCH(SMALL(IF((Calc!$K$8:$K$500=Kanban!E$11)*(Calc!$Y$8:$Y$500&gt;0),Calc!$Y$8:$Y$500,99999),Kanban_Helper!$B200),Calc!$Y$8:$Y$500,0))," ",Calc!$V$7," ","!"),INDEX(Calc!$D$8:$D$500,MATCH(SMALL(IF((Calc!$K$8:$K$500=Kanban!E$11)*(Calc!$Y$8:$Y$500&gt;0),Calc!$Y$8:$Y$500,99999),Kanban_Helper!$B200),Calc!$Y$8:$Y$500,0))))),"")</f>
        <v/>
      </c>
      <c r="F207" s="170" t="str">
        <f t="array" ref="F207">IFERROR(IF(LEN(F$11)=0,"",IF($C$7&lt;&gt;"All",IF(INDEX(Calc!$V$8:$V$500,MATCH(INDEX(Calc!$D$8:$D$500,MATCH(SMALL(IF((Calc!$C$8:$C$500=Kanban!$C$7)*(Calc!$K$8:$K$500=Kanban!F$11)*(Calc!$Y$8:$Y$500&gt;0),Calc!$Y$8:$Y$500,99999),Kanban_Helper!$B200),Calc!$Y$8:$Y$500,0)),Calc!$D$8:$D$500,0))="Yes",CONCATENATE(INDEX(Calc!$D$8:$D$500,MATCH(SMALL(IF((Calc!$C$8:$C$500=Kanban!$C$7)*(Calc!$K$8:$K$500=Kanban!F$11)*(Calc!$Y$8:$Y$500&gt;0),Calc!$Y$8:$Y$500,99999),Kanban_Helper!$B200),Calc!$Y$8:$Y$500,0))," ",Calc!$V$7," ","!"),INDEX(Calc!$D$8:$D$500,MATCH(SMALL(IF((Calc!$C$8:$C$500=Kanban!$C$7)*(Calc!$K$8:$K$500=Kanban!F$11)*(Calc!$Y$8:$Y$500&gt;0),Calc!$Y$8:$Y$500,99999),Kanban_Helper!$B200),Calc!$Y$8:$Y$500,0))),IF(INDEX(Calc!$V$8:$V$500,MATCH(INDEX(Calc!$D$8:$D$500,MATCH(SMALL(IF((Calc!$K$8:$K$500=Kanban!F$11)*(Calc!$Y$8:$Y$500&gt;0),Calc!$Y$8:$Y$500,99999),Kanban_Helper!$B200),Calc!$Y$8:$Y$500,0)),Calc!$D$8:$D$500,0))="Yes",CONCATENATE(INDEX(Calc!$D$8:$D$500,MATCH(SMALL(IF((Calc!$K$8:$K$500=Kanban!F$11)*(Calc!$Y$8:$Y$500&gt;0),Calc!$Y$8:$Y$500,99999),Kanban_Helper!$B200),Calc!$Y$8:$Y$500,0))," ",Calc!$V$7," ","!"),INDEX(Calc!$D$8:$D$500,MATCH(SMALL(IF((Calc!$K$8:$K$500=Kanban!F$11)*(Calc!$Y$8:$Y$500&gt;0),Calc!$Y$8:$Y$500,99999),Kanban_Helper!$B200),Calc!$Y$8:$Y$500,0))))),"")</f>
        <v/>
      </c>
      <c r="G207" s="170" t="str">
        <f t="array" ref="G207">IFERROR(IF(LEN(G$11)=0,"",IF($C$7&lt;&gt;"All",IF(INDEX(Calc!$V$8:$V$500,MATCH(INDEX(Calc!$D$8:$D$500,MATCH(SMALL(IF((Calc!$C$8:$C$500=Kanban!$C$7)*(Calc!$K$8:$K$500=Kanban!G$11)*(Calc!$Y$8:$Y$500&gt;0),Calc!$Y$8:$Y$500,99999),Kanban_Helper!$B200),Calc!$Y$8:$Y$500,0)),Calc!$D$8:$D$500,0))="Yes",CONCATENATE(INDEX(Calc!$D$8:$D$500,MATCH(SMALL(IF((Calc!$C$8:$C$500=Kanban!$C$7)*(Calc!$K$8:$K$500=Kanban!G$11)*(Calc!$Y$8:$Y$500&gt;0),Calc!$Y$8:$Y$500,99999),Kanban_Helper!$B200),Calc!$Y$8:$Y$500,0))," ",Calc!$V$7," ","!"),INDEX(Calc!$D$8:$D$500,MATCH(SMALL(IF((Calc!$C$8:$C$500=Kanban!$C$7)*(Calc!$K$8:$K$500=Kanban!G$11)*(Calc!$Y$8:$Y$500&gt;0),Calc!$Y$8:$Y$500,99999),Kanban_Helper!$B200),Calc!$Y$8:$Y$500,0))),IF(INDEX(Calc!$V$8:$V$500,MATCH(INDEX(Calc!$D$8:$D$500,MATCH(SMALL(IF((Calc!$K$8:$K$500=Kanban!G$11)*(Calc!$Y$8:$Y$500&gt;0),Calc!$Y$8:$Y$500,99999),Kanban_Helper!$B200),Calc!$Y$8:$Y$500,0)),Calc!$D$8:$D$500,0))="Yes",CONCATENATE(INDEX(Calc!$D$8:$D$500,MATCH(SMALL(IF((Calc!$K$8:$K$500=Kanban!G$11)*(Calc!$Y$8:$Y$500&gt;0),Calc!$Y$8:$Y$500,99999),Kanban_Helper!$B200),Calc!$Y$8:$Y$500,0))," ",Calc!$V$7," ","!"),INDEX(Calc!$D$8:$D$500,MATCH(SMALL(IF((Calc!$K$8:$K$500=Kanban!G$11)*(Calc!$Y$8:$Y$500&gt;0),Calc!$Y$8:$Y$500,99999),Kanban_Helper!$B200),Calc!$Y$8:$Y$500,0))))),"")</f>
        <v/>
      </c>
      <c r="H207" s="170" t="str">
        <f t="array" ref="H207">IFERROR(IF(LEN(H$11)=0,"",IF($C$7&lt;&gt;"All",IF(INDEX(Calc!$V$8:$V$500,MATCH(INDEX(Calc!$D$8:$D$500,MATCH(SMALL(IF((Calc!$C$8:$C$500=Kanban!$C$7)*(Calc!$K$8:$K$500=Kanban!H$11)*(Calc!$Y$8:$Y$500&gt;0),Calc!$Y$8:$Y$500,99999),Kanban_Helper!$B200),Calc!$Y$8:$Y$500,0)),Calc!$D$8:$D$500,0))="Yes",CONCATENATE(INDEX(Calc!$D$8:$D$500,MATCH(SMALL(IF((Calc!$C$8:$C$500=Kanban!$C$7)*(Calc!$K$8:$K$500=Kanban!H$11)*(Calc!$Y$8:$Y$500&gt;0),Calc!$Y$8:$Y$500,99999),Kanban_Helper!$B200),Calc!$Y$8:$Y$500,0))," ",Calc!$V$7," ","!"),INDEX(Calc!$D$8:$D$500,MATCH(SMALL(IF((Calc!$C$8:$C$500=Kanban!$C$7)*(Calc!$K$8:$K$500=Kanban!H$11)*(Calc!$Y$8:$Y$500&gt;0),Calc!$Y$8:$Y$500,99999),Kanban_Helper!$B200),Calc!$Y$8:$Y$500,0))),IF(INDEX(Calc!$V$8:$V$500,MATCH(INDEX(Calc!$D$8:$D$500,MATCH(SMALL(IF((Calc!$K$8:$K$500=Kanban!H$11)*(Calc!$Y$8:$Y$500&gt;0),Calc!$Y$8:$Y$500,99999),Kanban_Helper!$B200),Calc!$Y$8:$Y$500,0)),Calc!$D$8:$D$500,0))="Yes",CONCATENATE(INDEX(Calc!$D$8:$D$500,MATCH(SMALL(IF((Calc!$K$8:$K$500=Kanban!H$11)*(Calc!$Y$8:$Y$500&gt;0),Calc!$Y$8:$Y$500,99999),Kanban_Helper!$B200),Calc!$Y$8:$Y$500,0))," ",Calc!$V$7," ","!"),INDEX(Calc!$D$8:$D$500,MATCH(SMALL(IF((Calc!$K$8:$K$500=Kanban!H$11)*(Calc!$Y$8:$Y$500&gt;0),Calc!$Y$8:$Y$500,99999),Kanban_Helper!$B200),Calc!$Y$8:$Y$500,0))))),"")</f>
        <v/>
      </c>
      <c r="I207" s="39"/>
    </row>
    <row r="208" spans="2:9" x14ac:dyDescent="0.35">
      <c r="B208" s="81"/>
      <c r="C208" s="171" t="str">
        <f t="array" ref="C208">IFERROR(IF(LEN(C$11)=0,"",IF($C$7&lt;&gt;"All",INDEX(Calc!$E$8:$E$500,MATCH(SMALL(IF((Calc!$C$8:$C$500=Kanban!$C$7)*(Calc!$K$8:$K$500=Kanban!C$11)*(Calc!$Y$8:$Y$500&gt;0),Calc!$Y$8:$Y$500,99999),Kanban_Helper!$B201),Calc!$Y$8:$Y$500,0)),INDEX(Calc!$E$8:$E$500,MATCH(SMALL(IF((Calc!$K$8:$K$500=Kanban!C$11)*(Calc!$Y$8:$Y$500&gt;0),Calc!$Y$8:$Y$500,99999),Kanban_Helper!$B201),Calc!$Y$8:$Y$500,0)))),"")</f>
        <v/>
      </c>
      <c r="D208" s="171" t="str">
        <f t="array" ref="D208">IFERROR(IF(LEN(D$11)=0,"",IF($C$7&lt;&gt;"All",INDEX(Calc!$E$8:$E$500,MATCH(SMALL(IF((Calc!$C$8:$C$500=Kanban!$C$7)*(Calc!$K$8:$K$500=Kanban!D$11)*(Calc!$Y$8:$Y$500&gt;0),Calc!$Y$8:$Y$500,99999),Kanban_Helper!$B201),Calc!$Y$8:$Y$500,0)),INDEX(Calc!$E$8:$E$500,MATCH(SMALL(IF((Calc!$K$8:$K$500=Kanban!D$11)*(Calc!$Y$8:$Y$500&gt;0),Calc!$Y$8:$Y$500,99999),Kanban_Helper!$B201),Calc!$Y$8:$Y$500,0)))),"")</f>
        <v/>
      </c>
      <c r="E208" s="171" t="str">
        <f t="array" ref="E208">IFERROR(IF(LEN(E$11)=0,"",IF($C$7&lt;&gt;"All",INDEX(Calc!$E$8:$E$500,MATCH(SMALL(IF((Calc!$C$8:$C$500=Kanban!$C$7)*(Calc!$K$8:$K$500=Kanban!E$11)*(Calc!$Y$8:$Y$500&gt;0),Calc!$Y$8:$Y$500,99999),Kanban_Helper!$B201),Calc!$Y$8:$Y$500,0)),INDEX(Calc!$E$8:$E$500,MATCH(SMALL(IF((Calc!$K$8:$K$500=Kanban!E$11)*(Calc!$Y$8:$Y$500&gt;0),Calc!$Y$8:$Y$500,99999),Kanban_Helper!$B201),Calc!$Y$8:$Y$500,0)))),"")</f>
        <v/>
      </c>
      <c r="F208" s="171" t="str">
        <f t="array" ref="F208">IFERROR(IF(LEN(F$11)=0,"",IF($C$7&lt;&gt;"All",INDEX(Calc!$E$8:$E$500,MATCH(SMALL(IF((Calc!$C$8:$C$500=Kanban!$C$7)*(Calc!$K$8:$K$500=Kanban!F$11)*(Calc!$Y$8:$Y$500&gt;0),Calc!$Y$8:$Y$500,99999),Kanban_Helper!$B201),Calc!$Y$8:$Y$500,0)),INDEX(Calc!$E$8:$E$500,MATCH(SMALL(IF((Calc!$K$8:$K$500=Kanban!F$11)*(Calc!$Y$8:$Y$500&gt;0),Calc!$Y$8:$Y$500,99999),Kanban_Helper!$B201),Calc!$Y$8:$Y$500,0)))),"")</f>
        <v/>
      </c>
      <c r="G208" s="171" t="str">
        <f t="array" ref="G208">IFERROR(IF(LEN(G$11)=0,"",IF($C$7&lt;&gt;"All",INDEX(Calc!$E$8:$E$500,MATCH(SMALL(IF((Calc!$C$8:$C$500=Kanban!$C$7)*(Calc!$K$8:$K$500=Kanban!G$11)*(Calc!$Y$8:$Y$500&gt;0),Calc!$Y$8:$Y$500,99999),Kanban_Helper!$B201),Calc!$Y$8:$Y$500,0)),INDEX(Calc!$E$8:$E$500,MATCH(SMALL(IF((Calc!$K$8:$K$500=Kanban!G$11)*(Calc!$Y$8:$Y$500&gt;0),Calc!$Y$8:$Y$500,99999),Kanban_Helper!$B201),Calc!$Y$8:$Y$500,0)))),"")</f>
        <v/>
      </c>
      <c r="H208" s="171" t="str">
        <f t="array" ref="H208">IFERROR(IF(LEN(H$11)=0,"",IF($C$7&lt;&gt;"All",INDEX(Calc!$E$8:$E$500,MATCH(SMALL(IF((Calc!$C$8:$C$500=Kanban!$C$7)*(Calc!$K$8:$K$500=Kanban!H$11)*(Calc!$Y$8:$Y$500&gt;0),Calc!$Y$8:$Y$500,99999),Kanban_Helper!$B201),Calc!$Y$8:$Y$500,0)),INDEX(Calc!$E$8:$E$500,MATCH(SMALL(IF((Calc!$K$8:$K$500=Kanban!H$11)*(Calc!$Y$8:$Y$500&gt;0),Calc!$Y$8:$Y$500,99999),Kanban_Helper!$B201),Calc!$Y$8:$Y$500,0)))),"")</f>
        <v/>
      </c>
      <c r="I208" s="39"/>
    </row>
    <row r="209" spans="2:9" ht="15" thickBot="1" x14ac:dyDescent="0.4">
      <c r="B209" s="81"/>
      <c r="C209" s="172" t="str">
        <f t="array" ref="C209">IFERROR(IF(LEN(C$11)=0,"",IF($C$7&lt;&gt;"All",IF(LEN(INDEX(Calc!$J$8:$J$500,MATCH(SMALL(IF((Calc!$C$8:$C$500=Kanban!$C$7)*(Calc!$K$8:$K$500=Kanban!C$11)*(Calc!$Y$8:$Y$500&gt;0),Calc!$Y$8:$Y$500,99999),Kanban_Helper!$B202),Calc!$Y$8:$Y$500,0)))=0,"",CONCATENATE(Calc!$AD$6,INDEX(Calc!$J$8:$J$500,MATCH(SMALL(IF((Calc!$C$8:$C$500=Kanban!$C$7)*(Calc!$K$8:$K$500=Kanban!C$11)*(Calc!$Y$8:$Y$500&gt;0),Calc!$Y$8:$Y$500,99999),Kanban_Helper!$B202),Calc!$Y$8:$Y$500,0)))),IF(LEN(INDEX(Calc!$J$8:$J$500,MATCH(SMALL(IF((Calc!$K$8:$K$500=Kanban!C$11)*(Calc!$Y$8:$Y$500&gt;0),Calc!$Y$8:$Y$500,99999),Kanban_Helper!$B202),Calc!$Y$8:$Y$500,0)))=0,"",CONCATENATE(Calc!$AD$6,INDEX(Calc!$J$8:$J$500,MATCH(SMALL(IF((Calc!$K$8:$K$500=Kanban!C$11)*(Calc!$Y$8:$Y$500&gt;0),Calc!$Y$8:$Y$500,99999),Kanban_Helper!$B202),Calc!$Y$8:$Y$500,0)))))),"")</f>
        <v/>
      </c>
      <c r="D209" s="172" t="str">
        <f t="array" ref="D209">IFERROR(IF(LEN(D$11)=0,"",IF($C$7&lt;&gt;"All",IF(LEN(INDEX(Calc!$J$8:$J$500,MATCH(SMALL(IF((Calc!$C$8:$C$500=Kanban!$C$7)*(Calc!$K$8:$K$500=Kanban!D$11)*(Calc!$Y$8:$Y$500&gt;0),Calc!$Y$8:$Y$500,99999),Kanban_Helper!$B202),Calc!$Y$8:$Y$500,0)))=0,"",CONCATENATE(Calc!$AD$6,INDEX(Calc!$J$8:$J$500,MATCH(SMALL(IF((Calc!$C$8:$C$500=Kanban!$C$7)*(Calc!$K$8:$K$500=Kanban!D$11)*(Calc!$Y$8:$Y$500&gt;0),Calc!$Y$8:$Y$500,99999),Kanban_Helper!$B202),Calc!$Y$8:$Y$500,0)))),IF(LEN(INDEX(Calc!$J$8:$J$500,MATCH(SMALL(IF((Calc!$K$8:$K$500=Kanban!D$11)*(Calc!$Y$8:$Y$500&gt;0),Calc!$Y$8:$Y$500,99999),Kanban_Helper!$B202),Calc!$Y$8:$Y$500,0)))=0,"",CONCATENATE(Calc!$AD$6,INDEX(Calc!$J$8:$J$500,MATCH(SMALL(IF((Calc!$K$8:$K$500=Kanban!D$11)*(Calc!$Y$8:$Y$500&gt;0),Calc!$Y$8:$Y$500,99999),Kanban_Helper!$B202),Calc!$Y$8:$Y$500,0)))))),"")</f>
        <v/>
      </c>
      <c r="E209" s="172" t="str">
        <f t="array" ref="E209">IFERROR(IF(LEN(E$11)=0,"",IF($C$7&lt;&gt;"All",IF(LEN(INDEX(Calc!$J$8:$J$500,MATCH(SMALL(IF((Calc!$C$8:$C$500=Kanban!$C$7)*(Calc!$K$8:$K$500=Kanban!E$11)*(Calc!$Y$8:$Y$500&gt;0),Calc!$Y$8:$Y$500,99999),Kanban_Helper!$B202),Calc!$Y$8:$Y$500,0)))=0,"",CONCATENATE(Calc!$AD$6,INDEX(Calc!$J$8:$J$500,MATCH(SMALL(IF((Calc!$C$8:$C$500=Kanban!$C$7)*(Calc!$K$8:$K$500=Kanban!E$11)*(Calc!$Y$8:$Y$500&gt;0),Calc!$Y$8:$Y$500,99999),Kanban_Helper!$B202),Calc!$Y$8:$Y$500,0)))),IF(LEN(INDEX(Calc!$J$8:$J$500,MATCH(SMALL(IF((Calc!$K$8:$K$500=Kanban!E$11)*(Calc!$Y$8:$Y$500&gt;0),Calc!$Y$8:$Y$500,99999),Kanban_Helper!$B202),Calc!$Y$8:$Y$500,0)))=0,"",CONCATENATE(Calc!$AD$6,INDEX(Calc!$J$8:$J$500,MATCH(SMALL(IF((Calc!$K$8:$K$500=Kanban!E$11)*(Calc!$Y$8:$Y$500&gt;0),Calc!$Y$8:$Y$500,99999),Kanban_Helper!$B202),Calc!$Y$8:$Y$500,0)))))),"")</f>
        <v/>
      </c>
      <c r="F209" s="172" t="str">
        <f t="array" ref="F209">IFERROR(IF(LEN(F$11)=0,"",IF($C$7&lt;&gt;"All",IF(LEN(INDEX(Calc!$J$8:$J$500,MATCH(SMALL(IF((Calc!$C$8:$C$500=Kanban!$C$7)*(Calc!$K$8:$K$500=Kanban!F$11)*(Calc!$Y$8:$Y$500&gt;0),Calc!$Y$8:$Y$500,99999),Kanban_Helper!$B202),Calc!$Y$8:$Y$500,0)))=0,"",CONCATENATE(Calc!$AD$6,INDEX(Calc!$J$8:$J$500,MATCH(SMALL(IF((Calc!$C$8:$C$500=Kanban!$C$7)*(Calc!$K$8:$K$500=Kanban!F$11)*(Calc!$Y$8:$Y$500&gt;0),Calc!$Y$8:$Y$500,99999),Kanban_Helper!$B202),Calc!$Y$8:$Y$500,0)))),IF(LEN(INDEX(Calc!$J$8:$J$500,MATCH(SMALL(IF((Calc!$K$8:$K$500=Kanban!F$11)*(Calc!$Y$8:$Y$500&gt;0),Calc!$Y$8:$Y$500,99999),Kanban_Helper!$B202),Calc!$Y$8:$Y$500,0)))=0,"",CONCATENATE(Calc!$AD$6,INDEX(Calc!$J$8:$J$500,MATCH(SMALL(IF((Calc!$K$8:$K$500=Kanban!F$11)*(Calc!$Y$8:$Y$500&gt;0),Calc!$Y$8:$Y$500,99999),Kanban_Helper!$B202),Calc!$Y$8:$Y$500,0)))))),"")</f>
        <v/>
      </c>
      <c r="G209" s="172" t="str">
        <f t="array" ref="G209">IFERROR(IF(LEN(G$11)=0,"",IF($C$7&lt;&gt;"All",IF(LEN(INDEX(Calc!$J$8:$J$500,MATCH(SMALL(IF((Calc!$C$8:$C$500=Kanban!$C$7)*(Calc!$K$8:$K$500=Kanban!G$11)*(Calc!$Y$8:$Y$500&gt;0),Calc!$Y$8:$Y$500,99999),Kanban_Helper!$B202),Calc!$Y$8:$Y$500,0)))=0,"",CONCATENATE(Calc!$AD$6,INDEX(Calc!$J$8:$J$500,MATCH(SMALL(IF((Calc!$C$8:$C$500=Kanban!$C$7)*(Calc!$K$8:$K$500=Kanban!G$11)*(Calc!$Y$8:$Y$500&gt;0),Calc!$Y$8:$Y$500,99999),Kanban_Helper!$B202),Calc!$Y$8:$Y$500,0)))),IF(LEN(INDEX(Calc!$J$8:$J$500,MATCH(SMALL(IF((Calc!$K$8:$K$500=Kanban!G$11)*(Calc!$Y$8:$Y$500&gt;0),Calc!$Y$8:$Y$500,99999),Kanban_Helper!$B202),Calc!$Y$8:$Y$500,0)))=0,"",CONCATENATE(Calc!$AD$6,INDEX(Calc!$J$8:$J$500,MATCH(SMALL(IF((Calc!$K$8:$K$500=Kanban!G$11)*(Calc!$Y$8:$Y$500&gt;0),Calc!$Y$8:$Y$500,99999),Kanban_Helper!$B202),Calc!$Y$8:$Y$500,0)))))),"")</f>
        <v/>
      </c>
      <c r="H209" s="172" t="str">
        <f t="array" ref="H209">IFERROR(IF(LEN(H$11)=0,"",IF($C$7&lt;&gt;"All",IF(LEN(INDEX(Calc!$J$8:$J$500,MATCH(SMALL(IF((Calc!$C$8:$C$500=Kanban!$C$7)*(Calc!$K$8:$K$500=Kanban!H$11)*(Calc!$Y$8:$Y$500&gt;0),Calc!$Y$8:$Y$500,99999),Kanban_Helper!$B202),Calc!$Y$8:$Y$500,0)))=0,"",CONCATENATE(Calc!$AD$6,INDEX(Calc!$J$8:$J$500,MATCH(SMALL(IF((Calc!$C$8:$C$500=Kanban!$C$7)*(Calc!$K$8:$K$500=Kanban!H$11)*(Calc!$Y$8:$Y$500&gt;0),Calc!$Y$8:$Y$500,99999),Kanban_Helper!$B202),Calc!$Y$8:$Y$500,0)))),IF(LEN(INDEX(Calc!$J$8:$J$500,MATCH(SMALL(IF((Calc!$K$8:$K$500=Kanban!H$11)*(Calc!$Y$8:$Y$500&gt;0),Calc!$Y$8:$Y$500,99999),Kanban_Helper!$B202),Calc!$Y$8:$Y$500,0)))=0,"",CONCATENATE(Calc!$AD$6,INDEX(Calc!$J$8:$J$500,MATCH(SMALL(IF((Calc!$K$8:$K$500=Kanban!H$11)*(Calc!$Y$8:$Y$500&gt;0),Calc!$Y$8:$Y$500,99999),Kanban_Helper!$B202),Calc!$Y$8:$Y$500,0)))))),"")</f>
        <v/>
      </c>
      <c r="I209" s="39"/>
    </row>
    <row r="210" spans="2:9" ht="15" thickTop="1" x14ac:dyDescent="0.35">
      <c r="B210" s="81"/>
      <c r="C210" s="170" t="str">
        <f t="array" ref="C210">IFERROR(IF(LEN(C$11)=0,"",IF($C$7&lt;&gt;"All",IF(INDEX(Calc!$V$8:$V$500,MATCH(INDEX(Calc!$D$8:$D$500,MATCH(SMALL(IF((Calc!$C$8:$C$500=Kanban!$C$7)*(Calc!$K$8:$K$500=Kanban!C$11)*(Calc!$Y$8:$Y$500&gt;0),Calc!$Y$8:$Y$500,99999),Kanban_Helper!$B203),Calc!$Y$8:$Y$500,0)),Calc!$D$8:$D$500,0))="Yes",CONCATENATE(INDEX(Calc!$D$8:$D$500,MATCH(SMALL(IF((Calc!$C$8:$C$500=Kanban!$C$7)*(Calc!$K$8:$K$500=Kanban!C$11)*(Calc!$Y$8:$Y$500&gt;0),Calc!$Y$8:$Y$500,99999),Kanban_Helper!$B203),Calc!$Y$8:$Y$500,0))," ",Calc!$V$7," ","!"),INDEX(Calc!$D$8:$D$500,MATCH(SMALL(IF((Calc!$C$8:$C$500=Kanban!$C$7)*(Calc!$K$8:$K$500=Kanban!C$11)*(Calc!$Y$8:$Y$500&gt;0),Calc!$Y$8:$Y$500,99999),Kanban_Helper!$B203),Calc!$Y$8:$Y$500,0))),IF(INDEX(Calc!$V$8:$V$500,MATCH(INDEX(Calc!$D$8:$D$500,MATCH(SMALL(IF((Calc!$K$8:$K$500=Kanban!C$11)*(Calc!$Y$8:$Y$500&gt;0),Calc!$Y$8:$Y$500,99999),Kanban_Helper!$B203),Calc!$Y$8:$Y$500,0)),Calc!$D$8:$D$500,0))="Yes",CONCATENATE(INDEX(Calc!$D$8:$D$500,MATCH(SMALL(IF((Calc!$K$8:$K$500=Kanban!C$11)*(Calc!$Y$8:$Y$500&gt;0),Calc!$Y$8:$Y$500,99999),Kanban_Helper!$B203),Calc!$Y$8:$Y$500,0))," ",Calc!$V$7," ","!"),INDEX(Calc!$D$8:$D$500,MATCH(SMALL(IF((Calc!$K$8:$K$500=Kanban!C$11)*(Calc!$Y$8:$Y$500&gt;0),Calc!$Y$8:$Y$500,99999),Kanban_Helper!$B203),Calc!$Y$8:$Y$500,0))))),"")</f>
        <v/>
      </c>
      <c r="D210" s="170" t="str">
        <f t="array" ref="D210">IFERROR(IF(LEN(D$11)=0,"",IF($C$7&lt;&gt;"All",IF(INDEX(Calc!$V$8:$V$500,MATCH(INDEX(Calc!$D$8:$D$500,MATCH(SMALL(IF((Calc!$C$8:$C$500=Kanban!$C$7)*(Calc!$K$8:$K$500=Kanban!D$11)*(Calc!$Y$8:$Y$500&gt;0),Calc!$Y$8:$Y$500,99999),Kanban_Helper!$B203),Calc!$Y$8:$Y$500,0)),Calc!$D$8:$D$500,0))="Yes",CONCATENATE(INDEX(Calc!$D$8:$D$500,MATCH(SMALL(IF((Calc!$C$8:$C$500=Kanban!$C$7)*(Calc!$K$8:$K$500=Kanban!D$11)*(Calc!$Y$8:$Y$500&gt;0),Calc!$Y$8:$Y$500,99999),Kanban_Helper!$B203),Calc!$Y$8:$Y$500,0))," ",Calc!$V$7," ","!"),INDEX(Calc!$D$8:$D$500,MATCH(SMALL(IF((Calc!$C$8:$C$500=Kanban!$C$7)*(Calc!$K$8:$K$500=Kanban!D$11)*(Calc!$Y$8:$Y$500&gt;0),Calc!$Y$8:$Y$500,99999),Kanban_Helper!$B203),Calc!$Y$8:$Y$500,0))),IF(INDEX(Calc!$V$8:$V$500,MATCH(INDEX(Calc!$D$8:$D$500,MATCH(SMALL(IF((Calc!$K$8:$K$500=Kanban!D$11)*(Calc!$Y$8:$Y$500&gt;0),Calc!$Y$8:$Y$500,99999),Kanban_Helper!$B203),Calc!$Y$8:$Y$500,0)),Calc!$D$8:$D$500,0))="Yes",CONCATENATE(INDEX(Calc!$D$8:$D$500,MATCH(SMALL(IF((Calc!$K$8:$K$500=Kanban!D$11)*(Calc!$Y$8:$Y$500&gt;0),Calc!$Y$8:$Y$500,99999),Kanban_Helper!$B203),Calc!$Y$8:$Y$500,0))," ",Calc!$V$7," ","!"),INDEX(Calc!$D$8:$D$500,MATCH(SMALL(IF((Calc!$K$8:$K$500=Kanban!D$11)*(Calc!$Y$8:$Y$500&gt;0),Calc!$Y$8:$Y$500,99999),Kanban_Helper!$B203),Calc!$Y$8:$Y$500,0))))),"")</f>
        <v/>
      </c>
      <c r="E210" s="170" t="str">
        <f t="array" ref="E210">IFERROR(IF(LEN(E$11)=0,"",IF($C$7&lt;&gt;"All",IF(INDEX(Calc!$V$8:$V$500,MATCH(INDEX(Calc!$D$8:$D$500,MATCH(SMALL(IF((Calc!$C$8:$C$500=Kanban!$C$7)*(Calc!$K$8:$K$500=Kanban!E$11)*(Calc!$Y$8:$Y$500&gt;0),Calc!$Y$8:$Y$500,99999),Kanban_Helper!$B203),Calc!$Y$8:$Y$500,0)),Calc!$D$8:$D$500,0))="Yes",CONCATENATE(INDEX(Calc!$D$8:$D$500,MATCH(SMALL(IF((Calc!$C$8:$C$500=Kanban!$C$7)*(Calc!$K$8:$K$500=Kanban!E$11)*(Calc!$Y$8:$Y$500&gt;0),Calc!$Y$8:$Y$500,99999),Kanban_Helper!$B203),Calc!$Y$8:$Y$500,0))," ",Calc!$V$7," ","!"),INDEX(Calc!$D$8:$D$500,MATCH(SMALL(IF((Calc!$C$8:$C$500=Kanban!$C$7)*(Calc!$K$8:$K$500=Kanban!E$11)*(Calc!$Y$8:$Y$500&gt;0),Calc!$Y$8:$Y$500,99999),Kanban_Helper!$B203),Calc!$Y$8:$Y$500,0))),IF(INDEX(Calc!$V$8:$V$500,MATCH(INDEX(Calc!$D$8:$D$500,MATCH(SMALL(IF((Calc!$K$8:$K$500=Kanban!E$11)*(Calc!$Y$8:$Y$500&gt;0),Calc!$Y$8:$Y$500,99999),Kanban_Helper!$B203),Calc!$Y$8:$Y$500,0)),Calc!$D$8:$D$500,0))="Yes",CONCATENATE(INDEX(Calc!$D$8:$D$500,MATCH(SMALL(IF((Calc!$K$8:$K$500=Kanban!E$11)*(Calc!$Y$8:$Y$500&gt;0),Calc!$Y$8:$Y$500,99999),Kanban_Helper!$B203),Calc!$Y$8:$Y$500,0))," ",Calc!$V$7," ","!"),INDEX(Calc!$D$8:$D$500,MATCH(SMALL(IF((Calc!$K$8:$K$500=Kanban!E$11)*(Calc!$Y$8:$Y$500&gt;0),Calc!$Y$8:$Y$500,99999),Kanban_Helper!$B203),Calc!$Y$8:$Y$500,0))))),"")</f>
        <v/>
      </c>
      <c r="F210" s="170" t="str">
        <f t="array" ref="F210">IFERROR(IF(LEN(F$11)=0,"",IF($C$7&lt;&gt;"All",IF(INDEX(Calc!$V$8:$V$500,MATCH(INDEX(Calc!$D$8:$D$500,MATCH(SMALL(IF((Calc!$C$8:$C$500=Kanban!$C$7)*(Calc!$K$8:$K$500=Kanban!F$11)*(Calc!$Y$8:$Y$500&gt;0),Calc!$Y$8:$Y$500,99999),Kanban_Helper!$B203),Calc!$Y$8:$Y$500,0)),Calc!$D$8:$D$500,0))="Yes",CONCATENATE(INDEX(Calc!$D$8:$D$500,MATCH(SMALL(IF((Calc!$C$8:$C$500=Kanban!$C$7)*(Calc!$K$8:$K$500=Kanban!F$11)*(Calc!$Y$8:$Y$500&gt;0),Calc!$Y$8:$Y$500,99999),Kanban_Helper!$B203),Calc!$Y$8:$Y$500,0))," ",Calc!$V$7," ","!"),INDEX(Calc!$D$8:$D$500,MATCH(SMALL(IF((Calc!$C$8:$C$500=Kanban!$C$7)*(Calc!$K$8:$K$500=Kanban!F$11)*(Calc!$Y$8:$Y$500&gt;0),Calc!$Y$8:$Y$500,99999),Kanban_Helper!$B203),Calc!$Y$8:$Y$500,0))),IF(INDEX(Calc!$V$8:$V$500,MATCH(INDEX(Calc!$D$8:$D$500,MATCH(SMALL(IF((Calc!$K$8:$K$500=Kanban!F$11)*(Calc!$Y$8:$Y$500&gt;0),Calc!$Y$8:$Y$500,99999),Kanban_Helper!$B203),Calc!$Y$8:$Y$500,0)),Calc!$D$8:$D$500,0))="Yes",CONCATENATE(INDEX(Calc!$D$8:$D$500,MATCH(SMALL(IF((Calc!$K$8:$K$500=Kanban!F$11)*(Calc!$Y$8:$Y$500&gt;0),Calc!$Y$8:$Y$500,99999),Kanban_Helper!$B203),Calc!$Y$8:$Y$500,0))," ",Calc!$V$7," ","!"),INDEX(Calc!$D$8:$D$500,MATCH(SMALL(IF((Calc!$K$8:$K$500=Kanban!F$11)*(Calc!$Y$8:$Y$500&gt;0),Calc!$Y$8:$Y$500,99999),Kanban_Helper!$B203),Calc!$Y$8:$Y$500,0))))),"")</f>
        <v/>
      </c>
      <c r="G210" s="170" t="str">
        <f t="array" ref="G210">IFERROR(IF(LEN(G$11)=0,"",IF($C$7&lt;&gt;"All",IF(INDEX(Calc!$V$8:$V$500,MATCH(INDEX(Calc!$D$8:$D$500,MATCH(SMALL(IF((Calc!$C$8:$C$500=Kanban!$C$7)*(Calc!$K$8:$K$500=Kanban!G$11)*(Calc!$Y$8:$Y$500&gt;0),Calc!$Y$8:$Y$500,99999),Kanban_Helper!$B203),Calc!$Y$8:$Y$500,0)),Calc!$D$8:$D$500,0))="Yes",CONCATENATE(INDEX(Calc!$D$8:$D$500,MATCH(SMALL(IF((Calc!$C$8:$C$500=Kanban!$C$7)*(Calc!$K$8:$K$500=Kanban!G$11)*(Calc!$Y$8:$Y$500&gt;0),Calc!$Y$8:$Y$500,99999),Kanban_Helper!$B203),Calc!$Y$8:$Y$500,0))," ",Calc!$V$7," ","!"),INDEX(Calc!$D$8:$D$500,MATCH(SMALL(IF((Calc!$C$8:$C$500=Kanban!$C$7)*(Calc!$K$8:$K$500=Kanban!G$11)*(Calc!$Y$8:$Y$500&gt;0),Calc!$Y$8:$Y$500,99999),Kanban_Helper!$B203),Calc!$Y$8:$Y$500,0))),IF(INDEX(Calc!$V$8:$V$500,MATCH(INDEX(Calc!$D$8:$D$500,MATCH(SMALL(IF((Calc!$K$8:$K$500=Kanban!G$11)*(Calc!$Y$8:$Y$500&gt;0),Calc!$Y$8:$Y$500,99999),Kanban_Helper!$B203),Calc!$Y$8:$Y$500,0)),Calc!$D$8:$D$500,0))="Yes",CONCATENATE(INDEX(Calc!$D$8:$D$500,MATCH(SMALL(IF((Calc!$K$8:$K$500=Kanban!G$11)*(Calc!$Y$8:$Y$500&gt;0),Calc!$Y$8:$Y$500,99999),Kanban_Helper!$B203),Calc!$Y$8:$Y$500,0))," ",Calc!$V$7," ","!"),INDEX(Calc!$D$8:$D$500,MATCH(SMALL(IF((Calc!$K$8:$K$500=Kanban!G$11)*(Calc!$Y$8:$Y$500&gt;0),Calc!$Y$8:$Y$500,99999),Kanban_Helper!$B203),Calc!$Y$8:$Y$500,0))))),"")</f>
        <v/>
      </c>
      <c r="H210" s="170" t="str">
        <f t="array" ref="H210">IFERROR(IF(LEN(H$11)=0,"",IF($C$7&lt;&gt;"All",IF(INDEX(Calc!$V$8:$V$500,MATCH(INDEX(Calc!$D$8:$D$500,MATCH(SMALL(IF((Calc!$C$8:$C$500=Kanban!$C$7)*(Calc!$K$8:$K$500=Kanban!H$11)*(Calc!$Y$8:$Y$500&gt;0),Calc!$Y$8:$Y$500,99999),Kanban_Helper!$B203),Calc!$Y$8:$Y$500,0)),Calc!$D$8:$D$500,0))="Yes",CONCATENATE(INDEX(Calc!$D$8:$D$500,MATCH(SMALL(IF((Calc!$C$8:$C$500=Kanban!$C$7)*(Calc!$K$8:$K$500=Kanban!H$11)*(Calc!$Y$8:$Y$500&gt;0),Calc!$Y$8:$Y$500,99999),Kanban_Helper!$B203),Calc!$Y$8:$Y$500,0))," ",Calc!$V$7," ","!"),INDEX(Calc!$D$8:$D$500,MATCH(SMALL(IF((Calc!$C$8:$C$500=Kanban!$C$7)*(Calc!$K$8:$K$500=Kanban!H$11)*(Calc!$Y$8:$Y$500&gt;0),Calc!$Y$8:$Y$500,99999),Kanban_Helper!$B203),Calc!$Y$8:$Y$500,0))),IF(INDEX(Calc!$V$8:$V$500,MATCH(INDEX(Calc!$D$8:$D$500,MATCH(SMALL(IF((Calc!$K$8:$K$500=Kanban!H$11)*(Calc!$Y$8:$Y$500&gt;0),Calc!$Y$8:$Y$500,99999),Kanban_Helper!$B203),Calc!$Y$8:$Y$500,0)),Calc!$D$8:$D$500,0))="Yes",CONCATENATE(INDEX(Calc!$D$8:$D$500,MATCH(SMALL(IF((Calc!$K$8:$K$500=Kanban!H$11)*(Calc!$Y$8:$Y$500&gt;0),Calc!$Y$8:$Y$500,99999),Kanban_Helper!$B203),Calc!$Y$8:$Y$500,0))," ",Calc!$V$7," ","!"),INDEX(Calc!$D$8:$D$500,MATCH(SMALL(IF((Calc!$K$8:$K$500=Kanban!H$11)*(Calc!$Y$8:$Y$500&gt;0),Calc!$Y$8:$Y$500,99999),Kanban_Helper!$B203),Calc!$Y$8:$Y$500,0))))),"")</f>
        <v/>
      </c>
      <c r="I210" s="39"/>
    </row>
    <row r="211" spans="2:9" x14ac:dyDescent="0.35">
      <c r="B211" s="81"/>
      <c r="C211" s="171" t="str">
        <f t="array" ref="C211">IFERROR(IF(LEN(C$11)=0,"",IF($C$7&lt;&gt;"All",INDEX(Calc!$E$8:$E$500,MATCH(SMALL(IF((Calc!$C$8:$C$500=Kanban!$C$7)*(Calc!$K$8:$K$500=Kanban!C$11)*(Calc!$Y$8:$Y$500&gt;0),Calc!$Y$8:$Y$500,99999),Kanban_Helper!$B204),Calc!$Y$8:$Y$500,0)),INDEX(Calc!$E$8:$E$500,MATCH(SMALL(IF((Calc!$K$8:$K$500=Kanban!C$11)*(Calc!$Y$8:$Y$500&gt;0),Calc!$Y$8:$Y$500,99999),Kanban_Helper!$B204),Calc!$Y$8:$Y$500,0)))),"")</f>
        <v/>
      </c>
      <c r="D211" s="171" t="str">
        <f t="array" ref="D211">IFERROR(IF(LEN(D$11)=0,"",IF($C$7&lt;&gt;"All",INDEX(Calc!$E$8:$E$500,MATCH(SMALL(IF((Calc!$C$8:$C$500=Kanban!$C$7)*(Calc!$K$8:$K$500=Kanban!D$11)*(Calc!$Y$8:$Y$500&gt;0),Calc!$Y$8:$Y$500,99999),Kanban_Helper!$B204),Calc!$Y$8:$Y$500,0)),INDEX(Calc!$E$8:$E$500,MATCH(SMALL(IF((Calc!$K$8:$K$500=Kanban!D$11)*(Calc!$Y$8:$Y$500&gt;0),Calc!$Y$8:$Y$500,99999),Kanban_Helper!$B204),Calc!$Y$8:$Y$500,0)))),"")</f>
        <v/>
      </c>
      <c r="E211" s="171" t="str">
        <f t="array" ref="E211">IFERROR(IF(LEN(E$11)=0,"",IF($C$7&lt;&gt;"All",INDEX(Calc!$E$8:$E$500,MATCH(SMALL(IF((Calc!$C$8:$C$500=Kanban!$C$7)*(Calc!$K$8:$K$500=Kanban!E$11)*(Calc!$Y$8:$Y$500&gt;0),Calc!$Y$8:$Y$500,99999),Kanban_Helper!$B204),Calc!$Y$8:$Y$500,0)),INDEX(Calc!$E$8:$E$500,MATCH(SMALL(IF((Calc!$K$8:$K$500=Kanban!E$11)*(Calc!$Y$8:$Y$500&gt;0),Calc!$Y$8:$Y$500,99999),Kanban_Helper!$B204),Calc!$Y$8:$Y$500,0)))),"")</f>
        <v/>
      </c>
      <c r="F211" s="171" t="str">
        <f t="array" ref="F211">IFERROR(IF(LEN(F$11)=0,"",IF($C$7&lt;&gt;"All",INDEX(Calc!$E$8:$E$500,MATCH(SMALL(IF((Calc!$C$8:$C$500=Kanban!$C$7)*(Calc!$K$8:$K$500=Kanban!F$11)*(Calc!$Y$8:$Y$500&gt;0),Calc!$Y$8:$Y$500,99999),Kanban_Helper!$B204),Calc!$Y$8:$Y$500,0)),INDEX(Calc!$E$8:$E$500,MATCH(SMALL(IF((Calc!$K$8:$K$500=Kanban!F$11)*(Calc!$Y$8:$Y$500&gt;0),Calc!$Y$8:$Y$500,99999),Kanban_Helper!$B204),Calc!$Y$8:$Y$500,0)))),"")</f>
        <v/>
      </c>
      <c r="G211" s="171" t="str">
        <f t="array" ref="G211">IFERROR(IF(LEN(G$11)=0,"",IF($C$7&lt;&gt;"All",INDEX(Calc!$E$8:$E$500,MATCH(SMALL(IF((Calc!$C$8:$C$500=Kanban!$C$7)*(Calc!$K$8:$K$500=Kanban!G$11)*(Calc!$Y$8:$Y$500&gt;0),Calc!$Y$8:$Y$500,99999),Kanban_Helper!$B204),Calc!$Y$8:$Y$500,0)),INDEX(Calc!$E$8:$E$500,MATCH(SMALL(IF((Calc!$K$8:$K$500=Kanban!G$11)*(Calc!$Y$8:$Y$500&gt;0),Calc!$Y$8:$Y$500,99999),Kanban_Helper!$B204),Calc!$Y$8:$Y$500,0)))),"")</f>
        <v/>
      </c>
      <c r="H211" s="171" t="str">
        <f t="array" ref="H211">IFERROR(IF(LEN(H$11)=0,"",IF($C$7&lt;&gt;"All",INDEX(Calc!$E$8:$E$500,MATCH(SMALL(IF((Calc!$C$8:$C$500=Kanban!$C$7)*(Calc!$K$8:$K$500=Kanban!H$11)*(Calc!$Y$8:$Y$500&gt;0),Calc!$Y$8:$Y$500,99999),Kanban_Helper!$B204),Calc!$Y$8:$Y$500,0)),INDEX(Calc!$E$8:$E$500,MATCH(SMALL(IF((Calc!$K$8:$K$500=Kanban!H$11)*(Calc!$Y$8:$Y$500&gt;0),Calc!$Y$8:$Y$500,99999),Kanban_Helper!$B204),Calc!$Y$8:$Y$500,0)))),"")</f>
        <v/>
      </c>
      <c r="I211" s="39"/>
    </row>
    <row r="212" spans="2:9" ht="15" thickBot="1" x14ac:dyDescent="0.4">
      <c r="B212" s="81"/>
      <c r="C212" s="172" t="str">
        <f t="array" ref="C212">IFERROR(IF(LEN(C$11)=0,"",IF($C$7&lt;&gt;"All",IF(LEN(INDEX(Calc!$J$8:$J$500,MATCH(SMALL(IF((Calc!$C$8:$C$500=Kanban!$C$7)*(Calc!$K$8:$K$500=Kanban!C$11)*(Calc!$Y$8:$Y$500&gt;0),Calc!$Y$8:$Y$500,99999),Kanban_Helper!$B205),Calc!$Y$8:$Y$500,0)))=0,"",CONCATENATE(Calc!$AD$6,INDEX(Calc!$J$8:$J$500,MATCH(SMALL(IF((Calc!$C$8:$C$500=Kanban!$C$7)*(Calc!$K$8:$K$500=Kanban!C$11)*(Calc!$Y$8:$Y$500&gt;0),Calc!$Y$8:$Y$500,99999),Kanban_Helper!$B205),Calc!$Y$8:$Y$500,0)))),IF(LEN(INDEX(Calc!$J$8:$J$500,MATCH(SMALL(IF((Calc!$K$8:$K$500=Kanban!C$11)*(Calc!$Y$8:$Y$500&gt;0),Calc!$Y$8:$Y$500,99999),Kanban_Helper!$B205),Calc!$Y$8:$Y$500,0)))=0,"",CONCATENATE(Calc!$AD$6,INDEX(Calc!$J$8:$J$500,MATCH(SMALL(IF((Calc!$K$8:$K$500=Kanban!C$11)*(Calc!$Y$8:$Y$500&gt;0),Calc!$Y$8:$Y$500,99999),Kanban_Helper!$B205),Calc!$Y$8:$Y$500,0)))))),"")</f>
        <v/>
      </c>
      <c r="D212" s="172" t="str">
        <f t="array" ref="D212">IFERROR(IF(LEN(D$11)=0,"",IF($C$7&lt;&gt;"All",IF(LEN(INDEX(Calc!$J$8:$J$500,MATCH(SMALL(IF((Calc!$C$8:$C$500=Kanban!$C$7)*(Calc!$K$8:$K$500=Kanban!D$11)*(Calc!$Y$8:$Y$500&gt;0),Calc!$Y$8:$Y$500,99999),Kanban_Helper!$B205),Calc!$Y$8:$Y$500,0)))=0,"",CONCATENATE(Calc!$AD$6,INDEX(Calc!$J$8:$J$500,MATCH(SMALL(IF((Calc!$C$8:$C$500=Kanban!$C$7)*(Calc!$K$8:$K$500=Kanban!D$11)*(Calc!$Y$8:$Y$500&gt;0),Calc!$Y$8:$Y$500,99999),Kanban_Helper!$B205),Calc!$Y$8:$Y$500,0)))),IF(LEN(INDEX(Calc!$J$8:$J$500,MATCH(SMALL(IF((Calc!$K$8:$K$500=Kanban!D$11)*(Calc!$Y$8:$Y$500&gt;0),Calc!$Y$8:$Y$500,99999),Kanban_Helper!$B205),Calc!$Y$8:$Y$500,0)))=0,"",CONCATENATE(Calc!$AD$6,INDEX(Calc!$J$8:$J$500,MATCH(SMALL(IF((Calc!$K$8:$K$500=Kanban!D$11)*(Calc!$Y$8:$Y$500&gt;0),Calc!$Y$8:$Y$500,99999),Kanban_Helper!$B205),Calc!$Y$8:$Y$500,0)))))),"")</f>
        <v/>
      </c>
      <c r="E212" s="172" t="str">
        <f t="array" ref="E212">IFERROR(IF(LEN(E$11)=0,"",IF($C$7&lt;&gt;"All",IF(LEN(INDEX(Calc!$J$8:$J$500,MATCH(SMALL(IF((Calc!$C$8:$C$500=Kanban!$C$7)*(Calc!$K$8:$K$500=Kanban!E$11)*(Calc!$Y$8:$Y$500&gt;0),Calc!$Y$8:$Y$500,99999),Kanban_Helper!$B205),Calc!$Y$8:$Y$500,0)))=0,"",CONCATENATE(Calc!$AD$6,INDEX(Calc!$J$8:$J$500,MATCH(SMALL(IF((Calc!$C$8:$C$500=Kanban!$C$7)*(Calc!$K$8:$K$500=Kanban!E$11)*(Calc!$Y$8:$Y$500&gt;0),Calc!$Y$8:$Y$500,99999),Kanban_Helper!$B205),Calc!$Y$8:$Y$500,0)))),IF(LEN(INDEX(Calc!$J$8:$J$500,MATCH(SMALL(IF((Calc!$K$8:$K$500=Kanban!E$11)*(Calc!$Y$8:$Y$500&gt;0),Calc!$Y$8:$Y$500,99999),Kanban_Helper!$B205),Calc!$Y$8:$Y$500,0)))=0,"",CONCATENATE(Calc!$AD$6,INDEX(Calc!$J$8:$J$500,MATCH(SMALL(IF((Calc!$K$8:$K$500=Kanban!E$11)*(Calc!$Y$8:$Y$500&gt;0),Calc!$Y$8:$Y$500,99999),Kanban_Helper!$B205),Calc!$Y$8:$Y$500,0)))))),"")</f>
        <v/>
      </c>
      <c r="F212" s="172" t="str">
        <f t="array" ref="F212">IFERROR(IF(LEN(F$11)=0,"",IF($C$7&lt;&gt;"All",IF(LEN(INDEX(Calc!$J$8:$J$500,MATCH(SMALL(IF((Calc!$C$8:$C$500=Kanban!$C$7)*(Calc!$K$8:$K$500=Kanban!F$11)*(Calc!$Y$8:$Y$500&gt;0),Calc!$Y$8:$Y$500,99999),Kanban_Helper!$B205),Calc!$Y$8:$Y$500,0)))=0,"",CONCATENATE(Calc!$AD$6,INDEX(Calc!$J$8:$J$500,MATCH(SMALL(IF((Calc!$C$8:$C$500=Kanban!$C$7)*(Calc!$K$8:$K$500=Kanban!F$11)*(Calc!$Y$8:$Y$500&gt;0),Calc!$Y$8:$Y$500,99999),Kanban_Helper!$B205),Calc!$Y$8:$Y$500,0)))),IF(LEN(INDEX(Calc!$J$8:$J$500,MATCH(SMALL(IF((Calc!$K$8:$K$500=Kanban!F$11)*(Calc!$Y$8:$Y$500&gt;0),Calc!$Y$8:$Y$500,99999),Kanban_Helper!$B205),Calc!$Y$8:$Y$500,0)))=0,"",CONCATENATE(Calc!$AD$6,INDEX(Calc!$J$8:$J$500,MATCH(SMALL(IF((Calc!$K$8:$K$500=Kanban!F$11)*(Calc!$Y$8:$Y$500&gt;0),Calc!$Y$8:$Y$500,99999),Kanban_Helper!$B205),Calc!$Y$8:$Y$500,0)))))),"")</f>
        <v/>
      </c>
      <c r="G212" s="172" t="str">
        <f t="array" ref="G212">IFERROR(IF(LEN(G$11)=0,"",IF($C$7&lt;&gt;"All",IF(LEN(INDEX(Calc!$J$8:$J$500,MATCH(SMALL(IF((Calc!$C$8:$C$500=Kanban!$C$7)*(Calc!$K$8:$K$500=Kanban!G$11)*(Calc!$Y$8:$Y$500&gt;0),Calc!$Y$8:$Y$500,99999),Kanban_Helper!$B205),Calc!$Y$8:$Y$500,0)))=0,"",CONCATENATE(Calc!$AD$6,INDEX(Calc!$J$8:$J$500,MATCH(SMALL(IF((Calc!$C$8:$C$500=Kanban!$C$7)*(Calc!$K$8:$K$500=Kanban!G$11)*(Calc!$Y$8:$Y$500&gt;0),Calc!$Y$8:$Y$500,99999),Kanban_Helper!$B205),Calc!$Y$8:$Y$500,0)))),IF(LEN(INDEX(Calc!$J$8:$J$500,MATCH(SMALL(IF((Calc!$K$8:$K$500=Kanban!G$11)*(Calc!$Y$8:$Y$500&gt;0),Calc!$Y$8:$Y$500,99999),Kanban_Helper!$B205),Calc!$Y$8:$Y$500,0)))=0,"",CONCATENATE(Calc!$AD$6,INDEX(Calc!$J$8:$J$500,MATCH(SMALL(IF((Calc!$K$8:$K$500=Kanban!G$11)*(Calc!$Y$8:$Y$500&gt;0),Calc!$Y$8:$Y$500,99999),Kanban_Helper!$B205),Calc!$Y$8:$Y$500,0)))))),"")</f>
        <v/>
      </c>
      <c r="H212" s="172" t="str">
        <f t="array" ref="H212">IFERROR(IF(LEN(H$11)=0,"",IF($C$7&lt;&gt;"All",IF(LEN(INDEX(Calc!$J$8:$J$500,MATCH(SMALL(IF((Calc!$C$8:$C$500=Kanban!$C$7)*(Calc!$K$8:$K$500=Kanban!H$11)*(Calc!$Y$8:$Y$500&gt;0),Calc!$Y$8:$Y$500,99999),Kanban_Helper!$B205),Calc!$Y$8:$Y$500,0)))=0,"",CONCATENATE(Calc!$AD$6,INDEX(Calc!$J$8:$J$500,MATCH(SMALL(IF((Calc!$C$8:$C$500=Kanban!$C$7)*(Calc!$K$8:$K$500=Kanban!H$11)*(Calc!$Y$8:$Y$500&gt;0),Calc!$Y$8:$Y$500,99999),Kanban_Helper!$B205),Calc!$Y$8:$Y$500,0)))),IF(LEN(INDEX(Calc!$J$8:$J$500,MATCH(SMALL(IF((Calc!$K$8:$K$500=Kanban!H$11)*(Calc!$Y$8:$Y$500&gt;0),Calc!$Y$8:$Y$500,99999),Kanban_Helper!$B205),Calc!$Y$8:$Y$500,0)))=0,"",CONCATENATE(Calc!$AD$6,INDEX(Calc!$J$8:$J$500,MATCH(SMALL(IF((Calc!$K$8:$K$500=Kanban!H$11)*(Calc!$Y$8:$Y$500&gt;0),Calc!$Y$8:$Y$500,99999),Kanban_Helper!$B205),Calc!$Y$8:$Y$500,0)))))),"")</f>
        <v/>
      </c>
      <c r="I212" s="39"/>
    </row>
    <row r="213" spans="2:9" ht="15" thickTop="1" x14ac:dyDescent="0.35">
      <c r="B213" s="81"/>
      <c r="C213" s="170" t="str">
        <f t="array" ref="C213">IFERROR(IF(LEN(C$11)=0,"",IF($C$7&lt;&gt;"All",IF(INDEX(Calc!$V$8:$V$500,MATCH(INDEX(Calc!$D$8:$D$500,MATCH(SMALL(IF((Calc!$C$8:$C$500=Kanban!$C$7)*(Calc!$K$8:$K$500=Kanban!C$11)*(Calc!$Y$8:$Y$500&gt;0),Calc!$Y$8:$Y$500,99999),Kanban_Helper!$B206),Calc!$Y$8:$Y$500,0)),Calc!$D$8:$D$500,0))="Yes",CONCATENATE(INDEX(Calc!$D$8:$D$500,MATCH(SMALL(IF((Calc!$C$8:$C$500=Kanban!$C$7)*(Calc!$K$8:$K$500=Kanban!C$11)*(Calc!$Y$8:$Y$500&gt;0),Calc!$Y$8:$Y$500,99999),Kanban_Helper!$B206),Calc!$Y$8:$Y$500,0))," ",Calc!$V$7," ","!"),INDEX(Calc!$D$8:$D$500,MATCH(SMALL(IF((Calc!$C$8:$C$500=Kanban!$C$7)*(Calc!$K$8:$K$500=Kanban!C$11)*(Calc!$Y$8:$Y$500&gt;0),Calc!$Y$8:$Y$500,99999),Kanban_Helper!$B206),Calc!$Y$8:$Y$500,0))),IF(INDEX(Calc!$V$8:$V$500,MATCH(INDEX(Calc!$D$8:$D$500,MATCH(SMALL(IF((Calc!$K$8:$K$500=Kanban!C$11)*(Calc!$Y$8:$Y$500&gt;0),Calc!$Y$8:$Y$500,99999),Kanban_Helper!$B206),Calc!$Y$8:$Y$500,0)),Calc!$D$8:$D$500,0))="Yes",CONCATENATE(INDEX(Calc!$D$8:$D$500,MATCH(SMALL(IF((Calc!$K$8:$K$500=Kanban!C$11)*(Calc!$Y$8:$Y$500&gt;0),Calc!$Y$8:$Y$500,99999),Kanban_Helper!$B206),Calc!$Y$8:$Y$500,0))," ",Calc!$V$7," ","!"),INDEX(Calc!$D$8:$D$500,MATCH(SMALL(IF((Calc!$K$8:$K$500=Kanban!C$11)*(Calc!$Y$8:$Y$500&gt;0),Calc!$Y$8:$Y$500,99999),Kanban_Helper!$B206),Calc!$Y$8:$Y$500,0))))),"")</f>
        <v/>
      </c>
      <c r="D213" s="170" t="str">
        <f t="array" ref="D213">IFERROR(IF(LEN(D$11)=0,"",IF($C$7&lt;&gt;"All",IF(INDEX(Calc!$V$8:$V$500,MATCH(INDEX(Calc!$D$8:$D$500,MATCH(SMALL(IF((Calc!$C$8:$C$500=Kanban!$C$7)*(Calc!$K$8:$K$500=Kanban!D$11)*(Calc!$Y$8:$Y$500&gt;0),Calc!$Y$8:$Y$500,99999),Kanban_Helper!$B206),Calc!$Y$8:$Y$500,0)),Calc!$D$8:$D$500,0))="Yes",CONCATENATE(INDEX(Calc!$D$8:$D$500,MATCH(SMALL(IF((Calc!$C$8:$C$500=Kanban!$C$7)*(Calc!$K$8:$K$500=Kanban!D$11)*(Calc!$Y$8:$Y$500&gt;0),Calc!$Y$8:$Y$500,99999),Kanban_Helper!$B206),Calc!$Y$8:$Y$500,0))," ",Calc!$V$7," ","!"),INDEX(Calc!$D$8:$D$500,MATCH(SMALL(IF((Calc!$C$8:$C$500=Kanban!$C$7)*(Calc!$K$8:$K$500=Kanban!D$11)*(Calc!$Y$8:$Y$500&gt;0),Calc!$Y$8:$Y$500,99999),Kanban_Helper!$B206),Calc!$Y$8:$Y$500,0))),IF(INDEX(Calc!$V$8:$V$500,MATCH(INDEX(Calc!$D$8:$D$500,MATCH(SMALL(IF((Calc!$K$8:$K$500=Kanban!D$11)*(Calc!$Y$8:$Y$500&gt;0),Calc!$Y$8:$Y$500,99999),Kanban_Helper!$B206),Calc!$Y$8:$Y$500,0)),Calc!$D$8:$D$500,0))="Yes",CONCATENATE(INDEX(Calc!$D$8:$D$500,MATCH(SMALL(IF((Calc!$K$8:$K$500=Kanban!D$11)*(Calc!$Y$8:$Y$500&gt;0),Calc!$Y$8:$Y$500,99999),Kanban_Helper!$B206),Calc!$Y$8:$Y$500,0))," ",Calc!$V$7," ","!"),INDEX(Calc!$D$8:$D$500,MATCH(SMALL(IF((Calc!$K$8:$K$500=Kanban!D$11)*(Calc!$Y$8:$Y$500&gt;0),Calc!$Y$8:$Y$500,99999),Kanban_Helper!$B206),Calc!$Y$8:$Y$500,0))))),"")</f>
        <v/>
      </c>
      <c r="E213" s="170" t="str">
        <f t="array" ref="E213">IFERROR(IF(LEN(E$11)=0,"",IF($C$7&lt;&gt;"All",IF(INDEX(Calc!$V$8:$V$500,MATCH(INDEX(Calc!$D$8:$D$500,MATCH(SMALL(IF((Calc!$C$8:$C$500=Kanban!$C$7)*(Calc!$K$8:$K$500=Kanban!E$11)*(Calc!$Y$8:$Y$500&gt;0),Calc!$Y$8:$Y$500,99999),Kanban_Helper!$B206),Calc!$Y$8:$Y$500,0)),Calc!$D$8:$D$500,0))="Yes",CONCATENATE(INDEX(Calc!$D$8:$D$500,MATCH(SMALL(IF((Calc!$C$8:$C$500=Kanban!$C$7)*(Calc!$K$8:$K$500=Kanban!E$11)*(Calc!$Y$8:$Y$500&gt;0),Calc!$Y$8:$Y$500,99999),Kanban_Helper!$B206),Calc!$Y$8:$Y$500,0))," ",Calc!$V$7," ","!"),INDEX(Calc!$D$8:$D$500,MATCH(SMALL(IF((Calc!$C$8:$C$500=Kanban!$C$7)*(Calc!$K$8:$K$500=Kanban!E$11)*(Calc!$Y$8:$Y$500&gt;0),Calc!$Y$8:$Y$500,99999),Kanban_Helper!$B206),Calc!$Y$8:$Y$500,0))),IF(INDEX(Calc!$V$8:$V$500,MATCH(INDEX(Calc!$D$8:$D$500,MATCH(SMALL(IF((Calc!$K$8:$K$500=Kanban!E$11)*(Calc!$Y$8:$Y$500&gt;0),Calc!$Y$8:$Y$500,99999),Kanban_Helper!$B206),Calc!$Y$8:$Y$500,0)),Calc!$D$8:$D$500,0))="Yes",CONCATENATE(INDEX(Calc!$D$8:$D$500,MATCH(SMALL(IF((Calc!$K$8:$K$500=Kanban!E$11)*(Calc!$Y$8:$Y$500&gt;0),Calc!$Y$8:$Y$500,99999),Kanban_Helper!$B206),Calc!$Y$8:$Y$500,0))," ",Calc!$V$7," ","!"),INDEX(Calc!$D$8:$D$500,MATCH(SMALL(IF((Calc!$K$8:$K$500=Kanban!E$11)*(Calc!$Y$8:$Y$500&gt;0),Calc!$Y$8:$Y$500,99999),Kanban_Helper!$B206),Calc!$Y$8:$Y$500,0))))),"")</f>
        <v/>
      </c>
      <c r="F213" s="170" t="str">
        <f t="array" ref="F213">IFERROR(IF(LEN(F$11)=0,"",IF($C$7&lt;&gt;"All",IF(INDEX(Calc!$V$8:$V$500,MATCH(INDEX(Calc!$D$8:$D$500,MATCH(SMALL(IF((Calc!$C$8:$C$500=Kanban!$C$7)*(Calc!$K$8:$K$500=Kanban!F$11)*(Calc!$Y$8:$Y$500&gt;0),Calc!$Y$8:$Y$500,99999),Kanban_Helper!$B206),Calc!$Y$8:$Y$500,0)),Calc!$D$8:$D$500,0))="Yes",CONCATENATE(INDEX(Calc!$D$8:$D$500,MATCH(SMALL(IF((Calc!$C$8:$C$500=Kanban!$C$7)*(Calc!$K$8:$K$500=Kanban!F$11)*(Calc!$Y$8:$Y$500&gt;0),Calc!$Y$8:$Y$500,99999),Kanban_Helper!$B206),Calc!$Y$8:$Y$500,0))," ",Calc!$V$7," ","!"),INDEX(Calc!$D$8:$D$500,MATCH(SMALL(IF((Calc!$C$8:$C$500=Kanban!$C$7)*(Calc!$K$8:$K$500=Kanban!F$11)*(Calc!$Y$8:$Y$500&gt;0),Calc!$Y$8:$Y$500,99999),Kanban_Helper!$B206),Calc!$Y$8:$Y$500,0))),IF(INDEX(Calc!$V$8:$V$500,MATCH(INDEX(Calc!$D$8:$D$500,MATCH(SMALL(IF((Calc!$K$8:$K$500=Kanban!F$11)*(Calc!$Y$8:$Y$500&gt;0),Calc!$Y$8:$Y$500,99999),Kanban_Helper!$B206),Calc!$Y$8:$Y$500,0)),Calc!$D$8:$D$500,0))="Yes",CONCATENATE(INDEX(Calc!$D$8:$D$500,MATCH(SMALL(IF((Calc!$K$8:$K$500=Kanban!F$11)*(Calc!$Y$8:$Y$500&gt;0),Calc!$Y$8:$Y$500,99999),Kanban_Helper!$B206),Calc!$Y$8:$Y$500,0))," ",Calc!$V$7," ","!"),INDEX(Calc!$D$8:$D$500,MATCH(SMALL(IF((Calc!$K$8:$K$500=Kanban!F$11)*(Calc!$Y$8:$Y$500&gt;0),Calc!$Y$8:$Y$500,99999),Kanban_Helper!$B206),Calc!$Y$8:$Y$500,0))))),"")</f>
        <v/>
      </c>
      <c r="G213" s="170" t="str">
        <f t="array" ref="G213">IFERROR(IF(LEN(G$11)=0,"",IF($C$7&lt;&gt;"All",IF(INDEX(Calc!$V$8:$V$500,MATCH(INDEX(Calc!$D$8:$D$500,MATCH(SMALL(IF((Calc!$C$8:$C$500=Kanban!$C$7)*(Calc!$K$8:$K$500=Kanban!G$11)*(Calc!$Y$8:$Y$500&gt;0),Calc!$Y$8:$Y$500,99999),Kanban_Helper!$B206),Calc!$Y$8:$Y$500,0)),Calc!$D$8:$D$500,0))="Yes",CONCATENATE(INDEX(Calc!$D$8:$D$500,MATCH(SMALL(IF((Calc!$C$8:$C$500=Kanban!$C$7)*(Calc!$K$8:$K$500=Kanban!G$11)*(Calc!$Y$8:$Y$500&gt;0),Calc!$Y$8:$Y$500,99999),Kanban_Helper!$B206),Calc!$Y$8:$Y$500,0))," ",Calc!$V$7," ","!"),INDEX(Calc!$D$8:$D$500,MATCH(SMALL(IF((Calc!$C$8:$C$500=Kanban!$C$7)*(Calc!$K$8:$K$500=Kanban!G$11)*(Calc!$Y$8:$Y$500&gt;0),Calc!$Y$8:$Y$500,99999),Kanban_Helper!$B206),Calc!$Y$8:$Y$500,0))),IF(INDEX(Calc!$V$8:$V$500,MATCH(INDEX(Calc!$D$8:$D$500,MATCH(SMALL(IF((Calc!$K$8:$K$500=Kanban!G$11)*(Calc!$Y$8:$Y$500&gt;0),Calc!$Y$8:$Y$500,99999),Kanban_Helper!$B206),Calc!$Y$8:$Y$500,0)),Calc!$D$8:$D$500,0))="Yes",CONCATENATE(INDEX(Calc!$D$8:$D$500,MATCH(SMALL(IF((Calc!$K$8:$K$500=Kanban!G$11)*(Calc!$Y$8:$Y$500&gt;0),Calc!$Y$8:$Y$500,99999),Kanban_Helper!$B206),Calc!$Y$8:$Y$500,0))," ",Calc!$V$7," ","!"),INDEX(Calc!$D$8:$D$500,MATCH(SMALL(IF((Calc!$K$8:$K$500=Kanban!G$11)*(Calc!$Y$8:$Y$500&gt;0),Calc!$Y$8:$Y$500,99999),Kanban_Helper!$B206),Calc!$Y$8:$Y$500,0))))),"")</f>
        <v/>
      </c>
      <c r="H213" s="170" t="str">
        <f t="array" ref="H213">IFERROR(IF(LEN(H$11)=0,"",IF($C$7&lt;&gt;"All",IF(INDEX(Calc!$V$8:$V$500,MATCH(INDEX(Calc!$D$8:$D$500,MATCH(SMALL(IF((Calc!$C$8:$C$500=Kanban!$C$7)*(Calc!$K$8:$K$500=Kanban!H$11)*(Calc!$Y$8:$Y$500&gt;0),Calc!$Y$8:$Y$500,99999),Kanban_Helper!$B206),Calc!$Y$8:$Y$500,0)),Calc!$D$8:$D$500,0))="Yes",CONCATENATE(INDEX(Calc!$D$8:$D$500,MATCH(SMALL(IF((Calc!$C$8:$C$500=Kanban!$C$7)*(Calc!$K$8:$K$500=Kanban!H$11)*(Calc!$Y$8:$Y$500&gt;0),Calc!$Y$8:$Y$500,99999),Kanban_Helper!$B206),Calc!$Y$8:$Y$500,0))," ",Calc!$V$7," ","!"),INDEX(Calc!$D$8:$D$500,MATCH(SMALL(IF((Calc!$C$8:$C$500=Kanban!$C$7)*(Calc!$K$8:$K$500=Kanban!H$11)*(Calc!$Y$8:$Y$500&gt;0),Calc!$Y$8:$Y$500,99999),Kanban_Helper!$B206),Calc!$Y$8:$Y$500,0))),IF(INDEX(Calc!$V$8:$V$500,MATCH(INDEX(Calc!$D$8:$D$500,MATCH(SMALL(IF((Calc!$K$8:$K$500=Kanban!H$11)*(Calc!$Y$8:$Y$500&gt;0),Calc!$Y$8:$Y$500,99999),Kanban_Helper!$B206),Calc!$Y$8:$Y$500,0)),Calc!$D$8:$D$500,0))="Yes",CONCATENATE(INDEX(Calc!$D$8:$D$500,MATCH(SMALL(IF((Calc!$K$8:$K$500=Kanban!H$11)*(Calc!$Y$8:$Y$500&gt;0),Calc!$Y$8:$Y$500,99999),Kanban_Helper!$B206),Calc!$Y$8:$Y$500,0))," ",Calc!$V$7," ","!"),INDEX(Calc!$D$8:$D$500,MATCH(SMALL(IF((Calc!$K$8:$K$500=Kanban!H$11)*(Calc!$Y$8:$Y$500&gt;0),Calc!$Y$8:$Y$500,99999),Kanban_Helper!$B206),Calc!$Y$8:$Y$500,0))))),"")</f>
        <v/>
      </c>
      <c r="I213" s="39"/>
    </row>
    <row r="214" spans="2:9" x14ac:dyDescent="0.35">
      <c r="B214" s="81"/>
      <c r="C214" s="171" t="str">
        <f t="array" ref="C214">IFERROR(IF(LEN(C$11)=0,"",IF($C$7&lt;&gt;"All",INDEX(Calc!$E$8:$E$500,MATCH(SMALL(IF((Calc!$C$8:$C$500=Kanban!$C$7)*(Calc!$K$8:$K$500=Kanban!C$11)*(Calc!$Y$8:$Y$500&gt;0),Calc!$Y$8:$Y$500,99999),Kanban_Helper!$B207),Calc!$Y$8:$Y$500,0)),INDEX(Calc!$E$8:$E$500,MATCH(SMALL(IF((Calc!$K$8:$K$500=Kanban!C$11)*(Calc!$Y$8:$Y$500&gt;0),Calc!$Y$8:$Y$500,99999),Kanban_Helper!$B207),Calc!$Y$8:$Y$500,0)))),"")</f>
        <v/>
      </c>
      <c r="D214" s="171" t="str">
        <f t="array" ref="D214">IFERROR(IF(LEN(D$11)=0,"",IF($C$7&lt;&gt;"All",INDEX(Calc!$E$8:$E$500,MATCH(SMALL(IF((Calc!$C$8:$C$500=Kanban!$C$7)*(Calc!$K$8:$K$500=Kanban!D$11)*(Calc!$Y$8:$Y$500&gt;0),Calc!$Y$8:$Y$500,99999),Kanban_Helper!$B207),Calc!$Y$8:$Y$500,0)),INDEX(Calc!$E$8:$E$500,MATCH(SMALL(IF((Calc!$K$8:$K$500=Kanban!D$11)*(Calc!$Y$8:$Y$500&gt;0),Calc!$Y$8:$Y$500,99999),Kanban_Helper!$B207),Calc!$Y$8:$Y$500,0)))),"")</f>
        <v/>
      </c>
      <c r="E214" s="171" t="str">
        <f t="array" ref="E214">IFERROR(IF(LEN(E$11)=0,"",IF($C$7&lt;&gt;"All",INDEX(Calc!$E$8:$E$500,MATCH(SMALL(IF((Calc!$C$8:$C$500=Kanban!$C$7)*(Calc!$K$8:$K$500=Kanban!E$11)*(Calc!$Y$8:$Y$500&gt;0),Calc!$Y$8:$Y$500,99999),Kanban_Helper!$B207),Calc!$Y$8:$Y$500,0)),INDEX(Calc!$E$8:$E$500,MATCH(SMALL(IF((Calc!$K$8:$K$500=Kanban!E$11)*(Calc!$Y$8:$Y$500&gt;0),Calc!$Y$8:$Y$500,99999),Kanban_Helper!$B207),Calc!$Y$8:$Y$500,0)))),"")</f>
        <v/>
      </c>
      <c r="F214" s="171" t="str">
        <f t="array" ref="F214">IFERROR(IF(LEN(F$11)=0,"",IF($C$7&lt;&gt;"All",INDEX(Calc!$E$8:$E$500,MATCH(SMALL(IF((Calc!$C$8:$C$500=Kanban!$C$7)*(Calc!$K$8:$K$500=Kanban!F$11)*(Calc!$Y$8:$Y$500&gt;0),Calc!$Y$8:$Y$500,99999),Kanban_Helper!$B207),Calc!$Y$8:$Y$500,0)),INDEX(Calc!$E$8:$E$500,MATCH(SMALL(IF((Calc!$K$8:$K$500=Kanban!F$11)*(Calc!$Y$8:$Y$500&gt;0),Calc!$Y$8:$Y$500,99999),Kanban_Helper!$B207),Calc!$Y$8:$Y$500,0)))),"")</f>
        <v/>
      </c>
      <c r="G214" s="171" t="str">
        <f t="array" ref="G214">IFERROR(IF(LEN(G$11)=0,"",IF($C$7&lt;&gt;"All",INDEX(Calc!$E$8:$E$500,MATCH(SMALL(IF((Calc!$C$8:$C$500=Kanban!$C$7)*(Calc!$K$8:$K$500=Kanban!G$11)*(Calc!$Y$8:$Y$500&gt;0),Calc!$Y$8:$Y$500,99999),Kanban_Helper!$B207),Calc!$Y$8:$Y$500,0)),INDEX(Calc!$E$8:$E$500,MATCH(SMALL(IF((Calc!$K$8:$K$500=Kanban!G$11)*(Calc!$Y$8:$Y$500&gt;0),Calc!$Y$8:$Y$500,99999),Kanban_Helper!$B207),Calc!$Y$8:$Y$500,0)))),"")</f>
        <v/>
      </c>
      <c r="H214" s="171" t="str">
        <f t="array" ref="H214">IFERROR(IF(LEN(H$11)=0,"",IF($C$7&lt;&gt;"All",INDEX(Calc!$E$8:$E$500,MATCH(SMALL(IF((Calc!$C$8:$C$500=Kanban!$C$7)*(Calc!$K$8:$K$500=Kanban!H$11)*(Calc!$Y$8:$Y$500&gt;0),Calc!$Y$8:$Y$500,99999),Kanban_Helper!$B207),Calc!$Y$8:$Y$500,0)),INDEX(Calc!$E$8:$E$500,MATCH(SMALL(IF((Calc!$K$8:$K$500=Kanban!H$11)*(Calc!$Y$8:$Y$500&gt;0),Calc!$Y$8:$Y$500,99999),Kanban_Helper!$B207),Calc!$Y$8:$Y$500,0)))),"")</f>
        <v/>
      </c>
      <c r="I214" s="39"/>
    </row>
    <row r="215" spans="2:9" ht="15" thickBot="1" x14ac:dyDescent="0.4">
      <c r="B215" s="81"/>
      <c r="C215" s="172" t="str">
        <f t="array" ref="C215">IFERROR(IF(LEN(C$11)=0,"",IF($C$7&lt;&gt;"All",IF(LEN(INDEX(Calc!$J$8:$J$500,MATCH(SMALL(IF((Calc!$C$8:$C$500=Kanban!$C$7)*(Calc!$K$8:$K$500=Kanban!C$11)*(Calc!$Y$8:$Y$500&gt;0),Calc!$Y$8:$Y$500,99999),Kanban_Helper!$B208),Calc!$Y$8:$Y$500,0)))=0,"",CONCATENATE(Calc!$AD$6,INDEX(Calc!$J$8:$J$500,MATCH(SMALL(IF((Calc!$C$8:$C$500=Kanban!$C$7)*(Calc!$K$8:$K$500=Kanban!C$11)*(Calc!$Y$8:$Y$500&gt;0),Calc!$Y$8:$Y$500,99999),Kanban_Helper!$B208),Calc!$Y$8:$Y$500,0)))),IF(LEN(INDEX(Calc!$J$8:$J$500,MATCH(SMALL(IF((Calc!$K$8:$K$500=Kanban!C$11)*(Calc!$Y$8:$Y$500&gt;0),Calc!$Y$8:$Y$500,99999),Kanban_Helper!$B208),Calc!$Y$8:$Y$500,0)))=0,"",CONCATENATE(Calc!$AD$6,INDEX(Calc!$J$8:$J$500,MATCH(SMALL(IF((Calc!$K$8:$K$500=Kanban!C$11)*(Calc!$Y$8:$Y$500&gt;0),Calc!$Y$8:$Y$500,99999),Kanban_Helper!$B208),Calc!$Y$8:$Y$500,0)))))),"")</f>
        <v/>
      </c>
      <c r="D215" s="172" t="str">
        <f t="array" ref="D215">IFERROR(IF(LEN(D$11)=0,"",IF($C$7&lt;&gt;"All",IF(LEN(INDEX(Calc!$J$8:$J$500,MATCH(SMALL(IF((Calc!$C$8:$C$500=Kanban!$C$7)*(Calc!$K$8:$K$500=Kanban!D$11)*(Calc!$Y$8:$Y$500&gt;0),Calc!$Y$8:$Y$500,99999),Kanban_Helper!$B208),Calc!$Y$8:$Y$500,0)))=0,"",CONCATENATE(Calc!$AD$6,INDEX(Calc!$J$8:$J$500,MATCH(SMALL(IF((Calc!$C$8:$C$500=Kanban!$C$7)*(Calc!$K$8:$K$500=Kanban!D$11)*(Calc!$Y$8:$Y$500&gt;0),Calc!$Y$8:$Y$500,99999),Kanban_Helper!$B208),Calc!$Y$8:$Y$500,0)))),IF(LEN(INDEX(Calc!$J$8:$J$500,MATCH(SMALL(IF((Calc!$K$8:$K$500=Kanban!D$11)*(Calc!$Y$8:$Y$500&gt;0),Calc!$Y$8:$Y$500,99999),Kanban_Helper!$B208),Calc!$Y$8:$Y$500,0)))=0,"",CONCATENATE(Calc!$AD$6,INDEX(Calc!$J$8:$J$500,MATCH(SMALL(IF((Calc!$K$8:$K$500=Kanban!D$11)*(Calc!$Y$8:$Y$500&gt;0),Calc!$Y$8:$Y$500,99999),Kanban_Helper!$B208),Calc!$Y$8:$Y$500,0)))))),"")</f>
        <v/>
      </c>
      <c r="E215" s="172" t="str">
        <f t="array" ref="E215">IFERROR(IF(LEN(E$11)=0,"",IF($C$7&lt;&gt;"All",IF(LEN(INDEX(Calc!$J$8:$J$500,MATCH(SMALL(IF((Calc!$C$8:$C$500=Kanban!$C$7)*(Calc!$K$8:$K$500=Kanban!E$11)*(Calc!$Y$8:$Y$500&gt;0),Calc!$Y$8:$Y$500,99999),Kanban_Helper!$B208),Calc!$Y$8:$Y$500,0)))=0,"",CONCATENATE(Calc!$AD$6,INDEX(Calc!$J$8:$J$500,MATCH(SMALL(IF((Calc!$C$8:$C$500=Kanban!$C$7)*(Calc!$K$8:$K$500=Kanban!E$11)*(Calc!$Y$8:$Y$500&gt;0),Calc!$Y$8:$Y$500,99999),Kanban_Helper!$B208),Calc!$Y$8:$Y$500,0)))),IF(LEN(INDEX(Calc!$J$8:$J$500,MATCH(SMALL(IF((Calc!$K$8:$K$500=Kanban!E$11)*(Calc!$Y$8:$Y$500&gt;0),Calc!$Y$8:$Y$500,99999),Kanban_Helper!$B208),Calc!$Y$8:$Y$500,0)))=0,"",CONCATENATE(Calc!$AD$6,INDEX(Calc!$J$8:$J$500,MATCH(SMALL(IF((Calc!$K$8:$K$500=Kanban!E$11)*(Calc!$Y$8:$Y$500&gt;0),Calc!$Y$8:$Y$500,99999),Kanban_Helper!$B208),Calc!$Y$8:$Y$500,0)))))),"")</f>
        <v/>
      </c>
      <c r="F215" s="172" t="str">
        <f t="array" ref="F215">IFERROR(IF(LEN(F$11)=0,"",IF($C$7&lt;&gt;"All",IF(LEN(INDEX(Calc!$J$8:$J$500,MATCH(SMALL(IF((Calc!$C$8:$C$500=Kanban!$C$7)*(Calc!$K$8:$K$500=Kanban!F$11)*(Calc!$Y$8:$Y$500&gt;0),Calc!$Y$8:$Y$500,99999),Kanban_Helper!$B208),Calc!$Y$8:$Y$500,0)))=0,"",CONCATENATE(Calc!$AD$6,INDEX(Calc!$J$8:$J$500,MATCH(SMALL(IF((Calc!$C$8:$C$500=Kanban!$C$7)*(Calc!$K$8:$K$500=Kanban!F$11)*(Calc!$Y$8:$Y$500&gt;0),Calc!$Y$8:$Y$500,99999),Kanban_Helper!$B208),Calc!$Y$8:$Y$500,0)))),IF(LEN(INDEX(Calc!$J$8:$J$500,MATCH(SMALL(IF((Calc!$K$8:$K$500=Kanban!F$11)*(Calc!$Y$8:$Y$500&gt;0),Calc!$Y$8:$Y$500,99999),Kanban_Helper!$B208),Calc!$Y$8:$Y$500,0)))=0,"",CONCATENATE(Calc!$AD$6,INDEX(Calc!$J$8:$J$500,MATCH(SMALL(IF((Calc!$K$8:$K$500=Kanban!F$11)*(Calc!$Y$8:$Y$500&gt;0),Calc!$Y$8:$Y$500,99999),Kanban_Helper!$B208),Calc!$Y$8:$Y$500,0)))))),"")</f>
        <v/>
      </c>
      <c r="G215" s="172" t="str">
        <f t="array" ref="G215">IFERROR(IF(LEN(G$11)=0,"",IF($C$7&lt;&gt;"All",IF(LEN(INDEX(Calc!$J$8:$J$500,MATCH(SMALL(IF((Calc!$C$8:$C$500=Kanban!$C$7)*(Calc!$K$8:$K$500=Kanban!G$11)*(Calc!$Y$8:$Y$500&gt;0),Calc!$Y$8:$Y$500,99999),Kanban_Helper!$B208),Calc!$Y$8:$Y$500,0)))=0,"",CONCATENATE(Calc!$AD$6,INDEX(Calc!$J$8:$J$500,MATCH(SMALL(IF((Calc!$C$8:$C$500=Kanban!$C$7)*(Calc!$K$8:$K$500=Kanban!G$11)*(Calc!$Y$8:$Y$500&gt;0),Calc!$Y$8:$Y$500,99999),Kanban_Helper!$B208),Calc!$Y$8:$Y$500,0)))),IF(LEN(INDEX(Calc!$J$8:$J$500,MATCH(SMALL(IF((Calc!$K$8:$K$500=Kanban!G$11)*(Calc!$Y$8:$Y$500&gt;0),Calc!$Y$8:$Y$500,99999),Kanban_Helper!$B208),Calc!$Y$8:$Y$500,0)))=0,"",CONCATENATE(Calc!$AD$6,INDEX(Calc!$J$8:$J$500,MATCH(SMALL(IF((Calc!$K$8:$K$500=Kanban!G$11)*(Calc!$Y$8:$Y$500&gt;0),Calc!$Y$8:$Y$500,99999),Kanban_Helper!$B208),Calc!$Y$8:$Y$500,0)))))),"")</f>
        <v/>
      </c>
      <c r="H215" s="172" t="str">
        <f t="array" ref="H215">IFERROR(IF(LEN(H$11)=0,"",IF($C$7&lt;&gt;"All",IF(LEN(INDEX(Calc!$J$8:$J$500,MATCH(SMALL(IF((Calc!$C$8:$C$500=Kanban!$C$7)*(Calc!$K$8:$K$500=Kanban!H$11)*(Calc!$Y$8:$Y$500&gt;0),Calc!$Y$8:$Y$500,99999),Kanban_Helper!$B208),Calc!$Y$8:$Y$500,0)))=0,"",CONCATENATE(Calc!$AD$6,INDEX(Calc!$J$8:$J$500,MATCH(SMALL(IF((Calc!$C$8:$C$500=Kanban!$C$7)*(Calc!$K$8:$K$500=Kanban!H$11)*(Calc!$Y$8:$Y$500&gt;0),Calc!$Y$8:$Y$500,99999),Kanban_Helper!$B208),Calc!$Y$8:$Y$500,0)))),IF(LEN(INDEX(Calc!$J$8:$J$500,MATCH(SMALL(IF((Calc!$K$8:$K$500=Kanban!H$11)*(Calc!$Y$8:$Y$500&gt;0),Calc!$Y$8:$Y$500,99999),Kanban_Helper!$B208),Calc!$Y$8:$Y$500,0)))=0,"",CONCATENATE(Calc!$AD$6,INDEX(Calc!$J$8:$J$500,MATCH(SMALL(IF((Calc!$K$8:$K$500=Kanban!H$11)*(Calc!$Y$8:$Y$500&gt;0),Calc!$Y$8:$Y$500,99999),Kanban_Helper!$B208),Calc!$Y$8:$Y$500,0)))))),"")</f>
        <v/>
      </c>
      <c r="I215" s="39"/>
    </row>
    <row r="216" spans="2:9" ht="15" thickTop="1" x14ac:dyDescent="0.35">
      <c r="B216" s="81"/>
      <c r="C216" s="170" t="str">
        <f t="array" ref="C216">IFERROR(IF(LEN(C$11)=0,"",IF($C$7&lt;&gt;"All",IF(INDEX(Calc!$V$8:$V$500,MATCH(INDEX(Calc!$D$8:$D$500,MATCH(SMALL(IF((Calc!$C$8:$C$500=Kanban!$C$7)*(Calc!$K$8:$K$500=Kanban!C$11)*(Calc!$Y$8:$Y$500&gt;0),Calc!$Y$8:$Y$500,99999),Kanban_Helper!$B209),Calc!$Y$8:$Y$500,0)),Calc!$D$8:$D$500,0))="Yes",CONCATENATE(INDEX(Calc!$D$8:$D$500,MATCH(SMALL(IF((Calc!$C$8:$C$500=Kanban!$C$7)*(Calc!$K$8:$K$500=Kanban!C$11)*(Calc!$Y$8:$Y$500&gt;0),Calc!$Y$8:$Y$500,99999),Kanban_Helper!$B209),Calc!$Y$8:$Y$500,0))," ",Calc!$V$7," ","!"),INDEX(Calc!$D$8:$D$500,MATCH(SMALL(IF((Calc!$C$8:$C$500=Kanban!$C$7)*(Calc!$K$8:$K$500=Kanban!C$11)*(Calc!$Y$8:$Y$500&gt;0),Calc!$Y$8:$Y$500,99999),Kanban_Helper!$B209),Calc!$Y$8:$Y$500,0))),IF(INDEX(Calc!$V$8:$V$500,MATCH(INDEX(Calc!$D$8:$D$500,MATCH(SMALL(IF((Calc!$K$8:$K$500=Kanban!C$11)*(Calc!$Y$8:$Y$500&gt;0),Calc!$Y$8:$Y$500,99999),Kanban_Helper!$B209),Calc!$Y$8:$Y$500,0)),Calc!$D$8:$D$500,0))="Yes",CONCATENATE(INDEX(Calc!$D$8:$D$500,MATCH(SMALL(IF((Calc!$K$8:$K$500=Kanban!C$11)*(Calc!$Y$8:$Y$500&gt;0),Calc!$Y$8:$Y$500,99999),Kanban_Helper!$B209),Calc!$Y$8:$Y$500,0))," ",Calc!$V$7," ","!"),INDEX(Calc!$D$8:$D$500,MATCH(SMALL(IF((Calc!$K$8:$K$500=Kanban!C$11)*(Calc!$Y$8:$Y$500&gt;0),Calc!$Y$8:$Y$500,99999),Kanban_Helper!$B209),Calc!$Y$8:$Y$500,0))))),"")</f>
        <v/>
      </c>
      <c r="D216" s="170" t="str">
        <f t="array" ref="D216">IFERROR(IF(LEN(D$11)=0,"",IF($C$7&lt;&gt;"All",IF(INDEX(Calc!$V$8:$V$500,MATCH(INDEX(Calc!$D$8:$D$500,MATCH(SMALL(IF((Calc!$C$8:$C$500=Kanban!$C$7)*(Calc!$K$8:$K$500=Kanban!D$11)*(Calc!$Y$8:$Y$500&gt;0),Calc!$Y$8:$Y$500,99999),Kanban_Helper!$B209),Calc!$Y$8:$Y$500,0)),Calc!$D$8:$D$500,0))="Yes",CONCATENATE(INDEX(Calc!$D$8:$D$500,MATCH(SMALL(IF((Calc!$C$8:$C$500=Kanban!$C$7)*(Calc!$K$8:$K$500=Kanban!D$11)*(Calc!$Y$8:$Y$500&gt;0),Calc!$Y$8:$Y$500,99999),Kanban_Helper!$B209),Calc!$Y$8:$Y$500,0))," ",Calc!$V$7," ","!"),INDEX(Calc!$D$8:$D$500,MATCH(SMALL(IF((Calc!$C$8:$C$500=Kanban!$C$7)*(Calc!$K$8:$K$500=Kanban!D$11)*(Calc!$Y$8:$Y$500&gt;0),Calc!$Y$8:$Y$500,99999),Kanban_Helper!$B209),Calc!$Y$8:$Y$500,0))),IF(INDEX(Calc!$V$8:$V$500,MATCH(INDEX(Calc!$D$8:$D$500,MATCH(SMALL(IF((Calc!$K$8:$K$500=Kanban!D$11)*(Calc!$Y$8:$Y$500&gt;0),Calc!$Y$8:$Y$500,99999),Kanban_Helper!$B209),Calc!$Y$8:$Y$500,0)),Calc!$D$8:$D$500,0))="Yes",CONCATENATE(INDEX(Calc!$D$8:$D$500,MATCH(SMALL(IF((Calc!$K$8:$K$500=Kanban!D$11)*(Calc!$Y$8:$Y$500&gt;0),Calc!$Y$8:$Y$500,99999),Kanban_Helper!$B209),Calc!$Y$8:$Y$500,0))," ",Calc!$V$7," ","!"),INDEX(Calc!$D$8:$D$500,MATCH(SMALL(IF((Calc!$K$8:$K$500=Kanban!D$11)*(Calc!$Y$8:$Y$500&gt;0),Calc!$Y$8:$Y$500,99999),Kanban_Helper!$B209),Calc!$Y$8:$Y$500,0))))),"")</f>
        <v/>
      </c>
      <c r="E216" s="170" t="str">
        <f t="array" ref="E216">IFERROR(IF(LEN(E$11)=0,"",IF($C$7&lt;&gt;"All",IF(INDEX(Calc!$V$8:$V$500,MATCH(INDEX(Calc!$D$8:$D$500,MATCH(SMALL(IF((Calc!$C$8:$C$500=Kanban!$C$7)*(Calc!$K$8:$K$500=Kanban!E$11)*(Calc!$Y$8:$Y$500&gt;0),Calc!$Y$8:$Y$500,99999),Kanban_Helper!$B209),Calc!$Y$8:$Y$500,0)),Calc!$D$8:$D$500,0))="Yes",CONCATENATE(INDEX(Calc!$D$8:$D$500,MATCH(SMALL(IF((Calc!$C$8:$C$500=Kanban!$C$7)*(Calc!$K$8:$K$500=Kanban!E$11)*(Calc!$Y$8:$Y$500&gt;0),Calc!$Y$8:$Y$500,99999),Kanban_Helper!$B209),Calc!$Y$8:$Y$500,0))," ",Calc!$V$7," ","!"),INDEX(Calc!$D$8:$D$500,MATCH(SMALL(IF((Calc!$C$8:$C$500=Kanban!$C$7)*(Calc!$K$8:$K$500=Kanban!E$11)*(Calc!$Y$8:$Y$500&gt;0),Calc!$Y$8:$Y$500,99999),Kanban_Helper!$B209),Calc!$Y$8:$Y$500,0))),IF(INDEX(Calc!$V$8:$V$500,MATCH(INDEX(Calc!$D$8:$D$500,MATCH(SMALL(IF((Calc!$K$8:$K$500=Kanban!E$11)*(Calc!$Y$8:$Y$500&gt;0),Calc!$Y$8:$Y$500,99999),Kanban_Helper!$B209),Calc!$Y$8:$Y$500,0)),Calc!$D$8:$D$500,0))="Yes",CONCATENATE(INDEX(Calc!$D$8:$D$500,MATCH(SMALL(IF((Calc!$K$8:$K$500=Kanban!E$11)*(Calc!$Y$8:$Y$500&gt;0),Calc!$Y$8:$Y$500,99999),Kanban_Helper!$B209),Calc!$Y$8:$Y$500,0))," ",Calc!$V$7," ","!"),INDEX(Calc!$D$8:$D$500,MATCH(SMALL(IF((Calc!$K$8:$K$500=Kanban!E$11)*(Calc!$Y$8:$Y$500&gt;0),Calc!$Y$8:$Y$500,99999),Kanban_Helper!$B209),Calc!$Y$8:$Y$500,0))))),"")</f>
        <v/>
      </c>
      <c r="F216" s="170" t="str">
        <f t="array" ref="F216">IFERROR(IF(LEN(F$11)=0,"",IF($C$7&lt;&gt;"All",IF(INDEX(Calc!$V$8:$V$500,MATCH(INDEX(Calc!$D$8:$D$500,MATCH(SMALL(IF((Calc!$C$8:$C$500=Kanban!$C$7)*(Calc!$K$8:$K$500=Kanban!F$11)*(Calc!$Y$8:$Y$500&gt;0),Calc!$Y$8:$Y$500,99999),Kanban_Helper!$B209),Calc!$Y$8:$Y$500,0)),Calc!$D$8:$D$500,0))="Yes",CONCATENATE(INDEX(Calc!$D$8:$D$500,MATCH(SMALL(IF((Calc!$C$8:$C$500=Kanban!$C$7)*(Calc!$K$8:$K$500=Kanban!F$11)*(Calc!$Y$8:$Y$500&gt;0),Calc!$Y$8:$Y$500,99999),Kanban_Helper!$B209),Calc!$Y$8:$Y$500,0))," ",Calc!$V$7," ","!"),INDEX(Calc!$D$8:$D$500,MATCH(SMALL(IF((Calc!$C$8:$C$500=Kanban!$C$7)*(Calc!$K$8:$K$500=Kanban!F$11)*(Calc!$Y$8:$Y$500&gt;0),Calc!$Y$8:$Y$500,99999),Kanban_Helper!$B209),Calc!$Y$8:$Y$500,0))),IF(INDEX(Calc!$V$8:$V$500,MATCH(INDEX(Calc!$D$8:$D$500,MATCH(SMALL(IF((Calc!$K$8:$K$500=Kanban!F$11)*(Calc!$Y$8:$Y$500&gt;0),Calc!$Y$8:$Y$500,99999),Kanban_Helper!$B209),Calc!$Y$8:$Y$500,0)),Calc!$D$8:$D$500,0))="Yes",CONCATENATE(INDEX(Calc!$D$8:$D$500,MATCH(SMALL(IF((Calc!$K$8:$K$500=Kanban!F$11)*(Calc!$Y$8:$Y$500&gt;0),Calc!$Y$8:$Y$500,99999),Kanban_Helper!$B209),Calc!$Y$8:$Y$500,0))," ",Calc!$V$7," ","!"),INDEX(Calc!$D$8:$D$500,MATCH(SMALL(IF((Calc!$K$8:$K$500=Kanban!F$11)*(Calc!$Y$8:$Y$500&gt;0),Calc!$Y$8:$Y$500,99999),Kanban_Helper!$B209),Calc!$Y$8:$Y$500,0))))),"")</f>
        <v/>
      </c>
      <c r="G216" s="170" t="str">
        <f t="array" ref="G216">IFERROR(IF(LEN(G$11)=0,"",IF($C$7&lt;&gt;"All",IF(INDEX(Calc!$V$8:$V$500,MATCH(INDEX(Calc!$D$8:$D$500,MATCH(SMALL(IF((Calc!$C$8:$C$500=Kanban!$C$7)*(Calc!$K$8:$K$500=Kanban!G$11)*(Calc!$Y$8:$Y$500&gt;0),Calc!$Y$8:$Y$500,99999),Kanban_Helper!$B209),Calc!$Y$8:$Y$500,0)),Calc!$D$8:$D$500,0))="Yes",CONCATENATE(INDEX(Calc!$D$8:$D$500,MATCH(SMALL(IF((Calc!$C$8:$C$500=Kanban!$C$7)*(Calc!$K$8:$K$500=Kanban!G$11)*(Calc!$Y$8:$Y$500&gt;0),Calc!$Y$8:$Y$500,99999),Kanban_Helper!$B209),Calc!$Y$8:$Y$500,0))," ",Calc!$V$7," ","!"),INDEX(Calc!$D$8:$D$500,MATCH(SMALL(IF((Calc!$C$8:$C$500=Kanban!$C$7)*(Calc!$K$8:$K$500=Kanban!G$11)*(Calc!$Y$8:$Y$500&gt;0),Calc!$Y$8:$Y$500,99999),Kanban_Helper!$B209),Calc!$Y$8:$Y$500,0))),IF(INDEX(Calc!$V$8:$V$500,MATCH(INDEX(Calc!$D$8:$D$500,MATCH(SMALL(IF((Calc!$K$8:$K$500=Kanban!G$11)*(Calc!$Y$8:$Y$500&gt;0),Calc!$Y$8:$Y$500,99999),Kanban_Helper!$B209),Calc!$Y$8:$Y$500,0)),Calc!$D$8:$D$500,0))="Yes",CONCATENATE(INDEX(Calc!$D$8:$D$500,MATCH(SMALL(IF((Calc!$K$8:$K$500=Kanban!G$11)*(Calc!$Y$8:$Y$500&gt;0),Calc!$Y$8:$Y$500,99999),Kanban_Helper!$B209),Calc!$Y$8:$Y$500,0))," ",Calc!$V$7," ","!"),INDEX(Calc!$D$8:$D$500,MATCH(SMALL(IF((Calc!$K$8:$K$500=Kanban!G$11)*(Calc!$Y$8:$Y$500&gt;0),Calc!$Y$8:$Y$500,99999),Kanban_Helper!$B209),Calc!$Y$8:$Y$500,0))))),"")</f>
        <v/>
      </c>
      <c r="H216" s="170" t="str">
        <f t="array" ref="H216">IFERROR(IF(LEN(H$11)=0,"",IF($C$7&lt;&gt;"All",IF(INDEX(Calc!$V$8:$V$500,MATCH(INDEX(Calc!$D$8:$D$500,MATCH(SMALL(IF((Calc!$C$8:$C$500=Kanban!$C$7)*(Calc!$K$8:$K$500=Kanban!H$11)*(Calc!$Y$8:$Y$500&gt;0),Calc!$Y$8:$Y$500,99999),Kanban_Helper!$B209),Calc!$Y$8:$Y$500,0)),Calc!$D$8:$D$500,0))="Yes",CONCATENATE(INDEX(Calc!$D$8:$D$500,MATCH(SMALL(IF((Calc!$C$8:$C$500=Kanban!$C$7)*(Calc!$K$8:$K$500=Kanban!H$11)*(Calc!$Y$8:$Y$500&gt;0),Calc!$Y$8:$Y$500,99999),Kanban_Helper!$B209),Calc!$Y$8:$Y$500,0))," ",Calc!$V$7," ","!"),INDEX(Calc!$D$8:$D$500,MATCH(SMALL(IF((Calc!$C$8:$C$500=Kanban!$C$7)*(Calc!$K$8:$K$500=Kanban!H$11)*(Calc!$Y$8:$Y$500&gt;0),Calc!$Y$8:$Y$500,99999),Kanban_Helper!$B209),Calc!$Y$8:$Y$500,0))),IF(INDEX(Calc!$V$8:$V$500,MATCH(INDEX(Calc!$D$8:$D$500,MATCH(SMALL(IF((Calc!$K$8:$K$500=Kanban!H$11)*(Calc!$Y$8:$Y$500&gt;0),Calc!$Y$8:$Y$500,99999),Kanban_Helper!$B209),Calc!$Y$8:$Y$500,0)),Calc!$D$8:$D$500,0))="Yes",CONCATENATE(INDEX(Calc!$D$8:$D$500,MATCH(SMALL(IF((Calc!$K$8:$K$500=Kanban!H$11)*(Calc!$Y$8:$Y$500&gt;0),Calc!$Y$8:$Y$500,99999),Kanban_Helper!$B209),Calc!$Y$8:$Y$500,0))," ",Calc!$V$7," ","!"),INDEX(Calc!$D$8:$D$500,MATCH(SMALL(IF((Calc!$K$8:$K$500=Kanban!H$11)*(Calc!$Y$8:$Y$500&gt;0),Calc!$Y$8:$Y$500,99999),Kanban_Helper!$B209),Calc!$Y$8:$Y$500,0))))),"")</f>
        <v/>
      </c>
      <c r="I216" s="39"/>
    </row>
    <row r="217" spans="2:9" x14ac:dyDescent="0.35">
      <c r="B217" s="81"/>
      <c r="C217" s="171" t="str">
        <f t="array" ref="C217">IFERROR(IF(LEN(C$11)=0,"",IF($C$7&lt;&gt;"All",INDEX(Calc!$E$8:$E$500,MATCH(SMALL(IF((Calc!$C$8:$C$500=Kanban!$C$7)*(Calc!$K$8:$K$500=Kanban!C$11)*(Calc!$Y$8:$Y$500&gt;0),Calc!$Y$8:$Y$500,99999),Kanban_Helper!$B210),Calc!$Y$8:$Y$500,0)),INDEX(Calc!$E$8:$E$500,MATCH(SMALL(IF((Calc!$K$8:$K$500=Kanban!C$11)*(Calc!$Y$8:$Y$500&gt;0),Calc!$Y$8:$Y$500,99999),Kanban_Helper!$B210),Calc!$Y$8:$Y$500,0)))),"")</f>
        <v/>
      </c>
      <c r="D217" s="171" t="str">
        <f t="array" ref="D217">IFERROR(IF(LEN(D$11)=0,"",IF($C$7&lt;&gt;"All",INDEX(Calc!$E$8:$E$500,MATCH(SMALL(IF((Calc!$C$8:$C$500=Kanban!$C$7)*(Calc!$K$8:$K$500=Kanban!D$11)*(Calc!$Y$8:$Y$500&gt;0),Calc!$Y$8:$Y$500,99999),Kanban_Helper!$B210),Calc!$Y$8:$Y$500,0)),INDEX(Calc!$E$8:$E$500,MATCH(SMALL(IF((Calc!$K$8:$K$500=Kanban!D$11)*(Calc!$Y$8:$Y$500&gt;0),Calc!$Y$8:$Y$500,99999),Kanban_Helper!$B210),Calc!$Y$8:$Y$500,0)))),"")</f>
        <v/>
      </c>
      <c r="E217" s="171" t="str">
        <f t="array" ref="E217">IFERROR(IF(LEN(E$11)=0,"",IF($C$7&lt;&gt;"All",INDEX(Calc!$E$8:$E$500,MATCH(SMALL(IF((Calc!$C$8:$C$500=Kanban!$C$7)*(Calc!$K$8:$K$500=Kanban!E$11)*(Calc!$Y$8:$Y$500&gt;0),Calc!$Y$8:$Y$500,99999),Kanban_Helper!$B210),Calc!$Y$8:$Y$500,0)),INDEX(Calc!$E$8:$E$500,MATCH(SMALL(IF((Calc!$K$8:$K$500=Kanban!E$11)*(Calc!$Y$8:$Y$500&gt;0),Calc!$Y$8:$Y$500,99999),Kanban_Helper!$B210),Calc!$Y$8:$Y$500,0)))),"")</f>
        <v/>
      </c>
      <c r="F217" s="171" t="str">
        <f t="array" ref="F217">IFERROR(IF(LEN(F$11)=0,"",IF($C$7&lt;&gt;"All",INDEX(Calc!$E$8:$E$500,MATCH(SMALL(IF((Calc!$C$8:$C$500=Kanban!$C$7)*(Calc!$K$8:$K$500=Kanban!F$11)*(Calc!$Y$8:$Y$500&gt;0),Calc!$Y$8:$Y$500,99999),Kanban_Helper!$B210),Calc!$Y$8:$Y$500,0)),INDEX(Calc!$E$8:$E$500,MATCH(SMALL(IF((Calc!$K$8:$K$500=Kanban!F$11)*(Calc!$Y$8:$Y$500&gt;0),Calc!$Y$8:$Y$500,99999),Kanban_Helper!$B210),Calc!$Y$8:$Y$500,0)))),"")</f>
        <v/>
      </c>
      <c r="G217" s="171" t="str">
        <f t="array" ref="G217">IFERROR(IF(LEN(G$11)=0,"",IF($C$7&lt;&gt;"All",INDEX(Calc!$E$8:$E$500,MATCH(SMALL(IF((Calc!$C$8:$C$500=Kanban!$C$7)*(Calc!$K$8:$K$500=Kanban!G$11)*(Calc!$Y$8:$Y$500&gt;0),Calc!$Y$8:$Y$500,99999),Kanban_Helper!$B210),Calc!$Y$8:$Y$500,0)),INDEX(Calc!$E$8:$E$500,MATCH(SMALL(IF((Calc!$K$8:$K$500=Kanban!G$11)*(Calc!$Y$8:$Y$500&gt;0),Calc!$Y$8:$Y$500,99999),Kanban_Helper!$B210),Calc!$Y$8:$Y$500,0)))),"")</f>
        <v/>
      </c>
      <c r="H217" s="171" t="str">
        <f t="array" ref="H217">IFERROR(IF(LEN(H$11)=0,"",IF($C$7&lt;&gt;"All",INDEX(Calc!$E$8:$E$500,MATCH(SMALL(IF((Calc!$C$8:$C$500=Kanban!$C$7)*(Calc!$K$8:$K$500=Kanban!H$11)*(Calc!$Y$8:$Y$500&gt;0),Calc!$Y$8:$Y$500,99999),Kanban_Helper!$B210),Calc!$Y$8:$Y$500,0)),INDEX(Calc!$E$8:$E$500,MATCH(SMALL(IF((Calc!$K$8:$K$500=Kanban!H$11)*(Calc!$Y$8:$Y$500&gt;0),Calc!$Y$8:$Y$500,99999),Kanban_Helper!$B210),Calc!$Y$8:$Y$500,0)))),"")</f>
        <v/>
      </c>
      <c r="I217" s="39"/>
    </row>
    <row r="218" spans="2:9" ht="15" thickBot="1" x14ac:dyDescent="0.4">
      <c r="B218" s="81"/>
      <c r="C218" s="172" t="str">
        <f t="array" ref="C218">IFERROR(IF(LEN(C$11)=0,"",IF($C$7&lt;&gt;"All",IF(LEN(INDEX(Calc!$J$8:$J$500,MATCH(SMALL(IF((Calc!$C$8:$C$500=Kanban!$C$7)*(Calc!$K$8:$K$500=Kanban!C$11)*(Calc!$Y$8:$Y$500&gt;0),Calc!$Y$8:$Y$500,99999),Kanban_Helper!$B211),Calc!$Y$8:$Y$500,0)))=0,"",CONCATENATE(Calc!$AD$6,INDEX(Calc!$J$8:$J$500,MATCH(SMALL(IF((Calc!$C$8:$C$500=Kanban!$C$7)*(Calc!$K$8:$K$500=Kanban!C$11)*(Calc!$Y$8:$Y$500&gt;0),Calc!$Y$8:$Y$500,99999),Kanban_Helper!$B211),Calc!$Y$8:$Y$500,0)))),IF(LEN(INDEX(Calc!$J$8:$J$500,MATCH(SMALL(IF((Calc!$K$8:$K$500=Kanban!C$11)*(Calc!$Y$8:$Y$500&gt;0),Calc!$Y$8:$Y$500,99999),Kanban_Helper!$B211),Calc!$Y$8:$Y$500,0)))=0,"",CONCATENATE(Calc!$AD$6,INDEX(Calc!$J$8:$J$500,MATCH(SMALL(IF((Calc!$K$8:$K$500=Kanban!C$11)*(Calc!$Y$8:$Y$500&gt;0),Calc!$Y$8:$Y$500,99999),Kanban_Helper!$B211),Calc!$Y$8:$Y$500,0)))))),"")</f>
        <v/>
      </c>
      <c r="D218" s="172" t="str">
        <f t="array" ref="D218">IFERROR(IF(LEN(D$11)=0,"",IF($C$7&lt;&gt;"All",IF(LEN(INDEX(Calc!$J$8:$J$500,MATCH(SMALL(IF((Calc!$C$8:$C$500=Kanban!$C$7)*(Calc!$K$8:$K$500=Kanban!D$11)*(Calc!$Y$8:$Y$500&gt;0),Calc!$Y$8:$Y$500,99999),Kanban_Helper!$B211),Calc!$Y$8:$Y$500,0)))=0,"",CONCATENATE(Calc!$AD$6,INDEX(Calc!$J$8:$J$500,MATCH(SMALL(IF((Calc!$C$8:$C$500=Kanban!$C$7)*(Calc!$K$8:$K$500=Kanban!D$11)*(Calc!$Y$8:$Y$500&gt;0),Calc!$Y$8:$Y$500,99999),Kanban_Helper!$B211),Calc!$Y$8:$Y$500,0)))),IF(LEN(INDEX(Calc!$J$8:$J$500,MATCH(SMALL(IF((Calc!$K$8:$K$500=Kanban!D$11)*(Calc!$Y$8:$Y$500&gt;0),Calc!$Y$8:$Y$500,99999),Kanban_Helper!$B211),Calc!$Y$8:$Y$500,0)))=0,"",CONCATENATE(Calc!$AD$6,INDEX(Calc!$J$8:$J$500,MATCH(SMALL(IF((Calc!$K$8:$K$500=Kanban!D$11)*(Calc!$Y$8:$Y$500&gt;0),Calc!$Y$8:$Y$500,99999),Kanban_Helper!$B211),Calc!$Y$8:$Y$500,0)))))),"")</f>
        <v/>
      </c>
      <c r="E218" s="172" t="str">
        <f t="array" ref="E218">IFERROR(IF(LEN(E$11)=0,"",IF($C$7&lt;&gt;"All",IF(LEN(INDEX(Calc!$J$8:$J$500,MATCH(SMALL(IF((Calc!$C$8:$C$500=Kanban!$C$7)*(Calc!$K$8:$K$500=Kanban!E$11)*(Calc!$Y$8:$Y$500&gt;0),Calc!$Y$8:$Y$500,99999),Kanban_Helper!$B211),Calc!$Y$8:$Y$500,0)))=0,"",CONCATENATE(Calc!$AD$6,INDEX(Calc!$J$8:$J$500,MATCH(SMALL(IF((Calc!$C$8:$C$500=Kanban!$C$7)*(Calc!$K$8:$K$500=Kanban!E$11)*(Calc!$Y$8:$Y$500&gt;0),Calc!$Y$8:$Y$500,99999),Kanban_Helper!$B211),Calc!$Y$8:$Y$500,0)))),IF(LEN(INDEX(Calc!$J$8:$J$500,MATCH(SMALL(IF((Calc!$K$8:$K$500=Kanban!E$11)*(Calc!$Y$8:$Y$500&gt;0),Calc!$Y$8:$Y$500,99999),Kanban_Helper!$B211),Calc!$Y$8:$Y$500,0)))=0,"",CONCATENATE(Calc!$AD$6,INDEX(Calc!$J$8:$J$500,MATCH(SMALL(IF((Calc!$K$8:$K$500=Kanban!E$11)*(Calc!$Y$8:$Y$500&gt;0),Calc!$Y$8:$Y$500,99999),Kanban_Helper!$B211),Calc!$Y$8:$Y$500,0)))))),"")</f>
        <v/>
      </c>
      <c r="F218" s="172" t="str">
        <f t="array" ref="F218">IFERROR(IF(LEN(F$11)=0,"",IF($C$7&lt;&gt;"All",IF(LEN(INDEX(Calc!$J$8:$J$500,MATCH(SMALL(IF((Calc!$C$8:$C$500=Kanban!$C$7)*(Calc!$K$8:$K$500=Kanban!F$11)*(Calc!$Y$8:$Y$500&gt;0),Calc!$Y$8:$Y$500,99999),Kanban_Helper!$B211),Calc!$Y$8:$Y$500,0)))=0,"",CONCATENATE(Calc!$AD$6,INDEX(Calc!$J$8:$J$500,MATCH(SMALL(IF((Calc!$C$8:$C$500=Kanban!$C$7)*(Calc!$K$8:$K$500=Kanban!F$11)*(Calc!$Y$8:$Y$500&gt;0),Calc!$Y$8:$Y$500,99999),Kanban_Helper!$B211),Calc!$Y$8:$Y$500,0)))),IF(LEN(INDEX(Calc!$J$8:$J$500,MATCH(SMALL(IF((Calc!$K$8:$K$500=Kanban!F$11)*(Calc!$Y$8:$Y$500&gt;0),Calc!$Y$8:$Y$500,99999),Kanban_Helper!$B211),Calc!$Y$8:$Y$500,0)))=0,"",CONCATENATE(Calc!$AD$6,INDEX(Calc!$J$8:$J$500,MATCH(SMALL(IF((Calc!$K$8:$K$500=Kanban!F$11)*(Calc!$Y$8:$Y$500&gt;0),Calc!$Y$8:$Y$500,99999),Kanban_Helper!$B211),Calc!$Y$8:$Y$500,0)))))),"")</f>
        <v/>
      </c>
      <c r="G218" s="172" t="str">
        <f t="array" ref="G218">IFERROR(IF(LEN(G$11)=0,"",IF($C$7&lt;&gt;"All",IF(LEN(INDEX(Calc!$J$8:$J$500,MATCH(SMALL(IF((Calc!$C$8:$C$500=Kanban!$C$7)*(Calc!$K$8:$K$500=Kanban!G$11)*(Calc!$Y$8:$Y$500&gt;0),Calc!$Y$8:$Y$500,99999),Kanban_Helper!$B211),Calc!$Y$8:$Y$500,0)))=0,"",CONCATENATE(Calc!$AD$6,INDEX(Calc!$J$8:$J$500,MATCH(SMALL(IF((Calc!$C$8:$C$500=Kanban!$C$7)*(Calc!$K$8:$K$500=Kanban!G$11)*(Calc!$Y$8:$Y$500&gt;0),Calc!$Y$8:$Y$500,99999),Kanban_Helper!$B211),Calc!$Y$8:$Y$500,0)))),IF(LEN(INDEX(Calc!$J$8:$J$500,MATCH(SMALL(IF((Calc!$K$8:$K$500=Kanban!G$11)*(Calc!$Y$8:$Y$500&gt;0),Calc!$Y$8:$Y$500,99999),Kanban_Helper!$B211),Calc!$Y$8:$Y$500,0)))=0,"",CONCATENATE(Calc!$AD$6,INDEX(Calc!$J$8:$J$500,MATCH(SMALL(IF((Calc!$K$8:$K$500=Kanban!G$11)*(Calc!$Y$8:$Y$500&gt;0),Calc!$Y$8:$Y$500,99999),Kanban_Helper!$B211),Calc!$Y$8:$Y$500,0)))))),"")</f>
        <v/>
      </c>
      <c r="H218" s="172" t="str">
        <f t="array" ref="H218">IFERROR(IF(LEN(H$11)=0,"",IF($C$7&lt;&gt;"All",IF(LEN(INDEX(Calc!$J$8:$J$500,MATCH(SMALL(IF((Calc!$C$8:$C$500=Kanban!$C$7)*(Calc!$K$8:$K$500=Kanban!H$11)*(Calc!$Y$8:$Y$500&gt;0),Calc!$Y$8:$Y$500,99999),Kanban_Helper!$B211),Calc!$Y$8:$Y$500,0)))=0,"",CONCATENATE(Calc!$AD$6,INDEX(Calc!$J$8:$J$500,MATCH(SMALL(IF((Calc!$C$8:$C$500=Kanban!$C$7)*(Calc!$K$8:$K$500=Kanban!H$11)*(Calc!$Y$8:$Y$500&gt;0),Calc!$Y$8:$Y$500,99999),Kanban_Helper!$B211),Calc!$Y$8:$Y$500,0)))),IF(LEN(INDEX(Calc!$J$8:$J$500,MATCH(SMALL(IF((Calc!$K$8:$K$500=Kanban!H$11)*(Calc!$Y$8:$Y$500&gt;0),Calc!$Y$8:$Y$500,99999),Kanban_Helper!$B211),Calc!$Y$8:$Y$500,0)))=0,"",CONCATENATE(Calc!$AD$6,INDEX(Calc!$J$8:$J$500,MATCH(SMALL(IF((Calc!$K$8:$K$500=Kanban!H$11)*(Calc!$Y$8:$Y$500&gt;0),Calc!$Y$8:$Y$500,99999),Kanban_Helper!$B211),Calc!$Y$8:$Y$500,0)))))),"")</f>
        <v/>
      </c>
      <c r="I218" s="39"/>
    </row>
    <row r="219" spans="2:9" ht="15" thickTop="1" x14ac:dyDescent="0.35">
      <c r="B219" s="81"/>
      <c r="C219" s="170" t="str">
        <f t="array" ref="C219">IFERROR(IF(LEN(C$11)=0,"",IF($C$7&lt;&gt;"All",IF(INDEX(Calc!$V$8:$V$500,MATCH(INDEX(Calc!$D$8:$D$500,MATCH(SMALL(IF((Calc!$C$8:$C$500=Kanban!$C$7)*(Calc!$K$8:$K$500=Kanban!C$11)*(Calc!$Y$8:$Y$500&gt;0),Calc!$Y$8:$Y$500,99999),Kanban_Helper!$B212),Calc!$Y$8:$Y$500,0)),Calc!$D$8:$D$500,0))="Yes",CONCATENATE(INDEX(Calc!$D$8:$D$500,MATCH(SMALL(IF((Calc!$C$8:$C$500=Kanban!$C$7)*(Calc!$K$8:$K$500=Kanban!C$11)*(Calc!$Y$8:$Y$500&gt;0),Calc!$Y$8:$Y$500,99999),Kanban_Helper!$B212),Calc!$Y$8:$Y$500,0))," ",Calc!$V$7," ","!"),INDEX(Calc!$D$8:$D$500,MATCH(SMALL(IF((Calc!$C$8:$C$500=Kanban!$C$7)*(Calc!$K$8:$K$500=Kanban!C$11)*(Calc!$Y$8:$Y$500&gt;0),Calc!$Y$8:$Y$500,99999),Kanban_Helper!$B212),Calc!$Y$8:$Y$500,0))),IF(INDEX(Calc!$V$8:$V$500,MATCH(INDEX(Calc!$D$8:$D$500,MATCH(SMALL(IF((Calc!$K$8:$K$500=Kanban!C$11)*(Calc!$Y$8:$Y$500&gt;0),Calc!$Y$8:$Y$500,99999),Kanban_Helper!$B212),Calc!$Y$8:$Y$500,0)),Calc!$D$8:$D$500,0))="Yes",CONCATENATE(INDEX(Calc!$D$8:$D$500,MATCH(SMALL(IF((Calc!$K$8:$K$500=Kanban!C$11)*(Calc!$Y$8:$Y$500&gt;0),Calc!$Y$8:$Y$500,99999),Kanban_Helper!$B212),Calc!$Y$8:$Y$500,0))," ",Calc!$V$7," ","!"),INDEX(Calc!$D$8:$D$500,MATCH(SMALL(IF((Calc!$K$8:$K$500=Kanban!C$11)*(Calc!$Y$8:$Y$500&gt;0),Calc!$Y$8:$Y$500,99999),Kanban_Helper!$B212),Calc!$Y$8:$Y$500,0))))),"")</f>
        <v/>
      </c>
      <c r="D219" s="170" t="str">
        <f t="array" ref="D219">IFERROR(IF(LEN(D$11)=0,"",IF($C$7&lt;&gt;"All",IF(INDEX(Calc!$V$8:$V$500,MATCH(INDEX(Calc!$D$8:$D$500,MATCH(SMALL(IF((Calc!$C$8:$C$500=Kanban!$C$7)*(Calc!$K$8:$K$500=Kanban!D$11)*(Calc!$Y$8:$Y$500&gt;0),Calc!$Y$8:$Y$500,99999),Kanban_Helper!$B212),Calc!$Y$8:$Y$500,0)),Calc!$D$8:$D$500,0))="Yes",CONCATENATE(INDEX(Calc!$D$8:$D$500,MATCH(SMALL(IF((Calc!$C$8:$C$500=Kanban!$C$7)*(Calc!$K$8:$K$500=Kanban!D$11)*(Calc!$Y$8:$Y$500&gt;0),Calc!$Y$8:$Y$500,99999),Kanban_Helper!$B212),Calc!$Y$8:$Y$500,0))," ",Calc!$V$7," ","!"),INDEX(Calc!$D$8:$D$500,MATCH(SMALL(IF((Calc!$C$8:$C$500=Kanban!$C$7)*(Calc!$K$8:$K$500=Kanban!D$11)*(Calc!$Y$8:$Y$500&gt;0),Calc!$Y$8:$Y$500,99999),Kanban_Helper!$B212),Calc!$Y$8:$Y$500,0))),IF(INDEX(Calc!$V$8:$V$500,MATCH(INDEX(Calc!$D$8:$D$500,MATCH(SMALL(IF((Calc!$K$8:$K$500=Kanban!D$11)*(Calc!$Y$8:$Y$500&gt;0),Calc!$Y$8:$Y$500,99999),Kanban_Helper!$B212),Calc!$Y$8:$Y$500,0)),Calc!$D$8:$D$500,0))="Yes",CONCATENATE(INDEX(Calc!$D$8:$D$500,MATCH(SMALL(IF((Calc!$K$8:$K$500=Kanban!D$11)*(Calc!$Y$8:$Y$500&gt;0),Calc!$Y$8:$Y$500,99999),Kanban_Helper!$B212),Calc!$Y$8:$Y$500,0))," ",Calc!$V$7," ","!"),INDEX(Calc!$D$8:$D$500,MATCH(SMALL(IF((Calc!$K$8:$K$500=Kanban!D$11)*(Calc!$Y$8:$Y$500&gt;0),Calc!$Y$8:$Y$500,99999),Kanban_Helper!$B212),Calc!$Y$8:$Y$500,0))))),"")</f>
        <v/>
      </c>
      <c r="E219" s="170" t="str">
        <f t="array" ref="E219">IFERROR(IF(LEN(E$11)=0,"",IF($C$7&lt;&gt;"All",IF(INDEX(Calc!$V$8:$V$500,MATCH(INDEX(Calc!$D$8:$D$500,MATCH(SMALL(IF((Calc!$C$8:$C$500=Kanban!$C$7)*(Calc!$K$8:$K$500=Kanban!E$11)*(Calc!$Y$8:$Y$500&gt;0),Calc!$Y$8:$Y$500,99999),Kanban_Helper!$B212),Calc!$Y$8:$Y$500,0)),Calc!$D$8:$D$500,0))="Yes",CONCATENATE(INDEX(Calc!$D$8:$D$500,MATCH(SMALL(IF((Calc!$C$8:$C$500=Kanban!$C$7)*(Calc!$K$8:$K$500=Kanban!E$11)*(Calc!$Y$8:$Y$500&gt;0),Calc!$Y$8:$Y$500,99999),Kanban_Helper!$B212),Calc!$Y$8:$Y$500,0))," ",Calc!$V$7," ","!"),INDEX(Calc!$D$8:$D$500,MATCH(SMALL(IF((Calc!$C$8:$C$500=Kanban!$C$7)*(Calc!$K$8:$K$500=Kanban!E$11)*(Calc!$Y$8:$Y$500&gt;0),Calc!$Y$8:$Y$500,99999),Kanban_Helper!$B212),Calc!$Y$8:$Y$500,0))),IF(INDEX(Calc!$V$8:$V$500,MATCH(INDEX(Calc!$D$8:$D$500,MATCH(SMALL(IF((Calc!$K$8:$K$500=Kanban!E$11)*(Calc!$Y$8:$Y$500&gt;0),Calc!$Y$8:$Y$500,99999),Kanban_Helper!$B212),Calc!$Y$8:$Y$500,0)),Calc!$D$8:$D$500,0))="Yes",CONCATENATE(INDEX(Calc!$D$8:$D$500,MATCH(SMALL(IF((Calc!$K$8:$K$500=Kanban!E$11)*(Calc!$Y$8:$Y$500&gt;0),Calc!$Y$8:$Y$500,99999),Kanban_Helper!$B212),Calc!$Y$8:$Y$500,0))," ",Calc!$V$7," ","!"),INDEX(Calc!$D$8:$D$500,MATCH(SMALL(IF((Calc!$K$8:$K$500=Kanban!E$11)*(Calc!$Y$8:$Y$500&gt;0),Calc!$Y$8:$Y$500,99999),Kanban_Helper!$B212),Calc!$Y$8:$Y$500,0))))),"")</f>
        <v/>
      </c>
      <c r="F219" s="170" t="str">
        <f t="array" ref="F219">IFERROR(IF(LEN(F$11)=0,"",IF($C$7&lt;&gt;"All",IF(INDEX(Calc!$V$8:$V$500,MATCH(INDEX(Calc!$D$8:$D$500,MATCH(SMALL(IF((Calc!$C$8:$C$500=Kanban!$C$7)*(Calc!$K$8:$K$500=Kanban!F$11)*(Calc!$Y$8:$Y$500&gt;0),Calc!$Y$8:$Y$500,99999),Kanban_Helper!$B212),Calc!$Y$8:$Y$500,0)),Calc!$D$8:$D$500,0))="Yes",CONCATENATE(INDEX(Calc!$D$8:$D$500,MATCH(SMALL(IF((Calc!$C$8:$C$500=Kanban!$C$7)*(Calc!$K$8:$K$500=Kanban!F$11)*(Calc!$Y$8:$Y$500&gt;0),Calc!$Y$8:$Y$500,99999),Kanban_Helper!$B212),Calc!$Y$8:$Y$500,0))," ",Calc!$V$7," ","!"),INDEX(Calc!$D$8:$D$500,MATCH(SMALL(IF((Calc!$C$8:$C$500=Kanban!$C$7)*(Calc!$K$8:$K$500=Kanban!F$11)*(Calc!$Y$8:$Y$500&gt;0),Calc!$Y$8:$Y$500,99999),Kanban_Helper!$B212),Calc!$Y$8:$Y$500,0))),IF(INDEX(Calc!$V$8:$V$500,MATCH(INDEX(Calc!$D$8:$D$500,MATCH(SMALL(IF((Calc!$K$8:$K$500=Kanban!F$11)*(Calc!$Y$8:$Y$500&gt;0),Calc!$Y$8:$Y$500,99999),Kanban_Helper!$B212),Calc!$Y$8:$Y$500,0)),Calc!$D$8:$D$500,0))="Yes",CONCATENATE(INDEX(Calc!$D$8:$D$500,MATCH(SMALL(IF((Calc!$K$8:$K$500=Kanban!F$11)*(Calc!$Y$8:$Y$500&gt;0),Calc!$Y$8:$Y$500,99999),Kanban_Helper!$B212),Calc!$Y$8:$Y$500,0))," ",Calc!$V$7," ","!"),INDEX(Calc!$D$8:$D$500,MATCH(SMALL(IF((Calc!$K$8:$K$500=Kanban!F$11)*(Calc!$Y$8:$Y$500&gt;0),Calc!$Y$8:$Y$500,99999),Kanban_Helper!$B212),Calc!$Y$8:$Y$500,0))))),"")</f>
        <v/>
      </c>
      <c r="G219" s="170" t="str">
        <f t="array" ref="G219">IFERROR(IF(LEN(G$11)=0,"",IF($C$7&lt;&gt;"All",IF(INDEX(Calc!$V$8:$V$500,MATCH(INDEX(Calc!$D$8:$D$500,MATCH(SMALL(IF((Calc!$C$8:$C$500=Kanban!$C$7)*(Calc!$K$8:$K$500=Kanban!G$11)*(Calc!$Y$8:$Y$500&gt;0),Calc!$Y$8:$Y$500,99999),Kanban_Helper!$B212),Calc!$Y$8:$Y$500,0)),Calc!$D$8:$D$500,0))="Yes",CONCATENATE(INDEX(Calc!$D$8:$D$500,MATCH(SMALL(IF((Calc!$C$8:$C$500=Kanban!$C$7)*(Calc!$K$8:$K$500=Kanban!G$11)*(Calc!$Y$8:$Y$500&gt;0),Calc!$Y$8:$Y$500,99999),Kanban_Helper!$B212),Calc!$Y$8:$Y$500,0))," ",Calc!$V$7," ","!"),INDEX(Calc!$D$8:$D$500,MATCH(SMALL(IF((Calc!$C$8:$C$500=Kanban!$C$7)*(Calc!$K$8:$K$500=Kanban!G$11)*(Calc!$Y$8:$Y$500&gt;0),Calc!$Y$8:$Y$500,99999),Kanban_Helper!$B212),Calc!$Y$8:$Y$500,0))),IF(INDEX(Calc!$V$8:$V$500,MATCH(INDEX(Calc!$D$8:$D$500,MATCH(SMALL(IF((Calc!$K$8:$K$500=Kanban!G$11)*(Calc!$Y$8:$Y$500&gt;0),Calc!$Y$8:$Y$500,99999),Kanban_Helper!$B212),Calc!$Y$8:$Y$500,0)),Calc!$D$8:$D$500,0))="Yes",CONCATENATE(INDEX(Calc!$D$8:$D$500,MATCH(SMALL(IF((Calc!$K$8:$K$500=Kanban!G$11)*(Calc!$Y$8:$Y$500&gt;0),Calc!$Y$8:$Y$500,99999),Kanban_Helper!$B212),Calc!$Y$8:$Y$500,0))," ",Calc!$V$7," ","!"),INDEX(Calc!$D$8:$D$500,MATCH(SMALL(IF((Calc!$K$8:$K$500=Kanban!G$11)*(Calc!$Y$8:$Y$500&gt;0),Calc!$Y$8:$Y$500,99999),Kanban_Helper!$B212),Calc!$Y$8:$Y$500,0))))),"")</f>
        <v/>
      </c>
      <c r="H219" s="170" t="str">
        <f t="array" ref="H219">IFERROR(IF(LEN(H$11)=0,"",IF($C$7&lt;&gt;"All",IF(INDEX(Calc!$V$8:$V$500,MATCH(INDEX(Calc!$D$8:$D$500,MATCH(SMALL(IF((Calc!$C$8:$C$500=Kanban!$C$7)*(Calc!$K$8:$K$500=Kanban!H$11)*(Calc!$Y$8:$Y$500&gt;0),Calc!$Y$8:$Y$500,99999),Kanban_Helper!$B212),Calc!$Y$8:$Y$500,0)),Calc!$D$8:$D$500,0))="Yes",CONCATENATE(INDEX(Calc!$D$8:$D$500,MATCH(SMALL(IF((Calc!$C$8:$C$500=Kanban!$C$7)*(Calc!$K$8:$K$500=Kanban!H$11)*(Calc!$Y$8:$Y$500&gt;0),Calc!$Y$8:$Y$500,99999),Kanban_Helper!$B212),Calc!$Y$8:$Y$500,0))," ",Calc!$V$7," ","!"),INDEX(Calc!$D$8:$D$500,MATCH(SMALL(IF((Calc!$C$8:$C$500=Kanban!$C$7)*(Calc!$K$8:$K$500=Kanban!H$11)*(Calc!$Y$8:$Y$500&gt;0),Calc!$Y$8:$Y$500,99999),Kanban_Helper!$B212),Calc!$Y$8:$Y$500,0))),IF(INDEX(Calc!$V$8:$V$500,MATCH(INDEX(Calc!$D$8:$D$500,MATCH(SMALL(IF((Calc!$K$8:$K$500=Kanban!H$11)*(Calc!$Y$8:$Y$500&gt;0),Calc!$Y$8:$Y$500,99999),Kanban_Helper!$B212),Calc!$Y$8:$Y$500,0)),Calc!$D$8:$D$500,0))="Yes",CONCATENATE(INDEX(Calc!$D$8:$D$500,MATCH(SMALL(IF((Calc!$K$8:$K$500=Kanban!H$11)*(Calc!$Y$8:$Y$500&gt;0),Calc!$Y$8:$Y$500,99999),Kanban_Helper!$B212),Calc!$Y$8:$Y$500,0))," ",Calc!$V$7," ","!"),INDEX(Calc!$D$8:$D$500,MATCH(SMALL(IF((Calc!$K$8:$K$500=Kanban!H$11)*(Calc!$Y$8:$Y$500&gt;0),Calc!$Y$8:$Y$500,99999),Kanban_Helper!$B212),Calc!$Y$8:$Y$500,0))))),"")</f>
        <v/>
      </c>
      <c r="I219" s="39"/>
    </row>
    <row r="220" spans="2:9" x14ac:dyDescent="0.35">
      <c r="B220" s="81"/>
      <c r="C220" s="171" t="str">
        <f t="array" ref="C220">IFERROR(IF(LEN(C$11)=0,"",IF($C$7&lt;&gt;"All",INDEX(Calc!$E$8:$E$500,MATCH(SMALL(IF((Calc!$C$8:$C$500=Kanban!$C$7)*(Calc!$K$8:$K$500=Kanban!C$11)*(Calc!$Y$8:$Y$500&gt;0),Calc!$Y$8:$Y$500,99999),Kanban_Helper!$B213),Calc!$Y$8:$Y$500,0)),INDEX(Calc!$E$8:$E$500,MATCH(SMALL(IF((Calc!$K$8:$K$500=Kanban!C$11)*(Calc!$Y$8:$Y$500&gt;0),Calc!$Y$8:$Y$500,99999),Kanban_Helper!$B213),Calc!$Y$8:$Y$500,0)))),"")</f>
        <v/>
      </c>
      <c r="D220" s="171" t="str">
        <f t="array" ref="D220">IFERROR(IF(LEN(D$11)=0,"",IF($C$7&lt;&gt;"All",INDEX(Calc!$E$8:$E$500,MATCH(SMALL(IF((Calc!$C$8:$C$500=Kanban!$C$7)*(Calc!$K$8:$K$500=Kanban!D$11)*(Calc!$Y$8:$Y$500&gt;0),Calc!$Y$8:$Y$500,99999),Kanban_Helper!$B213),Calc!$Y$8:$Y$500,0)),INDEX(Calc!$E$8:$E$500,MATCH(SMALL(IF((Calc!$K$8:$K$500=Kanban!D$11)*(Calc!$Y$8:$Y$500&gt;0),Calc!$Y$8:$Y$500,99999),Kanban_Helper!$B213),Calc!$Y$8:$Y$500,0)))),"")</f>
        <v/>
      </c>
      <c r="E220" s="171" t="str">
        <f t="array" ref="E220">IFERROR(IF(LEN(E$11)=0,"",IF($C$7&lt;&gt;"All",INDEX(Calc!$E$8:$E$500,MATCH(SMALL(IF((Calc!$C$8:$C$500=Kanban!$C$7)*(Calc!$K$8:$K$500=Kanban!E$11)*(Calc!$Y$8:$Y$500&gt;0),Calc!$Y$8:$Y$500,99999),Kanban_Helper!$B213),Calc!$Y$8:$Y$500,0)),INDEX(Calc!$E$8:$E$500,MATCH(SMALL(IF((Calc!$K$8:$K$500=Kanban!E$11)*(Calc!$Y$8:$Y$500&gt;0),Calc!$Y$8:$Y$500,99999),Kanban_Helper!$B213),Calc!$Y$8:$Y$500,0)))),"")</f>
        <v/>
      </c>
      <c r="F220" s="171" t="str">
        <f t="array" ref="F220">IFERROR(IF(LEN(F$11)=0,"",IF($C$7&lt;&gt;"All",INDEX(Calc!$E$8:$E$500,MATCH(SMALL(IF((Calc!$C$8:$C$500=Kanban!$C$7)*(Calc!$K$8:$K$500=Kanban!F$11)*(Calc!$Y$8:$Y$500&gt;0),Calc!$Y$8:$Y$500,99999),Kanban_Helper!$B213),Calc!$Y$8:$Y$500,0)),INDEX(Calc!$E$8:$E$500,MATCH(SMALL(IF((Calc!$K$8:$K$500=Kanban!F$11)*(Calc!$Y$8:$Y$500&gt;0),Calc!$Y$8:$Y$500,99999),Kanban_Helper!$B213),Calc!$Y$8:$Y$500,0)))),"")</f>
        <v/>
      </c>
      <c r="G220" s="171" t="str">
        <f t="array" ref="G220">IFERROR(IF(LEN(G$11)=0,"",IF($C$7&lt;&gt;"All",INDEX(Calc!$E$8:$E$500,MATCH(SMALL(IF((Calc!$C$8:$C$500=Kanban!$C$7)*(Calc!$K$8:$K$500=Kanban!G$11)*(Calc!$Y$8:$Y$500&gt;0),Calc!$Y$8:$Y$500,99999),Kanban_Helper!$B213),Calc!$Y$8:$Y$500,0)),INDEX(Calc!$E$8:$E$500,MATCH(SMALL(IF((Calc!$K$8:$K$500=Kanban!G$11)*(Calc!$Y$8:$Y$500&gt;0),Calc!$Y$8:$Y$500,99999),Kanban_Helper!$B213),Calc!$Y$8:$Y$500,0)))),"")</f>
        <v/>
      </c>
      <c r="H220" s="171" t="str">
        <f t="array" ref="H220">IFERROR(IF(LEN(H$11)=0,"",IF($C$7&lt;&gt;"All",INDEX(Calc!$E$8:$E$500,MATCH(SMALL(IF((Calc!$C$8:$C$500=Kanban!$C$7)*(Calc!$K$8:$K$500=Kanban!H$11)*(Calc!$Y$8:$Y$500&gt;0),Calc!$Y$8:$Y$500,99999),Kanban_Helper!$B213),Calc!$Y$8:$Y$500,0)),INDEX(Calc!$E$8:$E$500,MATCH(SMALL(IF((Calc!$K$8:$K$500=Kanban!H$11)*(Calc!$Y$8:$Y$500&gt;0),Calc!$Y$8:$Y$500,99999),Kanban_Helper!$B213),Calc!$Y$8:$Y$500,0)))),"")</f>
        <v/>
      </c>
      <c r="I220" s="39"/>
    </row>
    <row r="221" spans="2:9" ht="15" thickBot="1" x14ac:dyDescent="0.4">
      <c r="B221" s="81"/>
      <c r="C221" s="172" t="str">
        <f t="array" ref="C221">IFERROR(IF(LEN(C$11)=0,"",IF($C$7&lt;&gt;"All",IF(LEN(INDEX(Calc!$J$8:$J$500,MATCH(SMALL(IF((Calc!$C$8:$C$500=Kanban!$C$7)*(Calc!$K$8:$K$500=Kanban!C$11)*(Calc!$Y$8:$Y$500&gt;0),Calc!$Y$8:$Y$500,99999),Kanban_Helper!$B214),Calc!$Y$8:$Y$500,0)))=0,"",CONCATENATE(Calc!$AD$6,INDEX(Calc!$J$8:$J$500,MATCH(SMALL(IF((Calc!$C$8:$C$500=Kanban!$C$7)*(Calc!$K$8:$K$500=Kanban!C$11)*(Calc!$Y$8:$Y$500&gt;0),Calc!$Y$8:$Y$500,99999),Kanban_Helper!$B214),Calc!$Y$8:$Y$500,0)))),IF(LEN(INDEX(Calc!$J$8:$J$500,MATCH(SMALL(IF((Calc!$K$8:$K$500=Kanban!C$11)*(Calc!$Y$8:$Y$500&gt;0),Calc!$Y$8:$Y$500,99999),Kanban_Helper!$B214),Calc!$Y$8:$Y$500,0)))=0,"",CONCATENATE(Calc!$AD$6,INDEX(Calc!$J$8:$J$500,MATCH(SMALL(IF((Calc!$K$8:$K$500=Kanban!C$11)*(Calc!$Y$8:$Y$500&gt;0),Calc!$Y$8:$Y$500,99999),Kanban_Helper!$B214),Calc!$Y$8:$Y$500,0)))))),"")</f>
        <v/>
      </c>
      <c r="D221" s="172" t="str">
        <f t="array" ref="D221">IFERROR(IF(LEN(D$11)=0,"",IF($C$7&lt;&gt;"All",IF(LEN(INDEX(Calc!$J$8:$J$500,MATCH(SMALL(IF((Calc!$C$8:$C$500=Kanban!$C$7)*(Calc!$K$8:$K$500=Kanban!D$11)*(Calc!$Y$8:$Y$500&gt;0),Calc!$Y$8:$Y$500,99999),Kanban_Helper!$B214),Calc!$Y$8:$Y$500,0)))=0,"",CONCATENATE(Calc!$AD$6,INDEX(Calc!$J$8:$J$500,MATCH(SMALL(IF((Calc!$C$8:$C$500=Kanban!$C$7)*(Calc!$K$8:$K$500=Kanban!D$11)*(Calc!$Y$8:$Y$500&gt;0),Calc!$Y$8:$Y$500,99999),Kanban_Helper!$B214),Calc!$Y$8:$Y$500,0)))),IF(LEN(INDEX(Calc!$J$8:$J$500,MATCH(SMALL(IF((Calc!$K$8:$K$500=Kanban!D$11)*(Calc!$Y$8:$Y$500&gt;0),Calc!$Y$8:$Y$500,99999),Kanban_Helper!$B214),Calc!$Y$8:$Y$500,0)))=0,"",CONCATENATE(Calc!$AD$6,INDEX(Calc!$J$8:$J$500,MATCH(SMALL(IF((Calc!$K$8:$K$500=Kanban!D$11)*(Calc!$Y$8:$Y$500&gt;0),Calc!$Y$8:$Y$500,99999),Kanban_Helper!$B214),Calc!$Y$8:$Y$500,0)))))),"")</f>
        <v/>
      </c>
      <c r="E221" s="172" t="str">
        <f t="array" ref="E221">IFERROR(IF(LEN(E$11)=0,"",IF($C$7&lt;&gt;"All",IF(LEN(INDEX(Calc!$J$8:$J$500,MATCH(SMALL(IF((Calc!$C$8:$C$500=Kanban!$C$7)*(Calc!$K$8:$K$500=Kanban!E$11)*(Calc!$Y$8:$Y$500&gt;0),Calc!$Y$8:$Y$500,99999),Kanban_Helper!$B214),Calc!$Y$8:$Y$500,0)))=0,"",CONCATENATE(Calc!$AD$6,INDEX(Calc!$J$8:$J$500,MATCH(SMALL(IF((Calc!$C$8:$C$500=Kanban!$C$7)*(Calc!$K$8:$K$500=Kanban!E$11)*(Calc!$Y$8:$Y$500&gt;0),Calc!$Y$8:$Y$500,99999),Kanban_Helper!$B214),Calc!$Y$8:$Y$500,0)))),IF(LEN(INDEX(Calc!$J$8:$J$500,MATCH(SMALL(IF((Calc!$K$8:$K$500=Kanban!E$11)*(Calc!$Y$8:$Y$500&gt;0),Calc!$Y$8:$Y$500,99999),Kanban_Helper!$B214),Calc!$Y$8:$Y$500,0)))=0,"",CONCATENATE(Calc!$AD$6,INDEX(Calc!$J$8:$J$500,MATCH(SMALL(IF((Calc!$K$8:$K$500=Kanban!E$11)*(Calc!$Y$8:$Y$500&gt;0),Calc!$Y$8:$Y$500,99999),Kanban_Helper!$B214),Calc!$Y$8:$Y$500,0)))))),"")</f>
        <v/>
      </c>
      <c r="F221" s="172" t="str">
        <f t="array" ref="F221">IFERROR(IF(LEN(F$11)=0,"",IF($C$7&lt;&gt;"All",IF(LEN(INDEX(Calc!$J$8:$J$500,MATCH(SMALL(IF((Calc!$C$8:$C$500=Kanban!$C$7)*(Calc!$K$8:$K$500=Kanban!F$11)*(Calc!$Y$8:$Y$500&gt;0),Calc!$Y$8:$Y$500,99999),Kanban_Helper!$B214),Calc!$Y$8:$Y$500,0)))=0,"",CONCATENATE(Calc!$AD$6,INDEX(Calc!$J$8:$J$500,MATCH(SMALL(IF((Calc!$C$8:$C$500=Kanban!$C$7)*(Calc!$K$8:$K$500=Kanban!F$11)*(Calc!$Y$8:$Y$500&gt;0),Calc!$Y$8:$Y$500,99999),Kanban_Helper!$B214),Calc!$Y$8:$Y$500,0)))),IF(LEN(INDEX(Calc!$J$8:$J$500,MATCH(SMALL(IF((Calc!$K$8:$K$500=Kanban!F$11)*(Calc!$Y$8:$Y$500&gt;0),Calc!$Y$8:$Y$500,99999),Kanban_Helper!$B214),Calc!$Y$8:$Y$500,0)))=0,"",CONCATENATE(Calc!$AD$6,INDEX(Calc!$J$8:$J$500,MATCH(SMALL(IF((Calc!$K$8:$K$500=Kanban!F$11)*(Calc!$Y$8:$Y$500&gt;0),Calc!$Y$8:$Y$500,99999),Kanban_Helper!$B214),Calc!$Y$8:$Y$500,0)))))),"")</f>
        <v/>
      </c>
      <c r="G221" s="172" t="str">
        <f t="array" ref="G221">IFERROR(IF(LEN(G$11)=0,"",IF($C$7&lt;&gt;"All",IF(LEN(INDEX(Calc!$J$8:$J$500,MATCH(SMALL(IF((Calc!$C$8:$C$500=Kanban!$C$7)*(Calc!$K$8:$K$500=Kanban!G$11)*(Calc!$Y$8:$Y$500&gt;0),Calc!$Y$8:$Y$500,99999),Kanban_Helper!$B214),Calc!$Y$8:$Y$500,0)))=0,"",CONCATENATE(Calc!$AD$6,INDEX(Calc!$J$8:$J$500,MATCH(SMALL(IF((Calc!$C$8:$C$500=Kanban!$C$7)*(Calc!$K$8:$K$500=Kanban!G$11)*(Calc!$Y$8:$Y$500&gt;0),Calc!$Y$8:$Y$500,99999),Kanban_Helper!$B214),Calc!$Y$8:$Y$500,0)))),IF(LEN(INDEX(Calc!$J$8:$J$500,MATCH(SMALL(IF((Calc!$K$8:$K$500=Kanban!G$11)*(Calc!$Y$8:$Y$500&gt;0),Calc!$Y$8:$Y$500,99999),Kanban_Helper!$B214),Calc!$Y$8:$Y$500,0)))=0,"",CONCATENATE(Calc!$AD$6,INDEX(Calc!$J$8:$J$500,MATCH(SMALL(IF((Calc!$K$8:$K$500=Kanban!G$11)*(Calc!$Y$8:$Y$500&gt;0),Calc!$Y$8:$Y$500,99999),Kanban_Helper!$B214),Calc!$Y$8:$Y$500,0)))))),"")</f>
        <v/>
      </c>
      <c r="H221" s="172" t="str">
        <f t="array" ref="H221">IFERROR(IF(LEN(H$11)=0,"",IF($C$7&lt;&gt;"All",IF(LEN(INDEX(Calc!$J$8:$J$500,MATCH(SMALL(IF((Calc!$C$8:$C$500=Kanban!$C$7)*(Calc!$K$8:$K$500=Kanban!H$11)*(Calc!$Y$8:$Y$500&gt;0),Calc!$Y$8:$Y$500,99999),Kanban_Helper!$B214),Calc!$Y$8:$Y$500,0)))=0,"",CONCATENATE(Calc!$AD$6,INDEX(Calc!$J$8:$J$500,MATCH(SMALL(IF((Calc!$C$8:$C$500=Kanban!$C$7)*(Calc!$K$8:$K$500=Kanban!H$11)*(Calc!$Y$8:$Y$500&gt;0),Calc!$Y$8:$Y$500,99999),Kanban_Helper!$B214),Calc!$Y$8:$Y$500,0)))),IF(LEN(INDEX(Calc!$J$8:$J$500,MATCH(SMALL(IF((Calc!$K$8:$K$500=Kanban!H$11)*(Calc!$Y$8:$Y$500&gt;0),Calc!$Y$8:$Y$500,99999),Kanban_Helper!$B214),Calc!$Y$8:$Y$500,0)))=0,"",CONCATENATE(Calc!$AD$6,INDEX(Calc!$J$8:$J$500,MATCH(SMALL(IF((Calc!$K$8:$K$500=Kanban!H$11)*(Calc!$Y$8:$Y$500&gt;0),Calc!$Y$8:$Y$500,99999),Kanban_Helper!$B214),Calc!$Y$8:$Y$500,0)))))),"")</f>
        <v/>
      </c>
      <c r="I221" s="39"/>
    </row>
    <row r="222" spans="2:9" ht="15" thickTop="1" x14ac:dyDescent="0.35">
      <c r="B222" s="81"/>
      <c r="C222" s="170" t="str">
        <f t="array" ref="C222">IFERROR(IF(LEN(C$11)=0,"",IF($C$7&lt;&gt;"All",IF(INDEX(Calc!$V$8:$V$500,MATCH(INDEX(Calc!$D$8:$D$500,MATCH(SMALL(IF((Calc!$C$8:$C$500=Kanban!$C$7)*(Calc!$K$8:$K$500=Kanban!C$11)*(Calc!$Y$8:$Y$500&gt;0),Calc!$Y$8:$Y$500,99999),Kanban_Helper!$B215),Calc!$Y$8:$Y$500,0)),Calc!$D$8:$D$500,0))="Yes",CONCATENATE(INDEX(Calc!$D$8:$D$500,MATCH(SMALL(IF((Calc!$C$8:$C$500=Kanban!$C$7)*(Calc!$K$8:$K$500=Kanban!C$11)*(Calc!$Y$8:$Y$500&gt;0),Calc!$Y$8:$Y$500,99999),Kanban_Helper!$B215),Calc!$Y$8:$Y$500,0))," ",Calc!$V$7," ","!"),INDEX(Calc!$D$8:$D$500,MATCH(SMALL(IF((Calc!$C$8:$C$500=Kanban!$C$7)*(Calc!$K$8:$K$500=Kanban!C$11)*(Calc!$Y$8:$Y$500&gt;0),Calc!$Y$8:$Y$500,99999),Kanban_Helper!$B215),Calc!$Y$8:$Y$500,0))),IF(INDEX(Calc!$V$8:$V$500,MATCH(INDEX(Calc!$D$8:$D$500,MATCH(SMALL(IF((Calc!$K$8:$K$500=Kanban!C$11)*(Calc!$Y$8:$Y$500&gt;0),Calc!$Y$8:$Y$500,99999),Kanban_Helper!$B215),Calc!$Y$8:$Y$500,0)),Calc!$D$8:$D$500,0))="Yes",CONCATENATE(INDEX(Calc!$D$8:$D$500,MATCH(SMALL(IF((Calc!$K$8:$K$500=Kanban!C$11)*(Calc!$Y$8:$Y$500&gt;0),Calc!$Y$8:$Y$500,99999),Kanban_Helper!$B215),Calc!$Y$8:$Y$500,0))," ",Calc!$V$7," ","!"),INDEX(Calc!$D$8:$D$500,MATCH(SMALL(IF((Calc!$K$8:$K$500=Kanban!C$11)*(Calc!$Y$8:$Y$500&gt;0),Calc!$Y$8:$Y$500,99999),Kanban_Helper!$B215),Calc!$Y$8:$Y$500,0))))),"")</f>
        <v/>
      </c>
      <c r="D222" s="170" t="str">
        <f t="array" ref="D222">IFERROR(IF(LEN(D$11)=0,"",IF($C$7&lt;&gt;"All",IF(INDEX(Calc!$V$8:$V$500,MATCH(INDEX(Calc!$D$8:$D$500,MATCH(SMALL(IF((Calc!$C$8:$C$500=Kanban!$C$7)*(Calc!$K$8:$K$500=Kanban!D$11)*(Calc!$Y$8:$Y$500&gt;0),Calc!$Y$8:$Y$500,99999),Kanban_Helper!$B215),Calc!$Y$8:$Y$500,0)),Calc!$D$8:$D$500,0))="Yes",CONCATENATE(INDEX(Calc!$D$8:$D$500,MATCH(SMALL(IF((Calc!$C$8:$C$500=Kanban!$C$7)*(Calc!$K$8:$K$500=Kanban!D$11)*(Calc!$Y$8:$Y$500&gt;0),Calc!$Y$8:$Y$500,99999),Kanban_Helper!$B215),Calc!$Y$8:$Y$500,0))," ",Calc!$V$7," ","!"),INDEX(Calc!$D$8:$D$500,MATCH(SMALL(IF((Calc!$C$8:$C$500=Kanban!$C$7)*(Calc!$K$8:$K$500=Kanban!D$11)*(Calc!$Y$8:$Y$500&gt;0),Calc!$Y$8:$Y$500,99999),Kanban_Helper!$B215),Calc!$Y$8:$Y$500,0))),IF(INDEX(Calc!$V$8:$V$500,MATCH(INDEX(Calc!$D$8:$D$500,MATCH(SMALL(IF((Calc!$K$8:$K$500=Kanban!D$11)*(Calc!$Y$8:$Y$500&gt;0),Calc!$Y$8:$Y$500,99999),Kanban_Helper!$B215),Calc!$Y$8:$Y$500,0)),Calc!$D$8:$D$500,0))="Yes",CONCATENATE(INDEX(Calc!$D$8:$D$500,MATCH(SMALL(IF((Calc!$K$8:$K$500=Kanban!D$11)*(Calc!$Y$8:$Y$500&gt;0),Calc!$Y$8:$Y$500,99999),Kanban_Helper!$B215),Calc!$Y$8:$Y$500,0))," ",Calc!$V$7," ","!"),INDEX(Calc!$D$8:$D$500,MATCH(SMALL(IF((Calc!$K$8:$K$500=Kanban!D$11)*(Calc!$Y$8:$Y$500&gt;0),Calc!$Y$8:$Y$500,99999),Kanban_Helper!$B215),Calc!$Y$8:$Y$500,0))))),"")</f>
        <v/>
      </c>
      <c r="E222" s="170" t="str">
        <f t="array" ref="E222">IFERROR(IF(LEN(E$11)=0,"",IF($C$7&lt;&gt;"All",IF(INDEX(Calc!$V$8:$V$500,MATCH(INDEX(Calc!$D$8:$D$500,MATCH(SMALL(IF((Calc!$C$8:$C$500=Kanban!$C$7)*(Calc!$K$8:$K$500=Kanban!E$11)*(Calc!$Y$8:$Y$500&gt;0),Calc!$Y$8:$Y$500,99999),Kanban_Helper!$B215),Calc!$Y$8:$Y$500,0)),Calc!$D$8:$D$500,0))="Yes",CONCATENATE(INDEX(Calc!$D$8:$D$500,MATCH(SMALL(IF((Calc!$C$8:$C$500=Kanban!$C$7)*(Calc!$K$8:$K$500=Kanban!E$11)*(Calc!$Y$8:$Y$500&gt;0),Calc!$Y$8:$Y$500,99999),Kanban_Helper!$B215),Calc!$Y$8:$Y$500,0))," ",Calc!$V$7," ","!"),INDEX(Calc!$D$8:$D$500,MATCH(SMALL(IF((Calc!$C$8:$C$500=Kanban!$C$7)*(Calc!$K$8:$K$500=Kanban!E$11)*(Calc!$Y$8:$Y$500&gt;0),Calc!$Y$8:$Y$500,99999),Kanban_Helper!$B215),Calc!$Y$8:$Y$500,0))),IF(INDEX(Calc!$V$8:$V$500,MATCH(INDEX(Calc!$D$8:$D$500,MATCH(SMALL(IF((Calc!$K$8:$K$500=Kanban!E$11)*(Calc!$Y$8:$Y$500&gt;0),Calc!$Y$8:$Y$500,99999),Kanban_Helper!$B215),Calc!$Y$8:$Y$500,0)),Calc!$D$8:$D$500,0))="Yes",CONCATENATE(INDEX(Calc!$D$8:$D$500,MATCH(SMALL(IF((Calc!$K$8:$K$500=Kanban!E$11)*(Calc!$Y$8:$Y$500&gt;0),Calc!$Y$8:$Y$500,99999),Kanban_Helper!$B215),Calc!$Y$8:$Y$500,0))," ",Calc!$V$7," ","!"),INDEX(Calc!$D$8:$D$500,MATCH(SMALL(IF((Calc!$K$8:$K$500=Kanban!E$11)*(Calc!$Y$8:$Y$500&gt;0),Calc!$Y$8:$Y$500,99999),Kanban_Helper!$B215),Calc!$Y$8:$Y$500,0))))),"")</f>
        <v/>
      </c>
      <c r="F222" s="170" t="str">
        <f t="array" ref="F222">IFERROR(IF(LEN(F$11)=0,"",IF($C$7&lt;&gt;"All",IF(INDEX(Calc!$V$8:$V$500,MATCH(INDEX(Calc!$D$8:$D$500,MATCH(SMALL(IF((Calc!$C$8:$C$500=Kanban!$C$7)*(Calc!$K$8:$K$500=Kanban!F$11)*(Calc!$Y$8:$Y$500&gt;0),Calc!$Y$8:$Y$500,99999),Kanban_Helper!$B215),Calc!$Y$8:$Y$500,0)),Calc!$D$8:$D$500,0))="Yes",CONCATENATE(INDEX(Calc!$D$8:$D$500,MATCH(SMALL(IF((Calc!$C$8:$C$500=Kanban!$C$7)*(Calc!$K$8:$K$500=Kanban!F$11)*(Calc!$Y$8:$Y$500&gt;0),Calc!$Y$8:$Y$500,99999),Kanban_Helper!$B215),Calc!$Y$8:$Y$500,0))," ",Calc!$V$7," ","!"),INDEX(Calc!$D$8:$D$500,MATCH(SMALL(IF((Calc!$C$8:$C$500=Kanban!$C$7)*(Calc!$K$8:$K$500=Kanban!F$11)*(Calc!$Y$8:$Y$500&gt;0),Calc!$Y$8:$Y$500,99999),Kanban_Helper!$B215),Calc!$Y$8:$Y$500,0))),IF(INDEX(Calc!$V$8:$V$500,MATCH(INDEX(Calc!$D$8:$D$500,MATCH(SMALL(IF((Calc!$K$8:$K$500=Kanban!F$11)*(Calc!$Y$8:$Y$500&gt;0),Calc!$Y$8:$Y$500,99999),Kanban_Helper!$B215),Calc!$Y$8:$Y$500,0)),Calc!$D$8:$D$500,0))="Yes",CONCATENATE(INDEX(Calc!$D$8:$D$500,MATCH(SMALL(IF((Calc!$K$8:$K$500=Kanban!F$11)*(Calc!$Y$8:$Y$500&gt;0),Calc!$Y$8:$Y$500,99999),Kanban_Helper!$B215),Calc!$Y$8:$Y$500,0))," ",Calc!$V$7," ","!"),INDEX(Calc!$D$8:$D$500,MATCH(SMALL(IF((Calc!$K$8:$K$500=Kanban!F$11)*(Calc!$Y$8:$Y$500&gt;0),Calc!$Y$8:$Y$500,99999),Kanban_Helper!$B215),Calc!$Y$8:$Y$500,0))))),"")</f>
        <v/>
      </c>
      <c r="G222" s="170" t="str">
        <f t="array" ref="G222">IFERROR(IF(LEN(G$11)=0,"",IF($C$7&lt;&gt;"All",IF(INDEX(Calc!$V$8:$V$500,MATCH(INDEX(Calc!$D$8:$D$500,MATCH(SMALL(IF((Calc!$C$8:$C$500=Kanban!$C$7)*(Calc!$K$8:$K$500=Kanban!G$11)*(Calc!$Y$8:$Y$500&gt;0),Calc!$Y$8:$Y$500,99999),Kanban_Helper!$B215),Calc!$Y$8:$Y$500,0)),Calc!$D$8:$D$500,0))="Yes",CONCATENATE(INDEX(Calc!$D$8:$D$500,MATCH(SMALL(IF((Calc!$C$8:$C$500=Kanban!$C$7)*(Calc!$K$8:$K$500=Kanban!G$11)*(Calc!$Y$8:$Y$500&gt;0),Calc!$Y$8:$Y$500,99999),Kanban_Helper!$B215),Calc!$Y$8:$Y$500,0))," ",Calc!$V$7," ","!"),INDEX(Calc!$D$8:$D$500,MATCH(SMALL(IF((Calc!$C$8:$C$500=Kanban!$C$7)*(Calc!$K$8:$K$500=Kanban!G$11)*(Calc!$Y$8:$Y$500&gt;0),Calc!$Y$8:$Y$500,99999),Kanban_Helper!$B215),Calc!$Y$8:$Y$500,0))),IF(INDEX(Calc!$V$8:$V$500,MATCH(INDEX(Calc!$D$8:$D$500,MATCH(SMALL(IF((Calc!$K$8:$K$500=Kanban!G$11)*(Calc!$Y$8:$Y$500&gt;0),Calc!$Y$8:$Y$500,99999),Kanban_Helper!$B215),Calc!$Y$8:$Y$500,0)),Calc!$D$8:$D$500,0))="Yes",CONCATENATE(INDEX(Calc!$D$8:$D$500,MATCH(SMALL(IF((Calc!$K$8:$K$500=Kanban!G$11)*(Calc!$Y$8:$Y$500&gt;0),Calc!$Y$8:$Y$500,99999),Kanban_Helper!$B215),Calc!$Y$8:$Y$500,0))," ",Calc!$V$7," ","!"),INDEX(Calc!$D$8:$D$500,MATCH(SMALL(IF((Calc!$K$8:$K$500=Kanban!G$11)*(Calc!$Y$8:$Y$500&gt;0),Calc!$Y$8:$Y$500,99999),Kanban_Helper!$B215),Calc!$Y$8:$Y$500,0))))),"")</f>
        <v/>
      </c>
      <c r="H222" s="170" t="str">
        <f t="array" ref="H222">IFERROR(IF(LEN(H$11)=0,"",IF($C$7&lt;&gt;"All",IF(INDEX(Calc!$V$8:$V$500,MATCH(INDEX(Calc!$D$8:$D$500,MATCH(SMALL(IF((Calc!$C$8:$C$500=Kanban!$C$7)*(Calc!$K$8:$K$500=Kanban!H$11)*(Calc!$Y$8:$Y$500&gt;0),Calc!$Y$8:$Y$500,99999),Kanban_Helper!$B215),Calc!$Y$8:$Y$500,0)),Calc!$D$8:$D$500,0))="Yes",CONCATENATE(INDEX(Calc!$D$8:$D$500,MATCH(SMALL(IF((Calc!$C$8:$C$500=Kanban!$C$7)*(Calc!$K$8:$K$500=Kanban!H$11)*(Calc!$Y$8:$Y$500&gt;0),Calc!$Y$8:$Y$500,99999),Kanban_Helper!$B215),Calc!$Y$8:$Y$500,0))," ",Calc!$V$7," ","!"),INDEX(Calc!$D$8:$D$500,MATCH(SMALL(IF((Calc!$C$8:$C$500=Kanban!$C$7)*(Calc!$K$8:$K$500=Kanban!H$11)*(Calc!$Y$8:$Y$500&gt;0),Calc!$Y$8:$Y$500,99999),Kanban_Helper!$B215),Calc!$Y$8:$Y$500,0))),IF(INDEX(Calc!$V$8:$V$500,MATCH(INDEX(Calc!$D$8:$D$500,MATCH(SMALL(IF((Calc!$K$8:$K$500=Kanban!H$11)*(Calc!$Y$8:$Y$500&gt;0),Calc!$Y$8:$Y$500,99999),Kanban_Helper!$B215),Calc!$Y$8:$Y$500,0)),Calc!$D$8:$D$500,0))="Yes",CONCATENATE(INDEX(Calc!$D$8:$D$500,MATCH(SMALL(IF((Calc!$K$8:$K$500=Kanban!H$11)*(Calc!$Y$8:$Y$500&gt;0),Calc!$Y$8:$Y$500,99999),Kanban_Helper!$B215),Calc!$Y$8:$Y$500,0))," ",Calc!$V$7," ","!"),INDEX(Calc!$D$8:$D$500,MATCH(SMALL(IF((Calc!$K$8:$K$500=Kanban!H$11)*(Calc!$Y$8:$Y$500&gt;0),Calc!$Y$8:$Y$500,99999),Kanban_Helper!$B215),Calc!$Y$8:$Y$500,0))))),"")</f>
        <v/>
      </c>
      <c r="I222" s="39"/>
    </row>
    <row r="223" spans="2:9" x14ac:dyDescent="0.35">
      <c r="B223" s="81"/>
      <c r="C223" s="171" t="str">
        <f t="array" ref="C223">IFERROR(IF(LEN(C$11)=0,"",IF($C$7&lt;&gt;"All",INDEX(Calc!$E$8:$E$500,MATCH(SMALL(IF((Calc!$C$8:$C$500=Kanban!$C$7)*(Calc!$K$8:$K$500=Kanban!C$11)*(Calc!$Y$8:$Y$500&gt;0),Calc!$Y$8:$Y$500,99999),Kanban_Helper!$B216),Calc!$Y$8:$Y$500,0)),INDEX(Calc!$E$8:$E$500,MATCH(SMALL(IF((Calc!$K$8:$K$500=Kanban!C$11)*(Calc!$Y$8:$Y$500&gt;0),Calc!$Y$8:$Y$500,99999),Kanban_Helper!$B216),Calc!$Y$8:$Y$500,0)))),"")</f>
        <v/>
      </c>
      <c r="D223" s="171" t="str">
        <f t="array" ref="D223">IFERROR(IF(LEN(D$11)=0,"",IF($C$7&lt;&gt;"All",INDEX(Calc!$E$8:$E$500,MATCH(SMALL(IF((Calc!$C$8:$C$500=Kanban!$C$7)*(Calc!$K$8:$K$500=Kanban!D$11)*(Calc!$Y$8:$Y$500&gt;0),Calc!$Y$8:$Y$500,99999),Kanban_Helper!$B216),Calc!$Y$8:$Y$500,0)),INDEX(Calc!$E$8:$E$500,MATCH(SMALL(IF((Calc!$K$8:$K$500=Kanban!D$11)*(Calc!$Y$8:$Y$500&gt;0),Calc!$Y$8:$Y$500,99999),Kanban_Helper!$B216),Calc!$Y$8:$Y$500,0)))),"")</f>
        <v/>
      </c>
      <c r="E223" s="171" t="str">
        <f t="array" ref="E223">IFERROR(IF(LEN(E$11)=0,"",IF($C$7&lt;&gt;"All",INDEX(Calc!$E$8:$E$500,MATCH(SMALL(IF((Calc!$C$8:$C$500=Kanban!$C$7)*(Calc!$K$8:$K$500=Kanban!E$11)*(Calc!$Y$8:$Y$500&gt;0),Calc!$Y$8:$Y$500,99999),Kanban_Helper!$B216),Calc!$Y$8:$Y$500,0)),INDEX(Calc!$E$8:$E$500,MATCH(SMALL(IF((Calc!$K$8:$K$500=Kanban!E$11)*(Calc!$Y$8:$Y$500&gt;0),Calc!$Y$8:$Y$500,99999),Kanban_Helper!$B216),Calc!$Y$8:$Y$500,0)))),"")</f>
        <v/>
      </c>
      <c r="F223" s="171" t="str">
        <f t="array" ref="F223">IFERROR(IF(LEN(F$11)=0,"",IF($C$7&lt;&gt;"All",INDEX(Calc!$E$8:$E$500,MATCH(SMALL(IF((Calc!$C$8:$C$500=Kanban!$C$7)*(Calc!$K$8:$K$500=Kanban!F$11)*(Calc!$Y$8:$Y$500&gt;0),Calc!$Y$8:$Y$500,99999),Kanban_Helper!$B216),Calc!$Y$8:$Y$500,0)),INDEX(Calc!$E$8:$E$500,MATCH(SMALL(IF((Calc!$K$8:$K$500=Kanban!F$11)*(Calc!$Y$8:$Y$500&gt;0),Calc!$Y$8:$Y$500,99999),Kanban_Helper!$B216),Calc!$Y$8:$Y$500,0)))),"")</f>
        <v/>
      </c>
      <c r="G223" s="171" t="str">
        <f t="array" ref="G223">IFERROR(IF(LEN(G$11)=0,"",IF($C$7&lt;&gt;"All",INDEX(Calc!$E$8:$E$500,MATCH(SMALL(IF((Calc!$C$8:$C$500=Kanban!$C$7)*(Calc!$K$8:$K$500=Kanban!G$11)*(Calc!$Y$8:$Y$500&gt;0),Calc!$Y$8:$Y$500,99999),Kanban_Helper!$B216),Calc!$Y$8:$Y$500,0)),INDEX(Calc!$E$8:$E$500,MATCH(SMALL(IF((Calc!$K$8:$K$500=Kanban!G$11)*(Calc!$Y$8:$Y$500&gt;0),Calc!$Y$8:$Y$500,99999),Kanban_Helper!$B216),Calc!$Y$8:$Y$500,0)))),"")</f>
        <v/>
      </c>
      <c r="H223" s="171" t="str">
        <f t="array" ref="H223">IFERROR(IF(LEN(H$11)=0,"",IF($C$7&lt;&gt;"All",INDEX(Calc!$E$8:$E$500,MATCH(SMALL(IF((Calc!$C$8:$C$500=Kanban!$C$7)*(Calc!$K$8:$K$500=Kanban!H$11)*(Calc!$Y$8:$Y$500&gt;0),Calc!$Y$8:$Y$500,99999),Kanban_Helper!$B216),Calc!$Y$8:$Y$500,0)),INDEX(Calc!$E$8:$E$500,MATCH(SMALL(IF((Calc!$K$8:$K$500=Kanban!H$11)*(Calc!$Y$8:$Y$500&gt;0),Calc!$Y$8:$Y$500,99999),Kanban_Helper!$B216),Calc!$Y$8:$Y$500,0)))),"")</f>
        <v/>
      </c>
      <c r="I223" s="39"/>
    </row>
    <row r="224" spans="2:9" ht="15" thickBot="1" x14ac:dyDescent="0.4">
      <c r="B224" s="81"/>
      <c r="C224" s="172" t="str">
        <f t="array" ref="C224">IFERROR(IF(LEN(C$11)=0,"",IF($C$7&lt;&gt;"All",IF(LEN(INDEX(Calc!$J$8:$J$500,MATCH(SMALL(IF((Calc!$C$8:$C$500=Kanban!$C$7)*(Calc!$K$8:$K$500=Kanban!C$11)*(Calc!$Y$8:$Y$500&gt;0),Calc!$Y$8:$Y$500,99999),Kanban_Helper!$B217),Calc!$Y$8:$Y$500,0)))=0,"",CONCATENATE(Calc!$AD$6,INDEX(Calc!$J$8:$J$500,MATCH(SMALL(IF((Calc!$C$8:$C$500=Kanban!$C$7)*(Calc!$K$8:$K$500=Kanban!C$11)*(Calc!$Y$8:$Y$500&gt;0),Calc!$Y$8:$Y$500,99999),Kanban_Helper!$B217),Calc!$Y$8:$Y$500,0)))),IF(LEN(INDEX(Calc!$J$8:$J$500,MATCH(SMALL(IF((Calc!$K$8:$K$500=Kanban!C$11)*(Calc!$Y$8:$Y$500&gt;0),Calc!$Y$8:$Y$500,99999),Kanban_Helper!$B217),Calc!$Y$8:$Y$500,0)))=0,"",CONCATENATE(Calc!$AD$6,INDEX(Calc!$J$8:$J$500,MATCH(SMALL(IF((Calc!$K$8:$K$500=Kanban!C$11)*(Calc!$Y$8:$Y$500&gt;0),Calc!$Y$8:$Y$500,99999),Kanban_Helper!$B217),Calc!$Y$8:$Y$500,0)))))),"")</f>
        <v/>
      </c>
      <c r="D224" s="172" t="str">
        <f t="array" ref="D224">IFERROR(IF(LEN(D$11)=0,"",IF($C$7&lt;&gt;"All",IF(LEN(INDEX(Calc!$J$8:$J$500,MATCH(SMALL(IF((Calc!$C$8:$C$500=Kanban!$C$7)*(Calc!$K$8:$K$500=Kanban!D$11)*(Calc!$Y$8:$Y$500&gt;0),Calc!$Y$8:$Y$500,99999),Kanban_Helper!$B217),Calc!$Y$8:$Y$500,0)))=0,"",CONCATENATE(Calc!$AD$6,INDEX(Calc!$J$8:$J$500,MATCH(SMALL(IF((Calc!$C$8:$C$500=Kanban!$C$7)*(Calc!$K$8:$K$500=Kanban!D$11)*(Calc!$Y$8:$Y$500&gt;0),Calc!$Y$8:$Y$500,99999),Kanban_Helper!$B217),Calc!$Y$8:$Y$500,0)))),IF(LEN(INDEX(Calc!$J$8:$J$500,MATCH(SMALL(IF((Calc!$K$8:$K$500=Kanban!D$11)*(Calc!$Y$8:$Y$500&gt;0),Calc!$Y$8:$Y$500,99999),Kanban_Helper!$B217),Calc!$Y$8:$Y$500,0)))=0,"",CONCATENATE(Calc!$AD$6,INDEX(Calc!$J$8:$J$500,MATCH(SMALL(IF((Calc!$K$8:$K$500=Kanban!D$11)*(Calc!$Y$8:$Y$500&gt;0),Calc!$Y$8:$Y$500,99999),Kanban_Helper!$B217),Calc!$Y$8:$Y$500,0)))))),"")</f>
        <v/>
      </c>
      <c r="E224" s="172" t="str">
        <f t="array" ref="E224">IFERROR(IF(LEN(E$11)=0,"",IF($C$7&lt;&gt;"All",IF(LEN(INDEX(Calc!$J$8:$J$500,MATCH(SMALL(IF((Calc!$C$8:$C$500=Kanban!$C$7)*(Calc!$K$8:$K$500=Kanban!E$11)*(Calc!$Y$8:$Y$500&gt;0),Calc!$Y$8:$Y$500,99999),Kanban_Helper!$B217),Calc!$Y$8:$Y$500,0)))=0,"",CONCATENATE(Calc!$AD$6,INDEX(Calc!$J$8:$J$500,MATCH(SMALL(IF((Calc!$C$8:$C$500=Kanban!$C$7)*(Calc!$K$8:$K$500=Kanban!E$11)*(Calc!$Y$8:$Y$500&gt;0),Calc!$Y$8:$Y$500,99999),Kanban_Helper!$B217),Calc!$Y$8:$Y$500,0)))),IF(LEN(INDEX(Calc!$J$8:$J$500,MATCH(SMALL(IF((Calc!$K$8:$K$500=Kanban!E$11)*(Calc!$Y$8:$Y$500&gt;0),Calc!$Y$8:$Y$500,99999),Kanban_Helper!$B217),Calc!$Y$8:$Y$500,0)))=0,"",CONCATENATE(Calc!$AD$6,INDEX(Calc!$J$8:$J$500,MATCH(SMALL(IF((Calc!$K$8:$K$500=Kanban!E$11)*(Calc!$Y$8:$Y$500&gt;0),Calc!$Y$8:$Y$500,99999),Kanban_Helper!$B217),Calc!$Y$8:$Y$500,0)))))),"")</f>
        <v/>
      </c>
      <c r="F224" s="172" t="str">
        <f t="array" ref="F224">IFERROR(IF(LEN(F$11)=0,"",IF($C$7&lt;&gt;"All",IF(LEN(INDEX(Calc!$J$8:$J$500,MATCH(SMALL(IF((Calc!$C$8:$C$500=Kanban!$C$7)*(Calc!$K$8:$K$500=Kanban!F$11)*(Calc!$Y$8:$Y$500&gt;0),Calc!$Y$8:$Y$500,99999),Kanban_Helper!$B217),Calc!$Y$8:$Y$500,0)))=0,"",CONCATENATE(Calc!$AD$6,INDEX(Calc!$J$8:$J$500,MATCH(SMALL(IF((Calc!$C$8:$C$500=Kanban!$C$7)*(Calc!$K$8:$K$500=Kanban!F$11)*(Calc!$Y$8:$Y$500&gt;0),Calc!$Y$8:$Y$500,99999),Kanban_Helper!$B217),Calc!$Y$8:$Y$500,0)))),IF(LEN(INDEX(Calc!$J$8:$J$500,MATCH(SMALL(IF((Calc!$K$8:$K$500=Kanban!F$11)*(Calc!$Y$8:$Y$500&gt;0),Calc!$Y$8:$Y$500,99999),Kanban_Helper!$B217),Calc!$Y$8:$Y$500,0)))=0,"",CONCATENATE(Calc!$AD$6,INDEX(Calc!$J$8:$J$500,MATCH(SMALL(IF((Calc!$K$8:$K$500=Kanban!F$11)*(Calc!$Y$8:$Y$500&gt;0),Calc!$Y$8:$Y$500,99999),Kanban_Helper!$B217),Calc!$Y$8:$Y$500,0)))))),"")</f>
        <v/>
      </c>
      <c r="G224" s="172" t="str">
        <f t="array" ref="G224">IFERROR(IF(LEN(G$11)=0,"",IF($C$7&lt;&gt;"All",IF(LEN(INDEX(Calc!$J$8:$J$500,MATCH(SMALL(IF((Calc!$C$8:$C$500=Kanban!$C$7)*(Calc!$K$8:$K$500=Kanban!G$11)*(Calc!$Y$8:$Y$500&gt;0),Calc!$Y$8:$Y$500,99999),Kanban_Helper!$B217),Calc!$Y$8:$Y$500,0)))=0,"",CONCATENATE(Calc!$AD$6,INDEX(Calc!$J$8:$J$500,MATCH(SMALL(IF((Calc!$C$8:$C$500=Kanban!$C$7)*(Calc!$K$8:$K$500=Kanban!G$11)*(Calc!$Y$8:$Y$500&gt;0),Calc!$Y$8:$Y$500,99999),Kanban_Helper!$B217),Calc!$Y$8:$Y$500,0)))),IF(LEN(INDEX(Calc!$J$8:$J$500,MATCH(SMALL(IF((Calc!$K$8:$K$500=Kanban!G$11)*(Calc!$Y$8:$Y$500&gt;0),Calc!$Y$8:$Y$500,99999),Kanban_Helper!$B217),Calc!$Y$8:$Y$500,0)))=0,"",CONCATENATE(Calc!$AD$6,INDEX(Calc!$J$8:$J$500,MATCH(SMALL(IF((Calc!$K$8:$K$500=Kanban!G$11)*(Calc!$Y$8:$Y$500&gt;0),Calc!$Y$8:$Y$500,99999),Kanban_Helper!$B217),Calc!$Y$8:$Y$500,0)))))),"")</f>
        <v/>
      </c>
      <c r="H224" s="172" t="str">
        <f t="array" ref="H224">IFERROR(IF(LEN(H$11)=0,"",IF($C$7&lt;&gt;"All",IF(LEN(INDEX(Calc!$J$8:$J$500,MATCH(SMALL(IF((Calc!$C$8:$C$500=Kanban!$C$7)*(Calc!$K$8:$K$500=Kanban!H$11)*(Calc!$Y$8:$Y$500&gt;0),Calc!$Y$8:$Y$500,99999),Kanban_Helper!$B217),Calc!$Y$8:$Y$500,0)))=0,"",CONCATENATE(Calc!$AD$6,INDEX(Calc!$J$8:$J$500,MATCH(SMALL(IF((Calc!$C$8:$C$500=Kanban!$C$7)*(Calc!$K$8:$K$500=Kanban!H$11)*(Calc!$Y$8:$Y$500&gt;0),Calc!$Y$8:$Y$500,99999),Kanban_Helper!$B217),Calc!$Y$8:$Y$500,0)))),IF(LEN(INDEX(Calc!$J$8:$J$500,MATCH(SMALL(IF((Calc!$K$8:$K$500=Kanban!H$11)*(Calc!$Y$8:$Y$500&gt;0),Calc!$Y$8:$Y$500,99999),Kanban_Helper!$B217),Calc!$Y$8:$Y$500,0)))=0,"",CONCATENATE(Calc!$AD$6,INDEX(Calc!$J$8:$J$500,MATCH(SMALL(IF((Calc!$K$8:$K$500=Kanban!H$11)*(Calc!$Y$8:$Y$500&gt;0),Calc!$Y$8:$Y$500,99999),Kanban_Helper!$B217),Calc!$Y$8:$Y$500,0)))))),"")</f>
        <v/>
      </c>
      <c r="I224" s="39"/>
    </row>
    <row r="225" spans="2:9" ht="15" thickTop="1" x14ac:dyDescent="0.35">
      <c r="B225" s="81"/>
      <c r="C225" s="170" t="str">
        <f t="array" ref="C225">IFERROR(IF(LEN(C$11)=0,"",IF($C$7&lt;&gt;"All",IF(INDEX(Calc!$V$8:$V$500,MATCH(INDEX(Calc!$D$8:$D$500,MATCH(SMALL(IF((Calc!$C$8:$C$500=Kanban!$C$7)*(Calc!$K$8:$K$500=Kanban!C$11)*(Calc!$Y$8:$Y$500&gt;0),Calc!$Y$8:$Y$500,99999),Kanban_Helper!$B218),Calc!$Y$8:$Y$500,0)),Calc!$D$8:$D$500,0))="Yes",CONCATENATE(INDEX(Calc!$D$8:$D$500,MATCH(SMALL(IF((Calc!$C$8:$C$500=Kanban!$C$7)*(Calc!$K$8:$K$500=Kanban!C$11)*(Calc!$Y$8:$Y$500&gt;0),Calc!$Y$8:$Y$500,99999),Kanban_Helper!$B218),Calc!$Y$8:$Y$500,0))," ",Calc!$V$7," ","!"),INDEX(Calc!$D$8:$D$500,MATCH(SMALL(IF((Calc!$C$8:$C$500=Kanban!$C$7)*(Calc!$K$8:$K$500=Kanban!C$11)*(Calc!$Y$8:$Y$500&gt;0),Calc!$Y$8:$Y$500,99999),Kanban_Helper!$B218),Calc!$Y$8:$Y$500,0))),IF(INDEX(Calc!$V$8:$V$500,MATCH(INDEX(Calc!$D$8:$D$500,MATCH(SMALL(IF((Calc!$K$8:$K$500=Kanban!C$11)*(Calc!$Y$8:$Y$500&gt;0),Calc!$Y$8:$Y$500,99999),Kanban_Helper!$B218),Calc!$Y$8:$Y$500,0)),Calc!$D$8:$D$500,0))="Yes",CONCATENATE(INDEX(Calc!$D$8:$D$500,MATCH(SMALL(IF((Calc!$K$8:$K$500=Kanban!C$11)*(Calc!$Y$8:$Y$500&gt;0),Calc!$Y$8:$Y$500,99999),Kanban_Helper!$B218),Calc!$Y$8:$Y$500,0))," ",Calc!$V$7," ","!"),INDEX(Calc!$D$8:$D$500,MATCH(SMALL(IF((Calc!$K$8:$K$500=Kanban!C$11)*(Calc!$Y$8:$Y$500&gt;0),Calc!$Y$8:$Y$500,99999),Kanban_Helper!$B218),Calc!$Y$8:$Y$500,0))))),"")</f>
        <v/>
      </c>
      <c r="D225" s="170" t="str">
        <f t="array" ref="D225">IFERROR(IF(LEN(D$11)=0,"",IF($C$7&lt;&gt;"All",IF(INDEX(Calc!$V$8:$V$500,MATCH(INDEX(Calc!$D$8:$D$500,MATCH(SMALL(IF((Calc!$C$8:$C$500=Kanban!$C$7)*(Calc!$K$8:$K$500=Kanban!D$11)*(Calc!$Y$8:$Y$500&gt;0),Calc!$Y$8:$Y$500,99999),Kanban_Helper!$B218),Calc!$Y$8:$Y$500,0)),Calc!$D$8:$D$500,0))="Yes",CONCATENATE(INDEX(Calc!$D$8:$D$500,MATCH(SMALL(IF((Calc!$C$8:$C$500=Kanban!$C$7)*(Calc!$K$8:$K$500=Kanban!D$11)*(Calc!$Y$8:$Y$500&gt;0),Calc!$Y$8:$Y$500,99999),Kanban_Helper!$B218),Calc!$Y$8:$Y$500,0))," ",Calc!$V$7," ","!"),INDEX(Calc!$D$8:$D$500,MATCH(SMALL(IF((Calc!$C$8:$C$500=Kanban!$C$7)*(Calc!$K$8:$K$500=Kanban!D$11)*(Calc!$Y$8:$Y$500&gt;0),Calc!$Y$8:$Y$500,99999),Kanban_Helper!$B218),Calc!$Y$8:$Y$500,0))),IF(INDEX(Calc!$V$8:$V$500,MATCH(INDEX(Calc!$D$8:$D$500,MATCH(SMALL(IF((Calc!$K$8:$K$500=Kanban!D$11)*(Calc!$Y$8:$Y$500&gt;0),Calc!$Y$8:$Y$500,99999),Kanban_Helper!$B218),Calc!$Y$8:$Y$500,0)),Calc!$D$8:$D$500,0))="Yes",CONCATENATE(INDEX(Calc!$D$8:$D$500,MATCH(SMALL(IF((Calc!$K$8:$K$500=Kanban!D$11)*(Calc!$Y$8:$Y$500&gt;0),Calc!$Y$8:$Y$500,99999),Kanban_Helper!$B218),Calc!$Y$8:$Y$500,0))," ",Calc!$V$7," ","!"),INDEX(Calc!$D$8:$D$500,MATCH(SMALL(IF((Calc!$K$8:$K$500=Kanban!D$11)*(Calc!$Y$8:$Y$500&gt;0),Calc!$Y$8:$Y$500,99999),Kanban_Helper!$B218),Calc!$Y$8:$Y$500,0))))),"")</f>
        <v/>
      </c>
      <c r="E225" s="170" t="str">
        <f t="array" ref="E225">IFERROR(IF(LEN(E$11)=0,"",IF($C$7&lt;&gt;"All",IF(INDEX(Calc!$V$8:$V$500,MATCH(INDEX(Calc!$D$8:$D$500,MATCH(SMALL(IF((Calc!$C$8:$C$500=Kanban!$C$7)*(Calc!$K$8:$K$500=Kanban!E$11)*(Calc!$Y$8:$Y$500&gt;0),Calc!$Y$8:$Y$500,99999),Kanban_Helper!$B218),Calc!$Y$8:$Y$500,0)),Calc!$D$8:$D$500,0))="Yes",CONCATENATE(INDEX(Calc!$D$8:$D$500,MATCH(SMALL(IF((Calc!$C$8:$C$500=Kanban!$C$7)*(Calc!$K$8:$K$500=Kanban!E$11)*(Calc!$Y$8:$Y$500&gt;0),Calc!$Y$8:$Y$500,99999),Kanban_Helper!$B218),Calc!$Y$8:$Y$500,0))," ",Calc!$V$7," ","!"),INDEX(Calc!$D$8:$D$500,MATCH(SMALL(IF((Calc!$C$8:$C$500=Kanban!$C$7)*(Calc!$K$8:$K$500=Kanban!E$11)*(Calc!$Y$8:$Y$500&gt;0),Calc!$Y$8:$Y$500,99999),Kanban_Helper!$B218),Calc!$Y$8:$Y$500,0))),IF(INDEX(Calc!$V$8:$V$500,MATCH(INDEX(Calc!$D$8:$D$500,MATCH(SMALL(IF((Calc!$K$8:$K$500=Kanban!E$11)*(Calc!$Y$8:$Y$500&gt;0),Calc!$Y$8:$Y$500,99999),Kanban_Helper!$B218),Calc!$Y$8:$Y$500,0)),Calc!$D$8:$D$500,0))="Yes",CONCATENATE(INDEX(Calc!$D$8:$D$500,MATCH(SMALL(IF((Calc!$K$8:$K$500=Kanban!E$11)*(Calc!$Y$8:$Y$500&gt;0),Calc!$Y$8:$Y$500,99999),Kanban_Helper!$B218),Calc!$Y$8:$Y$500,0))," ",Calc!$V$7," ","!"),INDEX(Calc!$D$8:$D$500,MATCH(SMALL(IF((Calc!$K$8:$K$500=Kanban!E$11)*(Calc!$Y$8:$Y$500&gt;0),Calc!$Y$8:$Y$500,99999),Kanban_Helper!$B218),Calc!$Y$8:$Y$500,0))))),"")</f>
        <v/>
      </c>
      <c r="F225" s="170" t="str">
        <f t="array" ref="F225">IFERROR(IF(LEN(F$11)=0,"",IF($C$7&lt;&gt;"All",IF(INDEX(Calc!$V$8:$V$500,MATCH(INDEX(Calc!$D$8:$D$500,MATCH(SMALL(IF((Calc!$C$8:$C$500=Kanban!$C$7)*(Calc!$K$8:$K$500=Kanban!F$11)*(Calc!$Y$8:$Y$500&gt;0),Calc!$Y$8:$Y$500,99999),Kanban_Helper!$B218),Calc!$Y$8:$Y$500,0)),Calc!$D$8:$D$500,0))="Yes",CONCATENATE(INDEX(Calc!$D$8:$D$500,MATCH(SMALL(IF((Calc!$C$8:$C$500=Kanban!$C$7)*(Calc!$K$8:$K$500=Kanban!F$11)*(Calc!$Y$8:$Y$500&gt;0),Calc!$Y$8:$Y$500,99999),Kanban_Helper!$B218),Calc!$Y$8:$Y$500,0))," ",Calc!$V$7," ","!"),INDEX(Calc!$D$8:$D$500,MATCH(SMALL(IF((Calc!$C$8:$C$500=Kanban!$C$7)*(Calc!$K$8:$K$500=Kanban!F$11)*(Calc!$Y$8:$Y$500&gt;0),Calc!$Y$8:$Y$500,99999),Kanban_Helper!$B218),Calc!$Y$8:$Y$500,0))),IF(INDEX(Calc!$V$8:$V$500,MATCH(INDEX(Calc!$D$8:$D$500,MATCH(SMALL(IF((Calc!$K$8:$K$500=Kanban!F$11)*(Calc!$Y$8:$Y$500&gt;0),Calc!$Y$8:$Y$500,99999),Kanban_Helper!$B218),Calc!$Y$8:$Y$500,0)),Calc!$D$8:$D$500,0))="Yes",CONCATENATE(INDEX(Calc!$D$8:$D$500,MATCH(SMALL(IF((Calc!$K$8:$K$500=Kanban!F$11)*(Calc!$Y$8:$Y$500&gt;0),Calc!$Y$8:$Y$500,99999),Kanban_Helper!$B218),Calc!$Y$8:$Y$500,0))," ",Calc!$V$7," ","!"),INDEX(Calc!$D$8:$D$500,MATCH(SMALL(IF((Calc!$K$8:$K$500=Kanban!F$11)*(Calc!$Y$8:$Y$500&gt;0),Calc!$Y$8:$Y$500,99999),Kanban_Helper!$B218),Calc!$Y$8:$Y$500,0))))),"")</f>
        <v/>
      </c>
      <c r="G225" s="170" t="str">
        <f t="array" ref="G225">IFERROR(IF(LEN(G$11)=0,"",IF($C$7&lt;&gt;"All",IF(INDEX(Calc!$V$8:$V$500,MATCH(INDEX(Calc!$D$8:$D$500,MATCH(SMALL(IF((Calc!$C$8:$C$500=Kanban!$C$7)*(Calc!$K$8:$K$500=Kanban!G$11)*(Calc!$Y$8:$Y$500&gt;0),Calc!$Y$8:$Y$500,99999),Kanban_Helper!$B218),Calc!$Y$8:$Y$500,0)),Calc!$D$8:$D$500,0))="Yes",CONCATENATE(INDEX(Calc!$D$8:$D$500,MATCH(SMALL(IF((Calc!$C$8:$C$500=Kanban!$C$7)*(Calc!$K$8:$K$500=Kanban!G$11)*(Calc!$Y$8:$Y$500&gt;0),Calc!$Y$8:$Y$500,99999),Kanban_Helper!$B218),Calc!$Y$8:$Y$500,0))," ",Calc!$V$7," ","!"),INDEX(Calc!$D$8:$D$500,MATCH(SMALL(IF((Calc!$C$8:$C$500=Kanban!$C$7)*(Calc!$K$8:$K$500=Kanban!G$11)*(Calc!$Y$8:$Y$500&gt;0),Calc!$Y$8:$Y$500,99999),Kanban_Helper!$B218),Calc!$Y$8:$Y$500,0))),IF(INDEX(Calc!$V$8:$V$500,MATCH(INDEX(Calc!$D$8:$D$500,MATCH(SMALL(IF((Calc!$K$8:$K$500=Kanban!G$11)*(Calc!$Y$8:$Y$500&gt;0),Calc!$Y$8:$Y$500,99999),Kanban_Helper!$B218),Calc!$Y$8:$Y$500,0)),Calc!$D$8:$D$500,0))="Yes",CONCATENATE(INDEX(Calc!$D$8:$D$500,MATCH(SMALL(IF((Calc!$K$8:$K$500=Kanban!G$11)*(Calc!$Y$8:$Y$500&gt;0),Calc!$Y$8:$Y$500,99999),Kanban_Helper!$B218),Calc!$Y$8:$Y$500,0))," ",Calc!$V$7," ","!"),INDEX(Calc!$D$8:$D$500,MATCH(SMALL(IF((Calc!$K$8:$K$500=Kanban!G$11)*(Calc!$Y$8:$Y$500&gt;0),Calc!$Y$8:$Y$500,99999),Kanban_Helper!$B218),Calc!$Y$8:$Y$500,0))))),"")</f>
        <v/>
      </c>
      <c r="H225" s="170" t="str">
        <f t="array" ref="H225">IFERROR(IF(LEN(H$11)=0,"",IF($C$7&lt;&gt;"All",IF(INDEX(Calc!$V$8:$V$500,MATCH(INDEX(Calc!$D$8:$D$500,MATCH(SMALL(IF((Calc!$C$8:$C$500=Kanban!$C$7)*(Calc!$K$8:$K$500=Kanban!H$11)*(Calc!$Y$8:$Y$500&gt;0),Calc!$Y$8:$Y$500,99999),Kanban_Helper!$B218),Calc!$Y$8:$Y$500,0)),Calc!$D$8:$D$500,0))="Yes",CONCATENATE(INDEX(Calc!$D$8:$D$500,MATCH(SMALL(IF((Calc!$C$8:$C$500=Kanban!$C$7)*(Calc!$K$8:$K$500=Kanban!H$11)*(Calc!$Y$8:$Y$500&gt;0),Calc!$Y$8:$Y$500,99999),Kanban_Helper!$B218),Calc!$Y$8:$Y$500,0))," ",Calc!$V$7," ","!"),INDEX(Calc!$D$8:$D$500,MATCH(SMALL(IF((Calc!$C$8:$C$500=Kanban!$C$7)*(Calc!$K$8:$K$500=Kanban!H$11)*(Calc!$Y$8:$Y$500&gt;0),Calc!$Y$8:$Y$500,99999),Kanban_Helper!$B218),Calc!$Y$8:$Y$500,0))),IF(INDEX(Calc!$V$8:$V$500,MATCH(INDEX(Calc!$D$8:$D$500,MATCH(SMALL(IF((Calc!$K$8:$K$500=Kanban!H$11)*(Calc!$Y$8:$Y$500&gt;0),Calc!$Y$8:$Y$500,99999),Kanban_Helper!$B218),Calc!$Y$8:$Y$500,0)),Calc!$D$8:$D$500,0))="Yes",CONCATENATE(INDEX(Calc!$D$8:$D$500,MATCH(SMALL(IF((Calc!$K$8:$K$500=Kanban!H$11)*(Calc!$Y$8:$Y$500&gt;0),Calc!$Y$8:$Y$500,99999),Kanban_Helper!$B218),Calc!$Y$8:$Y$500,0))," ",Calc!$V$7," ","!"),INDEX(Calc!$D$8:$D$500,MATCH(SMALL(IF((Calc!$K$8:$K$500=Kanban!H$11)*(Calc!$Y$8:$Y$500&gt;0),Calc!$Y$8:$Y$500,99999),Kanban_Helper!$B218),Calc!$Y$8:$Y$500,0))))),"")</f>
        <v/>
      </c>
      <c r="I225" s="39"/>
    </row>
    <row r="226" spans="2:9" x14ac:dyDescent="0.35">
      <c r="B226" s="81"/>
      <c r="C226" s="171" t="str">
        <f t="array" ref="C226">IFERROR(IF(LEN(C$11)=0,"",IF($C$7&lt;&gt;"All",INDEX(Calc!$E$8:$E$500,MATCH(SMALL(IF((Calc!$C$8:$C$500=Kanban!$C$7)*(Calc!$K$8:$K$500=Kanban!C$11)*(Calc!$Y$8:$Y$500&gt;0),Calc!$Y$8:$Y$500,99999),Kanban_Helper!$B219),Calc!$Y$8:$Y$500,0)),INDEX(Calc!$E$8:$E$500,MATCH(SMALL(IF((Calc!$K$8:$K$500=Kanban!C$11)*(Calc!$Y$8:$Y$500&gt;0),Calc!$Y$8:$Y$500,99999),Kanban_Helper!$B219),Calc!$Y$8:$Y$500,0)))),"")</f>
        <v/>
      </c>
      <c r="D226" s="171" t="str">
        <f t="array" ref="D226">IFERROR(IF(LEN(D$11)=0,"",IF($C$7&lt;&gt;"All",INDEX(Calc!$E$8:$E$500,MATCH(SMALL(IF((Calc!$C$8:$C$500=Kanban!$C$7)*(Calc!$K$8:$K$500=Kanban!D$11)*(Calc!$Y$8:$Y$500&gt;0),Calc!$Y$8:$Y$500,99999),Kanban_Helper!$B219),Calc!$Y$8:$Y$500,0)),INDEX(Calc!$E$8:$E$500,MATCH(SMALL(IF((Calc!$K$8:$K$500=Kanban!D$11)*(Calc!$Y$8:$Y$500&gt;0),Calc!$Y$8:$Y$500,99999),Kanban_Helper!$B219),Calc!$Y$8:$Y$500,0)))),"")</f>
        <v/>
      </c>
      <c r="E226" s="171" t="str">
        <f t="array" ref="E226">IFERROR(IF(LEN(E$11)=0,"",IF($C$7&lt;&gt;"All",INDEX(Calc!$E$8:$E$500,MATCH(SMALL(IF((Calc!$C$8:$C$500=Kanban!$C$7)*(Calc!$K$8:$K$500=Kanban!E$11)*(Calc!$Y$8:$Y$500&gt;0),Calc!$Y$8:$Y$500,99999),Kanban_Helper!$B219),Calc!$Y$8:$Y$500,0)),INDEX(Calc!$E$8:$E$500,MATCH(SMALL(IF((Calc!$K$8:$K$500=Kanban!E$11)*(Calc!$Y$8:$Y$500&gt;0),Calc!$Y$8:$Y$500,99999),Kanban_Helper!$B219),Calc!$Y$8:$Y$500,0)))),"")</f>
        <v/>
      </c>
      <c r="F226" s="171" t="str">
        <f t="array" ref="F226">IFERROR(IF(LEN(F$11)=0,"",IF($C$7&lt;&gt;"All",INDEX(Calc!$E$8:$E$500,MATCH(SMALL(IF((Calc!$C$8:$C$500=Kanban!$C$7)*(Calc!$K$8:$K$500=Kanban!F$11)*(Calc!$Y$8:$Y$500&gt;0),Calc!$Y$8:$Y$500,99999),Kanban_Helper!$B219),Calc!$Y$8:$Y$500,0)),INDEX(Calc!$E$8:$E$500,MATCH(SMALL(IF((Calc!$K$8:$K$500=Kanban!F$11)*(Calc!$Y$8:$Y$500&gt;0),Calc!$Y$8:$Y$500,99999),Kanban_Helper!$B219),Calc!$Y$8:$Y$500,0)))),"")</f>
        <v/>
      </c>
      <c r="G226" s="171" t="str">
        <f t="array" ref="G226">IFERROR(IF(LEN(G$11)=0,"",IF($C$7&lt;&gt;"All",INDEX(Calc!$E$8:$E$500,MATCH(SMALL(IF((Calc!$C$8:$C$500=Kanban!$C$7)*(Calc!$K$8:$K$500=Kanban!G$11)*(Calc!$Y$8:$Y$500&gt;0),Calc!$Y$8:$Y$500,99999),Kanban_Helper!$B219),Calc!$Y$8:$Y$500,0)),INDEX(Calc!$E$8:$E$500,MATCH(SMALL(IF((Calc!$K$8:$K$500=Kanban!G$11)*(Calc!$Y$8:$Y$500&gt;0),Calc!$Y$8:$Y$500,99999),Kanban_Helper!$B219),Calc!$Y$8:$Y$500,0)))),"")</f>
        <v/>
      </c>
      <c r="H226" s="171" t="str">
        <f t="array" ref="H226">IFERROR(IF(LEN(H$11)=0,"",IF($C$7&lt;&gt;"All",INDEX(Calc!$E$8:$E$500,MATCH(SMALL(IF((Calc!$C$8:$C$500=Kanban!$C$7)*(Calc!$K$8:$K$500=Kanban!H$11)*(Calc!$Y$8:$Y$500&gt;0),Calc!$Y$8:$Y$500,99999),Kanban_Helper!$B219),Calc!$Y$8:$Y$500,0)),INDEX(Calc!$E$8:$E$500,MATCH(SMALL(IF((Calc!$K$8:$K$500=Kanban!H$11)*(Calc!$Y$8:$Y$500&gt;0),Calc!$Y$8:$Y$500,99999),Kanban_Helper!$B219),Calc!$Y$8:$Y$500,0)))),"")</f>
        <v/>
      </c>
      <c r="I226" s="39"/>
    </row>
    <row r="227" spans="2:9" ht="15" thickBot="1" x14ac:dyDescent="0.4">
      <c r="B227" s="81"/>
      <c r="C227" s="172" t="str">
        <f t="array" ref="C227">IFERROR(IF(LEN(C$11)=0,"",IF($C$7&lt;&gt;"All",IF(LEN(INDEX(Calc!$J$8:$J$500,MATCH(SMALL(IF((Calc!$C$8:$C$500=Kanban!$C$7)*(Calc!$K$8:$K$500=Kanban!C$11)*(Calc!$Y$8:$Y$500&gt;0),Calc!$Y$8:$Y$500,99999),Kanban_Helper!$B220),Calc!$Y$8:$Y$500,0)))=0,"",CONCATENATE(Calc!$AD$6,INDEX(Calc!$J$8:$J$500,MATCH(SMALL(IF((Calc!$C$8:$C$500=Kanban!$C$7)*(Calc!$K$8:$K$500=Kanban!C$11)*(Calc!$Y$8:$Y$500&gt;0),Calc!$Y$8:$Y$500,99999),Kanban_Helper!$B220),Calc!$Y$8:$Y$500,0)))),IF(LEN(INDEX(Calc!$J$8:$J$500,MATCH(SMALL(IF((Calc!$K$8:$K$500=Kanban!C$11)*(Calc!$Y$8:$Y$500&gt;0),Calc!$Y$8:$Y$500,99999),Kanban_Helper!$B220),Calc!$Y$8:$Y$500,0)))=0,"",CONCATENATE(Calc!$AD$6,INDEX(Calc!$J$8:$J$500,MATCH(SMALL(IF((Calc!$K$8:$K$500=Kanban!C$11)*(Calc!$Y$8:$Y$500&gt;0),Calc!$Y$8:$Y$500,99999),Kanban_Helper!$B220),Calc!$Y$8:$Y$500,0)))))),"")</f>
        <v/>
      </c>
      <c r="D227" s="172" t="str">
        <f t="array" ref="D227">IFERROR(IF(LEN(D$11)=0,"",IF($C$7&lt;&gt;"All",IF(LEN(INDEX(Calc!$J$8:$J$500,MATCH(SMALL(IF((Calc!$C$8:$C$500=Kanban!$C$7)*(Calc!$K$8:$K$500=Kanban!D$11)*(Calc!$Y$8:$Y$500&gt;0),Calc!$Y$8:$Y$500,99999),Kanban_Helper!$B220),Calc!$Y$8:$Y$500,0)))=0,"",CONCATENATE(Calc!$AD$6,INDEX(Calc!$J$8:$J$500,MATCH(SMALL(IF((Calc!$C$8:$C$500=Kanban!$C$7)*(Calc!$K$8:$K$500=Kanban!D$11)*(Calc!$Y$8:$Y$500&gt;0),Calc!$Y$8:$Y$500,99999),Kanban_Helper!$B220),Calc!$Y$8:$Y$500,0)))),IF(LEN(INDEX(Calc!$J$8:$J$500,MATCH(SMALL(IF((Calc!$K$8:$K$500=Kanban!D$11)*(Calc!$Y$8:$Y$500&gt;0),Calc!$Y$8:$Y$500,99999),Kanban_Helper!$B220),Calc!$Y$8:$Y$500,0)))=0,"",CONCATENATE(Calc!$AD$6,INDEX(Calc!$J$8:$J$500,MATCH(SMALL(IF((Calc!$K$8:$K$500=Kanban!D$11)*(Calc!$Y$8:$Y$500&gt;0),Calc!$Y$8:$Y$500,99999),Kanban_Helper!$B220),Calc!$Y$8:$Y$500,0)))))),"")</f>
        <v/>
      </c>
      <c r="E227" s="172" t="str">
        <f t="array" ref="E227">IFERROR(IF(LEN(E$11)=0,"",IF($C$7&lt;&gt;"All",IF(LEN(INDEX(Calc!$J$8:$J$500,MATCH(SMALL(IF((Calc!$C$8:$C$500=Kanban!$C$7)*(Calc!$K$8:$K$500=Kanban!E$11)*(Calc!$Y$8:$Y$500&gt;0),Calc!$Y$8:$Y$500,99999),Kanban_Helper!$B220),Calc!$Y$8:$Y$500,0)))=0,"",CONCATENATE(Calc!$AD$6,INDEX(Calc!$J$8:$J$500,MATCH(SMALL(IF((Calc!$C$8:$C$500=Kanban!$C$7)*(Calc!$K$8:$K$500=Kanban!E$11)*(Calc!$Y$8:$Y$500&gt;0),Calc!$Y$8:$Y$500,99999),Kanban_Helper!$B220),Calc!$Y$8:$Y$500,0)))),IF(LEN(INDEX(Calc!$J$8:$J$500,MATCH(SMALL(IF((Calc!$K$8:$K$500=Kanban!E$11)*(Calc!$Y$8:$Y$500&gt;0),Calc!$Y$8:$Y$500,99999),Kanban_Helper!$B220),Calc!$Y$8:$Y$500,0)))=0,"",CONCATENATE(Calc!$AD$6,INDEX(Calc!$J$8:$J$500,MATCH(SMALL(IF((Calc!$K$8:$K$500=Kanban!E$11)*(Calc!$Y$8:$Y$500&gt;0),Calc!$Y$8:$Y$500,99999),Kanban_Helper!$B220),Calc!$Y$8:$Y$500,0)))))),"")</f>
        <v/>
      </c>
      <c r="F227" s="172" t="str">
        <f t="array" ref="F227">IFERROR(IF(LEN(F$11)=0,"",IF($C$7&lt;&gt;"All",IF(LEN(INDEX(Calc!$J$8:$J$500,MATCH(SMALL(IF((Calc!$C$8:$C$500=Kanban!$C$7)*(Calc!$K$8:$K$500=Kanban!F$11)*(Calc!$Y$8:$Y$500&gt;0),Calc!$Y$8:$Y$500,99999),Kanban_Helper!$B220),Calc!$Y$8:$Y$500,0)))=0,"",CONCATENATE(Calc!$AD$6,INDEX(Calc!$J$8:$J$500,MATCH(SMALL(IF((Calc!$C$8:$C$500=Kanban!$C$7)*(Calc!$K$8:$K$500=Kanban!F$11)*(Calc!$Y$8:$Y$500&gt;0),Calc!$Y$8:$Y$500,99999),Kanban_Helper!$B220),Calc!$Y$8:$Y$500,0)))),IF(LEN(INDEX(Calc!$J$8:$J$500,MATCH(SMALL(IF((Calc!$K$8:$K$500=Kanban!F$11)*(Calc!$Y$8:$Y$500&gt;0),Calc!$Y$8:$Y$500,99999),Kanban_Helper!$B220),Calc!$Y$8:$Y$500,0)))=0,"",CONCATENATE(Calc!$AD$6,INDEX(Calc!$J$8:$J$500,MATCH(SMALL(IF((Calc!$K$8:$K$500=Kanban!F$11)*(Calc!$Y$8:$Y$500&gt;0),Calc!$Y$8:$Y$500,99999),Kanban_Helper!$B220),Calc!$Y$8:$Y$500,0)))))),"")</f>
        <v/>
      </c>
      <c r="G227" s="172" t="str">
        <f t="array" ref="G227">IFERROR(IF(LEN(G$11)=0,"",IF($C$7&lt;&gt;"All",IF(LEN(INDEX(Calc!$J$8:$J$500,MATCH(SMALL(IF((Calc!$C$8:$C$500=Kanban!$C$7)*(Calc!$K$8:$K$500=Kanban!G$11)*(Calc!$Y$8:$Y$500&gt;0),Calc!$Y$8:$Y$500,99999),Kanban_Helper!$B220),Calc!$Y$8:$Y$500,0)))=0,"",CONCATENATE(Calc!$AD$6,INDEX(Calc!$J$8:$J$500,MATCH(SMALL(IF((Calc!$C$8:$C$500=Kanban!$C$7)*(Calc!$K$8:$K$500=Kanban!G$11)*(Calc!$Y$8:$Y$500&gt;0),Calc!$Y$8:$Y$500,99999),Kanban_Helper!$B220),Calc!$Y$8:$Y$500,0)))),IF(LEN(INDEX(Calc!$J$8:$J$500,MATCH(SMALL(IF((Calc!$K$8:$K$500=Kanban!G$11)*(Calc!$Y$8:$Y$500&gt;0),Calc!$Y$8:$Y$500,99999),Kanban_Helper!$B220),Calc!$Y$8:$Y$500,0)))=0,"",CONCATENATE(Calc!$AD$6,INDEX(Calc!$J$8:$J$500,MATCH(SMALL(IF((Calc!$K$8:$K$500=Kanban!G$11)*(Calc!$Y$8:$Y$500&gt;0),Calc!$Y$8:$Y$500,99999),Kanban_Helper!$B220),Calc!$Y$8:$Y$500,0)))))),"")</f>
        <v/>
      </c>
      <c r="H227" s="172" t="str">
        <f t="array" ref="H227">IFERROR(IF(LEN(H$11)=0,"",IF($C$7&lt;&gt;"All",IF(LEN(INDEX(Calc!$J$8:$J$500,MATCH(SMALL(IF((Calc!$C$8:$C$500=Kanban!$C$7)*(Calc!$K$8:$K$500=Kanban!H$11)*(Calc!$Y$8:$Y$500&gt;0),Calc!$Y$8:$Y$500,99999),Kanban_Helper!$B220),Calc!$Y$8:$Y$500,0)))=0,"",CONCATENATE(Calc!$AD$6,INDEX(Calc!$J$8:$J$500,MATCH(SMALL(IF((Calc!$C$8:$C$500=Kanban!$C$7)*(Calc!$K$8:$K$500=Kanban!H$11)*(Calc!$Y$8:$Y$500&gt;0),Calc!$Y$8:$Y$500,99999),Kanban_Helper!$B220),Calc!$Y$8:$Y$500,0)))),IF(LEN(INDEX(Calc!$J$8:$J$500,MATCH(SMALL(IF((Calc!$K$8:$K$500=Kanban!H$11)*(Calc!$Y$8:$Y$500&gt;0),Calc!$Y$8:$Y$500,99999),Kanban_Helper!$B220),Calc!$Y$8:$Y$500,0)))=0,"",CONCATENATE(Calc!$AD$6,INDEX(Calc!$J$8:$J$500,MATCH(SMALL(IF((Calc!$K$8:$K$500=Kanban!H$11)*(Calc!$Y$8:$Y$500&gt;0),Calc!$Y$8:$Y$500,99999),Kanban_Helper!$B220),Calc!$Y$8:$Y$500,0)))))),"")</f>
        <v/>
      </c>
      <c r="I227" s="39"/>
    </row>
    <row r="228" spans="2:9" ht="15" thickTop="1" x14ac:dyDescent="0.35">
      <c r="B228" s="81"/>
      <c r="C228" s="170" t="str">
        <f t="array" ref="C228">IFERROR(IF(LEN(C$11)=0,"",IF($C$7&lt;&gt;"All",IF(INDEX(Calc!$V$8:$V$500,MATCH(INDEX(Calc!$D$8:$D$500,MATCH(SMALL(IF((Calc!$C$8:$C$500=Kanban!$C$7)*(Calc!$K$8:$K$500=Kanban!C$11)*(Calc!$Y$8:$Y$500&gt;0),Calc!$Y$8:$Y$500,99999),Kanban_Helper!$B221),Calc!$Y$8:$Y$500,0)),Calc!$D$8:$D$500,0))="Yes",CONCATENATE(INDEX(Calc!$D$8:$D$500,MATCH(SMALL(IF((Calc!$C$8:$C$500=Kanban!$C$7)*(Calc!$K$8:$K$500=Kanban!C$11)*(Calc!$Y$8:$Y$500&gt;0),Calc!$Y$8:$Y$500,99999),Kanban_Helper!$B221),Calc!$Y$8:$Y$500,0))," ",Calc!$V$7," ","!"),INDEX(Calc!$D$8:$D$500,MATCH(SMALL(IF((Calc!$C$8:$C$500=Kanban!$C$7)*(Calc!$K$8:$K$500=Kanban!C$11)*(Calc!$Y$8:$Y$500&gt;0),Calc!$Y$8:$Y$500,99999),Kanban_Helper!$B221),Calc!$Y$8:$Y$500,0))),IF(INDEX(Calc!$V$8:$V$500,MATCH(INDEX(Calc!$D$8:$D$500,MATCH(SMALL(IF((Calc!$K$8:$K$500=Kanban!C$11)*(Calc!$Y$8:$Y$500&gt;0),Calc!$Y$8:$Y$500,99999),Kanban_Helper!$B221),Calc!$Y$8:$Y$500,0)),Calc!$D$8:$D$500,0))="Yes",CONCATENATE(INDEX(Calc!$D$8:$D$500,MATCH(SMALL(IF((Calc!$K$8:$K$500=Kanban!C$11)*(Calc!$Y$8:$Y$500&gt;0),Calc!$Y$8:$Y$500,99999),Kanban_Helper!$B221),Calc!$Y$8:$Y$500,0))," ",Calc!$V$7," ","!"),INDEX(Calc!$D$8:$D$500,MATCH(SMALL(IF((Calc!$K$8:$K$500=Kanban!C$11)*(Calc!$Y$8:$Y$500&gt;0),Calc!$Y$8:$Y$500,99999),Kanban_Helper!$B221),Calc!$Y$8:$Y$500,0))))),"")</f>
        <v/>
      </c>
      <c r="D228" s="170" t="str">
        <f t="array" ref="D228">IFERROR(IF(LEN(D$11)=0,"",IF($C$7&lt;&gt;"All",IF(INDEX(Calc!$V$8:$V$500,MATCH(INDEX(Calc!$D$8:$D$500,MATCH(SMALL(IF((Calc!$C$8:$C$500=Kanban!$C$7)*(Calc!$K$8:$K$500=Kanban!D$11)*(Calc!$Y$8:$Y$500&gt;0),Calc!$Y$8:$Y$500,99999),Kanban_Helper!$B221),Calc!$Y$8:$Y$500,0)),Calc!$D$8:$D$500,0))="Yes",CONCATENATE(INDEX(Calc!$D$8:$D$500,MATCH(SMALL(IF((Calc!$C$8:$C$500=Kanban!$C$7)*(Calc!$K$8:$K$500=Kanban!D$11)*(Calc!$Y$8:$Y$500&gt;0),Calc!$Y$8:$Y$500,99999),Kanban_Helper!$B221),Calc!$Y$8:$Y$500,0))," ",Calc!$V$7," ","!"),INDEX(Calc!$D$8:$D$500,MATCH(SMALL(IF((Calc!$C$8:$C$500=Kanban!$C$7)*(Calc!$K$8:$K$500=Kanban!D$11)*(Calc!$Y$8:$Y$500&gt;0),Calc!$Y$8:$Y$500,99999),Kanban_Helper!$B221),Calc!$Y$8:$Y$500,0))),IF(INDEX(Calc!$V$8:$V$500,MATCH(INDEX(Calc!$D$8:$D$500,MATCH(SMALL(IF((Calc!$K$8:$K$500=Kanban!D$11)*(Calc!$Y$8:$Y$500&gt;0),Calc!$Y$8:$Y$500,99999),Kanban_Helper!$B221),Calc!$Y$8:$Y$500,0)),Calc!$D$8:$D$500,0))="Yes",CONCATENATE(INDEX(Calc!$D$8:$D$500,MATCH(SMALL(IF((Calc!$K$8:$K$500=Kanban!D$11)*(Calc!$Y$8:$Y$500&gt;0),Calc!$Y$8:$Y$500,99999),Kanban_Helper!$B221),Calc!$Y$8:$Y$500,0))," ",Calc!$V$7," ","!"),INDEX(Calc!$D$8:$D$500,MATCH(SMALL(IF((Calc!$K$8:$K$500=Kanban!D$11)*(Calc!$Y$8:$Y$500&gt;0),Calc!$Y$8:$Y$500,99999),Kanban_Helper!$B221),Calc!$Y$8:$Y$500,0))))),"")</f>
        <v/>
      </c>
      <c r="E228" s="170" t="str">
        <f t="array" ref="E228">IFERROR(IF(LEN(E$11)=0,"",IF($C$7&lt;&gt;"All",IF(INDEX(Calc!$V$8:$V$500,MATCH(INDEX(Calc!$D$8:$D$500,MATCH(SMALL(IF((Calc!$C$8:$C$500=Kanban!$C$7)*(Calc!$K$8:$K$500=Kanban!E$11)*(Calc!$Y$8:$Y$500&gt;0),Calc!$Y$8:$Y$500,99999),Kanban_Helper!$B221),Calc!$Y$8:$Y$500,0)),Calc!$D$8:$D$500,0))="Yes",CONCATENATE(INDEX(Calc!$D$8:$D$500,MATCH(SMALL(IF((Calc!$C$8:$C$500=Kanban!$C$7)*(Calc!$K$8:$K$500=Kanban!E$11)*(Calc!$Y$8:$Y$500&gt;0),Calc!$Y$8:$Y$500,99999),Kanban_Helper!$B221),Calc!$Y$8:$Y$500,0))," ",Calc!$V$7," ","!"),INDEX(Calc!$D$8:$D$500,MATCH(SMALL(IF((Calc!$C$8:$C$500=Kanban!$C$7)*(Calc!$K$8:$K$500=Kanban!E$11)*(Calc!$Y$8:$Y$500&gt;0),Calc!$Y$8:$Y$500,99999),Kanban_Helper!$B221),Calc!$Y$8:$Y$500,0))),IF(INDEX(Calc!$V$8:$V$500,MATCH(INDEX(Calc!$D$8:$D$500,MATCH(SMALL(IF((Calc!$K$8:$K$500=Kanban!E$11)*(Calc!$Y$8:$Y$500&gt;0),Calc!$Y$8:$Y$500,99999),Kanban_Helper!$B221),Calc!$Y$8:$Y$500,0)),Calc!$D$8:$D$500,0))="Yes",CONCATENATE(INDEX(Calc!$D$8:$D$500,MATCH(SMALL(IF((Calc!$K$8:$K$500=Kanban!E$11)*(Calc!$Y$8:$Y$500&gt;0),Calc!$Y$8:$Y$500,99999),Kanban_Helper!$B221),Calc!$Y$8:$Y$500,0))," ",Calc!$V$7," ","!"),INDEX(Calc!$D$8:$D$500,MATCH(SMALL(IF((Calc!$K$8:$K$500=Kanban!E$11)*(Calc!$Y$8:$Y$500&gt;0),Calc!$Y$8:$Y$500,99999),Kanban_Helper!$B221),Calc!$Y$8:$Y$500,0))))),"")</f>
        <v/>
      </c>
      <c r="F228" s="170" t="str">
        <f t="array" ref="F228">IFERROR(IF(LEN(F$11)=0,"",IF($C$7&lt;&gt;"All",IF(INDEX(Calc!$V$8:$V$500,MATCH(INDEX(Calc!$D$8:$D$500,MATCH(SMALL(IF((Calc!$C$8:$C$500=Kanban!$C$7)*(Calc!$K$8:$K$500=Kanban!F$11)*(Calc!$Y$8:$Y$500&gt;0),Calc!$Y$8:$Y$500,99999),Kanban_Helper!$B221),Calc!$Y$8:$Y$500,0)),Calc!$D$8:$D$500,0))="Yes",CONCATENATE(INDEX(Calc!$D$8:$D$500,MATCH(SMALL(IF((Calc!$C$8:$C$500=Kanban!$C$7)*(Calc!$K$8:$K$500=Kanban!F$11)*(Calc!$Y$8:$Y$500&gt;0),Calc!$Y$8:$Y$500,99999),Kanban_Helper!$B221),Calc!$Y$8:$Y$500,0))," ",Calc!$V$7," ","!"),INDEX(Calc!$D$8:$D$500,MATCH(SMALL(IF((Calc!$C$8:$C$500=Kanban!$C$7)*(Calc!$K$8:$K$500=Kanban!F$11)*(Calc!$Y$8:$Y$500&gt;0),Calc!$Y$8:$Y$500,99999),Kanban_Helper!$B221),Calc!$Y$8:$Y$500,0))),IF(INDEX(Calc!$V$8:$V$500,MATCH(INDEX(Calc!$D$8:$D$500,MATCH(SMALL(IF((Calc!$K$8:$K$500=Kanban!F$11)*(Calc!$Y$8:$Y$500&gt;0),Calc!$Y$8:$Y$500,99999),Kanban_Helper!$B221),Calc!$Y$8:$Y$500,0)),Calc!$D$8:$D$500,0))="Yes",CONCATENATE(INDEX(Calc!$D$8:$D$500,MATCH(SMALL(IF((Calc!$K$8:$K$500=Kanban!F$11)*(Calc!$Y$8:$Y$500&gt;0),Calc!$Y$8:$Y$500,99999),Kanban_Helper!$B221),Calc!$Y$8:$Y$500,0))," ",Calc!$V$7," ","!"),INDEX(Calc!$D$8:$D$500,MATCH(SMALL(IF((Calc!$K$8:$K$500=Kanban!F$11)*(Calc!$Y$8:$Y$500&gt;0),Calc!$Y$8:$Y$500,99999),Kanban_Helper!$B221),Calc!$Y$8:$Y$500,0))))),"")</f>
        <v/>
      </c>
      <c r="G228" s="170" t="str">
        <f t="array" ref="G228">IFERROR(IF(LEN(G$11)=0,"",IF($C$7&lt;&gt;"All",IF(INDEX(Calc!$V$8:$V$500,MATCH(INDEX(Calc!$D$8:$D$500,MATCH(SMALL(IF((Calc!$C$8:$C$500=Kanban!$C$7)*(Calc!$K$8:$K$500=Kanban!G$11)*(Calc!$Y$8:$Y$500&gt;0),Calc!$Y$8:$Y$500,99999),Kanban_Helper!$B221),Calc!$Y$8:$Y$500,0)),Calc!$D$8:$D$500,0))="Yes",CONCATENATE(INDEX(Calc!$D$8:$D$500,MATCH(SMALL(IF((Calc!$C$8:$C$500=Kanban!$C$7)*(Calc!$K$8:$K$500=Kanban!G$11)*(Calc!$Y$8:$Y$500&gt;0),Calc!$Y$8:$Y$500,99999),Kanban_Helper!$B221),Calc!$Y$8:$Y$500,0))," ",Calc!$V$7," ","!"),INDEX(Calc!$D$8:$D$500,MATCH(SMALL(IF((Calc!$C$8:$C$500=Kanban!$C$7)*(Calc!$K$8:$K$500=Kanban!G$11)*(Calc!$Y$8:$Y$500&gt;0),Calc!$Y$8:$Y$500,99999),Kanban_Helper!$B221),Calc!$Y$8:$Y$500,0))),IF(INDEX(Calc!$V$8:$V$500,MATCH(INDEX(Calc!$D$8:$D$500,MATCH(SMALL(IF((Calc!$K$8:$K$500=Kanban!G$11)*(Calc!$Y$8:$Y$500&gt;0),Calc!$Y$8:$Y$500,99999),Kanban_Helper!$B221),Calc!$Y$8:$Y$500,0)),Calc!$D$8:$D$500,0))="Yes",CONCATENATE(INDEX(Calc!$D$8:$D$500,MATCH(SMALL(IF((Calc!$K$8:$K$500=Kanban!G$11)*(Calc!$Y$8:$Y$500&gt;0),Calc!$Y$8:$Y$500,99999),Kanban_Helper!$B221),Calc!$Y$8:$Y$500,0))," ",Calc!$V$7," ","!"),INDEX(Calc!$D$8:$D$500,MATCH(SMALL(IF((Calc!$K$8:$K$500=Kanban!G$11)*(Calc!$Y$8:$Y$500&gt;0),Calc!$Y$8:$Y$500,99999),Kanban_Helper!$B221),Calc!$Y$8:$Y$500,0))))),"")</f>
        <v/>
      </c>
      <c r="H228" s="170" t="str">
        <f t="array" ref="H228">IFERROR(IF(LEN(H$11)=0,"",IF($C$7&lt;&gt;"All",IF(INDEX(Calc!$V$8:$V$500,MATCH(INDEX(Calc!$D$8:$D$500,MATCH(SMALL(IF((Calc!$C$8:$C$500=Kanban!$C$7)*(Calc!$K$8:$K$500=Kanban!H$11)*(Calc!$Y$8:$Y$500&gt;0),Calc!$Y$8:$Y$500,99999),Kanban_Helper!$B221),Calc!$Y$8:$Y$500,0)),Calc!$D$8:$D$500,0))="Yes",CONCATENATE(INDEX(Calc!$D$8:$D$500,MATCH(SMALL(IF((Calc!$C$8:$C$500=Kanban!$C$7)*(Calc!$K$8:$K$500=Kanban!H$11)*(Calc!$Y$8:$Y$500&gt;0),Calc!$Y$8:$Y$500,99999),Kanban_Helper!$B221),Calc!$Y$8:$Y$500,0))," ",Calc!$V$7," ","!"),INDEX(Calc!$D$8:$D$500,MATCH(SMALL(IF((Calc!$C$8:$C$500=Kanban!$C$7)*(Calc!$K$8:$K$500=Kanban!H$11)*(Calc!$Y$8:$Y$500&gt;0),Calc!$Y$8:$Y$500,99999),Kanban_Helper!$B221),Calc!$Y$8:$Y$500,0))),IF(INDEX(Calc!$V$8:$V$500,MATCH(INDEX(Calc!$D$8:$D$500,MATCH(SMALL(IF((Calc!$K$8:$K$500=Kanban!H$11)*(Calc!$Y$8:$Y$500&gt;0),Calc!$Y$8:$Y$500,99999),Kanban_Helper!$B221),Calc!$Y$8:$Y$500,0)),Calc!$D$8:$D$500,0))="Yes",CONCATENATE(INDEX(Calc!$D$8:$D$500,MATCH(SMALL(IF((Calc!$K$8:$K$500=Kanban!H$11)*(Calc!$Y$8:$Y$500&gt;0),Calc!$Y$8:$Y$500,99999),Kanban_Helper!$B221),Calc!$Y$8:$Y$500,0))," ",Calc!$V$7," ","!"),INDEX(Calc!$D$8:$D$500,MATCH(SMALL(IF((Calc!$K$8:$K$500=Kanban!H$11)*(Calc!$Y$8:$Y$500&gt;0),Calc!$Y$8:$Y$500,99999),Kanban_Helper!$B221),Calc!$Y$8:$Y$500,0))))),"")</f>
        <v/>
      </c>
      <c r="I228" s="39"/>
    </row>
    <row r="229" spans="2:9" x14ac:dyDescent="0.35">
      <c r="B229" s="81"/>
      <c r="C229" s="171" t="str">
        <f t="array" ref="C229">IFERROR(IF(LEN(C$11)=0,"",IF($C$7&lt;&gt;"All",INDEX(Calc!$E$8:$E$500,MATCH(SMALL(IF((Calc!$C$8:$C$500=Kanban!$C$7)*(Calc!$K$8:$K$500=Kanban!C$11)*(Calc!$Y$8:$Y$500&gt;0),Calc!$Y$8:$Y$500,99999),Kanban_Helper!$B222),Calc!$Y$8:$Y$500,0)),INDEX(Calc!$E$8:$E$500,MATCH(SMALL(IF((Calc!$K$8:$K$500=Kanban!C$11)*(Calc!$Y$8:$Y$500&gt;0),Calc!$Y$8:$Y$500,99999),Kanban_Helper!$B222),Calc!$Y$8:$Y$500,0)))),"")</f>
        <v/>
      </c>
      <c r="D229" s="171" t="str">
        <f t="array" ref="D229">IFERROR(IF(LEN(D$11)=0,"",IF($C$7&lt;&gt;"All",INDEX(Calc!$E$8:$E$500,MATCH(SMALL(IF((Calc!$C$8:$C$500=Kanban!$C$7)*(Calc!$K$8:$K$500=Kanban!D$11)*(Calc!$Y$8:$Y$500&gt;0),Calc!$Y$8:$Y$500,99999),Kanban_Helper!$B222),Calc!$Y$8:$Y$500,0)),INDEX(Calc!$E$8:$E$500,MATCH(SMALL(IF((Calc!$K$8:$K$500=Kanban!D$11)*(Calc!$Y$8:$Y$500&gt;0),Calc!$Y$8:$Y$500,99999),Kanban_Helper!$B222),Calc!$Y$8:$Y$500,0)))),"")</f>
        <v/>
      </c>
      <c r="E229" s="171" t="str">
        <f t="array" ref="E229">IFERROR(IF(LEN(E$11)=0,"",IF($C$7&lt;&gt;"All",INDEX(Calc!$E$8:$E$500,MATCH(SMALL(IF((Calc!$C$8:$C$500=Kanban!$C$7)*(Calc!$K$8:$K$500=Kanban!E$11)*(Calc!$Y$8:$Y$500&gt;0),Calc!$Y$8:$Y$500,99999),Kanban_Helper!$B222),Calc!$Y$8:$Y$500,0)),INDEX(Calc!$E$8:$E$500,MATCH(SMALL(IF((Calc!$K$8:$K$500=Kanban!E$11)*(Calc!$Y$8:$Y$500&gt;0),Calc!$Y$8:$Y$500,99999),Kanban_Helper!$B222),Calc!$Y$8:$Y$500,0)))),"")</f>
        <v/>
      </c>
      <c r="F229" s="171" t="str">
        <f t="array" ref="F229">IFERROR(IF(LEN(F$11)=0,"",IF($C$7&lt;&gt;"All",INDEX(Calc!$E$8:$E$500,MATCH(SMALL(IF((Calc!$C$8:$C$500=Kanban!$C$7)*(Calc!$K$8:$K$500=Kanban!F$11)*(Calc!$Y$8:$Y$500&gt;0),Calc!$Y$8:$Y$500,99999),Kanban_Helper!$B222),Calc!$Y$8:$Y$500,0)),INDEX(Calc!$E$8:$E$500,MATCH(SMALL(IF((Calc!$K$8:$K$500=Kanban!F$11)*(Calc!$Y$8:$Y$500&gt;0),Calc!$Y$8:$Y$500,99999),Kanban_Helper!$B222),Calc!$Y$8:$Y$500,0)))),"")</f>
        <v/>
      </c>
      <c r="G229" s="171" t="str">
        <f t="array" ref="G229">IFERROR(IF(LEN(G$11)=0,"",IF($C$7&lt;&gt;"All",INDEX(Calc!$E$8:$E$500,MATCH(SMALL(IF((Calc!$C$8:$C$500=Kanban!$C$7)*(Calc!$K$8:$K$500=Kanban!G$11)*(Calc!$Y$8:$Y$500&gt;0),Calc!$Y$8:$Y$500,99999),Kanban_Helper!$B222),Calc!$Y$8:$Y$500,0)),INDEX(Calc!$E$8:$E$500,MATCH(SMALL(IF((Calc!$K$8:$K$500=Kanban!G$11)*(Calc!$Y$8:$Y$500&gt;0),Calc!$Y$8:$Y$500,99999),Kanban_Helper!$B222),Calc!$Y$8:$Y$500,0)))),"")</f>
        <v/>
      </c>
      <c r="H229" s="171" t="str">
        <f t="array" ref="H229">IFERROR(IF(LEN(H$11)=0,"",IF($C$7&lt;&gt;"All",INDEX(Calc!$E$8:$E$500,MATCH(SMALL(IF((Calc!$C$8:$C$500=Kanban!$C$7)*(Calc!$K$8:$K$500=Kanban!H$11)*(Calc!$Y$8:$Y$500&gt;0),Calc!$Y$8:$Y$500,99999),Kanban_Helper!$B222),Calc!$Y$8:$Y$500,0)),INDEX(Calc!$E$8:$E$500,MATCH(SMALL(IF((Calc!$K$8:$K$500=Kanban!H$11)*(Calc!$Y$8:$Y$500&gt;0),Calc!$Y$8:$Y$500,99999),Kanban_Helper!$B222),Calc!$Y$8:$Y$500,0)))),"")</f>
        <v/>
      </c>
      <c r="I229" s="39"/>
    </row>
    <row r="230" spans="2:9" ht="15" thickBot="1" x14ac:dyDescent="0.4">
      <c r="B230" s="81"/>
      <c r="C230" s="172" t="str">
        <f t="array" ref="C230">IFERROR(IF(LEN(C$11)=0,"",IF($C$7&lt;&gt;"All",IF(LEN(INDEX(Calc!$J$8:$J$500,MATCH(SMALL(IF((Calc!$C$8:$C$500=Kanban!$C$7)*(Calc!$K$8:$K$500=Kanban!C$11)*(Calc!$Y$8:$Y$500&gt;0),Calc!$Y$8:$Y$500,99999),Kanban_Helper!$B223),Calc!$Y$8:$Y$500,0)))=0,"",CONCATENATE(Calc!$AD$6,INDEX(Calc!$J$8:$J$500,MATCH(SMALL(IF((Calc!$C$8:$C$500=Kanban!$C$7)*(Calc!$K$8:$K$500=Kanban!C$11)*(Calc!$Y$8:$Y$500&gt;0),Calc!$Y$8:$Y$500,99999),Kanban_Helper!$B223),Calc!$Y$8:$Y$500,0)))),IF(LEN(INDEX(Calc!$J$8:$J$500,MATCH(SMALL(IF((Calc!$K$8:$K$500=Kanban!C$11)*(Calc!$Y$8:$Y$500&gt;0),Calc!$Y$8:$Y$500,99999),Kanban_Helper!$B223),Calc!$Y$8:$Y$500,0)))=0,"",CONCATENATE(Calc!$AD$6,INDEX(Calc!$J$8:$J$500,MATCH(SMALL(IF((Calc!$K$8:$K$500=Kanban!C$11)*(Calc!$Y$8:$Y$500&gt;0),Calc!$Y$8:$Y$500,99999),Kanban_Helper!$B223),Calc!$Y$8:$Y$500,0)))))),"")</f>
        <v/>
      </c>
      <c r="D230" s="172" t="str">
        <f t="array" ref="D230">IFERROR(IF(LEN(D$11)=0,"",IF($C$7&lt;&gt;"All",IF(LEN(INDEX(Calc!$J$8:$J$500,MATCH(SMALL(IF((Calc!$C$8:$C$500=Kanban!$C$7)*(Calc!$K$8:$K$500=Kanban!D$11)*(Calc!$Y$8:$Y$500&gt;0),Calc!$Y$8:$Y$500,99999),Kanban_Helper!$B223),Calc!$Y$8:$Y$500,0)))=0,"",CONCATENATE(Calc!$AD$6,INDEX(Calc!$J$8:$J$500,MATCH(SMALL(IF((Calc!$C$8:$C$500=Kanban!$C$7)*(Calc!$K$8:$K$500=Kanban!D$11)*(Calc!$Y$8:$Y$500&gt;0),Calc!$Y$8:$Y$500,99999),Kanban_Helper!$B223),Calc!$Y$8:$Y$500,0)))),IF(LEN(INDEX(Calc!$J$8:$J$500,MATCH(SMALL(IF((Calc!$K$8:$K$500=Kanban!D$11)*(Calc!$Y$8:$Y$500&gt;0),Calc!$Y$8:$Y$500,99999),Kanban_Helper!$B223),Calc!$Y$8:$Y$500,0)))=0,"",CONCATENATE(Calc!$AD$6,INDEX(Calc!$J$8:$J$500,MATCH(SMALL(IF((Calc!$K$8:$K$500=Kanban!D$11)*(Calc!$Y$8:$Y$500&gt;0),Calc!$Y$8:$Y$500,99999),Kanban_Helper!$B223),Calc!$Y$8:$Y$500,0)))))),"")</f>
        <v/>
      </c>
      <c r="E230" s="172" t="str">
        <f t="array" ref="E230">IFERROR(IF(LEN(E$11)=0,"",IF($C$7&lt;&gt;"All",IF(LEN(INDEX(Calc!$J$8:$J$500,MATCH(SMALL(IF((Calc!$C$8:$C$500=Kanban!$C$7)*(Calc!$K$8:$K$500=Kanban!E$11)*(Calc!$Y$8:$Y$500&gt;0),Calc!$Y$8:$Y$500,99999),Kanban_Helper!$B223),Calc!$Y$8:$Y$500,0)))=0,"",CONCATENATE(Calc!$AD$6,INDEX(Calc!$J$8:$J$500,MATCH(SMALL(IF((Calc!$C$8:$C$500=Kanban!$C$7)*(Calc!$K$8:$K$500=Kanban!E$11)*(Calc!$Y$8:$Y$500&gt;0),Calc!$Y$8:$Y$500,99999),Kanban_Helper!$B223),Calc!$Y$8:$Y$500,0)))),IF(LEN(INDEX(Calc!$J$8:$J$500,MATCH(SMALL(IF((Calc!$K$8:$K$500=Kanban!E$11)*(Calc!$Y$8:$Y$500&gt;0),Calc!$Y$8:$Y$500,99999),Kanban_Helper!$B223),Calc!$Y$8:$Y$500,0)))=0,"",CONCATENATE(Calc!$AD$6,INDEX(Calc!$J$8:$J$500,MATCH(SMALL(IF((Calc!$K$8:$K$500=Kanban!E$11)*(Calc!$Y$8:$Y$500&gt;0),Calc!$Y$8:$Y$500,99999),Kanban_Helper!$B223),Calc!$Y$8:$Y$500,0)))))),"")</f>
        <v/>
      </c>
      <c r="F230" s="172" t="str">
        <f t="array" ref="F230">IFERROR(IF(LEN(F$11)=0,"",IF($C$7&lt;&gt;"All",IF(LEN(INDEX(Calc!$J$8:$J$500,MATCH(SMALL(IF((Calc!$C$8:$C$500=Kanban!$C$7)*(Calc!$K$8:$K$500=Kanban!F$11)*(Calc!$Y$8:$Y$500&gt;0),Calc!$Y$8:$Y$500,99999),Kanban_Helper!$B223),Calc!$Y$8:$Y$500,0)))=0,"",CONCATENATE(Calc!$AD$6,INDEX(Calc!$J$8:$J$500,MATCH(SMALL(IF((Calc!$C$8:$C$500=Kanban!$C$7)*(Calc!$K$8:$K$500=Kanban!F$11)*(Calc!$Y$8:$Y$500&gt;0),Calc!$Y$8:$Y$500,99999),Kanban_Helper!$B223),Calc!$Y$8:$Y$500,0)))),IF(LEN(INDEX(Calc!$J$8:$J$500,MATCH(SMALL(IF((Calc!$K$8:$K$500=Kanban!F$11)*(Calc!$Y$8:$Y$500&gt;0),Calc!$Y$8:$Y$500,99999),Kanban_Helper!$B223),Calc!$Y$8:$Y$500,0)))=0,"",CONCATENATE(Calc!$AD$6,INDEX(Calc!$J$8:$J$500,MATCH(SMALL(IF((Calc!$K$8:$K$500=Kanban!F$11)*(Calc!$Y$8:$Y$500&gt;0),Calc!$Y$8:$Y$500,99999),Kanban_Helper!$B223),Calc!$Y$8:$Y$500,0)))))),"")</f>
        <v/>
      </c>
      <c r="G230" s="172" t="str">
        <f t="array" ref="G230">IFERROR(IF(LEN(G$11)=0,"",IF($C$7&lt;&gt;"All",IF(LEN(INDEX(Calc!$J$8:$J$500,MATCH(SMALL(IF((Calc!$C$8:$C$500=Kanban!$C$7)*(Calc!$K$8:$K$500=Kanban!G$11)*(Calc!$Y$8:$Y$500&gt;0),Calc!$Y$8:$Y$500,99999),Kanban_Helper!$B223),Calc!$Y$8:$Y$500,0)))=0,"",CONCATENATE(Calc!$AD$6,INDEX(Calc!$J$8:$J$500,MATCH(SMALL(IF((Calc!$C$8:$C$500=Kanban!$C$7)*(Calc!$K$8:$K$500=Kanban!G$11)*(Calc!$Y$8:$Y$500&gt;0),Calc!$Y$8:$Y$500,99999),Kanban_Helper!$B223),Calc!$Y$8:$Y$500,0)))),IF(LEN(INDEX(Calc!$J$8:$J$500,MATCH(SMALL(IF((Calc!$K$8:$K$500=Kanban!G$11)*(Calc!$Y$8:$Y$500&gt;0),Calc!$Y$8:$Y$500,99999),Kanban_Helper!$B223),Calc!$Y$8:$Y$500,0)))=0,"",CONCATENATE(Calc!$AD$6,INDEX(Calc!$J$8:$J$500,MATCH(SMALL(IF((Calc!$K$8:$K$500=Kanban!G$11)*(Calc!$Y$8:$Y$500&gt;0),Calc!$Y$8:$Y$500,99999),Kanban_Helper!$B223),Calc!$Y$8:$Y$500,0)))))),"")</f>
        <v/>
      </c>
      <c r="H230" s="172" t="str">
        <f t="array" ref="H230">IFERROR(IF(LEN(H$11)=0,"",IF($C$7&lt;&gt;"All",IF(LEN(INDEX(Calc!$J$8:$J$500,MATCH(SMALL(IF((Calc!$C$8:$C$500=Kanban!$C$7)*(Calc!$K$8:$K$500=Kanban!H$11)*(Calc!$Y$8:$Y$500&gt;0),Calc!$Y$8:$Y$500,99999),Kanban_Helper!$B223),Calc!$Y$8:$Y$500,0)))=0,"",CONCATENATE(Calc!$AD$6,INDEX(Calc!$J$8:$J$500,MATCH(SMALL(IF((Calc!$C$8:$C$500=Kanban!$C$7)*(Calc!$K$8:$K$500=Kanban!H$11)*(Calc!$Y$8:$Y$500&gt;0),Calc!$Y$8:$Y$500,99999),Kanban_Helper!$B223),Calc!$Y$8:$Y$500,0)))),IF(LEN(INDEX(Calc!$J$8:$J$500,MATCH(SMALL(IF((Calc!$K$8:$K$500=Kanban!H$11)*(Calc!$Y$8:$Y$500&gt;0),Calc!$Y$8:$Y$500,99999),Kanban_Helper!$B223),Calc!$Y$8:$Y$500,0)))=0,"",CONCATENATE(Calc!$AD$6,INDEX(Calc!$J$8:$J$500,MATCH(SMALL(IF((Calc!$K$8:$K$500=Kanban!H$11)*(Calc!$Y$8:$Y$500&gt;0),Calc!$Y$8:$Y$500,99999),Kanban_Helper!$B223),Calc!$Y$8:$Y$500,0)))))),"")</f>
        <v/>
      </c>
      <c r="I230" s="39"/>
    </row>
    <row r="231" spans="2:9" ht="15" thickTop="1" x14ac:dyDescent="0.35">
      <c r="B231" s="81"/>
      <c r="C231" s="170" t="str">
        <f t="array" ref="C231">IFERROR(IF(LEN(C$11)=0,"",IF($C$7&lt;&gt;"All",IF(INDEX(Calc!$V$8:$V$500,MATCH(INDEX(Calc!$D$8:$D$500,MATCH(SMALL(IF((Calc!$C$8:$C$500=Kanban!$C$7)*(Calc!$K$8:$K$500=Kanban!C$11)*(Calc!$Y$8:$Y$500&gt;0),Calc!$Y$8:$Y$500,99999),Kanban_Helper!$B224),Calc!$Y$8:$Y$500,0)),Calc!$D$8:$D$500,0))="Yes",CONCATENATE(INDEX(Calc!$D$8:$D$500,MATCH(SMALL(IF((Calc!$C$8:$C$500=Kanban!$C$7)*(Calc!$K$8:$K$500=Kanban!C$11)*(Calc!$Y$8:$Y$500&gt;0),Calc!$Y$8:$Y$500,99999),Kanban_Helper!$B224),Calc!$Y$8:$Y$500,0))," ",Calc!$V$7," ","!"),INDEX(Calc!$D$8:$D$500,MATCH(SMALL(IF((Calc!$C$8:$C$500=Kanban!$C$7)*(Calc!$K$8:$K$500=Kanban!C$11)*(Calc!$Y$8:$Y$500&gt;0),Calc!$Y$8:$Y$500,99999),Kanban_Helper!$B224),Calc!$Y$8:$Y$500,0))),IF(INDEX(Calc!$V$8:$V$500,MATCH(INDEX(Calc!$D$8:$D$500,MATCH(SMALL(IF((Calc!$K$8:$K$500=Kanban!C$11)*(Calc!$Y$8:$Y$500&gt;0),Calc!$Y$8:$Y$500,99999),Kanban_Helper!$B224),Calc!$Y$8:$Y$500,0)),Calc!$D$8:$D$500,0))="Yes",CONCATENATE(INDEX(Calc!$D$8:$D$500,MATCH(SMALL(IF((Calc!$K$8:$K$500=Kanban!C$11)*(Calc!$Y$8:$Y$500&gt;0),Calc!$Y$8:$Y$500,99999),Kanban_Helper!$B224),Calc!$Y$8:$Y$500,0))," ",Calc!$V$7," ","!"),INDEX(Calc!$D$8:$D$500,MATCH(SMALL(IF((Calc!$K$8:$K$500=Kanban!C$11)*(Calc!$Y$8:$Y$500&gt;0),Calc!$Y$8:$Y$500,99999),Kanban_Helper!$B224),Calc!$Y$8:$Y$500,0))))),"")</f>
        <v/>
      </c>
      <c r="D231" s="170" t="str">
        <f t="array" ref="D231">IFERROR(IF(LEN(D$11)=0,"",IF($C$7&lt;&gt;"All",IF(INDEX(Calc!$V$8:$V$500,MATCH(INDEX(Calc!$D$8:$D$500,MATCH(SMALL(IF((Calc!$C$8:$C$500=Kanban!$C$7)*(Calc!$K$8:$K$500=Kanban!D$11)*(Calc!$Y$8:$Y$500&gt;0),Calc!$Y$8:$Y$500,99999),Kanban_Helper!$B224),Calc!$Y$8:$Y$500,0)),Calc!$D$8:$D$500,0))="Yes",CONCATENATE(INDEX(Calc!$D$8:$D$500,MATCH(SMALL(IF((Calc!$C$8:$C$500=Kanban!$C$7)*(Calc!$K$8:$K$500=Kanban!D$11)*(Calc!$Y$8:$Y$500&gt;0),Calc!$Y$8:$Y$500,99999),Kanban_Helper!$B224),Calc!$Y$8:$Y$500,0))," ",Calc!$V$7," ","!"),INDEX(Calc!$D$8:$D$500,MATCH(SMALL(IF((Calc!$C$8:$C$500=Kanban!$C$7)*(Calc!$K$8:$K$500=Kanban!D$11)*(Calc!$Y$8:$Y$500&gt;0),Calc!$Y$8:$Y$500,99999),Kanban_Helper!$B224),Calc!$Y$8:$Y$500,0))),IF(INDEX(Calc!$V$8:$V$500,MATCH(INDEX(Calc!$D$8:$D$500,MATCH(SMALL(IF((Calc!$K$8:$K$500=Kanban!D$11)*(Calc!$Y$8:$Y$500&gt;0),Calc!$Y$8:$Y$500,99999),Kanban_Helper!$B224),Calc!$Y$8:$Y$500,0)),Calc!$D$8:$D$500,0))="Yes",CONCATENATE(INDEX(Calc!$D$8:$D$500,MATCH(SMALL(IF((Calc!$K$8:$K$500=Kanban!D$11)*(Calc!$Y$8:$Y$500&gt;0),Calc!$Y$8:$Y$500,99999),Kanban_Helper!$B224),Calc!$Y$8:$Y$500,0))," ",Calc!$V$7," ","!"),INDEX(Calc!$D$8:$D$500,MATCH(SMALL(IF((Calc!$K$8:$K$500=Kanban!D$11)*(Calc!$Y$8:$Y$500&gt;0),Calc!$Y$8:$Y$500,99999),Kanban_Helper!$B224),Calc!$Y$8:$Y$500,0))))),"")</f>
        <v/>
      </c>
      <c r="E231" s="170" t="str">
        <f t="array" ref="E231">IFERROR(IF(LEN(E$11)=0,"",IF($C$7&lt;&gt;"All",IF(INDEX(Calc!$V$8:$V$500,MATCH(INDEX(Calc!$D$8:$D$500,MATCH(SMALL(IF((Calc!$C$8:$C$500=Kanban!$C$7)*(Calc!$K$8:$K$500=Kanban!E$11)*(Calc!$Y$8:$Y$500&gt;0),Calc!$Y$8:$Y$500,99999),Kanban_Helper!$B224),Calc!$Y$8:$Y$500,0)),Calc!$D$8:$D$500,0))="Yes",CONCATENATE(INDEX(Calc!$D$8:$D$500,MATCH(SMALL(IF((Calc!$C$8:$C$500=Kanban!$C$7)*(Calc!$K$8:$K$500=Kanban!E$11)*(Calc!$Y$8:$Y$500&gt;0),Calc!$Y$8:$Y$500,99999),Kanban_Helper!$B224),Calc!$Y$8:$Y$500,0))," ",Calc!$V$7," ","!"),INDEX(Calc!$D$8:$D$500,MATCH(SMALL(IF((Calc!$C$8:$C$500=Kanban!$C$7)*(Calc!$K$8:$K$500=Kanban!E$11)*(Calc!$Y$8:$Y$500&gt;0),Calc!$Y$8:$Y$500,99999),Kanban_Helper!$B224),Calc!$Y$8:$Y$500,0))),IF(INDEX(Calc!$V$8:$V$500,MATCH(INDEX(Calc!$D$8:$D$500,MATCH(SMALL(IF((Calc!$K$8:$K$500=Kanban!E$11)*(Calc!$Y$8:$Y$500&gt;0),Calc!$Y$8:$Y$500,99999),Kanban_Helper!$B224),Calc!$Y$8:$Y$500,0)),Calc!$D$8:$D$500,0))="Yes",CONCATENATE(INDEX(Calc!$D$8:$D$500,MATCH(SMALL(IF((Calc!$K$8:$K$500=Kanban!E$11)*(Calc!$Y$8:$Y$500&gt;0),Calc!$Y$8:$Y$500,99999),Kanban_Helper!$B224),Calc!$Y$8:$Y$500,0))," ",Calc!$V$7," ","!"),INDEX(Calc!$D$8:$D$500,MATCH(SMALL(IF((Calc!$K$8:$K$500=Kanban!E$11)*(Calc!$Y$8:$Y$500&gt;0),Calc!$Y$8:$Y$500,99999),Kanban_Helper!$B224),Calc!$Y$8:$Y$500,0))))),"")</f>
        <v/>
      </c>
      <c r="F231" s="170" t="str">
        <f t="array" ref="F231">IFERROR(IF(LEN(F$11)=0,"",IF($C$7&lt;&gt;"All",IF(INDEX(Calc!$V$8:$V$500,MATCH(INDEX(Calc!$D$8:$D$500,MATCH(SMALL(IF((Calc!$C$8:$C$500=Kanban!$C$7)*(Calc!$K$8:$K$500=Kanban!F$11)*(Calc!$Y$8:$Y$500&gt;0),Calc!$Y$8:$Y$500,99999),Kanban_Helper!$B224),Calc!$Y$8:$Y$500,0)),Calc!$D$8:$D$500,0))="Yes",CONCATENATE(INDEX(Calc!$D$8:$D$500,MATCH(SMALL(IF((Calc!$C$8:$C$500=Kanban!$C$7)*(Calc!$K$8:$K$500=Kanban!F$11)*(Calc!$Y$8:$Y$500&gt;0),Calc!$Y$8:$Y$500,99999),Kanban_Helper!$B224),Calc!$Y$8:$Y$500,0))," ",Calc!$V$7," ","!"),INDEX(Calc!$D$8:$D$500,MATCH(SMALL(IF((Calc!$C$8:$C$500=Kanban!$C$7)*(Calc!$K$8:$K$500=Kanban!F$11)*(Calc!$Y$8:$Y$500&gt;0),Calc!$Y$8:$Y$500,99999),Kanban_Helper!$B224),Calc!$Y$8:$Y$500,0))),IF(INDEX(Calc!$V$8:$V$500,MATCH(INDEX(Calc!$D$8:$D$500,MATCH(SMALL(IF((Calc!$K$8:$K$500=Kanban!F$11)*(Calc!$Y$8:$Y$500&gt;0),Calc!$Y$8:$Y$500,99999),Kanban_Helper!$B224),Calc!$Y$8:$Y$500,0)),Calc!$D$8:$D$500,0))="Yes",CONCATENATE(INDEX(Calc!$D$8:$D$500,MATCH(SMALL(IF((Calc!$K$8:$K$500=Kanban!F$11)*(Calc!$Y$8:$Y$500&gt;0),Calc!$Y$8:$Y$500,99999),Kanban_Helper!$B224),Calc!$Y$8:$Y$500,0))," ",Calc!$V$7," ","!"),INDEX(Calc!$D$8:$D$500,MATCH(SMALL(IF((Calc!$K$8:$K$500=Kanban!F$11)*(Calc!$Y$8:$Y$500&gt;0),Calc!$Y$8:$Y$500,99999),Kanban_Helper!$B224),Calc!$Y$8:$Y$500,0))))),"")</f>
        <v/>
      </c>
      <c r="G231" s="170" t="str">
        <f t="array" ref="G231">IFERROR(IF(LEN(G$11)=0,"",IF($C$7&lt;&gt;"All",IF(INDEX(Calc!$V$8:$V$500,MATCH(INDEX(Calc!$D$8:$D$500,MATCH(SMALL(IF((Calc!$C$8:$C$500=Kanban!$C$7)*(Calc!$K$8:$K$500=Kanban!G$11)*(Calc!$Y$8:$Y$500&gt;0),Calc!$Y$8:$Y$500,99999),Kanban_Helper!$B224),Calc!$Y$8:$Y$500,0)),Calc!$D$8:$D$500,0))="Yes",CONCATENATE(INDEX(Calc!$D$8:$D$500,MATCH(SMALL(IF((Calc!$C$8:$C$500=Kanban!$C$7)*(Calc!$K$8:$K$500=Kanban!G$11)*(Calc!$Y$8:$Y$500&gt;0),Calc!$Y$8:$Y$500,99999),Kanban_Helper!$B224),Calc!$Y$8:$Y$500,0))," ",Calc!$V$7," ","!"),INDEX(Calc!$D$8:$D$500,MATCH(SMALL(IF((Calc!$C$8:$C$500=Kanban!$C$7)*(Calc!$K$8:$K$500=Kanban!G$11)*(Calc!$Y$8:$Y$500&gt;0),Calc!$Y$8:$Y$500,99999),Kanban_Helper!$B224),Calc!$Y$8:$Y$500,0))),IF(INDEX(Calc!$V$8:$V$500,MATCH(INDEX(Calc!$D$8:$D$500,MATCH(SMALL(IF((Calc!$K$8:$K$500=Kanban!G$11)*(Calc!$Y$8:$Y$500&gt;0),Calc!$Y$8:$Y$500,99999),Kanban_Helper!$B224),Calc!$Y$8:$Y$500,0)),Calc!$D$8:$D$500,0))="Yes",CONCATENATE(INDEX(Calc!$D$8:$D$500,MATCH(SMALL(IF((Calc!$K$8:$K$500=Kanban!G$11)*(Calc!$Y$8:$Y$500&gt;0),Calc!$Y$8:$Y$500,99999),Kanban_Helper!$B224),Calc!$Y$8:$Y$500,0))," ",Calc!$V$7," ","!"),INDEX(Calc!$D$8:$D$500,MATCH(SMALL(IF((Calc!$K$8:$K$500=Kanban!G$11)*(Calc!$Y$8:$Y$500&gt;0),Calc!$Y$8:$Y$500,99999),Kanban_Helper!$B224),Calc!$Y$8:$Y$500,0))))),"")</f>
        <v/>
      </c>
      <c r="H231" s="170" t="str">
        <f t="array" ref="H231">IFERROR(IF(LEN(H$11)=0,"",IF($C$7&lt;&gt;"All",IF(INDEX(Calc!$V$8:$V$500,MATCH(INDEX(Calc!$D$8:$D$500,MATCH(SMALL(IF((Calc!$C$8:$C$500=Kanban!$C$7)*(Calc!$K$8:$K$500=Kanban!H$11)*(Calc!$Y$8:$Y$500&gt;0),Calc!$Y$8:$Y$500,99999),Kanban_Helper!$B224),Calc!$Y$8:$Y$500,0)),Calc!$D$8:$D$500,0))="Yes",CONCATENATE(INDEX(Calc!$D$8:$D$500,MATCH(SMALL(IF((Calc!$C$8:$C$500=Kanban!$C$7)*(Calc!$K$8:$K$500=Kanban!H$11)*(Calc!$Y$8:$Y$500&gt;0),Calc!$Y$8:$Y$500,99999),Kanban_Helper!$B224),Calc!$Y$8:$Y$500,0))," ",Calc!$V$7," ","!"),INDEX(Calc!$D$8:$D$500,MATCH(SMALL(IF((Calc!$C$8:$C$500=Kanban!$C$7)*(Calc!$K$8:$K$500=Kanban!H$11)*(Calc!$Y$8:$Y$500&gt;0),Calc!$Y$8:$Y$500,99999),Kanban_Helper!$B224),Calc!$Y$8:$Y$500,0))),IF(INDEX(Calc!$V$8:$V$500,MATCH(INDEX(Calc!$D$8:$D$500,MATCH(SMALL(IF((Calc!$K$8:$K$500=Kanban!H$11)*(Calc!$Y$8:$Y$500&gt;0),Calc!$Y$8:$Y$500,99999),Kanban_Helper!$B224),Calc!$Y$8:$Y$500,0)),Calc!$D$8:$D$500,0))="Yes",CONCATENATE(INDEX(Calc!$D$8:$D$500,MATCH(SMALL(IF((Calc!$K$8:$K$500=Kanban!H$11)*(Calc!$Y$8:$Y$500&gt;0),Calc!$Y$8:$Y$500,99999),Kanban_Helper!$B224),Calc!$Y$8:$Y$500,0))," ",Calc!$V$7," ","!"),INDEX(Calc!$D$8:$D$500,MATCH(SMALL(IF((Calc!$K$8:$K$500=Kanban!H$11)*(Calc!$Y$8:$Y$500&gt;0),Calc!$Y$8:$Y$500,99999),Kanban_Helper!$B224),Calc!$Y$8:$Y$500,0))))),"")</f>
        <v/>
      </c>
      <c r="I231" s="39"/>
    </row>
    <row r="232" spans="2:9" x14ac:dyDescent="0.35">
      <c r="B232" s="81"/>
      <c r="C232" s="171" t="str">
        <f t="array" ref="C232">IFERROR(IF(LEN(C$11)=0,"",IF($C$7&lt;&gt;"All",INDEX(Calc!$E$8:$E$500,MATCH(SMALL(IF((Calc!$C$8:$C$500=Kanban!$C$7)*(Calc!$K$8:$K$500=Kanban!C$11)*(Calc!$Y$8:$Y$500&gt;0),Calc!$Y$8:$Y$500,99999),Kanban_Helper!$B225),Calc!$Y$8:$Y$500,0)),INDEX(Calc!$E$8:$E$500,MATCH(SMALL(IF((Calc!$K$8:$K$500=Kanban!C$11)*(Calc!$Y$8:$Y$500&gt;0),Calc!$Y$8:$Y$500,99999),Kanban_Helper!$B225),Calc!$Y$8:$Y$500,0)))),"")</f>
        <v/>
      </c>
      <c r="D232" s="171" t="str">
        <f t="array" ref="D232">IFERROR(IF(LEN(D$11)=0,"",IF($C$7&lt;&gt;"All",INDEX(Calc!$E$8:$E$500,MATCH(SMALL(IF((Calc!$C$8:$C$500=Kanban!$C$7)*(Calc!$K$8:$K$500=Kanban!D$11)*(Calc!$Y$8:$Y$500&gt;0),Calc!$Y$8:$Y$500,99999),Kanban_Helper!$B225),Calc!$Y$8:$Y$500,0)),INDEX(Calc!$E$8:$E$500,MATCH(SMALL(IF((Calc!$K$8:$K$500=Kanban!D$11)*(Calc!$Y$8:$Y$500&gt;0),Calc!$Y$8:$Y$500,99999),Kanban_Helper!$B225),Calc!$Y$8:$Y$500,0)))),"")</f>
        <v/>
      </c>
      <c r="E232" s="171" t="str">
        <f t="array" ref="E232">IFERROR(IF(LEN(E$11)=0,"",IF($C$7&lt;&gt;"All",INDEX(Calc!$E$8:$E$500,MATCH(SMALL(IF((Calc!$C$8:$C$500=Kanban!$C$7)*(Calc!$K$8:$K$500=Kanban!E$11)*(Calc!$Y$8:$Y$500&gt;0),Calc!$Y$8:$Y$500,99999),Kanban_Helper!$B225),Calc!$Y$8:$Y$500,0)),INDEX(Calc!$E$8:$E$500,MATCH(SMALL(IF((Calc!$K$8:$K$500=Kanban!E$11)*(Calc!$Y$8:$Y$500&gt;0),Calc!$Y$8:$Y$500,99999),Kanban_Helper!$B225),Calc!$Y$8:$Y$500,0)))),"")</f>
        <v/>
      </c>
      <c r="F232" s="171" t="str">
        <f t="array" ref="F232">IFERROR(IF(LEN(F$11)=0,"",IF($C$7&lt;&gt;"All",INDEX(Calc!$E$8:$E$500,MATCH(SMALL(IF((Calc!$C$8:$C$500=Kanban!$C$7)*(Calc!$K$8:$K$500=Kanban!F$11)*(Calc!$Y$8:$Y$500&gt;0),Calc!$Y$8:$Y$500,99999),Kanban_Helper!$B225),Calc!$Y$8:$Y$500,0)),INDEX(Calc!$E$8:$E$500,MATCH(SMALL(IF((Calc!$K$8:$K$500=Kanban!F$11)*(Calc!$Y$8:$Y$500&gt;0),Calc!$Y$8:$Y$500,99999),Kanban_Helper!$B225),Calc!$Y$8:$Y$500,0)))),"")</f>
        <v/>
      </c>
      <c r="G232" s="171" t="str">
        <f t="array" ref="G232">IFERROR(IF(LEN(G$11)=0,"",IF($C$7&lt;&gt;"All",INDEX(Calc!$E$8:$E$500,MATCH(SMALL(IF((Calc!$C$8:$C$500=Kanban!$C$7)*(Calc!$K$8:$K$500=Kanban!G$11)*(Calc!$Y$8:$Y$500&gt;0),Calc!$Y$8:$Y$500,99999),Kanban_Helper!$B225),Calc!$Y$8:$Y$500,0)),INDEX(Calc!$E$8:$E$500,MATCH(SMALL(IF((Calc!$K$8:$K$500=Kanban!G$11)*(Calc!$Y$8:$Y$500&gt;0),Calc!$Y$8:$Y$500,99999),Kanban_Helper!$B225),Calc!$Y$8:$Y$500,0)))),"")</f>
        <v/>
      </c>
      <c r="H232" s="171" t="str">
        <f t="array" ref="H232">IFERROR(IF(LEN(H$11)=0,"",IF($C$7&lt;&gt;"All",INDEX(Calc!$E$8:$E$500,MATCH(SMALL(IF((Calc!$C$8:$C$500=Kanban!$C$7)*(Calc!$K$8:$K$500=Kanban!H$11)*(Calc!$Y$8:$Y$500&gt;0),Calc!$Y$8:$Y$500,99999),Kanban_Helper!$B225),Calc!$Y$8:$Y$500,0)),INDEX(Calc!$E$8:$E$500,MATCH(SMALL(IF((Calc!$K$8:$K$500=Kanban!H$11)*(Calc!$Y$8:$Y$500&gt;0),Calc!$Y$8:$Y$500,99999),Kanban_Helper!$B225),Calc!$Y$8:$Y$500,0)))),"")</f>
        <v/>
      </c>
      <c r="I232" s="39"/>
    </row>
    <row r="233" spans="2:9" ht="15" thickBot="1" x14ac:dyDescent="0.4">
      <c r="B233" s="81"/>
      <c r="C233" s="172" t="str">
        <f t="array" ref="C233">IFERROR(IF(LEN(C$11)=0,"",IF($C$7&lt;&gt;"All",IF(LEN(INDEX(Calc!$J$8:$J$500,MATCH(SMALL(IF((Calc!$C$8:$C$500=Kanban!$C$7)*(Calc!$K$8:$K$500=Kanban!C$11)*(Calc!$Y$8:$Y$500&gt;0),Calc!$Y$8:$Y$500,99999),Kanban_Helper!$B226),Calc!$Y$8:$Y$500,0)))=0,"",CONCATENATE(Calc!$AD$6,INDEX(Calc!$J$8:$J$500,MATCH(SMALL(IF((Calc!$C$8:$C$500=Kanban!$C$7)*(Calc!$K$8:$K$500=Kanban!C$11)*(Calc!$Y$8:$Y$500&gt;0),Calc!$Y$8:$Y$500,99999),Kanban_Helper!$B226),Calc!$Y$8:$Y$500,0)))),IF(LEN(INDEX(Calc!$J$8:$J$500,MATCH(SMALL(IF((Calc!$K$8:$K$500=Kanban!C$11)*(Calc!$Y$8:$Y$500&gt;0),Calc!$Y$8:$Y$500,99999),Kanban_Helper!$B226),Calc!$Y$8:$Y$500,0)))=0,"",CONCATENATE(Calc!$AD$6,INDEX(Calc!$J$8:$J$500,MATCH(SMALL(IF((Calc!$K$8:$K$500=Kanban!C$11)*(Calc!$Y$8:$Y$500&gt;0),Calc!$Y$8:$Y$500,99999),Kanban_Helper!$B226),Calc!$Y$8:$Y$500,0)))))),"")</f>
        <v/>
      </c>
      <c r="D233" s="172" t="str">
        <f t="array" ref="D233">IFERROR(IF(LEN(D$11)=0,"",IF($C$7&lt;&gt;"All",IF(LEN(INDEX(Calc!$J$8:$J$500,MATCH(SMALL(IF((Calc!$C$8:$C$500=Kanban!$C$7)*(Calc!$K$8:$K$500=Kanban!D$11)*(Calc!$Y$8:$Y$500&gt;0),Calc!$Y$8:$Y$500,99999),Kanban_Helper!$B226),Calc!$Y$8:$Y$500,0)))=0,"",CONCATENATE(Calc!$AD$6,INDEX(Calc!$J$8:$J$500,MATCH(SMALL(IF((Calc!$C$8:$C$500=Kanban!$C$7)*(Calc!$K$8:$K$500=Kanban!D$11)*(Calc!$Y$8:$Y$500&gt;0),Calc!$Y$8:$Y$500,99999),Kanban_Helper!$B226),Calc!$Y$8:$Y$500,0)))),IF(LEN(INDEX(Calc!$J$8:$J$500,MATCH(SMALL(IF((Calc!$K$8:$K$500=Kanban!D$11)*(Calc!$Y$8:$Y$500&gt;0),Calc!$Y$8:$Y$500,99999),Kanban_Helper!$B226),Calc!$Y$8:$Y$500,0)))=0,"",CONCATENATE(Calc!$AD$6,INDEX(Calc!$J$8:$J$500,MATCH(SMALL(IF((Calc!$K$8:$K$500=Kanban!D$11)*(Calc!$Y$8:$Y$500&gt;0),Calc!$Y$8:$Y$500,99999),Kanban_Helper!$B226),Calc!$Y$8:$Y$500,0)))))),"")</f>
        <v/>
      </c>
      <c r="E233" s="172" t="str">
        <f t="array" ref="E233">IFERROR(IF(LEN(E$11)=0,"",IF($C$7&lt;&gt;"All",IF(LEN(INDEX(Calc!$J$8:$J$500,MATCH(SMALL(IF((Calc!$C$8:$C$500=Kanban!$C$7)*(Calc!$K$8:$K$500=Kanban!E$11)*(Calc!$Y$8:$Y$500&gt;0),Calc!$Y$8:$Y$500,99999),Kanban_Helper!$B226),Calc!$Y$8:$Y$500,0)))=0,"",CONCATENATE(Calc!$AD$6,INDEX(Calc!$J$8:$J$500,MATCH(SMALL(IF((Calc!$C$8:$C$500=Kanban!$C$7)*(Calc!$K$8:$K$500=Kanban!E$11)*(Calc!$Y$8:$Y$500&gt;0),Calc!$Y$8:$Y$500,99999),Kanban_Helper!$B226),Calc!$Y$8:$Y$500,0)))),IF(LEN(INDEX(Calc!$J$8:$J$500,MATCH(SMALL(IF((Calc!$K$8:$K$500=Kanban!E$11)*(Calc!$Y$8:$Y$500&gt;0),Calc!$Y$8:$Y$500,99999),Kanban_Helper!$B226),Calc!$Y$8:$Y$500,0)))=0,"",CONCATENATE(Calc!$AD$6,INDEX(Calc!$J$8:$J$500,MATCH(SMALL(IF((Calc!$K$8:$K$500=Kanban!E$11)*(Calc!$Y$8:$Y$500&gt;0),Calc!$Y$8:$Y$500,99999),Kanban_Helper!$B226),Calc!$Y$8:$Y$500,0)))))),"")</f>
        <v/>
      </c>
      <c r="F233" s="172" t="str">
        <f t="array" ref="F233">IFERROR(IF(LEN(F$11)=0,"",IF($C$7&lt;&gt;"All",IF(LEN(INDEX(Calc!$J$8:$J$500,MATCH(SMALL(IF((Calc!$C$8:$C$500=Kanban!$C$7)*(Calc!$K$8:$K$500=Kanban!F$11)*(Calc!$Y$8:$Y$500&gt;0),Calc!$Y$8:$Y$500,99999),Kanban_Helper!$B226),Calc!$Y$8:$Y$500,0)))=0,"",CONCATENATE(Calc!$AD$6,INDEX(Calc!$J$8:$J$500,MATCH(SMALL(IF((Calc!$C$8:$C$500=Kanban!$C$7)*(Calc!$K$8:$K$500=Kanban!F$11)*(Calc!$Y$8:$Y$500&gt;0),Calc!$Y$8:$Y$500,99999),Kanban_Helper!$B226),Calc!$Y$8:$Y$500,0)))),IF(LEN(INDEX(Calc!$J$8:$J$500,MATCH(SMALL(IF((Calc!$K$8:$K$500=Kanban!F$11)*(Calc!$Y$8:$Y$500&gt;0),Calc!$Y$8:$Y$500,99999),Kanban_Helper!$B226),Calc!$Y$8:$Y$500,0)))=0,"",CONCATENATE(Calc!$AD$6,INDEX(Calc!$J$8:$J$500,MATCH(SMALL(IF((Calc!$K$8:$K$500=Kanban!F$11)*(Calc!$Y$8:$Y$500&gt;0),Calc!$Y$8:$Y$500,99999),Kanban_Helper!$B226),Calc!$Y$8:$Y$500,0)))))),"")</f>
        <v/>
      </c>
      <c r="G233" s="172" t="str">
        <f t="array" ref="G233">IFERROR(IF(LEN(G$11)=0,"",IF($C$7&lt;&gt;"All",IF(LEN(INDEX(Calc!$J$8:$J$500,MATCH(SMALL(IF((Calc!$C$8:$C$500=Kanban!$C$7)*(Calc!$K$8:$K$500=Kanban!G$11)*(Calc!$Y$8:$Y$500&gt;0),Calc!$Y$8:$Y$500,99999),Kanban_Helper!$B226),Calc!$Y$8:$Y$500,0)))=0,"",CONCATENATE(Calc!$AD$6,INDEX(Calc!$J$8:$J$500,MATCH(SMALL(IF((Calc!$C$8:$C$500=Kanban!$C$7)*(Calc!$K$8:$K$500=Kanban!G$11)*(Calc!$Y$8:$Y$500&gt;0),Calc!$Y$8:$Y$500,99999),Kanban_Helper!$B226),Calc!$Y$8:$Y$500,0)))),IF(LEN(INDEX(Calc!$J$8:$J$500,MATCH(SMALL(IF((Calc!$K$8:$K$500=Kanban!G$11)*(Calc!$Y$8:$Y$500&gt;0),Calc!$Y$8:$Y$500,99999),Kanban_Helper!$B226),Calc!$Y$8:$Y$500,0)))=0,"",CONCATENATE(Calc!$AD$6,INDEX(Calc!$J$8:$J$500,MATCH(SMALL(IF((Calc!$K$8:$K$500=Kanban!G$11)*(Calc!$Y$8:$Y$500&gt;0),Calc!$Y$8:$Y$500,99999),Kanban_Helper!$B226),Calc!$Y$8:$Y$500,0)))))),"")</f>
        <v/>
      </c>
      <c r="H233" s="172" t="str">
        <f t="array" ref="H233">IFERROR(IF(LEN(H$11)=0,"",IF($C$7&lt;&gt;"All",IF(LEN(INDEX(Calc!$J$8:$J$500,MATCH(SMALL(IF((Calc!$C$8:$C$500=Kanban!$C$7)*(Calc!$K$8:$K$500=Kanban!H$11)*(Calc!$Y$8:$Y$500&gt;0),Calc!$Y$8:$Y$500,99999),Kanban_Helper!$B226),Calc!$Y$8:$Y$500,0)))=0,"",CONCATENATE(Calc!$AD$6,INDEX(Calc!$J$8:$J$500,MATCH(SMALL(IF((Calc!$C$8:$C$500=Kanban!$C$7)*(Calc!$K$8:$K$500=Kanban!H$11)*(Calc!$Y$8:$Y$500&gt;0),Calc!$Y$8:$Y$500,99999),Kanban_Helper!$B226),Calc!$Y$8:$Y$500,0)))),IF(LEN(INDEX(Calc!$J$8:$J$500,MATCH(SMALL(IF((Calc!$K$8:$K$500=Kanban!H$11)*(Calc!$Y$8:$Y$500&gt;0),Calc!$Y$8:$Y$500,99999),Kanban_Helper!$B226),Calc!$Y$8:$Y$500,0)))=0,"",CONCATENATE(Calc!$AD$6,INDEX(Calc!$J$8:$J$500,MATCH(SMALL(IF((Calc!$K$8:$K$500=Kanban!H$11)*(Calc!$Y$8:$Y$500&gt;0),Calc!$Y$8:$Y$500,99999),Kanban_Helper!$B226),Calc!$Y$8:$Y$500,0)))))),"")</f>
        <v/>
      </c>
      <c r="I233" s="39"/>
    </row>
    <row r="234" spans="2:9" ht="15" thickTop="1" x14ac:dyDescent="0.35">
      <c r="B234" s="81"/>
      <c r="C234" s="170" t="str">
        <f t="array" ref="C234">IFERROR(IF(LEN(C$11)=0,"",IF($C$7&lt;&gt;"All",IF(INDEX(Calc!$V$8:$V$500,MATCH(INDEX(Calc!$D$8:$D$500,MATCH(SMALL(IF((Calc!$C$8:$C$500=Kanban!$C$7)*(Calc!$K$8:$K$500=Kanban!C$11)*(Calc!$Y$8:$Y$500&gt;0),Calc!$Y$8:$Y$500,99999),Kanban_Helper!$B227),Calc!$Y$8:$Y$500,0)),Calc!$D$8:$D$500,0))="Yes",CONCATENATE(INDEX(Calc!$D$8:$D$500,MATCH(SMALL(IF((Calc!$C$8:$C$500=Kanban!$C$7)*(Calc!$K$8:$K$500=Kanban!C$11)*(Calc!$Y$8:$Y$500&gt;0),Calc!$Y$8:$Y$500,99999),Kanban_Helper!$B227),Calc!$Y$8:$Y$500,0))," ",Calc!$V$7," ","!"),INDEX(Calc!$D$8:$D$500,MATCH(SMALL(IF((Calc!$C$8:$C$500=Kanban!$C$7)*(Calc!$K$8:$K$500=Kanban!C$11)*(Calc!$Y$8:$Y$500&gt;0),Calc!$Y$8:$Y$500,99999),Kanban_Helper!$B227),Calc!$Y$8:$Y$500,0))),IF(INDEX(Calc!$V$8:$V$500,MATCH(INDEX(Calc!$D$8:$D$500,MATCH(SMALL(IF((Calc!$K$8:$K$500=Kanban!C$11)*(Calc!$Y$8:$Y$500&gt;0),Calc!$Y$8:$Y$500,99999),Kanban_Helper!$B227),Calc!$Y$8:$Y$500,0)),Calc!$D$8:$D$500,0))="Yes",CONCATENATE(INDEX(Calc!$D$8:$D$500,MATCH(SMALL(IF((Calc!$K$8:$K$500=Kanban!C$11)*(Calc!$Y$8:$Y$500&gt;0),Calc!$Y$8:$Y$500,99999),Kanban_Helper!$B227),Calc!$Y$8:$Y$500,0))," ",Calc!$V$7," ","!"),INDEX(Calc!$D$8:$D$500,MATCH(SMALL(IF((Calc!$K$8:$K$500=Kanban!C$11)*(Calc!$Y$8:$Y$500&gt;0),Calc!$Y$8:$Y$500,99999),Kanban_Helper!$B227),Calc!$Y$8:$Y$500,0))))),"")</f>
        <v/>
      </c>
      <c r="D234" s="170" t="str">
        <f t="array" ref="D234">IFERROR(IF(LEN(D$11)=0,"",IF($C$7&lt;&gt;"All",IF(INDEX(Calc!$V$8:$V$500,MATCH(INDEX(Calc!$D$8:$D$500,MATCH(SMALL(IF((Calc!$C$8:$C$500=Kanban!$C$7)*(Calc!$K$8:$K$500=Kanban!D$11)*(Calc!$Y$8:$Y$500&gt;0),Calc!$Y$8:$Y$500,99999),Kanban_Helper!$B227),Calc!$Y$8:$Y$500,0)),Calc!$D$8:$D$500,0))="Yes",CONCATENATE(INDEX(Calc!$D$8:$D$500,MATCH(SMALL(IF((Calc!$C$8:$C$500=Kanban!$C$7)*(Calc!$K$8:$K$500=Kanban!D$11)*(Calc!$Y$8:$Y$500&gt;0),Calc!$Y$8:$Y$500,99999),Kanban_Helper!$B227),Calc!$Y$8:$Y$500,0))," ",Calc!$V$7," ","!"),INDEX(Calc!$D$8:$D$500,MATCH(SMALL(IF((Calc!$C$8:$C$500=Kanban!$C$7)*(Calc!$K$8:$K$500=Kanban!D$11)*(Calc!$Y$8:$Y$500&gt;0),Calc!$Y$8:$Y$500,99999),Kanban_Helper!$B227),Calc!$Y$8:$Y$500,0))),IF(INDEX(Calc!$V$8:$V$500,MATCH(INDEX(Calc!$D$8:$D$500,MATCH(SMALL(IF((Calc!$K$8:$K$500=Kanban!D$11)*(Calc!$Y$8:$Y$500&gt;0),Calc!$Y$8:$Y$500,99999),Kanban_Helper!$B227),Calc!$Y$8:$Y$500,0)),Calc!$D$8:$D$500,0))="Yes",CONCATENATE(INDEX(Calc!$D$8:$D$500,MATCH(SMALL(IF((Calc!$K$8:$K$500=Kanban!D$11)*(Calc!$Y$8:$Y$500&gt;0),Calc!$Y$8:$Y$500,99999),Kanban_Helper!$B227),Calc!$Y$8:$Y$500,0))," ",Calc!$V$7," ","!"),INDEX(Calc!$D$8:$D$500,MATCH(SMALL(IF((Calc!$K$8:$K$500=Kanban!D$11)*(Calc!$Y$8:$Y$500&gt;0),Calc!$Y$8:$Y$500,99999),Kanban_Helper!$B227),Calc!$Y$8:$Y$500,0))))),"")</f>
        <v/>
      </c>
      <c r="E234" s="170" t="str">
        <f t="array" ref="E234">IFERROR(IF(LEN(E$11)=0,"",IF($C$7&lt;&gt;"All",IF(INDEX(Calc!$V$8:$V$500,MATCH(INDEX(Calc!$D$8:$D$500,MATCH(SMALL(IF((Calc!$C$8:$C$500=Kanban!$C$7)*(Calc!$K$8:$K$500=Kanban!E$11)*(Calc!$Y$8:$Y$500&gt;0),Calc!$Y$8:$Y$500,99999),Kanban_Helper!$B227),Calc!$Y$8:$Y$500,0)),Calc!$D$8:$D$500,0))="Yes",CONCATENATE(INDEX(Calc!$D$8:$D$500,MATCH(SMALL(IF((Calc!$C$8:$C$500=Kanban!$C$7)*(Calc!$K$8:$K$500=Kanban!E$11)*(Calc!$Y$8:$Y$500&gt;0),Calc!$Y$8:$Y$500,99999),Kanban_Helper!$B227),Calc!$Y$8:$Y$500,0))," ",Calc!$V$7," ","!"),INDEX(Calc!$D$8:$D$500,MATCH(SMALL(IF((Calc!$C$8:$C$500=Kanban!$C$7)*(Calc!$K$8:$K$500=Kanban!E$11)*(Calc!$Y$8:$Y$500&gt;0),Calc!$Y$8:$Y$500,99999),Kanban_Helper!$B227),Calc!$Y$8:$Y$500,0))),IF(INDEX(Calc!$V$8:$V$500,MATCH(INDEX(Calc!$D$8:$D$500,MATCH(SMALL(IF((Calc!$K$8:$K$500=Kanban!E$11)*(Calc!$Y$8:$Y$500&gt;0),Calc!$Y$8:$Y$500,99999),Kanban_Helper!$B227),Calc!$Y$8:$Y$500,0)),Calc!$D$8:$D$500,0))="Yes",CONCATENATE(INDEX(Calc!$D$8:$D$500,MATCH(SMALL(IF((Calc!$K$8:$K$500=Kanban!E$11)*(Calc!$Y$8:$Y$500&gt;0),Calc!$Y$8:$Y$500,99999),Kanban_Helper!$B227),Calc!$Y$8:$Y$500,0))," ",Calc!$V$7," ","!"),INDEX(Calc!$D$8:$D$500,MATCH(SMALL(IF((Calc!$K$8:$K$500=Kanban!E$11)*(Calc!$Y$8:$Y$500&gt;0),Calc!$Y$8:$Y$500,99999),Kanban_Helper!$B227),Calc!$Y$8:$Y$500,0))))),"")</f>
        <v/>
      </c>
      <c r="F234" s="170" t="str">
        <f t="array" ref="F234">IFERROR(IF(LEN(F$11)=0,"",IF($C$7&lt;&gt;"All",IF(INDEX(Calc!$V$8:$V$500,MATCH(INDEX(Calc!$D$8:$D$500,MATCH(SMALL(IF((Calc!$C$8:$C$500=Kanban!$C$7)*(Calc!$K$8:$K$500=Kanban!F$11)*(Calc!$Y$8:$Y$500&gt;0),Calc!$Y$8:$Y$500,99999),Kanban_Helper!$B227),Calc!$Y$8:$Y$500,0)),Calc!$D$8:$D$500,0))="Yes",CONCATENATE(INDEX(Calc!$D$8:$D$500,MATCH(SMALL(IF((Calc!$C$8:$C$500=Kanban!$C$7)*(Calc!$K$8:$K$500=Kanban!F$11)*(Calc!$Y$8:$Y$500&gt;0),Calc!$Y$8:$Y$500,99999),Kanban_Helper!$B227),Calc!$Y$8:$Y$500,0))," ",Calc!$V$7," ","!"),INDEX(Calc!$D$8:$D$500,MATCH(SMALL(IF((Calc!$C$8:$C$500=Kanban!$C$7)*(Calc!$K$8:$K$500=Kanban!F$11)*(Calc!$Y$8:$Y$500&gt;0),Calc!$Y$8:$Y$500,99999),Kanban_Helper!$B227),Calc!$Y$8:$Y$500,0))),IF(INDEX(Calc!$V$8:$V$500,MATCH(INDEX(Calc!$D$8:$D$500,MATCH(SMALL(IF((Calc!$K$8:$K$500=Kanban!F$11)*(Calc!$Y$8:$Y$500&gt;0),Calc!$Y$8:$Y$500,99999),Kanban_Helper!$B227),Calc!$Y$8:$Y$500,0)),Calc!$D$8:$D$500,0))="Yes",CONCATENATE(INDEX(Calc!$D$8:$D$500,MATCH(SMALL(IF((Calc!$K$8:$K$500=Kanban!F$11)*(Calc!$Y$8:$Y$500&gt;0),Calc!$Y$8:$Y$500,99999),Kanban_Helper!$B227),Calc!$Y$8:$Y$500,0))," ",Calc!$V$7," ","!"),INDEX(Calc!$D$8:$D$500,MATCH(SMALL(IF((Calc!$K$8:$K$500=Kanban!F$11)*(Calc!$Y$8:$Y$500&gt;0),Calc!$Y$8:$Y$500,99999),Kanban_Helper!$B227),Calc!$Y$8:$Y$500,0))))),"")</f>
        <v/>
      </c>
      <c r="G234" s="170" t="str">
        <f t="array" ref="G234">IFERROR(IF(LEN(G$11)=0,"",IF($C$7&lt;&gt;"All",IF(INDEX(Calc!$V$8:$V$500,MATCH(INDEX(Calc!$D$8:$D$500,MATCH(SMALL(IF((Calc!$C$8:$C$500=Kanban!$C$7)*(Calc!$K$8:$K$500=Kanban!G$11)*(Calc!$Y$8:$Y$500&gt;0),Calc!$Y$8:$Y$500,99999),Kanban_Helper!$B227),Calc!$Y$8:$Y$500,0)),Calc!$D$8:$D$500,0))="Yes",CONCATENATE(INDEX(Calc!$D$8:$D$500,MATCH(SMALL(IF((Calc!$C$8:$C$500=Kanban!$C$7)*(Calc!$K$8:$K$500=Kanban!G$11)*(Calc!$Y$8:$Y$500&gt;0),Calc!$Y$8:$Y$500,99999),Kanban_Helper!$B227),Calc!$Y$8:$Y$500,0))," ",Calc!$V$7," ","!"),INDEX(Calc!$D$8:$D$500,MATCH(SMALL(IF((Calc!$C$8:$C$500=Kanban!$C$7)*(Calc!$K$8:$K$500=Kanban!G$11)*(Calc!$Y$8:$Y$500&gt;0),Calc!$Y$8:$Y$500,99999),Kanban_Helper!$B227),Calc!$Y$8:$Y$500,0))),IF(INDEX(Calc!$V$8:$V$500,MATCH(INDEX(Calc!$D$8:$D$500,MATCH(SMALL(IF((Calc!$K$8:$K$500=Kanban!G$11)*(Calc!$Y$8:$Y$500&gt;0),Calc!$Y$8:$Y$500,99999),Kanban_Helper!$B227),Calc!$Y$8:$Y$500,0)),Calc!$D$8:$D$500,0))="Yes",CONCATENATE(INDEX(Calc!$D$8:$D$500,MATCH(SMALL(IF((Calc!$K$8:$K$500=Kanban!G$11)*(Calc!$Y$8:$Y$500&gt;0),Calc!$Y$8:$Y$500,99999),Kanban_Helper!$B227),Calc!$Y$8:$Y$500,0))," ",Calc!$V$7," ","!"),INDEX(Calc!$D$8:$D$500,MATCH(SMALL(IF((Calc!$K$8:$K$500=Kanban!G$11)*(Calc!$Y$8:$Y$500&gt;0),Calc!$Y$8:$Y$500,99999),Kanban_Helper!$B227),Calc!$Y$8:$Y$500,0))))),"")</f>
        <v/>
      </c>
      <c r="H234" s="170" t="str">
        <f t="array" ref="H234">IFERROR(IF(LEN(H$11)=0,"",IF($C$7&lt;&gt;"All",IF(INDEX(Calc!$V$8:$V$500,MATCH(INDEX(Calc!$D$8:$D$500,MATCH(SMALL(IF((Calc!$C$8:$C$500=Kanban!$C$7)*(Calc!$K$8:$K$500=Kanban!H$11)*(Calc!$Y$8:$Y$500&gt;0),Calc!$Y$8:$Y$500,99999),Kanban_Helper!$B227),Calc!$Y$8:$Y$500,0)),Calc!$D$8:$D$500,0))="Yes",CONCATENATE(INDEX(Calc!$D$8:$D$500,MATCH(SMALL(IF((Calc!$C$8:$C$500=Kanban!$C$7)*(Calc!$K$8:$K$500=Kanban!H$11)*(Calc!$Y$8:$Y$500&gt;0),Calc!$Y$8:$Y$500,99999),Kanban_Helper!$B227),Calc!$Y$8:$Y$500,0))," ",Calc!$V$7," ","!"),INDEX(Calc!$D$8:$D$500,MATCH(SMALL(IF((Calc!$C$8:$C$500=Kanban!$C$7)*(Calc!$K$8:$K$500=Kanban!H$11)*(Calc!$Y$8:$Y$500&gt;0),Calc!$Y$8:$Y$500,99999),Kanban_Helper!$B227),Calc!$Y$8:$Y$500,0))),IF(INDEX(Calc!$V$8:$V$500,MATCH(INDEX(Calc!$D$8:$D$500,MATCH(SMALL(IF((Calc!$K$8:$K$500=Kanban!H$11)*(Calc!$Y$8:$Y$500&gt;0),Calc!$Y$8:$Y$500,99999),Kanban_Helper!$B227),Calc!$Y$8:$Y$500,0)),Calc!$D$8:$D$500,0))="Yes",CONCATENATE(INDEX(Calc!$D$8:$D$500,MATCH(SMALL(IF((Calc!$K$8:$K$500=Kanban!H$11)*(Calc!$Y$8:$Y$500&gt;0),Calc!$Y$8:$Y$500,99999),Kanban_Helper!$B227),Calc!$Y$8:$Y$500,0))," ",Calc!$V$7," ","!"),INDEX(Calc!$D$8:$D$500,MATCH(SMALL(IF((Calc!$K$8:$K$500=Kanban!H$11)*(Calc!$Y$8:$Y$500&gt;0),Calc!$Y$8:$Y$500,99999),Kanban_Helper!$B227),Calc!$Y$8:$Y$500,0))))),"")</f>
        <v/>
      </c>
      <c r="I234" s="39"/>
    </row>
    <row r="235" spans="2:9" x14ac:dyDescent="0.35">
      <c r="B235" s="81"/>
      <c r="C235" s="171" t="str">
        <f t="array" ref="C235">IFERROR(IF(LEN(C$11)=0,"",IF($C$7&lt;&gt;"All",INDEX(Calc!$E$8:$E$500,MATCH(SMALL(IF((Calc!$C$8:$C$500=Kanban!$C$7)*(Calc!$K$8:$K$500=Kanban!C$11)*(Calc!$Y$8:$Y$500&gt;0),Calc!$Y$8:$Y$500,99999),Kanban_Helper!$B228),Calc!$Y$8:$Y$500,0)),INDEX(Calc!$E$8:$E$500,MATCH(SMALL(IF((Calc!$K$8:$K$500=Kanban!C$11)*(Calc!$Y$8:$Y$500&gt;0),Calc!$Y$8:$Y$500,99999),Kanban_Helper!$B228),Calc!$Y$8:$Y$500,0)))),"")</f>
        <v/>
      </c>
      <c r="D235" s="171" t="str">
        <f t="array" ref="D235">IFERROR(IF(LEN(D$11)=0,"",IF($C$7&lt;&gt;"All",INDEX(Calc!$E$8:$E$500,MATCH(SMALL(IF((Calc!$C$8:$C$500=Kanban!$C$7)*(Calc!$K$8:$K$500=Kanban!D$11)*(Calc!$Y$8:$Y$500&gt;0),Calc!$Y$8:$Y$500,99999),Kanban_Helper!$B228),Calc!$Y$8:$Y$500,0)),INDEX(Calc!$E$8:$E$500,MATCH(SMALL(IF((Calc!$K$8:$K$500=Kanban!D$11)*(Calc!$Y$8:$Y$500&gt;0),Calc!$Y$8:$Y$500,99999),Kanban_Helper!$B228),Calc!$Y$8:$Y$500,0)))),"")</f>
        <v/>
      </c>
      <c r="E235" s="171" t="str">
        <f t="array" ref="E235">IFERROR(IF(LEN(E$11)=0,"",IF($C$7&lt;&gt;"All",INDEX(Calc!$E$8:$E$500,MATCH(SMALL(IF((Calc!$C$8:$C$500=Kanban!$C$7)*(Calc!$K$8:$K$500=Kanban!E$11)*(Calc!$Y$8:$Y$500&gt;0),Calc!$Y$8:$Y$500,99999),Kanban_Helper!$B228),Calc!$Y$8:$Y$500,0)),INDEX(Calc!$E$8:$E$500,MATCH(SMALL(IF((Calc!$K$8:$K$500=Kanban!E$11)*(Calc!$Y$8:$Y$500&gt;0),Calc!$Y$8:$Y$500,99999),Kanban_Helper!$B228),Calc!$Y$8:$Y$500,0)))),"")</f>
        <v/>
      </c>
      <c r="F235" s="171" t="str">
        <f t="array" ref="F235">IFERROR(IF(LEN(F$11)=0,"",IF($C$7&lt;&gt;"All",INDEX(Calc!$E$8:$E$500,MATCH(SMALL(IF((Calc!$C$8:$C$500=Kanban!$C$7)*(Calc!$K$8:$K$500=Kanban!F$11)*(Calc!$Y$8:$Y$500&gt;0),Calc!$Y$8:$Y$500,99999),Kanban_Helper!$B228),Calc!$Y$8:$Y$500,0)),INDEX(Calc!$E$8:$E$500,MATCH(SMALL(IF((Calc!$K$8:$K$500=Kanban!F$11)*(Calc!$Y$8:$Y$500&gt;0),Calc!$Y$8:$Y$500,99999),Kanban_Helper!$B228),Calc!$Y$8:$Y$500,0)))),"")</f>
        <v/>
      </c>
      <c r="G235" s="171" t="str">
        <f t="array" ref="G235">IFERROR(IF(LEN(G$11)=0,"",IF($C$7&lt;&gt;"All",INDEX(Calc!$E$8:$E$500,MATCH(SMALL(IF((Calc!$C$8:$C$500=Kanban!$C$7)*(Calc!$K$8:$K$500=Kanban!G$11)*(Calc!$Y$8:$Y$500&gt;0),Calc!$Y$8:$Y$500,99999),Kanban_Helper!$B228),Calc!$Y$8:$Y$500,0)),INDEX(Calc!$E$8:$E$500,MATCH(SMALL(IF((Calc!$K$8:$K$500=Kanban!G$11)*(Calc!$Y$8:$Y$500&gt;0),Calc!$Y$8:$Y$500,99999),Kanban_Helper!$B228),Calc!$Y$8:$Y$500,0)))),"")</f>
        <v/>
      </c>
      <c r="H235" s="171" t="str">
        <f t="array" ref="H235">IFERROR(IF(LEN(H$11)=0,"",IF($C$7&lt;&gt;"All",INDEX(Calc!$E$8:$E$500,MATCH(SMALL(IF((Calc!$C$8:$C$500=Kanban!$C$7)*(Calc!$K$8:$K$500=Kanban!H$11)*(Calc!$Y$8:$Y$500&gt;0),Calc!$Y$8:$Y$500,99999),Kanban_Helper!$B228),Calc!$Y$8:$Y$500,0)),INDEX(Calc!$E$8:$E$500,MATCH(SMALL(IF((Calc!$K$8:$K$500=Kanban!H$11)*(Calc!$Y$8:$Y$500&gt;0),Calc!$Y$8:$Y$500,99999),Kanban_Helper!$B228),Calc!$Y$8:$Y$500,0)))),"")</f>
        <v/>
      </c>
      <c r="I235" s="39"/>
    </row>
    <row r="236" spans="2:9" ht="15" thickBot="1" x14ac:dyDescent="0.4">
      <c r="B236" s="81"/>
      <c r="C236" s="172" t="str">
        <f t="array" ref="C236">IFERROR(IF(LEN(C$11)=0,"",IF($C$7&lt;&gt;"All",IF(LEN(INDEX(Calc!$J$8:$J$500,MATCH(SMALL(IF((Calc!$C$8:$C$500=Kanban!$C$7)*(Calc!$K$8:$K$500=Kanban!C$11)*(Calc!$Y$8:$Y$500&gt;0),Calc!$Y$8:$Y$500,99999),Kanban_Helper!$B229),Calc!$Y$8:$Y$500,0)))=0,"",CONCATENATE(Calc!$AD$6,INDEX(Calc!$J$8:$J$500,MATCH(SMALL(IF((Calc!$C$8:$C$500=Kanban!$C$7)*(Calc!$K$8:$K$500=Kanban!C$11)*(Calc!$Y$8:$Y$500&gt;0),Calc!$Y$8:$Y$500,99999),Kanban_Helper!$B229),Calc!$Y$8:$Y$500,0)))),IF(LEN(INDEX(Calc!$J$8:$J$500,MATCH(SMALL(IF((Calc!$K$8:$K$500=Kanban!C$11)*(Calc!$Y$8:$Y$500&gt;0),Calc!$Y$8:$Y$500,99999),Kanban_Helper!$B229),Calc!$Y$8:$Y$500,0)))=0,"",CONCATENATE(Calc!$AD$6,INDEX(Calc!$J$8:$J$500,MATCH(SMALL(IF((Calc!$K$8:$K$500=Kanban!C$11)*(Calc!$Y$8:$Y$500&gt;0),Calc!$Y$8:$Y$500,99999),Kanban_Helper!$B229),Calc!$Y$8:$Y$500,0)))))),"")</f>
        <v/>
      </c>
      <c r="D236" s="172" t="str">
        <f t="array" ref="D236">IFERROR(IF(LEN(D$11)=0,"",IF($C$7&lt;&gt;"All",IF(LEN(INDEX(Calc!$J$8:$J$500,MATCH(SMALL(IF((Calc!$C$8:$C$500=Kanban!$C$7)*(Calc!$K$8:$K$500=Kanban!D$11)*(Calc!$Y$8:$Y$500&gt;0),Calc!$Y$8:$Y$500,99999),Kanban_Helper!$B229),Calc!$Y$8:$Y$500,0)))=0,"",CONCATENATE(Calc!$AD$6,INDEX(Calc!$J$8:$J$500,MATCH(SMALL(IF((Calc!$C$8:$C$500=Kanban!$C$7)*(Calc!$K$8:$K$500=Kanban!D$11)*(Calc!$Y$8:$Y$500&gt;0),Calc!$Y$8:$Y$500,99999),Kanban_Helper!$B229),Calc!$Y$8:$Y$500,0)))),IF(LEN(INDEX(Calc!$J$8:$J$500,MATCH(SMALL(IF((Calc!$K$8:$K$500=Kanban!D$11)*(Calc!$Y$8:$Y$500&gt;0),Calc!$Y$8:$Y$500,99999),Kanban_Helper!$B229),Calc!$Y$8:$Y$500,0)))=0,"",CONCATENATE(Calc!$AD$6,INDEX(Calc!$J$8:$J$500,MATCH(SMALL(IF((Calc!$K$8:$K$500=Kanban!D$11)*(Calc!$Y$8:$Y$500&gt;0),Calc!$Y$8:$Y$500,99999),Kanban_Helper!$B229),Calc!$Y$8:$Y$500,0)))))),"")</f>
        <v/>
      </c>
      <c r="E236" s="172" t="str">
        <f t="array" ref="E236">IFERROR(IF(LEN(E$11)=0,"",IF($C$7&lt;&gt;"All",IF(LEN(INDEX(Calc!$J$8:$J$500,MATCH(SMALL(IF((Calc!$C$8:$C$500=Kanban!$C$7)*(Calc!$K$8:$K$500=Kanban!E$11)*(Calc!$Y$8:$Y$500&gt;0),Calc!$Y$8:$Y$500,99999),Kanban_Helper!$B229),Calc!$Y$8:$Y$500,0)))=0,"",CONCATENATE(Calc!$AD$6,INDEX(Calc!$J$8:$J$500,MATCH(SMALL(IF((Calc!$C$8:$C$500=Kanban!$C$7)*(Calc!$K$8:$K$500=Kanban!E$11)*(Calc!$Y$8:$Y$500&gt;0),Calc!$Y$8:$Y$500,99999),Kanban_Helper!$B229),Calc!$Y$8:$Y$500,0)))),IF(LEN(INDEX(Calc!$J$8:$J$500,MATCH(SMALL(IF((Calc!$K$8:$K$500=Kanban!E$11)*(Calc!$Y$8:$Y$500&gt;0),Calc!$Y$8:$Y$500,99999),Kanban_Helper!$B229),Calc!$Y$8:$Y$500,0)))=0,"",CONCATENATE(Calc!$AD$6,INDEX(Calc!$J$8:$J$500,MATCH(SMALL(IF((Calc!$K$8:$K$500=Kanban!E$11)*(Calc!$Y$8:$Y$500&gt;0),Calc!$Y$8:$Y$500,99999),Kanban_Helper!$B229),Calc!$Y$8:$Y$500,0)))))),"")</f>
        <v/>
      </c>
      <c r="F236" s="172" t="str">
        <f t="array" ref="F236">IFERROR(IF(LEN(F$11)=0,"",IF($C$7&lt;&gt;"All",IF(LEN(INDEX(Calc!$J$8:$J$500,MATCH(SMALL(IF((Calc!$C$8:$C$500=Kanban!$C$7)*(Calc!$K$8:$K$500=Kanban!F$11)*(Calc!$Y$8:$Y$500&gt;0),Calc!$Y$8:$Y$500,99999),Kanban_Helper!$B229),Calc!$Y$8:$Y$500,0)))=0,"",CONCATENATE(Calc!$AD$6,INDEX(Calc!$J$8:$J$500,MATCH(SMALL(IF((Calc!$C$8:$C$500=Kanban!$C$7)*(Calc!$K$8:$K$500=Kanban!F$11)*(Calc!$Y$8:$Y$500&gt;0),Calc!$Y$8:$Y$500,99999),Kanban_Helper!$B229),Calc!$Y$8:$Y$500,0)))),IF(LEN(INDEX(Calc!$J$8:$J$500,MATCH(SMALL(IF((Calc!$K$8:$K$500=Kanban!F$11)*(Calc!$Y$8:$Y$500&gt;0),Calc!$Y$8:$Y$500,99999),Kanban_Helper!$B229),Calc!$Y$8:$Y$500,0)))=0,"",CONCATENATE(Calc!$AD$6,INDEX(Calc!$J$8:$J$500,MATCH(SMALL(IF((Calc!$K$8:$K$500=Kanban!F$11)*(Calc!$Y$8:$Y$500&gt;0),Calc!$Y$8:$Y$500,99999),Kanban_Helper!$B229),Calc!$Y$8:$Y$500,0)))))),"")</f>
        <v/>
      </c>
      <c r="G236" s="172" t="str">
        <f t="array" ref="G236">IFERROR(IF(LEN(G$11)=0,"",IF($C$7&lt;&gt;"All",IF(LEN(INDEX(Calc!$J$8:$J$500,MATCH(SMALL(IF((Calc!$C$8:$C$500=Kanban!$C$7)*(Calc!$K$8:$K$500=Kanban!G$11)*(Calc!$Y$8:$Y$500&gt;0),Calc!$Y$8:$Y$500,99999),Kanban_Helper!$B229),Calc!$Y$8:$Y$500,0)))=0,"",CONCATENATE(Calc!$AD$6,INDEX(Calc!$J$8:$J$500,MATCH(SMALL(IF((Calc!$C$8:$C$500=Kanban!$C$7)*(Calc!$K$8:$K$500=Kanban!G$11)*(Calc!$Y$8:$Y$500&gt;0),Calc!$Y$8:$Y$500,99999),Kanban_Helper!$B229),Calc!$Y$8:$Y$500,0)))),IF(LEN(INDEX(Calc!$J$8:$J$500,MATCH(SMALL(IF((Calc!$K$8:$K$500=Kanban!G$11)*(Calc!$Y$8:$Y$500&gt;0),Calc!$Y$8:$Y$500,99999),Kanban_Helper!$B229),Calc!$Y$8:$Y$500,0)))=0,"",CONCATENATE(Calc!$AD$6,INDEX(Calc!$J$8:$J$500,MATCH(SMALL(IF((Calc!$K$8:$K$500=Kanban!G$11)*(Calc!$Y$8:$Y$500&gt;0),Calc!$Y$8:$Y$500,99999),Kanban_Helper!$B229),Calc!$Y$8:$Y$500,0)))))),"")</f>
        <v/>
      </c>
      <c r="H236" s="172" t="str">
        <f t="array" ref="H236">IFERROR(IF(LEN(H$11)=0,"",IF($C$7&lt;&gt;"All",IF(LEN(INDEX(Calc!$J$8:$J$500,MATCH(SMALL(IF((Calc!$C$8:$C$500=Kanban!$C$7)*(Calc!$K$8:$K$500=Kanban!H$11)*(Calc!$Y$8:$Y$500&gt;0),Calc!$Y$8:$Y$500,99999),Kanban_Helper!$B229),Calc!$Y$8:$Y$500,0)))=0,"",CONCATENATE(Calc!$AD$6,INDEX(Calc!$J$8:$J$500,MATCH(SMALL(IF((Calc!$C$8:$C$500=Kanban!$C$7)*(Calc!$K$8:$K$500=Kanban!H$11)*(Calc!$Y$8:$Y$500&gt;0),Calc!$Y$8:$Y$500,99999),Kanban_Helper!$B229),Calc!$Y$8:$Y$500,0)))),IF(LEN(INDEX(Calc!$J$8:$J$500,MATCH(SMALL(IF((Calc!$K$8:$K$500=Kanban!H$11)*(Calc!$Y$8:$Y$500&gt;0),Calc!$Y$8:$Y$500,99999),Kanban_Helper!$B229),Calc!$Y$8:$Y$500,0)))=0,"",CONCATENATE(Calc!$AD$6,INDEX(Calc!$J$8:$J$500,MATCH(SMALL(IF((Calc!$K$8:$K$500=Kanban!H$11)*(Calc!$Y$8:$Y$500&gt;0),Calc!$Y$8:$Y$500,99999),Kanban_Helper!$B229),Calc!$Y$8:$Y$500,0)))))),"")</f>
        <v/>
      </c>
      <c r="I236" s="39"/>
    </row>
    <row r="237" spans="2:9" ht="15" thickTop="1" x14ac:dyDescent="0.35">
      <c r="B237" s="81"/>
      <c r="C237" s="170" t="str">
        <f t="array" ref="C237">IFERROR(IF(LEN(C$11)=0,"",IF($C$7&lt;&gt;"All",IF(INDEX(Calc!$V$8:$V$500,MATCH(INDEX(Calc!$D$8:$D$500,MATCH(SMALL(IF((Calc!$C$8:$C$500=Kanban!$C$7)*(Calc!$K$8:$K$500=Kanban!C$11)*(Calc!$Y$8:$Y$500&gt;0),Calc!$Y$8:$Y$500,99999),Kanban_Helper!$B230),Calc!$Y$8:$Y$500,0)),Calc!$D$8:$D$500,0))="Yes",CONCATENATE(INDEX(Calc!$D$8:$D$500,MATCH(SMALL(IF((Calc!$C$8:$C$500=Kanban!$C$7)*(Calc!$K$8:$K$500=Kanban!C$11)*(Calc!$Y$8:$Y$500&gt;0),Calc!$Y$8:$Y$500,99999),Kanban_Helper!$B230),Calc!$Y$8:$Y$500,0))," ",Calc!$V$7," ","!"),INDEX(Calc!$D$8:$D$500,MATCH(SMALL(IF((Calc!$C$8:$C$500=Kanban!$C$7)*(Calc!$K$8:$K$500=Kanban!C$11)*(Calc!$Y$8:$Y$500&gt;0),Calc!$Y$8:$Y$500,99999),Kanban_Helper!$B230),Calc!$Y$8:$Y$500,0))),IF(INDEX(Calc!$V$8:$V$500,MATCH(INDEX(Calc!$D$8:$D$500,MATCH(SMALL(IF((Calc!$K$8:$K$500=Kanban!C$11)*(Calc!$Y$8:$Y$500&gt;0),Calc!$Y$8:$Y$500,99999),Kanban_Helper!$B230),Calc!$Y$8:$Y$500,0)),Calc!$D$8:$D$500,0))="Yes",CONCATENATE(INDEX(Calc!$D$8:$D$500,MATCH(SMALL(IF((Calc!$K$8:$K$500=Kanban!C$11)*(Calc!$Y$8:$Y$500&gt;0),Calc!$Y$8:$Y$500,99999),Kanban_Helper!$B230),Calc!$Y$8:$Y$500,0))," ",Calc!$V$7," ","!"),INDEX(Calc!$D$8:$D$500,MATCH(SMALL(IF((Calc!$K$8:$K$500=Kanban!C$11)*(Calc!$Y$8:$Y$500&gt;0),Calc!$Y$8:$Y$500,99999),Kanban_Helper!$B230),Calc!$Y$8:$Y$500,0))))),"")</f>
        <v/>
      </c>
      <c r="D237" s="170" t="str">
        <f t="array" ref="D237">IFERROR(IF(LEN(D$11)=0,"",IF($C$7&lt;&gt;"All",IF(INDEX(Calc!$V$8:$V$500,MATCH(INDEX(Calc!$D$8:$D$500,MATCH(SMALL(IF((Calc!$C$8:$C$500=Kanban!$C$7)*(Calc!$K$8:$K$500=Kanban!D$11)*(Calc!$Y$8:$Y$500&gt;0),Calc!$Y$8:$Y$500,99999),Kanban_Helper!$B230),Calc!$Y$8:$Y$500,0)),Calc!$D$8:$D$500,0))="Yes",CONCATENATE(INDEX(Calc!$D$8:$D$500,MATCH(SMALL(IF((Calc!$C$8:$C$500=Kanban!$C$7)*(Calc!$K$8:$K$500=Kanban!D$11)*(Calc!$Y$8:$Y$500&gt;0),Calc!$Y$8:$Y$500,99999),Kanban_Helper!$B230),Calc!$Y$8:$Y$500,0))," ",Calc!$V$7," ","!"),INDEX(Calc!$D$8:$D$500,MATCH(SMALL(IF((Calc!$C$8:$C$500=Kanban!$C$7)*(Calc!$K$8:$K$500=Kanban!D$11)*(Calc!$Y$8:$Y$500&gt;0),Calc!$Y$8:$Y$500,99999),Kanban_Helper!$B230),Calc!$Y$8:$Y$500,0))),IF(INDEX(Calc!$V$8:$V$500,MATCH(INDEX(Calc!$D$8:$D$500,MATCH(SMALL(IF((Calc!$K$8:$K$500=Kanban!D$11)*(Calc!$Y$8:$Y$500&gt;0),Calc!$Y$8:$Y$500,99999),Kanban_Helper!$B230),Calc!$Y$8:$Y$500,0)),Calc!$D$8:$D$500,0))="Yes",CONCATENATE(INDEX(Calc!$D$8:$D$500,MATCH(SMALL(IF((Calc!$K$8:$K$500=Kanban!D$11)*(Calc!$Y$8:$Y$500&gt;0),Calc!$Y$8:$Y$500,99999),Kanban_Helper!$B230),Calc!$Y$8:$Y$500,0))," ",Calc!$V$7," ","!"),INDEX(Calc!$D$8:$D$500,MATCH(SMALL(IF((Calc!$K$8:$K$500=Kanban!D$11)*(Calc!$Y$8:$Y$500&gt;0),Calc!$Y$8:$Y$500,99999),Kanban_Helper!$B230),Calc!$Y$8:$Y$500,0))))),"")</f>
        <v/>
      </c>
      <c r="E237" s="170" t="str">
        <f t="array" ref="E237">IFERROR(IF(LEN(E$11)=0,"",IF($C$7&lt;&gt;"All",IF(INDEX(Calc!$V$8:$V$500,MATCH(INDEX(Calc!$D$8:$D$500,MATCH(SMALL(IF((Calc!$C$8:$C$500=Kanban!$C$7)*(Calc!$K$8:$K$500=Kanban!E$11)*(Calc!$Y$8:$Y$500&gt;0),Calc!$Y$8:$Y$500,99999),Kanban_Helper!$B230),Calc!$Y$8:$Y$500,0)),Calc!$D$8:$D$500,0))="Yes",CONCATENATE(INDEX(Calc!$D$8:$D$500,MATCH(SMALL(IF((Calc!$C$8:$C$500=Kanban!$C$7)*(Calc!$K$8:$K$500=Kanban!E$11)*(Calc!$Y$8:$Y$500&gt;0),Calc!$Y$8:$Y$500,99999),Kanban_Helper!$B230),Calc!$Y$8:$Y$500,0))," ",Calc!$V$7," ","!"),INDEX(Calc!$D$8:$D$500,MATCH(SMALL(IF((Calc!$C$8:$C$500=Kanban!$C$7)*(Calc!$K$8:$K$500=Kanban!E$11)*(Calc!$Y$8:$Y$500&gt;0),Calc!$Y$8:$Y$500,99999),Kanban_Helper!$B230),Calc!$Y$8:$Y$500,0))),IF(INDEX(Calc!$V$8:$V$500,MATCH(INDEX(Calc!$D$8:$D$500,MATCH(SMALL(IF((Calc!$K$8:$K$500=Kanban!E$11)*(Calc!$Y$8:$Y$500&gt;0),Calc!$Y$8:$Y$500,99999),Kanban_Helper!$B230),Calc!$Y$8:$Y$500,0)),Calc!$D$8:$D$500,0))="Yes",CONCATENATE(INDEX(Calc!$D$8:$D$500,MATCH(SMALL(IF((Calc!$K$8:$K$500=Kanban!E$11)*(Calc!$Y$8:$Y$500&gt;0),Calc!$Y$8:$Y$500,99999),Kanban_Helper!$B230),Calc!$Y$8:$Y$500,0))," ",Calc!$V$7," ","!"),INDEX(Calc!$D$8:$D$500,MATCH(SMALL(IF((Calc!$K$8:$K$500=Kanban!E$11)*(Calc!$Y$8:$Y$500&gt;0),Calc!$Y$8:$Y$500,99999),Kanban_Helper!$B230),Calc!$Y$8:$Y$500,0))))),"")</f>
        <v/>
      </c>
      <c r="F237" s="170" t="str">
        <f t="array" ref="F237">IFERROR(IF(LEN(F$11)=0,"",IF($C$7&lt;&gt;"All",IF(INDEX(Calc!$V$8:$V$500,MATCH(INDEX(Calc!$D$8:$D$500,MATCH(SMALL(IF((Calc!$C$8:$C$500=Kanban!$C$7)*(Calc!$K$8:$K$500=Kanban!F$11)*(Calc!$Y$8:$Y$500&gt;0),Calc!$Y$8:$Y$500,99999),Kanban_Helper!$B230),Calc!$Y$8:$Y$500,0)),Calc!$D$8:$D$500,0))="Yes",CONCATENATE(INDEX(Calc!$D$8:$D$500,MATCH(SMALL(IF((Calc!$C$8:$C$500=Kanban!$C$7)*(Calc!$K$8:$K$500=Kanban!F$11)*(Calc!$Y$8:$Y$500&gt;0),Calc!$Y$8:$Y$500,99999),Kanban_Helper!$B230),Calc!$Y$8:$Y$500,0))," ",Calc!$V$7," ","!"),INDEX(Calc!$D$8:$D$500,MATCH(SMALL(IF((Calc!$C$8:$C$500=Kanban!$C$7)*(Calc!$K$8:$K$500=Kanban!F$11)*(Calc!$Y$8:$Y$500&gt;0),Calc!$Y$8:$Y$500,99999),Kanban_Helper!$B230),Calc!$Y$8:$Y$500,0))),IF(INDEX(Calc!$V$8:$V$500,MATCH(INDEX(Calc!$D$8:$D$500,MATCH(SMALL(IF((Calc!$K$8:$K$500=Kanban!F$11)*(Calc!$Y$8:$Y$500&gt;0),Calc!$Y$8:$Y$500,99999),Kanban_Helper!$B230),Calc!$Y$8:$Y$500,0)),Calc!$D$8:$D$500,0))="Yes",CONCATENATE(INDEX(Calc!$D$8:$D$500,MATCH(SMALL(IF((Calc!$K$8:$K$500=Kanban!F$11)*(Calc!$Y$8:$Y$500&gt;0),Calc!$Y$8:$Y$500,99999),Kanban_Helper!$B230),Calc!$Y$8:$Y$500,0))," ",Calc!$V$7," ","!"),INDEX(Calc!$D$8:$D$500,MATCH(SMALL(IF((Calc!$K$8:$K$500=Kanban!F$11)*(Calc!$Y$8:$Y$500&gt;0),Calc!$Y$8:$Y$500,99999),Kanban_Helper!$B230),Calc!$Y$8:$Y$500,0))))),"")</f>
        <v/>
      </c>
      <c r="G237" s="170" t="str">
        <f t="array" ref="G237">IFERROR(IF(LEN(G$11)=0,"",IF($C$7&lt;&gt;"All",IF(INDEX(Calc!$V$8:$V$500,MATCH(INDEX(Calc!$D$8:$D$500,MATCH(SMALL(IF((Calc!$C$8:$C$500=Kanban!$C$7)*(Calc!$K$8:$K$500=Kanban!G$11)*(Calc!$Y$8:$Y$500&gt;0),Calc!$Y$8:$Y$500,99999),Kanban_Helper!$B230),Calc!$Y$8:$Y$500,0)),Calc!$D$8:$D$500,0))="Yes",CONCATENATE(INDEX(Calc!$D$8:$D$500,MATCH(SMALL(IF((Calc!$C$8:$C$500=Kanban!$C$7)*(Calc!$K$8:$K$500=Kanban!G$11)*(Calc!$Y$8:$Y$500&gt;0),Calc!$Y$8:$Y$500,99999),Kanban_Helper!$B230),Calc!$Y$8:$Y$500,0))," ",Calc!$V$7," ","!"),INDEX(Calc!$D$8:$D$500,MATCH(SMALL(IF((Calc!$C$8:$C$500=Kanban!$C$7)*(Calc!$K$8:$K$500=Kanban!G$11)*(Calc!$Y$8:$Y$500&gt;0),Calc!$Y$8:$Y$500,99999),Kanban_Helper!$B230),Calc!$Y$8:$Y$500,0))),IF(INDEX(Calc!$V$8:$V$500,MATCH(INDEX(Calc!$D$8:$D$500,MATCH(SMALL(IF((Calc!$K$8:$K$500=Kanban!G$11)*(Calc!$Y$8:$Y$500&gt;0),Calc!$Y$8:$Y$500,99999),Kanban_Helper!$B230),Calc!$Y$8:$Y$500,0)),Calc!$D$8:$D$500,0))="Yes",CONCATENATE(INDEX(Calc!$D$8:$D$500,MATCH(SMALL(IF((Calc!$K$8:$K$500=Kanban!G$11)*(Calc!$Y$8:$Y$500&gt;0),Calc!$Y$8:$Y$500,99999),Kanban_Helper!$B230),Calc!$Y$8:$Y$500,0))," ",Calc!$V$7," ","!"),INDEX(Calc!$D$8:$D$500,MATCH(SMALL(IF((Calc!$K$8:$K$500=Kanban!G$11)*(Calc!$Y$8:$Y$500&gt;0),Calc!$Y$8:$Y$500,99999),Kanban_Helper!$B230),Calc!$Y$8:$Y$500,0))))),"")</f>
        <v/>
      </c>
      <c r="H237" s="170" t="str">
        <f t="array" ref="H237">IFERROR(IF(LEN(H$11)=0,"",IF($C$7&lt;&gt;"All",IF(INDEX(Calc!$V$8:$V$500,MATCH(INDEX(Calc!$D$8:$D$500,MATCH(SMALL(IF((Calc!$C$8:$C$500=Kanban!$C$7)*(Calc!$K$8:$K$500=Kanban!H$11)*(Calc!$Y$8:$Y$500&gt;0),Calc!$Y$8:$Y$500,99999),Kanban_Helper!$B230),Calc!$Y$8:$Y$500,0)),Calc!$D$8:$D$500,0))="Yes",CONCATENATE(INDEX(Calc!$D$8:$D$500,MATCH(SMALL(IF((Calc!$C$8:$C$500=Kanban!$C$7)*(Calc!$K$8:$K$500=Kanban!H$11)*(Calc!$Y$8:$Y$500&gt;0),Calc!$Y$8:$Y$500,99999),Kanban_Helper!$B230),Calc!$Y$8:$Y$500,0))," ",Calc!$V$7," ","!"),INDEX(Calc!$D$8:$D$500,MATCH(SMALL(IF((Calc!$C$8:$C$500=Kanban!$C$7)*(Calc!$K$8:$K$500=Kanban!H$11)*(Calc!$Y$8:$Y$500&gt;0),Calc!$Y$8:$Y$500,99999),Kanban_Helper!$B230),Calc!$Y$8:$Y$500,0))),IF(INDEX(Calc!$V$8:$V$500,MATCH(INDEX(Calc!$D$8:$D$500,MATCH(SMALL(IF((Calc!$K$8:$K$500=Kanban!H$11)*(Calc!$Y$8:$Y$500&gt;0),Calc!$Y$8:$Y$500,99999),Kanban_Helper!$B230),Calc!$Y$8:$Y$500,0)),Calc!$D$8:$D$500,0))="Yes",CONCATENATE(INDEX(Calc!$D$8:$D$500,MATCH(SMALL(IF((Calc!$K$8:$K$500=Kanban!H$11)*(Calc!$Y$8:$Y$500&gt;0),Calc!$Y$8:$Y$500,99999),Kanban_Helper!$B230),Calc!$Y$8:$Y$500,0))," ",Calc!$V$7," ","!"),INDEX(Calc!$D$8:$D$500,MATCH(SMALL(IF((Calc!$K$8:$K$500=Kanban!H$11)*(Calc!$Y$8:$Y$500&gt;0),Calc!$Y$8:$Y$500,99999),Kanban_Helper!$B230),Calc!$Y$8:$Y$500,0))))),"")</f>
        <v/>
      </c>
      <c r="I237" s="39"/>
    </row>
    <row r="238" spans="2:9" x14ac:dyDescent="0.35">
      <c r="B238" s="81"/>
      <c r="C238" s="171" t="str">
        <f t="array" ref="C238">IFERROR(IF(LEN(C$11)=0,"",IF($C$7&lt;&gt;"All",INDEX(Calc!$E$8:$E$500,MATCH(SMALL(IF((Calc!$C$8:$C$500=Kanban!$C$7)*(Calc!$K$8:$K$500=Kanban!C$11)*(Calc!$Y$8:$Y$500&gt;0),Calc!$Y$8:$Y$500,99999),Kanban_Helper!$B231),Calc!$Y$8:$Y$500,0)),INDEX(Calc!$E$8:$E$500,MATCH(SMALL(IF((Calc!$K$8:$K$500=Kanban!C$11)*(Calc!$Y$8:$Y$500&gt;0),Calc!$Y$8:$Y$500,99999),Kanban_Helper!$B231),Calc!$Y$8:$Y$500,0)))),"")</f>
        <v/>
      </c>
      <c r="D238" s="171" t="str">
        <f t="array" ref="D238">IFERROR(IF(LEN(D$11)=0,"",IF($C$7&lt;&gt;"All",INDEX(Calc!$E$8:$E$500,MATCH(SMALL(IF((Calc!$C$8:$C$500=Kanban!$C$7)*(Calc!$K$8:$K$500=Kanban!D$11)*(Calc!$Y$8:$Y$500&gt;0),Calc!$Y$8:$Y$500,99999),Kanban_Helper!$B231),Calc!$Y$8:$Y$500,0)),INDEX(Calc!$E$8:$E$500,MATCH(SMALL(IF((Calc!$K$8:$K$500=Kanban!D$11)*(Calc!$Y$8:$Y$500&gt;0),Calc!$Y$8:$Y$500,99999),Kanban_Helper!$B231),Calc!$Y$8:$Y$500,0)))),"")</f>
        <v/>
      </c>
      <c r="E238" s="171" t="str">
        <f t="array" ref="E238">IFERROR(IF(LEN(E$11)=0,"",IF($C$7&lt;&gt;"All",INDEX(Calc!$E$8:$E$500,MATCH(SMALL(IF((Calc!$C$8:$C$500=Kanban!$C$7)*(Calc!$K$8:$K$500=Kanban!E$11)*(Calc!$Y$8:$Y$500&gt;0),Calc!$Y$8:$Y$500,99999),Kanban_Helper!$B231),Calc!$Y$8:$Y$500,0)),INDEX(Calc!$E$8:$E$500,MATCH(SMALL(IF((Calc!$K$8:$K$500=Kanban!E$11)*(Calc!$Y$8:$Y$500&gt;0),Calc!$Y$8:$Y$500,99999),Kanban_Helper!$B231),Calc!$Y$8:$Y$500,0)))),"")</f>
        <v/>
      </c>
      <c r="F238" s="171" t="str">
        <f t="array" ref="F238">IFERROR(IF(LEN(F$11)=0,"",IF($C$7&lt;&gt;"All",INDEX(Calc!$E$8:$E$500,MATCH(SMALL(IF((Calc!$C$8:$C$500=Kanban!$C$7)*(Calc!$K$8:$K$500=Kanban!F$11)*(Calc!$Y$8:$Y$500&gt;0),Calc!$Y$8:$Y$500,99999),Kanban_Helper!$B231),Calc!$Y$8:$Y$500,0)),INDEX(Calc!$E$8:$E$500,MATCH(SMALL(IF((Calc!$K$8:$K$500=Kanban!F$11)*(Calc!$Y$8:$Y$500&gt;0),Calc!$Y$8:$Y$500,99999),Kanban_Helper!$B231),Calc!$Y$8:$Y$500,0)))),"")</f>
        <v/>
      </c>
      <c r="G238" s="171" t="str">
        <f t="array" ref="G238">IFERROR(IF(LEN(G$11)=0,"",IF($C$7&lt;&gt;"All",INDEX(Calc!$E$8:$E$500,MATCH(SMALL(IF((Calc!$C$8:$C$500=Kanban!$C$7)*(Calc!$K$8:$K$500=Kanban!G$11)*(Calc!$Y$8:$Y$500&gt;0),Calc!$Y$8:$Y$500,99999),Kanban_Helper!$B231),Calc!$Y$8:$Y$500,0)),INDEX(Calc!$E$8:$E$500,MATCH(SMALL(IF((Calc!$K$8:$K$500=Kanban!G$11)*(Calc!$Y$8:$Y$500&gt;0),Calc!$Y$8:$Y$500,99999),Kanban_Helper!$B231),Calc!$Y$8:$Y$500,0)))),"")</f>
        <v/>
      </c>
      <c r="H238" s="171" t="str">
        <f t="array" ref="H238">IFERROR(IF(LEN(H$11)=0,"",IF($C$7&lt;&gt;"All",INDEX(Calc!$E$8:$E$500,MATCH(SMALL(IF((Calc!$C$8:$C$500=Kanban!$C$7)*(Calc!$K$8:$K$500=Kanban!H$11)*(Calc!$Y$8:$Y$500&gt;0),Calc!$Y$8:$Y$500,99999),Kanban_Helper!$B231),Calc!$Y$8:$Y$500,0)),INDEX(Calc!$E$8:$E$500,MATCH(SMALL(IF((Calc!$K$8:$K$500=Kanban!H$11)*(Calc!$Y$8:$Y$500&gt;0),Calc!$Y$8:$Y$500,99999),Kanban_Helper!$B231),Calc!$Y$8:$Y$500,0)))),"")</f>
        <v/>
      </c>
      <c r="I238" s="39"/>
    </row>
    <row r="239" spans="2:9" ht="15" thickBot="1" x14ac:dyDescent="0.4">
      <c r="B239" s="81"/>
      <c r="C239" s="172" t="str">
        <f t="array" ref="C239">IFERROR(IF(LEN(C$11)=0,"",IF($C$7&lt;&gt;"All",IF(LEN(INDEX(Calc!$J$8:$J$500,MATCH(SMALL(IF((Calc!$C$8:$C$500=Kanban!$C$7)*(Calc!$K$8:$K$500=Kanban!C$11)*(Calc!$Y$8:$Y$500&gt;0),Calc!$Y$8:$Y$500,99999),Kanban_Helper!$B232),Calc!$Y$8:$Y$500,0)))=0,"",CONCATENATE(Calc!$AD$6,INDEX(Calc!$J$8:$J$500,MATCH(SMALL(IF((Calc!$C$8:$C$500=Kanban!$C$7)*(Calc!$K$8:$K$500=Kanban!C$11)*(Calc!$Y$8:$Y$500&gt;0),Calc!$Y$8:$Y$500,99999),Kanban_Helper!$B232),Calc!$Y$8:$Y$500,0)))),IF(LEN(INDEX(Calc!$J$8:$J$500,MATCH(SMALL(IF((Calc!$K$8:$K$500=Kanban!C$11)*(Calc!$Y$8:$Y$500&gt;0),Calc!$Y$8:$Y$500,99999),Kanban_Helper!$B232),Calc!$Y$8:$Y$500,0)))=0,"",CONCATENATE(Calc!$AD$6,INDEX(Calc!$J$8:$J$500,MATCH(SMALL(IF((Calc!$K$8:$K$500=Kanban!C$11)*(Calc!$Y$8:$Y$500&gt;0),Calc!$Y$8:$Y$500,99999),Kanban_Helper!$B232),Calc!$Y$8:$Y$500,0)))))),"")</f>
        <v/>
      </c>
      <c r="D239" s="172" t="str">
        <f t="array" ref="D239">IFERROR(IF(LEN(D$11)=0,"",IF($C$7&lt;&gt;"All",IF(LEN(INDEX(Calc!$J$8:$J$500,MATCH(SMALL(IF((Calc!$C$8:$C$500=Kanban!$C$7)*(Calc!$K$8:$K$500=Kanban!D$11)*(Calc!$Y$8:$Y$500&gt;0),Calc!$Y$8:$Y$500,99999),Kanban_Helper!$B232),Calc!$Y$8:$Y$500,0)))=0,"",CONCATENATE(Calc!$AD$6,INDEX(Calc!$J$8:$J$500,MATCH(SMALL(IF((Calc!$C$8:$C$500=Kanban!$C$7)*(Calc!$K$8:$K$500=Kanban!D$11)*(Calc!$Y$8:$Y$500&gt;0),Calc!$Y$8:$Y$500,99999),Kanban_Helper!$B232),Calc!$Y$8:$Y$500,0)))),IF(LEN(INDEX(Calc!$J$8:$J$500,MATCH(SMALL(IF((Calc!$K$8:$K$500=Kanban!D$11)*(Calc!$Y$8:$Y$500&gt;0),Calc!$Y$8:$Y$500,99999),Kanban_Helper!$B232),Calc!$Y$8:$Y$500,0)))=0,"",CONCATENATE(Calc!$AD$6,INDEX(Calc!$J$8:$J$500,MATCH(SMALL(IF((Calc!$K$8:$K$500=Kanban!D$11)*(Calc!$Y$8:$Y$500&gt;0),Calc!$Y$8:$Y$500,99999),Kanban_Helper!$B232),Calc!$Y$8:$Y$500,0)))))),"")</f>
        <v/>
      </c>
      <c r="E239" s="172" t="str">
        <f t="array" ref="E239">IFERROR(IF(LEN(E$11)=0,"",IF($C$7&lt;&gt;"All",IF(LEN(INDEX(Calc!$J$8:$J$500,MATCH(SMALL(IF((Calc!$C$8:$C$500=Kanban!$C$7)*(Calc!$K$8:$K$500=Kanban!E$11)*(Calc!$Y$8:$Y$500&gt;0),Calc!$Y$8:$Y$500,99999),Kanban_Helper!$B232),Calc!$Y$8:$Y$500,0)))=0,"",CONCATENATE(Calc!$AD$6,INDEX(Calc!$J$8:$J$500,MATCH(SMALL(IF((Calc!$C$8:$C$500=Kanban!$C$7)*(Calc!$K$8:$K$500=Kanban!E$11)*(Calc!$Y$8:$Y$500&gt;0),Calc!$Y$8:$Y$500,99999),Kanban_Helper!$B232),Calc!$Y$8:$Y$500,0)))),IF(LEN(INDEX(Calc!$J$8:$J$500,MATCH(SMALL(IF((Calc!$K$8:$K$500=Kanban!E$11)*(Calc!$Y$8:$Y$500&gt;0),Calc!$Y$8:$Y$500,99999),Kanban_Helper!$B232),Calc!$Y$8:$Y$500,0)))=0,"",CONCATENATE(Calc!$AD$6,INDEX(Calc!$J$8:$J$500,MATCH(SMALL(IF((Calc!$K$8:$K$500=Kanban!E$11)*(Calc!$Y$8:$Y$500&gt;0),Calc!$Y$8:$Y$500,99999),Kanban_Helper!$B232),Calc!$Y$8:$Y$500,0)))))),"")</f>
        <v/>
      </c>
      <c r="F239" s="172" t="str">
        <f t="array" ref="F239">IFERROR(IF(LEN(F$11)=0,"",IF($C$7&lt;&gt;"All",IF(LEN(INDEX(Calc!$J$8:$J$500,MATCH(SMALL(IF((Calc!$C$8:$C$500=Kanban!$C$7)*(Calc!$K$8:$K$500=Kanban!F$11)*(Calc!$Y$8:$Y$500&gt;0),Calc!$Y$8:$Y$500,99999),Kanban_Helper!$B232),Calc!$Y$8:$Y$500,0)))=0,"",CONCATENATE(Calc!$AD$6,INDEX(Calc!$J$8:$J$500,MATCH(SMALL(IF((Calc!$C$8:$C$500=Kanban!$C$7)*(Calc!$K$8:$K$500=Kanban!F$11)*(Calc!$Y$8:$Y$500&gt;0),Calc!$Y$8:$Y$500,99999),Kanban_Helper!$B232),Calc!$Y$8:$Y$500,0)))),IF(LEN(INDEX(Calc!$J$8:$J$500,MATCH(SMALL(IF((Calc!$K$8:$K$500=Kanban!F$11)*(Calc!$Y$8:$Y$500&gt;0),Calc!$Y$8:$Y$500,99999),Kanban_Helper!$B232),Calc!$Y$8:$Y$500,0)))=0,"",CONCATENATE(Calc!$AD$6,INDEX(Calc!$J$8:$J$500,MATCH(SMALL(IF((Calc!$K$8:$K$500=Kanban!F$11)*(Calc!$Y$8:$Y$500&gt;0),Calc!$Y$8:$Y$500,99999),Kanban_Helper!$B232),Calc!$Y$8:$Y$500,0)))))),"")</f>
        <v/>
      </c>
      <c r="G239" s="172" t="str">
        <f t="array" ref="G239">IFERROR(IF(LEN(G$11)=0,"",IF($C$7&lt;&gt;"All",IF(LEN(INDEX(Calc!$J$8:$J$500,MATCH(SMALL(IF((Calc!$C$8:$C$500=Kanban!$C$7)*(Calc!$K$8:$K$500=Kanban!G$11)*(Calc!$Y$8:$Y$500&gt;0),Calc!$Y$8:$Y$500,99999),Kanban_Helper!$B232),Calc!$Y$8:$Y$500,0)))=0,"",CONCATENATE(Calc!$AD$6,INDEX(Calc!$J$8:$J$500,MATCH(SMALL(IF((Calc!$C$8:$C$500=Kanban!$C$7)*(Calc!$K$8:$K$500=Kanban!G$11)*(Calc!$Y$8:$Y$500&gt;0),Calc!$Y$8:$Y$500,99999),Kanban_Helper!$B232),Calc!$Y$8:$Y$500,0)))),IF(LEN(INDEX(Calc!$J$8:$J$500,MATCH(SMALL(IF((Calc!$K$8:$K$500=Kanban!G$11)*(Calc!$Y$8:$Y$500&gt;0),Calc!$Y$8:$Y$500,99999),Kanban_Helper!$B232),Calc!$Y$8:$Y$500,0)))=0,"",CONCATENATE(Calc!$AD$6,INDEX(Calc!$J$8:$J$500,MATCH(SMALL(IF((Calc!$K$8:$K$500=Kanban!G$11)*(Calc!$Y$8:$Y$500&gt;0),Calc!$Y$8:$Y$500,99999),Kanban_Helper!$B232),Calc!$Y$8:$Y$500,0)))))),"")</f>
        <v/>
      </c>
      <c r="H239" s="172" t="str">
        <f t="array" ref="H239">IFERROR(IF(LEN(H$11)=0,"",IF($C$7&lt;&gt;"All",IF(LEN(INDEX(Calc!$J$8:$J$500,MATCH(SMALL(IF((Calc!$C$8:$C$500=Kanban!$C$7)*(Calc!$K$8:$K$500=Kanban!H$11)*(Calc!$Y$8:$Y$500&gt;0),Calc!$Y$8:$Y$500,99999),Kanban_Helper!$B232),Calc!$Y$8:$Y$500,0)))=0,"",CONCATENATE(Calc!$AD$6,INDEX(Calc!$J$8:$J$500,MATCH(SMALL(IF((Calc!$C$8:$C$500=Kanban!$C$7)*(Calc!$K$8:$K$500=Kanban!H$11)*(Calc!$Y$8:$Y$500&gt;0),Calc!$Y$8:$Y$500,99999),Kanban_Helper!$B232),Calc!$Y$8:$Y$500,0)))),IF(LEN(INDEX(Calc!$J$8:$J$500,MATCH(SMALL(IF((Calc!$K$8:$K$500=Kanban!H$11)*(Calc!$Y$8:$Y$500&gt;0),Calc!$Y$8:$Y$500,99999),Kanban_Helper!$B232),Calc!$Y$8:$Y$500,0)))=0,"",CONCATENATE(Calc!$AD$6,INDEX(Calc!$J$8:$J$500,MATCH(SMALL(IF((Calc!$K$8:$K$500=Kanban!H$11)*(Calc!$Y$8:$Y$500&gt;0),Calc!$Y$8:$Y$500,99999),Kanban_Helper!$B232),Calc!$Y$8:$Y$500,0)))))),"")</f>
        <v/>
      </c>
      <c r="I239" s="39"/>
    </row>
    <row r="240" spans="2:9" ht="15" thickTop="1" x14ac:dyDescent="0.35">
      <c r="B240" s="81"/>
      <c r="C240" s="170" t="str">
        <f t="array" ref="C240">IFERROR(IF(LEN(C$11)=0,"",IF($C$7&lt;&gt;"All",IF(INDEX(Calc!$V$8:$V$500,MATCH(INDEX(Calc!$D$8:$D$500,MATCH(SMALL(IF((Calc!$C$8:$C$500=Kanban!$C$7)*(Calc!$K$8:$K$500=Kanban!C$11)*(Calc!$Y$8:$Y$500&gt;0),Calc!$Y$8:$Y$500,99999),Kanban_Helper!$B233),Calc!$Y$8:$Y$500,0)),Calc!$D$8:$D$500,0))="Yes",CONCATENATE(INDEX(Calc!$D$8:$D$500,MATCH(SMALL(IF((Calc!$C$8:$C$500=Kanban!$C$7)*(Calc!$K$8:$K$500=Kanban!C$11)*(Calc!$Y$8:$Y$500&gt;0),Calc!$Y$8:$Y$500,99999),Kanban_Helper!$B233),Calc!$Y$8:$Y$500,0))," ",Calc!$V$7," ","!"),INDEX(Calc!$D$8:$D$500,MATCH(SMALL(IF((Calc!$C$8:$C$500=Kanban!$C$7)*(Calc!$K$8:$K$500=Kanban!C$11)*(Calc!$Y$8:$Y$500&gt;0),Calc!$Y$8:$Y$500,99999),Kanban_Helper!$B233),Calc!$Y$8:$Y$500,0))),IF(INDEX(Calc!$V$8:$V$500,MATCH(INDEX(Calc!$D$8:$D$500,MATCH(SMALL(IF((Calc!$K$8:$K$500=Kanban!C$11)*(Calc!$Y$8:$Y$500&gt;0),Calc!$Y$8:$Y$500,99999),Kanban_Helper!$B233),Calc!$Y$8:$Y$500,0)),Calc!$D$8:$D$500,0))="Yes",CONCATENATE(INDEX(Calc!$D$8:$D$500,MATCH(SMALL(IF((Calc!$K$8:$K$500=Kanban!C$11)*(Calc!$Y$8:$Y$500&gt;0),Calc!$Y$8:$Y$500,99999),Kanban_Helper!$B233),Calc!$Y$8:$Y$500,0))," ",Calc!$V$7," ","!"),INDEX(Calc!$D$8:$D$500,MATCH(SMALL(IF((Calc!$K$8:$K$500=Kanban!C$11)*(Calc!$Y$8:$Y$500&gt;0),Calc!$Y$8:$Y$500,99999),Kanban_Helper!$B233),Calc!$Y$8:$Y$500,0))))),"")</f>
        <v/>
      </c>
      <c r="D240" s="170" t="str">
        <f t="array" ref="D240">IFERROR(IF(LEN(D$11)=0,"",IF($C$7&lt;&gt;"All",IF(INDEX(Calc!$V$8:$V$500,MATCH(INDEX(Calc!$D$8:$D$500,MATCH(SMALL(IF((Calc!$C$8:$C$500=Kanban!$C$7)*(Calc!$K$8:$K$500=Kanban!D$11)*(Calc!$Y$8:$Y$500&gt;0),Calc!$Y$8:$Y$500,99999),Kanban_Helper!$B233),Calc!$Y$8:$Y$500,0)),Calc!$D$8:$D$500,0))="Yes",CONCATENATE(INDEX(Calc!$D$8:$D$500,MATCH(SMALL(IF((Calc!$C$8:$C$500=Kanban!$C$7)*(Calc!$K$8:$K$500=Kanban!D$11)*(Calc!$Y$8:$Y$500&gt;0),Calc!$Y$8:$Y$500,99999),Kanban_Helper!$B233),Calc!$Y$8:$Y$500,0))," ",Calc!$V$7," ","!"),INDEX(Calc!$D$8:$D$500,MATCH(SMALL(IF((Calc!$C$8:$C$500=Kanban!$C$7)*(Calc!$K$8:$K$500=Kanban!D$11)*(Calc!$Y$8:$Y$500&gt;0),Calc!$Y$8:$Y$500,99999),Kanban_Helper!$B233),Calc!$Y$8:$Y$500,0))),IF(INDEX(Calc!$V$8:$V$500,MATCH(INDEX(Calc!$D$8:$D$500,MATCH(SMALL(IF((Calc!$K$8:$K$500=Kanban!D$11)*(Calc!$Y$8:$Y$500&gt;0),Calc!$Y$8:$Y$500,99999),Kanban_Helper!$B233),Calc!$Y$8:$Y$500,0)),Calc!$D$8:$D$500,0))="Yes",CONCATENATE(INDEX(Calc!$D$8:$D$500,MATCH(SMALL(IF((Calc!$K$8:$K$500=Kanban!D$11)*(Calc!$Y$8:$Y$500&gt;0),Calc!$Y$8:$Y$500,99999),Kanban_Helper!$B233),Calc!$Y$8:$Y$500,0))," ",Calc!$V$7," ","!"),INDEX(Calc!$D$8:$D$500,MATCH(SMALL(IF((Calc!$K$8:$K$500=Kanban!D$11)*(Calc!$Y$8:$Y$500&gt;0),Calc!$Y$8:$Y$500,99999),Kanban_Helper!$B233),Calc!$Y$8:$Y$500,0))))),"")</f>
        <v/>
      </c>
      <c r="E240" s="170" t="str">
        <f t="array" ref="E240">IFERROR(IF(LEN(E$11)=0,"",IF($C$7&lt;&gt;"All",IF(INDEX(Calc!$V$8:$V$500,MATCH(INDEX(Calc!$D$8:$D$500,MATCH(SMALL(IF((Calc!$C$8:$C$500=Kanban!$C$7)*(Calc!$K$8:$K$500=Kanban!E$11)*(Calc!$Y$8:$Y$500&gt;0),Calc!$Y$8:$Y$500,99999),Kanban_Helper!$B233),Calc!$Y$8:$Y$500,0)),Calc!$D$8:$D$500,0))="Yes",CONCATENATE(INDEX(Calc!$D$8:$D$500,MATCH(SMALL(IF((Calc!$C$8:$C$500=Kanban!$C$7)*(Calc!$K$8:$K$500=Kanban!E$11)*(Calc!$Y$8:$Y$500&gt;0),Calc!$Y$8:$Y$500,99999),Kanban_Helper!$B233),Calc!$Y$8:$Y$500,0))," ",Calc!$V$7," ","!"),INDEX(Calc!$D$8:$D$500,MATCH(SMALL(IF((Calc!$C$8:$C$500=Kanban!$C$7)*(Calc!$K$8:$K$500=Kanban!E$11)*(Calc!$Y$8:$Y$500&gt;0),Calc!$Y$8:$Y$500,99999),Kanban_Helper!$B233),Calc!$Y$8:$Y$500,0))),IF(INDEX(Calc!$V$8:$V$500,MATCH(INDEX(Calc!$D$8:$D$500,MATCH(SMALL(IF((Calc!$K$8:$K$500=Kanban!E$11)*(Calc!$Y$8:$Y$500&gt;0),Calc!$Y$8:$Y$500,99999),Kanban_Helper!$B233),Calc!$Y$8:$Y$500,0)),Calc!$D$8:$D$500,0))="Yes",CONCATENATE(INDEX(Calc!$D$8:$D$500,MATCH(SMALL(IF((Calc!$K$8:$K$500=Kanban!E$11)*(Calc!$Y$8:$Y$500&gt;0),Calc!$Y$8:$Y$500,99999),Kanban_Helper!$B233),Calc!$Y$8:$Y$500,0))," ",Calc!$V$7," ","!"),INDEX(Calc!$D$8:$D$500,MATCH(SMALL(IF((Calc!$K$8:$K$500=Kanban!E$11)*(Calc!$Y$8:$Y$500&gt;0),Calc!$Y$8:$Y$500,99999),Kanban_Helper!$B233),Calc!$Y$8:$Y$500,0))))),"")</f>
        <v/>
      </c>
      <c r="F240" s="170" t="str">
        <f t="array" ref="F240">IFERROR(IF(LEN(F$11)=0,"",IF($C$7&lt;&gt;"All",IF(INDEX(Calc!$V$8:$V$500,MATCH(INDEX(Calc!$D$8:$D$500,MATCH(SMALL(IF((Calc!$C$8:$C$500=Kanban!$C$7)*(Calc!$K$8:$K$500=Kanban!F$11)*(Calc!$Y$8:$Y$500&gt;0),Calc!$Y$8:$Y$500,99999),Kanban_Helper!$B233),Calc!$Y$8:$Y$500,0)),Calc!$D$8:$D$500,0))="Yes",CONCATENATE(INDEX(Calc!$D$8:$D$500,MATCH(SMALL(IF((Calc!$C$8:$C$500=Kanban!$C$7)*(Calc!$K$8:$K$500=Kanban!F$11)*(Calc!$Y$8:$Y$500&gt;0),Calc!$Y$8:$Y$500,99999),Kanban_Helper!$B233),Calc!$Y$8:$Y$500,0))," ",Calc!$V$7," ","!"),INDEX(Calc!$D$8:$D$500,MATCH(SMALL(IF((Calc!$C$8:$C$500=Kanban!$C$7)*(Calc!$K$8:$K$500=Kanban!F$11)*(Calc!$Y$8:$Y$500&gt;0),Calc!$Y$8:$Y$500,99999),Kanban_Helper!$B233),Calc!$Y$8:$Y$500,0))),IF(INDEX(Calc!$V$8:$V$500,MATCH(INDEX(Calc!$D$8:$D$500,MATCH(SMALL(IF((Calc!$K$8:$K$500=Kanban!F$11)*(Calc!$Y$8:$Y$500&gt;0),Calc!$Y$8:$Y$500,99999),Kanban_Helper!$B233),Calc!$Y$8:$Y$500,0)),Calc!$D$8:$D$500,0))="Yes",CONCATENATE(INDEX(Calc!$D$8:$D$500,MATCH(SMALL(IF((Calc!$K$8:$K$500=Kanban!F$11)*(Calc!$Y$8:$Y$500&gt;0),Calc!$Y$8:$Y$500,99999),Kanban_Helper!$B233),Calc!$Y$8:$Y$500,0))," ",Calc!$V$7," ","!"),INDEX(Calc!$D$8:$D$500,MATCH(SMALL(IF((Calc!$K$8:$K$500=Kanban!F$11)*(Calc!$Y$8:$Y$500&gt;0),Calc!$Y$8:$Y$500,99999),Kanban_Helper!$B233),Calc!$Y$8:$Y$500,0))))),"")</f>
        <v/>
      </c>
      <c r="G240" s="170" t="str">
        <f t="array" ref="G240">IFERROR(IF(LEN(G$11)=0,"",IF($C$7&lt;&gt;"All",IF(INDEX(Calc!$V$8:$V$500,MATCH(INDEX(Calc!$D$8:$D$500,MATCH(SMALL(IF((Calc!$C$8:$C$500=Kanban!$C$7)*(Calc!$K$8:$K$500=Kanban!G$11)*(Calc!$Y$8:$Y$500&gt;0),Calc!$Y$8:$Y$500,99999),Kanban_Helper!$B233),Calc!$Y$8:$Y$500,0)),Calc!$D$8:$D$500,0))="Yes",CONCATENATE(INDEX(Calc!$D$8:$D$500,MATCH(SMALL(IF((Calc!$C$8:$C$500=Kanban!$C$7)*(Calc!$K$8:$K$500=Kanban!G$11)*(Calc!$Y$8:$Y$500&gt;0),Calc!$Y$8:$Y$500,99999),Kanban_Helper!$B233),Calc!$Y$8:$Y$500,0))," ",Calc!$V$7," ","!"),INDEX(Calc!$D$8:$D$500,MATCH(SMALL(IF((Calc!$C$8:$C$500=Kanban!$C$7)*(Calc!$K$8:$K$500=Kanban!G$11)*(Calc!$Y$8:$Y$500&gt;0),Calc!$Y$8:$Y$500,99999),Kanban_Helper!$B233),Calc!$Y$8:$Y$500,0))),IF(INDEX(Calc!$V$8:$V$500,MATCH(INDEX(Calc!$D$8:$D$500,MATCH(SMALL(IF((Calc!$K$8:$K$500=Kanban!G$11)*(Calc!$Y$8:$Y$500&gt;0),Calc!$Y$8:$Y$500,99999),Kanban_Helper!$B233),Calc!$Y$8:$Y$500,0)),Calc!$D$8:$D$500,0))="Yes",CONCATENATE(INDEX(Calc!$D$8:$D$500,MATCH(SMALL(IF((Calc!$K$8:$K$500=Kanban!G$11)*(Calc!$Y$8:$Y$500&gt;0),Calc!$Y$8:$Y$500,99999),Kanban_Helper!$B233),Calc!$Y$8:$Y$500,0))," ",Calc!$V$7," ","!"),INDEX(Calc!$D$8:$D$500,MATCH(SMALL(IF((Calc!$K$8:$K$500=Kanban!G$11)*(Calc!$Y$8:$Y$500&gt;0),Calc!$Y$8:$Y$500,99999),Kanban_Helper!$B233),Calc!$Y$8:$Y$500,0))))),"")</f>
        <v/>
      </c>
      <c r="H240" s="170" t="str">
        <f t="array" ref="H240">IFERROR(IF(LEN(H$11)=0,"",IF($C$7&lt;&gt;"All",IF(INDEX(Calc!$V$8:$V$500,MATCH(INDEX(Calc!$D$8:$D$500,MATCH(SMALL(IF((Calc!$C$8:$C$500=Kanban!$C$7)*(Calc!$K$8:$K$500=Kanban!H$11)*(Calc!$Y$8:$Y$500&gt;0),Calc!$Y$8:$Y$500,99999),Kanban_Helper!$B233),Calc!$Y$8:$Y$500,0)),Calc!$D$8:$D$500,0))="Yes",CONCATENATE(INDEX(Calc!$D$8:$D$500,MATCH(SMALL(IF((Calc!$C$8:$C$500=Kanban!$C$7)*(Calc!$K$8:$K$500=Kanban!H$11)*(Calc!$Y$8:$Y$500&gt;0),Calc!$Y$8:$Y$500,99999),Kanban_Helper!$B233),Calc!$Y$8:$Y$500,0))," ",Calc!$V$7," ","!"),INDEX(Calc!$D$8:$D$500,MATCH(SMALL(IF((Calc!$C$8:$C$500=Kanban!$C$7)*(Calc!$K$8:$K$500=Kanban!H$11)*(Calc!$Y$8:$Y$500&gt;0),Calc!$Y$8:$Y$500,99999),Kanban_Helper!$B233),Calc!$Y$8:$Y$500,0))),IF(INDEX(Calc!$V$8:$V$500,MATCH(INDEX(Calc!$D$8:$D$500,MATCH(SMALL(IF((Calc!$K$8:$K$500=Kanban!H$11)*(Calc!$Y$8:$Y$500&gt;0),Calc!$Y$8:$Y$500,99999),Kanban_Helper!$B233),Calc!$Y$8:$Y$500,0)),Calc!$D$8:$D$500,0))="Yes",CONCATENATE(INDEX(Calc!$D$8:$D$500,MATCH(SMALL(IF((Calc!$K$8:$K$500=Kanban!H$11)*(Calc!$Y$8:$Y$500&gt;0),Calc!$Y$8:$Y$500,99999),Kanban_Helper!$B233),Calc!$Y$8:$Y$500,0))," ",Calc!$V$7," ","!"),INDEX(Calc!$D$8:$D$500,MATCH(SMALL(IF((Calc!$K$8:$K$500=Kanban!H$11)*(Calc!$Y$8:$Y$500&gt;0),Calc!$Y$8:$Y$500,99999),Kanban_Helper!$B233),Calc!$Y$8:$Y$500,0))))),"")</f>
        <v/>
      </c>
      <c r="I240" s="39"/>
    </row>
    <row r="241" spans="2:9" x14ac:dyDescent="0.35">
      <c r="B241" s="81"/>
      <c r="C241" s="171" t="str">
        <f t="array" ref="C241">IFERROR(IF(LEN(C$11)=0,"",IF($C$7&lt;&gt;"All",INDEX(Calc!$E$8:$E$500,MATCH(SMALL(IF((Calc!$C$8:$C$500=Kanban!$C$7)*(Calc!$K$8:$K$500=Kanban!C$11)*(Calc!$Y$8:$Y$500&gt;0),Calc!$Y$8:$Y$500,99999),Kanban_Helper!$B234),Calc!$Y$8:$Y$500,0)),INDEX(Calc!$E$8:$E$500,MATCH(SMALL(IF((Calc!$K$8:$K$500=Kanban!C$11)*(Calc!$Y$8:$Y$500&gt;0),Calc!$Y$8:$Y$500,99999),Kanban_Helper!$B234),Calc!$Y$8:$Y$500,0)))),"")</f>
        <v/>
      </c>
      <c r="D241" s="171" t="str">
        <f t="array" ref="D241">IFERROR(IF(LEN(D$11)=0,"",IF($C$7&lt;&gt;"All",INDEX(Calc!$E$8:$E$500,MATCH(SMALL(IF((Calc!$C$8:$C$500=Kanban!$C$7)*(Calc!$K$8:$K$500=Kanban!D$11)*(Calc!$Y$8:$Y$500&gt;0),Calc!$Y$8:$Y$500,99999),Kanban_Helper!$B234),Calc!$Y$8:$Y$500,0)),INDEX(Calc!$E$8:$E$500,MATCH(SMALL(IF((Calc!$K$8:$K$500=Kanban!D$11)*(Calc!$Y$8:$Y$500&gt;0),Calc!$Y$8:$Y$500,99999),Kanban_Helper!$B234),Calc!$Y$8:$Y$500,0)))),"")</f>
        <v/>
      </c>
      <c r="E241" s="171" t="str">
        <f t="array" ref="E241">IFERROR(IF(LEN(E$11)=0,"",IF($C$7&lt;&gt;"All",INDEX(Calc!$E$8:$E$500,MATCH(SMALL(IF((Calc!$C$8:$C$500=Kanban!$C$7)*(Calc!$K$8:$K$500=Kanban!E$11)*(Calc!$Y$8:$Y$500&gt;0),Calc!$Y$8:$Y$500,99999),Kanban_Helper!$B234),Calc!$Y$8:$Y$500,0)),INDEX(Calc!$E$8:$E$500,MATCH(SMALL(IF((Calc!$K$8:$K$500=Kanban!E$11)*(Calc!$Y$8:$Y$500&gt;0),Calc!$Y$8:$Y$500,99999),Kanban_Helper!$B234),Calc!$Y$8:$Y$500,0)))),"")</f>
        <v/>
      </c>
      <c r="F241" s="171" t="str">
        <f t="array" ref="F241">IFERROR(IF(LEN(F$11)=0,"",IF($C$7&lt;&gt;"All",INDEX(Calc!$E$8:$E$500,MATCH(SMALL(IF((Calc!$C$8:$C$500=Kanban!$C$7)*(Calc!$K$8:$K$500=Kanban!F$11)*(Calc!$Y$8:$Y$500&gt;0),Calc!$Y$8:$Y$500,99999),Kanban_Helper!$B234),Calc!$Y$8:$Y$500,0)),INDEX(Calc!$E$8:$E$500,MATCH(SMALL(IF((Calc!$K$8:$K$500=Kanban!F$11)*(Calc!$Y$8:$Y$500&gt;0),Calc!$Y$8:$Y$500,99999),Kanban_Helper!$B234),Calc!$Y$8:$Y$500,0)))),"")</f>
        <v/>
      </c>
      <c r="G241" s="171" t="str">
        <f t="array" ref="G241">IFERROR(IF(LEN(G$11)=0,"",IF($C$7&lt;&gt;"All",INDEX(Calc!$E$8:$E$500,MATCH(SMALL(IF((Calc!$C$8:$C$500=Kanban!$C$7)*(Calc!$K$8:$K$500=Kanban!G$11)*(Calc!$Y$8:$Y$500&gt;0),Calc!$Y$8:$Y$500,99999),Kanban_Helper!$B234),Calc!$Y$8:$Y$500,0)),INDEX(Calc!$E$8:$E$500,MATCH(SMALL(IF((Calc!$K$8:$K$500=Kanban!G$11)*(Calc!$Y$8:$Y$500&gt;0),Calc!$Y$8:$Y$500,99999),Kanban_Helper!$B234),Calc!$Y$8:$Y$500,0)))),"")</f>
        <v/>
      </c>
      <c r="H241" s="171" t="str">
        <f t="array" ref="H241">IFERROR(IF(LEN(H$11)=0,"",IF($C$7&lt;&gt;"All",INDEX(Calc!$E$8:$E$500,MATCH(SMALL(IF((Calc!$C$8:$C$500=Kanban!$C$7)*(Calc!$K$8:$K$500=Kanban!H$11)*(Calc!$Y$8:$Y$500&gt;0),Calc!$Y$8:$Y$500,99999),Kanban_Helper!$B234),Calc!$Y$8:$Y$500,0)),INDEX(Calc!$E$8:$E$500,MATCH(SMALL(IF((Calc!$K$8:$K$500=Kanban!H$11)*(Calc!$Y$8:$Y$500&gt;0),Calc!$Y$8:$Y$500,99999),Kanban_Helper!$B234),Calc!$Y$8:$Y$500,0)))),"")</f>
        <v/>
      </c>
      <c r="I241" s="39"/>
    </row>
    <row r="242" spans="2:9" ht="15" thickBot="1" x14ac:dyDescent="0.4">
      <c r="B242" s="81"/>
      <c r="C242" s="172" t="str">
        <f t="array" ref="C242">IFERROR(IF(LEN(C$11)=0,"",IF($C$7&lt;&gt;"All",IF(LEN(INDEX(Calc!$J$8:$J$500,MATCH(SMALL(IF((Calc!$C$8:$C$500=Kanban!$C$7)*(Calc!$K$8:$K$500=Kanban!C$11)*(Calc!$Y$8:$Y$500&gt;0),Calc!$Y$8:$Y$500,99999),Kanban_Helper!$B235),Calc!$Y$8:$Y$500,0)))=0,"",CONCATENATE(Calc!$AD$6,INDEX(Calc!$J$8:$J$500,MATCH(SMALL(IF((Calc!$C$8:$C$500=Kanban!$C$7)*(Calc!$K$8:$K$500=Kanban!C$11)*(Calc!$Y$8:$Y$500&gt;0),Calc!$Y$8:$Y$500,99999),Kanban_Helper!$B235),Calc!$Y$8:$Y$500,0)))),IF(LEN(INDEX(Calc!$J$8:$J$500,MATCH(SMALL(IF((Calc!$K$8:$K$500=Kanban!C$11)*(Calc!$Y$8:$Y$500&gt;0),Calc!$Y$8:$Y$500,99999),Kanban_Helper!$B235),Calc!$Y$8:$Y$500,0)))=0,"",CONCATENATE(Calc!$AD$6,INDEX(Calc!$J$8:$J$500,MATCH(SMALL(IF((Calc!$K$8:$K$500=Kanban!C$11)*(Calc!$Y$8:$Y$500&gt;0),Calc!$Y$8:$Y$500,99999),Kanban_Helper!$B235),Calc!$Y$8:$Y$500,0)))))),"")</f>
        <v/>
      </c>
      <c r="D242" s="172" t="str">
        <f t="array" ref="D242">IFERROR(IF(LEN(D$11)=0,"",IF($C$7&lt;&gt;"All",IF(LEN(INDEX(Calc!$J$8:$J$500,MATCH(SMALL(IF((Calc!$C$8:$C$500=Kanban!$C$7)*(Calc!$K$8:$K$500=Kanban!D$11)*(Calc!$Y$8:$Y$500&gt;0),Calc!$Y$8:$Y$500,99999),Kanban_Helper!$B235),Calc!$Y$8:$Y$500,0)))=0,"",CONCATENATE(Calc!$AD$6,INDEX(Calc!$J$8:$J$500,MATCH(SMALL(IF((Calc!$C$8:$C$500=Kanban!$C$7)*(Calc!$K$8:$K$500=Kanban!D$11)*(Calc!$Y$8:$Y$500&gt;0),Calc!$Y$8:$Y$500,99999),Kanban_Helper!$B235),Calc!$Y$8:$Y$500,0)))),IF(LEN(INDEX(Calc!$J$8:$J$500,MATCH(SMALL(IF((Calc!$K$8:$K$500=Kanban!D$11)*(Calc!$Y$8:$Y$500&gt;0),Calc!$Y$8:$Y$500,99999),Kanban_Helper!$B235),Calc!$Y$8:$Y$500,0)))=0,"",CONCATENATE(Calc!$AD$6,INDEX(Calc!$J$8:$J$500,MATCH(SMALL(IF((Calc!$K$8:$K$500=Kanban!D$11)*(Calc!$Y$8:$Y$500&gt;0),Calc!$Y$8:$Y$500,99999),Kanban_Helper!$B235),Calc!$Y$8:$Y$500,0)))))),"")</f>
        <v/>
      </c>
      <c r="E242" s="172" t="str">
        <f t="array" ref="E242">IFERROR(IF(LEN(E$11)=0,"",IF($C$7&lt;&gt;"All",IF(LEN(INDEX(Calc!$J$8:$J$500,MATCH(SMALL(IF((Calc!$C$8:$C$500=Kanban!$C$7)*(Calc!$K$8:$K$500=Kanban!E$11)*(Calc!$Y$8:$Y$500&gt;0),Calc!$Y$8:$Y$500,99999),Kanban_Helper!$B235),Calc!$Y$8:$Y$500,0)))=0,"",CONCATENATE(Calc!$AD$6,INDEX(Calc!$J$8:$J$500,MATCH(SMALL(IF((Calc!$C$8:$C$500=Kanban!$C$7)*(Calc!$K$8:$K$500=Kanban!E$11)*(Calc!$Y$8:$Y$500&gt;0),Calc!$Y$8:$Y$500,99999),Kanban_Helper!$B235),Calc!$Y$8:$Y$500,0)))),IF(LEN(INDEX(Calc!$J$8:$J$500,MATCH(SMALL(IF((Calc!$K$8:$K$500=Kanban!E$11)*(Calc!$Y$8:$Y$500&gt;0),Calc!$Y$8:$Y$500,99999),Kanban_Helper!$B235),Calc!$Y$8:$Y$500,0)))=0,"",CONCATENATE(Calc!$AD$6,INDEX(Calc!$J$8:$J$500,MATCH(SMALL(IF((Calc!$K$8:$K$500=Kanban!E$11)*(Calc!$Y$8:$Y$500&gt;0),Calc!$Y$8:$Y$500,99999),Kanban_Helper!$B235),Calc!$Y$8:$Y$500,0)))))),"")</f>
        <v/>
      </c>
      <c r="F242" s="172" t="str">
        <f t="array" ref="F242">IFERROR(IF(LEN(F$11)=0,"",IF($C$7&lt;&gt;"All",IF(LEN(INDEX(Calc!$J$8:$J$500,MATCH(SMALL(IF((Calc!$C$8:$C$500=Kanban!$C$7)*(Calc!$K$8:$K$500=Kanban!F$11)*(Calc!$Y$8:$Y$500&gt;0),Calc!$Y$8:$Y$500,99999),Kanban_Helper!$B235),Calc!$Y$8:$Y$500,0)))=0,"",CONCATENATE(Calc!$AD$6,INDEX(Calc!$J$8:$J$500,MATCH(SMALL(IF((Calc!$C$8:$C$500=Kanban!$C$7)*(Calc!$K$8:$K$500=Kanban!F$11)*(Calc!$Y$8:$Y$500&gt;0),Calc!$Y$8:$Y$500,99999),Kanban_Helper!$B235),Calc!$Y$8:$Y$500,0)))),IF(LEN(INDEX(Calc!$J$8:$J$500,MATCH(SMALL(IF((Calc!$K$8:$K$500=Kanban!F$11)*(Calc!$Y$8:$Y$500&gt;0),Calc!$Y$8:$Y$500,99999),Kanban_Helper!$B235),Calc!$Y$8:$Y$500,0)))=0,"",CONCATENATE(Calc!$AD$6,INDEX(Calc!$J$8:$J$500,MATCH(SMALL(IF((Calc!$K$8:$K$500=Kanban!F$11)*(Calc!$Y$8:$Y$500&gt;0),Calc!$Y$8:$Y$500,99999),Kanban_Helper!$B235),Calc!$Y$8:$Y$500,0)))))),"")</f>
        <v/>
      </c>
      <c r="G242" s="172" t="str">
        <f t="array" ref="G242">IFERROR(IF(LEN(G$11)=0,"",IF($C$7&lt;&gt;"All",IF(LEN(INDEX(Calc!$J$8:$J$500,MATCH(SMALL(IF((Calc!$C$8:$C$500=Kanban!$C$7)*(Calc!$K$8:$K$500=Kanban!G$11)*(Calc!$Y$8:$Y$500&gt;0),Calc!$Y$8:$Y$500,99999),Kanban_Helper!$B235),Calc!$Y$8:$Y$500,0)))=0,"",CONCATENATE(Calc!$AD$6,INDEX(Calc!$J$8:$J$500,MATCH(SMALL(IF((Calc!$C$8:$C$500=Kanban!$C$7)*(Calc!$K$8:$K$500=Kanban!G$11)*(Calc!$Y$8:$Y$500&gt;0),Calc!$Y$8:$Y$500,99999),Kanban_Helper!$B235),Calc!$Y$8:$Y$500,0)))),IF(LEN(INDEX(Calc!$J$8:$J$500,MATCH(SMALL(IF((Calc!$K$8:$K$500=Kanban!G$11)*(Calc!$Y$8:$Y$500&gt;0),Calc!$Y$8:$Y$500,99999),Kanban_Helper!$B235),Calc!$Y$8:$Y$500,0)))=0,"",CONCATENATE(Calc!$AD$6,INDEX(Calc!$J$8:$J$500,MATCH(SMALL(IF((Calc!$K$8:$K$500=Kanban!G$11)*(Calc!$Y$8:$Y$500&gt;0),Calc!$Y$8:$Y$500,99999),Kanban_Helper!$B235),Calc!$Y$8:$Y$500,0)))))),"")</f>
        <v/>
      </c>
      <c r="H242" s="172" t="str">
        <f t="array" ref="H242">IFERROR(IF(LEN(H$11)=0,"",IF($C$7&lt;&gt;"All",IF(LEN(INDEX(Calc!$J$8:$J$500,MATCH(SMALL(IF((Calc!$C$8:$C$500=Kanban!$C$7)*(Calc!$K$8:$K$500=Kanban!H$11)*(Calc!$Y$8:$Y$500&gt;0),Calc!$Y$8:$Y$500,99999),Kanban_Helper!$B235),Calc!$Y$8:$Y$500,0)))=0,"",CONCATENATE(Calc!$AD$6,INDEX(Calc!$J$8:$J$500,MATCH(SMALL(IF((Calc!$C$8:$C$500=Kanban!$C$7)*(Calc!$K$8:$K$500=Kanban!H$11)*(Calc!$Y$8:$Y$500&gt;0),Calc!$Y$8:$Y$500,99999),Kanban_Helper!$B235),Calc!$Y$8:$Y$500,0)))),IF(LEN(INDEX(Calc!$J$8:$J$500,MATCH(SMALL(IF((Calc!$K$8:$K$500=Kanban!H$11)*(Calc!$Y$8:$Y$500&gt;0),Calc!$Y$8:$Y$500,99999),Kanban_Helper!$B235),Calc!$Y$8:$Y$500,0)))=0,"",CONCATENATE(Calc!$AD$6,INDEX(Calc!$J$8:$J$500,MATCH(SMALL(IF((Calc!$K$8:$K$500=Kanban!H$11)*(Calc!$Y$8:$Y$500&gt;0),Calc!$Y$8:$Y$500,99999),Kanban_Helper!$B235),Calc!$Y$8:$Y$500,0)))))),"")</f>
        <v/>
      </c>
      <c r="I242" s="39"/>
    </row>
    <row r="243" spans="2:9" ht="15" thickTop="1" x14ac:dyDescent="0.35">
      <c r="B243" s="81"/>
      <c r="C243" s="170" t="str">
        <f t="array" ref="C243">IFERROR(IF(LEN(C$11)=0,"",IF($C$7&lt;&gt;"All",IF(INDEX(Calc!$V$8:$V$500,MATCH(INDEX(Calc!$D$8:$D$500,MATCH(SMALL(IF((Calc!$C$8:$C$500=Kanban!$C$7)*(Calc!$K$8:$K$500=Kanban!C$11)*(Calc!$Y$8:$Y$500&gt;0),Calc!$Y$8:$Y$500,99999),Kanban_Helper!$B236),Calc!$Y$8:$Y$500,0)),Calc!$D$8:$D$500,0))="Yes",CONCATENATE(INDEX(Calc!$D$8:$D$500,MATCH(SMALL(IF((Calc!$C$8:$C$500=Kanban!$C$7)*(Calc!$K$8:$K$500=Kanban!C$11)*(Calc!$Y$8:$Y$500&gt;0),Calc!$Y$8:$Y$500,99999),Kanban_Helper!$B236),Calc!$Y$8:$Y$500,0))," ",Calc!$V$7," ","!"),INDEX(Calc!$D$8:$D$500,MATCH(SMALL(IF((Calc!$C$8:$C$500=Kanban!$C$7)*(Calc!$K$8:$K$500=Kanban!C$11)*(Calc!$Y$8:$Y$500&gt;0),Calc!$Y$8:$Y$500,99999),Kanban_Helper!$B236),Calc!$Y$8:$Y$500,0))),IF(INDEX(Calc!$V$8:$V$500,MATCH(INDEX(Calc!$D$8:$D$500,MATCH(SMALL(IF((Calc!$K$8:$K$500=Kanban!C$11)*(Calc!$Y$8:$Y$500&gt;0),Calc!$Y$8:$Y$500,99999),Kanban_Helper!$B236),Calc!$Y$8:$Y$500,0)),Calc!$D$8:$D$500,0))="Yes",CONCATENATE(INDEX(Calc!$D$8:$D$500,MATCH(SMALL(IF((Calc!$K$8:$K$500=Kanban!C$11)*(Calc!$Y$8:$Y$500&gt;0),Calc!$Y$8:$Y$500,99999),Kanban_Helper!$B236),Calc!$Y$8:$Y$500,0))," ",Calc!$V$7," ","!"),INDEX(Calc!$D$8:$D$500,MATCH(SMALL(IF((Calc!$K$8:$K$500=Kanban!C$11)*(Calc!$Y$8:$Y$500&gt;0),Calc!$Y$8:$Y$500,99999),Kanban_Helper!$B236),Calc!$Y$8:$Y$500,0))))),"")</f>
        <v/>
      </c>
      <c r="D243" s="170" t="str">
        <f t="array" ref="D243">IFERROR(IF(LEN(D$11)=0,"",IF($C$7&lt;&gt;"All",IF(INDEX(Calc!$V$8:$V$500,MATCH(INDEX(Calc!$D$8:$D$500,MATCH(SMALL(IF((Calc!$C$8:$C$500=Kanban!$C$7)*(Calc!$K$8:$K$500=Kanban!D$11)*(Calc!$Y$8:$Y$500&gt;0),Calc!$Y$8:$Y$500,99999),Kanban_Helper!$B236),Calc!$Y$8:$Y$500,0)),Calc!$D$8:$D$500,0))="Yes",CONCATENATE(INDEX(Calc!$D$8:$D$500,MATCH(SMALL(IF((Calc!$C$8:$C$500=Kanban!$C$7)*(Calc!$K$8:$K$500=Kanban!D$11)*(Calc!$Y$8:$Y$500&gt;0),Calc!$Y$8:$Y$500,99999),Kanban_Helper!$B236),Calc!$Y$8:$Y$500,0))," ",Calc!$V$7," ","!"),INDEX(Calc!$D$8:$D$500,MATCH(SMALL(IF((Calc!$C$8:$C$500=Kanban!$C$7)*(Calc!$K$8:$K$500=Kanban!D$11)*(Calc!$Y$8:$Y$500&gt;0),Calc!$Y$8:$Y$500,99999),Kanban_Helper!$B236),Calc!$Y$8:$Y$500,0))),IF(INDEX(Calc!$V$8:$V$500,MATCH(INDEX(Calc!$D$8:$D$500,MATCH(SMALL(IF((Calc!$K$8:$K$500=Kanban!D$11)*(Calc!$Y$8:$Y$500&gt;0),Calc!$Y$8:$Y$500,99999),Kanban_Helper!$B236),Calc!$Y$8:$Y$500,0)),Calc!$D$8:$D$500,0))="Yes",CONCATENATE(INDEX(Calc!$D$8:$D$500,MATCH(SMALL(IF((Calc!$K$8:$K$500=Kanban!D$11)*(Calc!$Y$8:$Y$500&gt;0),Calc!$Y$8:$Y$500,99999),Kanban_Helper!$B236),Calc!$Y$8:$Y$500,0))," ",Calc!$V$7," ","!"),INDEX(Calc!$D$8:$D$500,MATCH(SMALL(IF((Calc!$K$8:$K$500=Kanban!D$11)*(Calc!$Y$8:$Y$500&gt;0),Calc!$Y$8:$Y$500,99999),Kanban_Helper!$B236),Calc!$Y$8:$Y$500,0))))),"")</f>
        <v/>
      </c>
      <c r="E243" s="170" t="str">
        <f t="array" ref="E243">IFERROR(IF(LEN(E$11)=0,"",IF($C$7&lt;&gt;"All",IF(INDEX(Calc!$V$8:$V$500,MATCH(INDEX(Calc!$D$8:$D$500,MATCH(SMALL(IF((Calc!$C$8:$C$500=Kanban!$C$7)*(Calc!$K$8:$K$500=Kanban!E$11)*(Calc!$Y$8:$Y$500&gt;0),Calc!$Y$8:$Y$500,99999),Kanban_Helper!$B236),Calc!$Y$8:$Y$500,0)),Calc!$D$8:$D$500,0))="Yes",CONCATENATE(INDEX(Calc!$D$8:$D$500,MATCH(SMALL(IF((Calc!$C$8:$C$500=Kanban!$C$7)*(Calc!$K$8:$K$500=Kanban!E$11)*(Calc!$Y$8:$Y$500&gt;0),Calc!$Y$8:$Y$500,99999),Kanban_Helper!$B236),Calc!$Y$8:$Y$500,0))," ",Calc!$V$7," ","!"),INDEX(Calc!$D$8:$D$500,MATCH(SMALL(IF((Calc!$C$8:$C$500=Kanban!$C$7)*(Calc!$K$8:$K$500=Kanban!E$11)*(Calc!$Y$8:$Y$500&gt;0),Calc!$Y$8:$Y$500,99999),Kanban_Helper!$B236),Calc!$Y$8:$Y$500,0))),IF(INDEX(Calc!$V$8:$V$500,MATCH(INDEX(Calc!$D$8:$D$500,MATCH(SMALL(IF((Calc!$K$8:$K$500=Kanban!E$11)*(Calc!$Y$8:$Y$500&gt;0),Calc!$Y$8:$Y$500,99999),Kanban_Helper!$B236),Calc!$Y$8:$Y$500,0)),Calc!$D$8:$D$500,0))="Yes",CONCATENATE(INDEX(Calc!$D$8:$D$500,MATCH(SMALL(IF((Calc!$K$8:$K$500=Kanban!E$11)*(Calc!$Y$8:$Y$500&gt;0),Calc!$Y$8:$Y$500,99999),Kanban_Helper!$B236),Calc!$Y$8:$Y$500,0))," ",Calc!$V$7," ","!"),INDEX(Calc!$D$8:$D$500,MATCH(SMALL(IF((Calc!$K$8:$K$500=Kanban!E$11)*(Calc!$Y$8:$Y$500&gt;0),Calc!$Y$8:$Y$500,99999),Kanban_Helper!$B236),Calc!$Y$8:$Y$500,0))))),"")</f>
        <v/>
      </c>
      <c r="F243" s="170" t="str">
        <f t="array" ref="F243">IFERROR(IF(LEN(F$11)=0,"",IF($C$7&lt;&gt;"All",IF(INDEX(Calc!$V$8:$V$500,MATCH(INDEX(Calc!$D$8:$D$500,MATCH(SMALL(IF((Calc!$C$8:$C$500=Kanban!$C$7)*(Calc!$K$8:$K$500=Kanban!F$11)*(Calc!$Y$8:$Y$500&gt;0),Calc!$Y$8:$Y$500,99999),Kanban_Helper!$B236),Calc!$Y$8:$Y$500,0)),Calc!$D$8:$D$500,0))="Yes",CONCATENATE(INDEX(Calc!$D$8:$D$500,MATCH(SMALL(IF((Calc!$C$8:$C$500=Kanban!$C$7)*(Calc!$K$8:$K$500=Kanban!F$11)*(Calc!$Y$8:$Y$500&gt;0),Calc!$Y$8:$Y$500,99999),Kanban_Helper!$B236),Calc!$Y$8:$Y$500,0))," ",Calc!$V$7," ","!"),INDEX(Calc!$D$8:$D$500,MATCH(SMALL(IF((Calc!$C$8:$C$500=Kanban!$C$7)*(Calc!$K$8:$K$500=Kanban!F$11)*(Calc!$Y$8:$Y$500&gt;0),Calc!$Y$8:$Y$500,99999),Kanban_Helper!$B236),Calc!$Y$8:$Y$500,0))),IF(INDEX(Calc!$V$8:$V$500,MATCH(INDEX(Calc!$D$8:$D$500,MATCH(SMALL(IF((Calc!$K$8:$K$500=Kanban!F$11)*(Calc!$Y$8:$Y$500&gt;0),Calc!$Y$8:$Y$500,99999),Kanban_Helper!$B236),Calc!$Y$8:$Y$500,0)),Calc!$D$8:$D$500,0))="Yes",CONCATENATE(INDEX(Calc!$D$8:$D$500,MATCH(SMALL(IF((Calc!$K$8:$K$500=Kanban!F$11)*(Calc!$Y$8:$Y$500&gt;0),Calc!$Y$8:$Y$500,99999),Kanban_Helper!$B236),Calc!$Y$8:$Y$500,0))," ",Calc!$V$7," ","!"),INDEX(Calc!$D$8:$D$500,MATCH(SMALL(IF((Calc!$K$8:$K$500=Kanban!F$11)*(Calc!$Y$8:$Y$500&gt;0),Calc!$Y$8:$Y$500,99999),Kanban_Helper!$B236),Calc!$Y$8:$Y$500,0))))),"")</f>
        <v/>
      </c>
      <c r="G243" s="170" t="str">
        <f t="array" ref="G243">IFERROR(IF(LEN(G$11)=0,"",IF($C$7&lt;&gt;"All",IF(INDEX(Calc!$V$8:$V$500,MATCH(INDEX(Calc!$D$8:$D$500,MATCH(SMALL(IF((Calc!$C$8:$C$500=Kanban!$C$7)*(Calc!$K$8:$K$500=Kanban!G$11)*(Calc!$Y$8:$Y$500&gt;0),Calc!$Y$8:$Y$500,99999),Kanban_Helper!$B236),Calc!$Y$8:$Y$500,0)),Calc!$D$8:$D$500,0))="Yes",CONCATENATE(INDEX(Calc!$D$8:$D$500,MATCH(SMALL(IF((Calc!$C$8:$C$500=Kanban!$C$7)*(Calc!$K$8:$K$500=Kanban!G$11)*(Calc!$Y$8:$Y$500&gt;0),Calc!$Y$8:$Y$500,99999),Kanban_Helper!$B236),Calc!$Y$8:$Y$500,0))," ",Calc!$V$7," ","!"),INDEX(Calc!$D$8:$D$500,MATCH(SMALL(IF((Calc!$C$8:$C$500=Kanban!$C$7)*(Calc!$K$8:$K$500=Kanban!G$11)*(Calc!$Y$8:$Y$500&gt;0),Calc!$Y$8:$Y$500,99999),Kanban_Helper!$B236),Calc!$Y$8:$Y$500,0))),IF(INDEX(Calc!$V$8:$V$500,MATCH(INDEX(Calc!$D$8:$D$500,MATCH(SMALL(IF((Calc!$K$8:$K$500=Kanban!G$11)*(Calc!$Y$8:$Y$500&gt;0),Calc!$Y$8:$Y$500,99999),Kanban_Helper!$B236),Calc!$Y$8:$Y$500,0)),Calc!$D$8:$D$500,0))="Yes",CONCATENATE(INDEX(Calc!$D$8:$D$500,MATCH(SMALL(IF((Calc!$K$8:$K$500=Kanban!G$11)*(Calc!$Y$8:$Y$500&gt;0),Calc!$Y$8:$Y$500,99999),Kanban_Helper!$B236),Calc!$Y$8:$Y$500,0))," ",Calc!$V$7," ","!"),INDEX(Calc!$D$8:$D$500,MATCH(SMALL(IF((Calc!$K$8:$K$500=Kanban!G$11)*(Calc!$Y$8:$Y$500&gt;0),Calc!$Y$8:$Y$500,99999),Kanban_Helper!$B236),Calc!$Y$8:$Y$500,0))))),"")</f>
        <v/>
      </c>
      <c r="H243" s="170" t="str">
        <f t="array" ref="H243">IFERROR(IF(LEN(H$11)=0,"",IF($C$7&lt;&gt;"All",IF(INDEX(Calc!$V$8:$V$500,MATCH(INDEX(Calc!$D$8:$D$500,MATCH(SMALL(IF((Calc!$C$8:$C$500=Kanban!$C$7)*(Calc!$K$8:$K$500=Kanban!H$11)*(Calc!$Y$8:$Y$500&gt;0),Calc!$Y$8:$Y$500,99999),Kanban_Helper!$B236),Calc!$Y$8:$Y$500,0)),Calc!$D$8:$D$500,0))="Yes",CONCATENATE(INDEX(Calc!$D$8:$D$500,MATCH(SMALL(IF((Calc!$C$8:$C$500=Kanban!$C$7)*(Calc!$K$8:$K$500=Kanban!H$11)*(Calc!$Y$8:$Y$500&gt;0),Calc!$Y$8:$Y$500,99999),Kanban_Helper!$B236),Calc!$Y$8:$Y$500,0))," ",Calc!$V$7," ","!"),INDEX(Calc!$D$8:$D$500,MATCH(SMALL(IF((Calc!$C$8:$C$500=Kanban!$C$7)*(Calc!$K$8:$K$500=Kanban!H$11)*(Calc!$Y$8:$Y$500&gt;0),Calc!$Y$8:$Y$500,99999),Kanban_Helper!$B236),Calc!$Y$8:$Y$500,0))),IF(INDEX(Calc!$V$8:$V$500,MATCH(INDEX(Calc!$D$8:$D$500,MATCH(SMALL(IF((Calc!$K$8:$K$500=Kanban!H$11)*(Calc!$Y$8:$Y$500&gt;0),Calc!$Y$8:$Y$500,99999),Kanban_Helper!$B236),Calc!$Y$8:$Y$500,0)),Calc!$D$8:$D$500,0))="Yes",CONCATENATE(INDEX(Calc!$D$8:$D$500,MATCH(SMALL(IF((Calc!$K$8:$K$500=Kanban!H$11)*(Calc!$Y$8:$Y$500&gt;0),Calc!$Y$8:$Y$500,99999),Kanban_Helper!$B236),Calc!$Y$8:$Y$500,0))," ",Calc!$V$7," ","!"),INDEX(Calc!$D$8:$D$500,MATCH(SMALL(IF((Calc!$K$8:$K$500=Kanban!H$11)*(Calc!$Y$8:$Y$500&gt;0),Calc!$Y$8:$Y$500,99999),Kanban_Helper!$B236),Calc!$Y$8:$Y$500,0))))),"")</f>
        <v/>
      </c>
      <c r="I243" s="39"/>
    </row>
    <row r="244" spans="2:9" x14ac:dyDescent="0.35">
      <c r="B244" s="81"/>
      <c r="C244" s="171" t="str">
        <f t="array" ref="C244">IFERROR(IF(LEN(C$11)=0,"",IF($C$7&lt;&gt;"All",INDEX(Calc!$E$8:$E$500,MATCH(SMALL(IF((Calc!$C$8:$C$500=Kanban!$C$7)*(Calc!$K$8:$K$500=Kanban!C$11)*(Calc!$Y$8:$Y$500&gt;0),Calc!$Y$8:$Y$500,99999),Kanban_Helper!$B237),Calc!$Y$8:$Y$500,0)),INDEX(Calc!$E$8:$E$500,MATCH(SMALL(IF((Calc!$K$8:$K$500=Kanban!C$11)*(Calc!$Y$8:$Y$500&gt;0),Calc!$Y$8:$Y$500,99999),Kanban_Helper!$B237),Calc!$Y$8:$Y$500,0)))),"")</f>
        <v/>
      </c>
      <c r="D244" s="171" t="str">
        <f t="array" ref="D244">IFERROR(IF(LEN(D$11)=0,"",IF($C$7&lt;&gt;"All",INDEX(Calc!$E$8:$E$500,MATCH(SMALL(IF((Calc!$C$8:$C$500=Kanban!$C$7)*(Calc!$K$8:$K$500=Kanban!D$11)*(Calc!$Y$8:$Y$500&gt;0),Calc!$Y$8:$Y$500,99999),Kanban_Helper!$B237),Calc!$Y$8:$Y$500,0)),INDEX(Calc!$E$8:$E$500,MATCH(SMALL(IF((Calc!$K$8:$K$500=Kanban!D$11)*(Calc!$Y$8:$Y$500&gt;0),Calc!$Y$8:$Y$500,99999),Kanban_Helper!$B237),Calc!$Y$8:$Y$500,0)))),"")</f>
        <v/>
      </c>
      <c r="E244" s="171" t="str">
        <f t="array" ref="E244">IFERROR(IF(LEN(E$11)=0,"",IF($C$7&lt;&gt;"All",INDEX(Calc!$E$8:$E$500,MATCH(SMALL(IF((Calc!$C$8:$C$500=Kanban!$C$7)*(Calc!$K$8:$K$500=Kanban!E$11)*(Calc!$Y$8:$Y$500&gt;0),Calc!$Y$8:$Y$500,99999),Kanban_Helper!$B237),Calc!$Y$8:$Y$500,0)),INDEX(Calc!$E$8:$E$500,MATCH(SMALL(IF((Calc!$K$8:$K$500=Kanban!E$11)*(Calc!$Y$8:$Y$500&gt;0),Calc!$Y$8:$Y$500,99999),Kanban_Helper!$B237),Calc!$Y$8:$Y$500,0)))),"")</f>
        <v/>
      </c>
      <c r="F244" s="171" t="str">
        <f t="array" ref="F244">IFERROR(IF(LEN(F$11)=0,"",IF($C$7&lt;&gt;"All",INDEX(Calc!$E$8:$E$500,MATCH(SMALL(IF((Calc!$C$8:$C$500=Kanban!$C$7)*(Calc!$K$8:$K$500=Kanban!F$11)*(Calc!$Y$8:$Y$500&gt;0),Calc!$Y$8:$Y$500,99999),Kanban_Helper!$B237),Calc!$Y$8:$Y$500,0)),INDEX(Calc!$E$8:$E$500,MATCH(SMALL(IF((Calc!$K$8:$K$500=Kanban!F$11)*(Calc!$Y$8:$Y$500&gt;0),Calc!$Y$8:$Y$500,99999),Kanban_Helper!$B237),Calc!$Y$8:$Y$500,0)))),"")</f>
        <v/>
      </c>
      <c r="G244" s="171" t="str">
        <f t="array" ref="G244">IFERROR(IF(LEN(G$11)=0,"",IF($C$7&lt;&gt;"All",INDEX(Calc!$E$8:$E$500,MATCH(SMALL(IF((Calc!$C$8:$C$500=Kanban!$C$7)*(Calc!$K$8:$K$500=Kanban!G$11)*(Calc!$Y$8:$Y$500&gt;0),Calc!$Y$8:$Y$500,99999),Kanban_Helper!$B237),Calc!$Y$8:$Y$500,0)),INDEX(Calc!$E$8:$E$500,MATCH(SMALL(IF((Calc!$K$8:$K$500=Kanban!G$11)*(Calc!$Y$8:$Y$500&gt;0),Calc!$Y$8:$Y$500,99999),Kanban_Helper!$B237),Calc!$Y$8:$Y$500,0)))),"")</f>
        <v/>
      </c>
      <c r="H244" s="171" t="str">
        <f t="array" ref="H244">IFERROR(IF(LEN(H$11)=0,"",IF($C$7&lt;&gt;"All",INDEX(Calc!$E$8:$E$500,MATCH(SMALL(IF((Calc!$C$8:$C$500=Kanban!$C$7)*(Calc!$K$8:$K$500=Kanban!H$11)*(Calc!$Y$8:$Y$500&gt;0),Calc!$Y$8:$Y$500,99999),Kanban_Helper!$B237),Calc!$Y$8:$Y$500,0)),INDEX(Calc!$E$8:$E$500,MATCH(SMALL(IF((Calc!$K$8:$K$500=Kanban!H$11)*(Calc!$Y$8:$Y$500&gt;0),Calc!$Y$8:$Y$500,99999),Kanban_Helper!$B237),Calc!$Y$8:$Y$500,0)))),"")</f>
        <v/>
      </c>
      <c r="I244" s="39"/>
    </row>
    <row r="245" spans="2:9" ht="15" thickBot="1" x14ac:dyDescent="0.4">
      <c r="B245" s="81"/>
      <c r="C245" s="172" t="str">
        <f t="array" ref="C245">IFERROR(IF(LEN(C$11)=0,"",IF($C$7&lt;&gt;"All",IF(LEN(INDEX(Calc!$J$8:$J$500,MATCH(SMALL(IF((Calc!$C$8:$C$500=Kanban!$C$7)*(Calc!$K$8:$K$500=Kanban!C$11)*(Calc!$Y$8:$Y$500&gt;0),Calc!$Y$8:$Y$500,99999),Kanban_Helper!$B238),Calc!$Y$8:$Y$500,0)))=0,"",CONCATENATE(Calc!$AD$6,INDEX(Calc!$J$8:$J$500,MATCH(SMALL(IF((Calc!$C$8:$C$500=Kanban!$C$7)*(Calc!$K$8:$K$500=Kanban!C$11)*(Calc!$Y$8:$Y$500&gt;0),Calc!$Y$8:$Y$500,99999),Kanban_Helper!$B238),Calc!$Y$8:$Y$500,0)))),IF(LEN(INDEX(Calc!$J$8:$J$500,MATCH(SMALL(IF((Calc!$K$8:$K$500=Kanban!C$11)*(Calc!$Y$8:$Y$500&gt;0),Calc!$Y$8:$Y$500,99999),Kanban_Helper!$B238),Calc!$Y$8:$Y$500,0)))=0,"",CONCATENATE(Calc!$AD$6,INDEX(Calc!$J$8:$J$500,MATCH(SMALL(IF((Calc!$K$8:$K$500=Kanban!C$11)*(Calc!$Y$8:$Y$500&gt;0),Calc!$Y$8:$Y$500,99999),Kanban_Helper!$B238),Calc!$Y$8:$Y$500,0)))))),"")</f>
        <v/>
      </c>
      <c r="D245" s="172" t="str">
        <f t="array" ref="D245">IFERROR(IF(LEN(D$11)=0,"",IF($C$7&lt;&gt;"All",IF(LEN(INDEX(Calc!$J$8:$J$500,MATCH(SMALL(IF((Calc!$C$8:$C$500=Kanban!$C$7)*(Calc!$K$8:$K$500=Kanban!D$11)*(Calc!$Y$8:$Y$500&gt;0),Calc!$Y$8:$Y$500,99999),Kanban_Helper!$B238),Calc!$Y$8:$Y$500,0)))=0,"",CONCATENATE(Calc!$AD$6,INDEX(Calc!$J$8:$J$500,MATCH(SMALL(IF((Calc!$C$8:$C$500=Kanban!$C$7)*(Calc!$K$8:$K$500=Kanban!D$11)*(Calc!$Y$8:$Y$500&gt;0),Calc!$Y$8:$Y$500,99999),Kanban_Helper!$B238),Calc!$Y$8:$Y$500,0)))),IF(LEN(INDEX(Calc!$J$8:$J$500,MATCH(SMALL(IF((Calc!$K$8:$K$500=Kanban!D$11)*(Calc!$Y$8:$Y$500&gt;0),Calc!$Y$8:$Y$500,99999),Kanban_Helper!$B238),Calc!$Y$8:$Y$500,0)))=0,"",CONCATENATE(Calc!$AD$6,INDEX(Calc!$J$8:$J$500,MATCH(SMALL(IF((Calc!$K$8:$K$500=Kanban!D$11)*(Calc!$Y$8:$Y$500&gt;0),Calc!$Y$8:$Y$500,99999),Kanban_Helper!$B238),Calc!$Y$8:$Y$500,0)))))),"")</f>
        <v/>
      </c>
      <c r="E245" s="172" t="str">
        <f t="array" ref="E245">IFERROR(IF(LEN(E$11)=0,"",IF($C$7&lt;&gt;"All",IF(LEN(INDEX(Calc!$J$8:$J$500,MATCH(SMALL(IF((Calc!$C$8:$C$500=Kanban!$C$7)*(Calc!$K$8:$K$500=Kanban!E$11)*(Calc!$Y$8:$Y$500&gt;0),Calc!$Y$8:$Y$500,99999),Kanban_Helper!$B238),Calc!$Y$8:$Y$500,0)))=0,"",CONCATENATE(Calc!$AD$6,INDEX(Calc!$J$8:$J$500,MATCH(SMALL(IF((Calc!$C$8:$C$500=Kanban!$C$7)*(Calc!$K$8:$K$500=Kanban!E$11)*(Calc!$Y$8:$Y$500&gt;0),Calc!$Y$8:$Y$500,99999),Kanban_Helper!$B238),Calc!$Y$8:$Y$500,0)))),IF(LEN(INDEX(Calc!$J$8:$J$500,MATCH(SMALL(IF((Calc!$K$8:$K$500=Kanban!E$11)*(Calc!$Y$8:$Y$500&gt;0),Calc!$Y$8:$Y$500,99999),Kanban_Helper!$B238),Calc!$Y$8:$Y$500,0)))=0,"",CONCATENATE(Calc!$AD$6,INDEX(Calc!$J$8:$J$500,MATCH(SMALL(IF((Calc!$K$8:$K$500=Kanban!E$11)*(Calc!$Y$8:$Y$500&gt;0),Calc!$Y$8:$Y$500,99999),Kanban_Helper!$B238),Calc!$Y$8:$Y$500,0)))))),"")</f>
        <v/>
      </c>
      <c r="F245" s="172" t="str">
        <f t="array" ref="F245">IFERROR(IF(LEN(F$11)=0,"",IF($C$7&lt;&gt;"All",IF(LEN(INDEX(Calc!$J$8:$J$500,MATCH(SMALL(IF((Calc!$C$8:$C$500=Kanban!$C$7)*(Calc!$K$8:$K$500=Kanban!F$11)*(Calc!$Y$8:$Y$500&gt;0),Calc!$Y$8:$Y$500,99999),Kanban_Helper!$B238),Calc!$Y$8:$Y$500,0)))=0,"",CONCATENATE(Calc!$AD$6,INDEX(Calc!$J$8:$J$500,MATCH(SMALL(IF((Calc!$C$8:$C$500=Kanban!$C$7)*(Calc!$K$8:$K$500=Kanban!F$11)*(Calc!$Y$8:$Y$500&gt;0),Calc!$Y$8:$Y$500,99999),Kanban_Helper!$B238),Calc!$Y$8:$Y$500,0)))),IF(LEN(INDEX(Calc!$J$8:$J$500,MATCH(SMALL(IF((Calc!$K$8:$K$500=Kanban!F$11)*(Calc!$Y$8:$Y$500&gt;0),Calc!$Y$8:$Y$500,99999),Kanban_Helper!$B238),Calc!$Y$8:$Y$500,0)))=0,"",CONCATENATE(Calc!$AD$6,INDEX(Calc!$J$8:$J$500,MATCH(SMALL(IF((Calc!$K$8:$K$500=Kanban!F$11)*(Calc!$Y$8:$Y$500&gt;0),Calc!$Y$8:$Y$500,99999),Kanban_Helper!$B238),Calc!$Y$8:$Y$500,0)))))),"")</f>
        <v/>
      </c>
      <c r="G245" s="172" t="str">
        <f t="array" ref="G245">IFERROR(IF(LEN(G$11)=0,"",IF($C$7&lt;&gt;"All",IF(LEN(INDEX(Calc!$J$8:$J$500,MATCH(SMALL(IF((Calc!$C$8:$C$500=Kanban!$C$7)*(Calc!$K$8:$K$500=Kanban!G$11)*(Calc!$Y$8:$Y$500&gt;0),Calc!$Y$8:$Y$500,99999),Kanban_Helper!$B238),Calc!$Y$8:$Y$500,0)))=0,"",CONCATENATE(Calc!$AD$6,INDEX(Calc!$J$8:$J$500,MATCH(SMALL(IF((Calc!$C$8:$C$500=Kanban!$C$7)*(Calc!$K$8:$K$500=Kanban!G$11)*(Calc!$Y$8:$Y$500&gt;0),Calc!$Y$8:$Y$500,99999),Kanban_Helper!$B238),Calc!$Y$8:$Y$500,0)))),IF(LEN(INDEX(Calc!$J$8:$J$500,MATCH(SMALL(IF((Calc!$K$8:$K$500=Kanban!G$11)*(Calc!$Y$8:$Y$500&gt;0),Calc!$Y$8:$Y$500,99999),Kanban_Helper!$B238),Calc!$Y$8:$Y$500,0)))=0,"",CONCATENATE(Calc!$AD$6,INDEX(Calc!$J$8:$J$500,MATCH(SMALL(IF((Calc!$K$8:$K$500=Kanban!G$11)*(Calc!$Y$8:$Y$500&gt;0),Calc!$Y$8:$Y$500,99999),Kanban_Helper!$B238),Calc!$Y$8:$Y$500,0)))))),"")</f>
        <v/>
      </c>
      <c r="H245" s="172" t="str">
        <f t="array" ref="H245">IFERROR(IF(LEN(H$11)=0,"",IF($C$7&lt;&gt;"All",IF(LEN(INDEX(Calc!$J$8:$J$500,MATCH(SMALL(IF((Calc!$C$8:$C$500=Kanban!$C$7)*(Calc!$K$8:$K$500=Kanban!H$11)*(Calc!$Y$8:$Y$500&gt;0),Calc!$Y$8:$Y$500,99999),Kanban_Helper!$B238),Calc!$Y$8:$Y$500,0)))=0,"",CONCATENATE(Calc!$AD$6,INDEX(Calc!$J$8:$J$500,MATCH(SMALL(IF((Calc!$C$8:$C$500=Kanban!$C$7)*(Calc!$K$8:$K$500=Kanban!H$11)*(Calc!$Y$8:$Y$500&gt;0),Calc!$Y$8:$Y$500,99999),Kanban_Helper!$B238),Calc!$Y$8:$Y$500,0)))),IF(LEN(INDEX(Calc!$J$8:$J$500,MATCH(SMALL(IF((Calc!$K$8:$K$500=Kanban!H$11)*(Calc!$Y$8:$Y$500&gt;0),Calc!$Y$8:$Y$500,99999),Kanban_Helper!$B238),Calc!$Y$8:$Y$500,0)))=0,"",CONCATENATE(Calc!$AD$6,INDEX(Calc!$J$8:$J$500,MATCH(SMALL(IF((Calc!$K$8:$K$500=Kanban!H$11)*(Calc!$Y$8:$Y$500&gt;0),Calc!$Y$8:$Y$500,99999),Kanban_Helper!$B238),Calc!$Y$8:$Y$500,0)))))),"")</f>
        <v/>
      </c>
      <c r="I245" s="39"/>
    </row>
    <row r="246" spans="2:9" ht="15" thickTop="1" x14ac:dyDescent="0.35">
      <c r="B246" s="81"/>
      <c r="C246" s="170" t="str">
        <f t="array" ref="C246">IFERROR(IF(LEN(C$11)=0,"",IF($C$7&lt;&gt;"All",IF(INDEX(Calc!$V$8:$V$500,MATCH(INDEX(Calc!$D$8:$D$500,MATCH(SMALL(IF((Calc!$C$8:$C$500=Kanban!$C$7)*(Calc!$K$8:$K$500=Kanban!C$11)*(Calc!$Y$8:$Y$500&gt;0),Calc!$Y$8:$Y$500,99999),Kanban_Helper!$B239),Calc!$Y$8:$Y$500,0)),Calc!$D$8:$D$500,0))="Yes",CONCATENATE(INDEX(Calc!$D$8:$D$500,MATCH(SMALL(IF((Calc!$C$8:$C$500=Kanban!$C$7)*(Calc!$K$8:$K$500=Kanban!C$11)*(Calc!$Y$8:$Y$500&gt;0),Calc!$Y$8:$Y$500,99999),Kanban_Helper!$B239),Calc!$Y$8:$Y$500,0))," ",Calc!$V$7," ","!"),INDEX(Calc!$D$8:$D$500,MATCH(SMALL(IF((Calc!$C$8:$C$500=Kanban!$C$7)*(Calc!$K$8:$K$500=Kanban!C$11)*(Calc!$Y$8:$Y$500&gt;0),Calc!$Y$8:$Y$500,99999),Kanban_Helper!$B239),Calc!$Y$8:$Y$500,0))),IF(INDEX(Calc!$V$8:$V$500,MATCH(INDEX(Calc!$D$8:$D$500,MATCH(SMALL(IF((Calc!$K$8:$K$500=Kanban!C$11)*(Calc!$Y$8:$Y$500&gt;0),Calc!$Y$8:$Y$500,99999),Kanban_Helper!$B239),Calc!$Y$8:$Y$500,0)),Calc!$D$8:$D$500,0))="Yes",CONCATENATE(INDEX(Calc!$D$8:$D$500,MATCH(SMALL(IF((Calc!$K$8:$K$500=Kanban!C$11)*(Calc!$Y$8:$Y$500&gt;0),Calc!$Y$8:$Y$500,99999),Kanban_Helper!$B239),Calc!$Y$8:$Y$500,0))," ",Calc!$V$7," ","!"),INDEX(Calc!$D$8:$D$500,MATCH(SMALL(IF((Calc!$K$8:$K$500=Kanban!C$11)*(Calc!$Y$8:$Y$500&gt;0),Calc!$Y$8:$Y$500,99999),Kanban_Helper!$B239),Calc!$Y$8:$Y$500,0))))),"")</f>
        <v/>
      </c>
      <c r="D246" s="170" t="str">
        <f t="array" ref="D246">IFERROR(IF(LEN(D$11)=0,"",IF($C$7&lt;&gt;"All",IF(INDEX(Calc!$V$8:$V$500,MATCH(INDEX(Calc!$D$8:$D$500,MATCH(SMALL(IF((Calc!$C$8:$C$500=Kanban!$C$7)*(Calc!$K$8:$K$500=Kanban!D$11)*(Calc!$Y$8:$Y$500&gt;0),Calc!$Y$8:$Y$500,99999),Kanban_Helper!$B239),Calc!$Y$8:$Y$500,0)),Calc!$D$8:$D$500,0))="Yes",CONCATENATE(INDEX(Calc!$D$8:$D$500,MATCH(SMALL(IF((Calc!$C$8:$C$500=Kanban!$C$7)*(Calc!$K$8:$K$500=Kanban!D$11)*(Calc!$Y$8:$Y$500&gt;0),Calc!$Y$8:$Y$500,99999),Kanban_Helper!$B239),Calc!$Y$8:$Y$500,0))," ",Calc!$V$7," ","!"),INDEX(Calc!$D$8:$D$500,MATCH(SMALL(IF((Calc!$C$8:$C$500=Kanban!$C$7)*(Calc!$K$8:$K$500=Kanban!D$11)*(Calc!$Y$8:$Y$500&gt;0),Calc!$Y$8:$Y$500,99999),Kanban_Helper!$B239),Calc!$Y$8:$Y$500,0))),IF(INDEX(Calc!$V$8:$V$500,MATCH(INDEX(Calc!$D$8:$D$500,MATCH(SMALL(IF((Calc!$K$8:$K$500=Kanban!D$11)*(Calc!$Y$8:$Y$500&gt;0),Calc!$Y$8:$Y$500,99999),Kanban_Helper!$B239),Calc!$Y$8:$Y$500,0)),Calc!$D$8:$D$500,0))="Yes",CONCATENATE(INDEX(Calc!$D$8:$D$500,MATCH(SMALL(IF((Calc!$K$8:$K$500=Kanban!D$11)*(Calc!$Y$8:$Y$500&gt;0),Calc!$Y$8:$Y$500,99999),Kanban_Helper!$B239),Calc!$Y$8:$Y$500,0))," ",Calc!$V$7," ","!"),INDEX(Calc!$D$8:$D$500,MATCH(SMALL(IF((Calc!$K$8:$K$500=Kanban!D$11)*(Calc!$Y$8:$Y$500&gt;0),Calc!$Y$8:$Y$500,99999),Kanban_Helper!$B239),Calc!$Y$8:$Y$500,0))))),"")</f>
        <v/>
      </c>
      <c r="E246" s="170" t="str">
        <f t="array" ref="E246">IFERROR(IF(LEN(E$11)=0,"",IF($C$7&lt;&gt;"All",IF(INDEX(Calc!$V$8:$V$500,MATCH(INDEX(Calc!$D$8:$D$500,MATCH(SMALL(IF((Calc!$C$8:$C$500=Kanban!$C$7)*(Calc!$K$8:$K$500=Kanban!E$11)*(Calc!$Y$8:$Y$500&gt;0),Calc!$Y$8:$Y$500,99999),Kanban_Helper!$B239),Calc!$Y$8:$Y$500,0)),Calc!$D$8:$D$500,0))="Yes",CONCATENATE(INDEX(Calc!$D$8:$D$500,MATCH(SMALL(IF((Calc!$C$8:$C$500=Kanban!$C$7)*(Calc!$K$8:$K$500=Kanban!E$11)*(Calc!$Y$8:$Y$500&gt;0),Calc!$Y$8:$Y$500,99999),Kanban_Helper!$B239),Calc!$Y$8:$Y$500,0))," ",Calc!$V$7," ","!"),INDEX(Calc!$D$8:$D$500,MATCH(SMALL(IF((Calc!$C$8:$C$500=Kanban!$C$7)*(Calc!$K$8:$K$500=Kanban!E$11)*(Calc!$Y$8:$Y$500&gt;0),Calc!$Y$8:$Y$500,99999),Kanban_Helper!$B239),Calc!$Y$8:$Y$500,0))),IF(INDEX(Calc!$V$8:$V$500,MATCH(INDEX(Calc!$D$8:$D$500,MATCH(SMALL(IF((Calc!$K$8:$K$500=Kanban!E$11)*(Calc!$Y$8:$Y$500&gt;0),Calc!$Y$8:$Y$500,99999),Kanban_Helper!$B239),Calc!$Y$8:$Y$500,0)),Calc!$D$8:$D$500,0))="Yes",CONCATENATE(INDEX(Calc!$D$8:$D$500,MATCH(SMALL(IF((Calc!$K$8:$K$500=Kanban!E$11)*(Calc!$Y$8:$Y$500&gt;0),Calc!$Y$8:$Y$500,99999),Kanban_Helper!$B239),Calc!$Y$8:$Y$500,0))," ",Calc!$V$7," ","!"),INDEX(Calc!$D$8:$D$500,MATCH(SMALL(IF((Calc!$K$8:$K$500=Kanban!E$11)*(Calc!$Y$8:$Y$500&gt;0),Calc!$Y$8:$Y$500,99999),Kanban_Helper!$B239),Calc!$Y$8:$Y$500,0))))),"")</f>
        <v/>
      </c>
      <c r="F246" s="170" t="str">
        <f t="array" ref="F246">IFERROR(IF(LEN(F$11)=0,"",IF($C$7&lt;&gt;"All",IF(INDEX(Calc!$V$8:$V$500,MATCH(INDEX(Calc!$D$8:$D$500,MATCH(SMALL(IF((Calc!$C$8:$C$500=Kanban!$C$7)*(Calc!$K$8:$K$500=Kanban!F$11)*(Calc!$Y$8:$Y$500&gt;0),Calc!$Y$8:$Y$500,99999),Kanban_Helper!$B239),Calc!$Y$8:$Y$500,0)),Calc!$D$8:$D$500,0))="Yes",CONCATENATE(INDEX(Calc!$D$8:$D$500,MATCH(SMALL(IF((Calc!$C$8:$C$500=Kanban!$C$7)*(Calc!$K$8:$K$500=Kanban!F$11)*(Calc!$Y$8:$Y$500&gt;0),Calc!$Y$8:$Y$500,99999),Kanban_Helper!$B239),Calc!$Y$8:$Y$500,0))," ",Calc!$V$7," ","!"),INDEX(Calc!$D$8:$D$500,MATCH(SMALL(IF((Calc!$C$8:$C$500=Kanban!$C$7)*(Calc!$K$8:$K$500=Kanban!F$11)*(Calc!$Y$8:$Y$500&gt;0),Calc!$Y$8:$Y$500,99999),Kanban_Helper!$B239),Calc!$Y$8:$Y$500,0))),IF(INDEX(Calc!$V$8:$V$500,MATCH(INDEX(Calc!$D$8:$D$500,MATCH(SMALL(IF((Calc!$K$8:$K$500=Kanban!F$11)*(Calc!$Y$8:$Y$500&gt;0),Calc!$Y$8:$Y$500,99999),Kanban_Helper!$B239),Calc!$Y$8:$Y$500,0)),Calc!$D$8:$D$500,0))="Yes",CONCATENATE(INDEX(Calc!$D$8:$D$500,MATCH(SMALL(IF((Calc!$K$8:$K$500=Kanban!F$11)*(Calc!$Y$8:$Y$500&gt;0),Calc!$Y$8:$Y$500,99999),Kanban_Helper!$B239),Calc!$Y$8:$Y$500,0))," ",Calc!$V$7," ","!"),INDEX(Calc!$D$8:$D$500,MATCH(SMALL(IF((Calc!$K$8:$K$500=Kanban!F$11)*(Calc!$Y$8:$Y$500&gt;0),Calc!$Y$8:$Y$500,99999),Kanban_Helper!$B239),Calc!$Y$8:$Y$500,0))))),"")</f>
        <v/>
      </c>
      <c r="G246" s="170" t="str">
        <f t="array" ref="G246">IFERROR(IF(LEN(G$11)=0,"",IF($C$7&lt;&gt;"All",IF(INDEX(Calc!$V$8:$V$500,MATCH(INDEX(Calc!$D$8:$D$500,MATCH(SMALL(IF((Calc!$C$8:$C$500=Kanban!$C$7)*(Calc!$K$8:$K$500=Kanban!G$11)*(Calc!$Y$8:$Y$500&gt;0),Calc!$Y$8:$Y$500,99999),Kanban_Helper!$B239),Calc!$Y$8:$Y$500,0)),Calc!$D$8:$D$500,0))="Yes",CONCATENATE(INDEX(Calc!$D$8:$D$500,MATCH(SMALL(IF((Calc!$C$8:$C$500=Kanban!$C$7)*(Calc!$K$8:$K$500=Kanban!G$11)*(Calc!$Y$8:$Y$500&gt;0),Calc!$Y$8:$Y$500,99999),Kanban_Helper!$B239),Calc!$Y$8:$Y$500,0))," ",Calc!$V$7," ","!"),INDEX(Calc!$D$8:$D$500,MATCH(SMALL(IF((Calc!$C$8:$C$500=Kanban!$C$7)*(Calc!$K$8:$K$500=Kanban!G$11)*(Calc!$Y$8:$Y$500&gt;0),Calc!$Y$8:$Y$500,99999),Kanban_Helper!$B239),Calc!$Y$8:$Y$500,0))),IF(INDEX(Calc!$V$8:$V$500,MATCH(INDEX(Calc!$D$8:$D$500,MATCH(SMALL(IF((Calc!$K$8:$K$500=Kanban!G$11)*(Calc!$Y$8:$Y$500&gt;0),Calc!$Y$8:$Y$500,99999),Kanban_Helper!$B239),Calc!$Y$8:$Y$500,0)),Calc!$D$8:$D$500,0))="Yes",CONCATENATE(INDEX(Calc!$D$8:$D$500,MATCH(SMALL(IF((Calc!$K$8:$K$500=Kanban!G$11)*(Calc!$Y$8:$Y$500&gt;0),Calc!$Y$8:$Y$500,99999),Kanban_Helper!$B239),Calc!$Y$8:$Y$500,0))," ",Calc!$V$7," ","!"),INDEX(Calc!$D$8:$D$500,MATCH(SMALL(IF((Calc!$K$8:$K$500=Kanban!G$11)*(Calc!$Y$8:$Y$500&gt;0),Calc!$Y$8:$Y$500,99999),Kanban_Helper!$B239),Calc!$Y$8:$Y$500,0))))),"")</f>
        <v/>
      </c>
      <c r="H246" s="170" t="str">
        <f t="array" ref="H246">IFERROR(IF(LEN(H$11)=0,"",IF($C$7&lt;&gt;"All",IF(INDEX(Calc!$V$8:$V$500,MATCH(INDEX(Calc!$D$8:$D$500,MATCH(SMALL(IF((Calc!$C$8:$C$500=Kanban!$C$7)*(Calc!$K$8:$K$500=Kanban!H$11)*(Calc!$Y$8:$Y$500&gt;0),Calc!$Y$8:$Y$500,99999),Kanban_Helper!$B239),Calc!$Y$8:$Y$500,0)),Calc!$D$8:$D$500,0))="Yes",CONCATENATE(INDEX(Calc!$D$8:$D$500,MATCH(SMALL(IF((Calc!$C$8:$C$500=Kanban!$C$7)*(Calc!$K$8:$K$500=Kanban!H$11)*(Calc!$Y$8:$Y$500&gt;0),Calc!$Y$8:$Y$500,99999),Kanban_Helper!$B239),Calc!$Y$8:$Y$500,0))," ",Calc!$V$7," ","!"),INDEX(Calc!$D$8:$D$500,MATCH(SMALL(IF((Calc!$C$8:$C$500=Kanban!$C$7)*(Calc!$K$8:$K$500=Kanban!H$11)*(Calc!$Y$8:$Y$500&gt;0),Calc!$Y$8:$Y$500,99999),Kanban_Helper!$B239),Calc!$Y$8:$Y$500,0))),IF(INDEX(Calc!$V$8:$V$500,MATCH(INDEX(Calc!$D$8:$D$500,MATCH(SMALL(IF((Calc!$K$8:$K$500=Kanban!H$11)*(Calc!$Y$8:$Y$500&gt;0),Calc!$Y$8:$Y$500,99999),Kanban_Helper!$B239),Calc!$Y$8:$Y$500,0)),Calc!$D$8:$D$500,0))="Yes",CONCATENATE(INDEX(Calc!$D$8:$D$500,MATCH(SMALL(IF((Calc!$K$8:$K$500=Kanban!H$11)*(Calc!$Y$8:$Y$500&gt;0),Calc!$Y$8:$Y$500,99999),Kanban_Helper!$B239),Calc!$Y$8:$Y$500,0))," ",Calc!$V$7," ","!"),INDEX(Calc!$D$8:$D$500,MATCH(SMALL(IF((Calc!$K$8:$K$500=Kanban!H$11)*(Calc!$Y$8:$Y$500&gt;0),Calc!$Y$8:$Y$500,99999),Kanban_Helper!$B239),Calc!$Y$8:$Y$500,0))))),"")</f>
        <v/>
      </c>
      <c r="I246" s="39"/>
    </row>
    <row r="247" spans="2:9" x14ac:dyDescent="0.35">
      <c r="B247" s="81"/>
      <c r="C247" s="171" t="str">
        <f t="array" ref="C247">IFERROR(IF(LEN(C$11)=0,"",IF($C$7&lt;&gt;"All",INDEX(Calc!$E$8:$E$500,MATCH(SMALL(IF((Calc!$C$8:$C$500=Kanban!$C$7)*(Calc!$K$8:$K$500=Kanban!C$11)*(Calc!$Y$8:$Y$500&gt;0),Calc!$Y$8:$Y$500,99999),Kanban_Helper!$B240),Calc!$Y$8:$Y$500,0)),INDEX(Calc!$E$8:$E$500,MATCH(SMALL(IF((Calc!$K$8:$K$500=Kanban!C$11)*(Calc!$Y$8:$Y$500&gt;0),Calc!$Y$8:$Y$500,99999),Kanban_Helper!$B240),Calc!$Y$8:$Y$500,0)))),"")</f>
        <v/>
      </c>
      <c r="D247" s="171" t="str">
        <f t="array" ref="D247">IFERROR(IF(LEN(D$11)=0,"",IF($C$7&lt;&gt;"All",INDEX(Calc!$E$8:$E$500,MATCH(SMALL(IF((Calc!$C$8:$C$500=Kanban!$C$7)*(Calc!$K$8:$K$500=Kanban!D$11)*(Calc!$Y$8:$Y$500&gt;0),Calc!$Y$8:$Y$500,99999),Kanban_Helper!$B240),Calc!$Y$8:$Y$500,0)),INDEX(Calc!$E$8:$E$500,MATCH(SMALL(IF((Calc!$K$8:$K$500=Kanban!D$11)*(Calc!$Y$8:$Y$500&gt;0),Calc!$Y$8:$Y$500,99999),Kanban_Helper!$B240),Calc!$Y$8:$Y$500,0)))),"")</f>
        <v/>
      </c>
      <c r="E247" s="171" t="str">
        <f t="array" ref="E247">IFERROR(IF(LEN(E$11)=0,"",IF($C$7&lt;&gt;"All",INDEX(Calc!$E$8:$E$500,MATCH(SMALL(IF((Calc!$C$8:$C$500=Kanban!$C$7)*(Calc!$K$8:$K$500=Kanban!E$11)*(Calc!$Y$8:$Y$500&gt;0),Calc!$Y$8:$Y$500,99999),Kanban_Helper!$B240),Calc!$Y$8:$Y$500,0)),INDEX(Calc!$E$8:$E$500,MATCH(SMALL(IF((Calc!$K$8:$K$500=Kanban!E$11)*(Calc!$Y$8:$Y$500&gt;0),Calc!$Y$8:$Y$500,99999),Kanban_Helper!$B240),Calc!$Y$8:$Y$500,0)))),"")</f>
        <v/>
      </c>
      <c r="F247" s="171" t="str">
        <f t="array" ref="F247">IFERROR(IF(LEN(F$11)=0,"",IF($C$7&lt;&gt;"All",INDEX(Calc!$E$8:$E$500,MATCH(SMALL(IF((Calc!$C$8:$C$500=Kanban!$C$7)*(Calc!$K$8:$K$500=Kanban!F$11)*(Calc!$Y$8:$Y$500&gt;0),Calc!$Y$8:$Y$500,99999),Kanban_Helper!$B240),Calc!$Y$8:$Y$500,0)),INDEX(Calc!$E$8:$E$500,MATCH(SMALL(IF((Calc!$K$8:$K$500=Kanban!F$11)*(Calc!$Y$8:$Y$500&gt;0),Calc!$Y$8:$Y$500,99999),Kanban_Helper!$B240),Calc!$Y$8:$Y$500,0)))),"")</f>
        <v/>
      </c>
      <c r="G247" s="171" t="str">
        <f t="array" ref="G247">IFERROR(IF(LEN(G$11)=0,"",IF($C$7&lt;&gt;"All",INDEX(Calc!$E$8:$E$500,MATCH(SMALL(IF((Calc!$C$8:$C$500=Kanban!$C$7)*(Calc!$K$8:$K$500=Kanban!G$11)*(Calc!$Y$8:$Y$500&gt;0),Calc!$Y$8:$Y$500,99999),Kanban_Helper!$B240),Calc!$Y$8:$Y$500,0)),INDEX(Calc!$E$8:$E$500,MATCH(SMALL(IF((Calc!$K$8:$K$500=Kanban!G$11)*(Calc!$Y$8:$Y$500&gt;0),Calc!$Y$8:$Y$500,99999),Kanban_Helper!$B240),Calc!$Y$8:$Y$500,0)))),"")</f>
        <v/>
      </c>
      <c r="H247" s="171" t="str">
        <f t="array" ref="H247">IFERROR(IF(LEN(H$11)=0,"",IF($C$7&lt;&gt;"All",INDEX(Calc!$E$8:$E$500,MATCH(SMALL(IF((Calc!$C$8:$C$500=Kanban!$C$7)*(Calc!$K$8:$K$500=Kanban!H$11)*(Calc!$Y$8:$Y$500&gt;0),Calc!$Y$8:$Y$500,99999),Kanban_Helper!$B240),Calc!$Y$8:$Y$500,0)),INDEX(Calc!$E$8:$E$500,MATCH(SMALL(IF((Calc!$K$8:$K$500=Kanban!H$11)*(Calc!$Y$8:$Y$500&gt;0),Calc!$Y$8:$Y$500,99999),Kanban_Helper!$B240),Calc!$Y$8:$Y$500,0)))),"")</f>
        <v/>
      </c>
      <c r="I247" s="39"/>
    </row>
    <row r="248" spans="2:9" ht="15" thickBot="1" x14ac:dyDescent="0.4">
      <c r="B248" s="81"/>
      <c r="C248" s="172" t="str">
        <f t="array" ref="C248">IFERROR(IF(LEN(C$11)=0,"",IF($C$7&lt;&gt;"All",IF(LEN(INDEX(Calc!$J$8:$J$500,MATCH(SMALL(IF((Calc!$C$8:$C$500=Kanban!$C$7)*(Calc!$K$8:$K$500=Kanban!C$11)*(Calc!$Y$8:$Y$500&gt;0),Calc!$Y$8:$Y$500,99999),Kanban_Helper!$B241),Calc!$Y$8:$Y$500,0)))=0,"",CONCATENATE(Calc!$AD$6,INDEX(Calc!$J$8:$J$500,MATCH(SMALL(IF((Calc!$C$8:$C$500=Kanban!$C$7)*(Calc!$K$8:$K$500=Kanban!C$11)*(Calc!$Y$8:$Y$500&gt;0),Calc!$Y$8:$Y$500,99999),Kanban_Helper!$B241),Calc!$Y$8:$Y$500,0)))),IF(LEN(INDEX(Calc!$J$8:$J$500,MATCH(SMALL(IF((Calc!$K$8:$K$500=Kanban!C$11)*(Calc!$Y$8:$Y$500&gt;0),Calc!$Y$8:$Y$500,99999),Kanban_Helper!$B241),Calc!$Y$8:$Y$500,0)))=0,"",CONCATENATE(Calc!$AD$6,INDEX(Calc!$J$8:$J$500,MATCH(SMALL(IF((Calc!$K$8:$K$500=Kanban!C$11)*(Calc!$Y$8:$Y$500&gt;0),Calc!$Y$8:$Y$500,99999),Kanban_Helper!$B241),Calc!$Y$8:$Y$500,0)))))),"")</f>
        <v/>
      </c>
      <c r="D248" s="172" t="str">
        <f t="array" ref="D248">IFERROR(IF(LEN(D$11)=0,"",IF($C$7&lt;&gt;"All",IF(LEN(INDEX(Calc!$J$8:$J$500,MATCH(SMALL(IF((Calc!$C$8:$C$500=Kanban!$C$7)*(Calc!$K$8:$K$500=Kanban!D$11)*(Calc!$Y$8:$Y$500&gt;0),Calc!$Y$8:$Y$500,99999),Kanban_Helper!$B241),Calc!$Y$8:$Y$500,0)))=0,"",CONCATENATE(Calc!$AD$6,INDEX(Calc!$J$8:$J$500,MATCH(SMALL(IF((Calc!$C$8:$C$500=Kanban!$C$7)*(Calc!$K$8:$K$500=Kanban!D$11)*(Calc!$Y$8:$Y$500&gt;0),Calc!$Y$8:$Y$500,99999),Kanban_Helper!$B241),Calc!$Y$8:$Y$500,0)))),IF(LEN(INDEX(Calc!$J$8:$J$500,MATCH(SMALL(IF((Calc!$K$8:$K$500=Kanban!D$11)*(Calc!$Y$8:$Y$500&gt;0),Calc!$Y$8:$Y$500,99999),Kanban_Helper!$B241),Calc!$Y$8:$Y$500,0)))=0,"",CONCATENATE(Calc!$AD$6,INDEX(Calc!$J$8:$J$500,MATCH(SMALL(IF((Calc!$K$8:$K$500=Kanban!D$11)*(Calc!$Y$8:$Y$500&gt;0),Calc!$Y$8:$Y$500,99999),Kanban_Helper!$B241),Calc!$Y$8:$Y$500,0)))))),"")</f>
        <v/>
      </c>
      <c r="E248" s="172" t="str">
        <f t="array" ref="E248">IFERROR(IF(LEN(E$11)=0,"",IF($C$7&lt;&gt;"All",IF(LEN(INDEX(Calc!$J$8:$J$500,MATCH(SMALL(IF((Calc!$C$8:$C$500=Kanban!$C$7)*(Calc!$K$8:$K$500=Kanban!E$11)*(Calc!$Y$8:$Y$500&gt;0),Calc!$Y$8:$Y$500,99999),Kanban_Helper!$B241),Calc!$Y$8:$Y$500,0)))=0,"",CONCATENATE(Calc!$AD$6,INDEX(Calc!$J$8:$J$500,MATCH(SMALL(IF((Calc!$C$8:$C$500=Kanban!$C$7)*(Calc!$K$8:$K$500=Kanban!E$11)*(Calc!$Y$8:$Y$500&gt;0),Calc!$Y$8:$Y$500,99999),Kanban_Helper!$B241),Calc!$Y$8:$Y$500,0)))),IF(LEN(INDEX(Calc!$J$8:$J$500,MATCH(SMALL(IF((Calc!$K$8:$K$500=Kanban!E$11)*(Calc!$Y$8:$Y$500&gt;0),Calc!$Y$8:$Y$500,99999),Kanban_Helper!$B241),Calc!$Y$8:$Y$500,0)))=0,"",CONCATENATE(Calc!$AD$6,INDEX(Calc!$J$8:$J$500,MATCH(SMALL(IF((Calc!$K$8:$K$500=Kanban!E$11)*(Calc!$Y$8:$Y$500&gt;0),Calc!$Y$8:$Y$500,99999),Kanban_Helper!$B241),Calc!$Y$8:$Y$500,0)))))),"")</f>
        <v/>
      </c>
      <c r="F248" s="172" t="str">
        <f t="array" ref="F248">IFERROR(IF(LEN(F$11)=0,"",IF($C$7&lt;&gt;"All",IF(LEN(INDEX(Calc!$J$8:$J$500,MATCH(SMALL(IF((Calc!$C$8:$C$500=Kanban!$C$7)*(Calc!$K$8:$K$500=Kanban!F$11)*(Calc!$Y$8:$Y$500&gt;0),Calc!$Y$8:$Y$500,99999),Kanban_Helper!$B241),Calc!$Y$8:$Y$500,0)))=0,"",CONCATENATE(Calc!$AD$6,INDEX(Calc!$J$8:$J$500,MATCH(SMALL(IF((Calc!$C$8:$C$500=Kanban!$C$7)*(Calc!$K$8:$K$500=Kanban!F$11)*(Calc!$Y$8:$Y$500&gt;0),Calc!$Y$8:$Y$500,99999),Kanban_Helper!$B241),Calc!$Y$8:$Y$500,0)))),IF(LEN(INDEX(Calc!$J$8:$J$500,MATCH(SMALL(IF((Calc!$K$8:$K$500=Kanban!F$11)*(Calc!$Y$8:$Y$500&gt;0),Calc!$Y$8:$Y$500,99999),Kanban_Helper!$B241),Calc!$Y$8:$Y$500,0)))=0,"",CONCATENATE(Calc!$AD$6,INDEX(Calc!$J$8:$J$500,MATCH(SMALL(IF((Calc!$K$8:$K$500=Kanban!F$11)*(Calc!$Y$8:$Y$500&gt;0),Calc!$Y$8:$Y$500,99999),Kanban_Helper!$B241),Calc!$Y$8:$Y$500,0)))))),"")</f>
        <v/>
      </c>
      <c r="G248" s="172" t="str">
        <f t="array" ref="G248">IFERROR(IF(LEN(G$11)=0,"",IF($C$7&lt;&gt;"All",IF(LEN(INDEX(Calc!$J$8:$J$500,MATCH(SMALL(IF((Calc!$C$8:$C$500=Kanban!$C$7)*(Calc!$K$8:$K$500=Kanban!G$11)*(Calc!$Y$8:$Y$500&gt;0),Calc!$Y$8:$Y$500,99999),Kanban_Helper!$B241),Calc!$Y$8:$Y$500,0)))=0,"",CONCATENATE(Calc!$AD$6,INDEX(Calc!$J$8:$J$500,MATCH(SMALL(IF((Calc!$C$8:$C$500=Kanban!$C$7)*(Calc!$K$8:$K$500=Kanban!G$11)*(Calc!$Y$8:$Y$500&gt;0),Calc!$Y$8:$Y$500,99999),Kanban_Helper!$B241),Calc!$Y$8:$Y$500,0)))),IF(LEN(INDEX(Calc!$J$8:$J$500,MATCH(SMALL(IF((Calc!$K$8:$K$500=Kanban!G$11)*(Calc!$Y$8:$Y$500&gt;0),Calc!$Y$8:$Y$500,99999),Kanban_Helper!$B241),Calc!$Y$8:$Y$500,0)))=0,"",CONCATENATE(Calc!$AD$6,INDEX(Calc!$J$8:$J$500,MATCH(SMALL(IF((Calc!$K$8:$K$500=Kanban!G$11)*(Calc!$Y$8:$Y$500&gt;0),Calc!$Y$8:$Y$500,99999),Kanban_Helper!$B241),Calc!$Y$8:$Y$500,0)))))),"")</f>
        <v/>
      </c>
      <c r="H248" s="172" t="str">
        <f t="array" ref="H248">IFERROR(IF(LEN(H$11)=0,"",IF($C$7&lt;&gt;"All",IF(LEN(INDEX(Calc!$J$8:$J$500,MATCH(SMALL(IF((Calc!$C$8:$C$500=Kanban!$C$7)*(Calc!$K$8:$K$500=Kanban!H$11)*(Calc!$Y$8:$Y$500&gt;0),Calc!$Y$8:$Y$500,99999),Kanban_Helper!$B241),Calc!$Y$8:$Y$500,0)))=0,"",CONCATENATE(Calc!$AD$6,INDEX(Calc!$J$8:$J$500,MATCH(SMALL(IF((Calc!$C$8:$C$500=Kanban!$C$7)*(Calc!$K$8:$K$500=Kanban!H$11)*(Calc!$Y$8:$Y$500&gt;0),Calc!$Y$8:$Y$500,99999),Kanban_Helper!$B241),Calc!$Y$8:$Y$500,0)))),IF(LEN(INDEX(Calc!$J$8:$J$500,MATCH(SMALL(IF((Calc!$K$8:$K$500=Kanban!H$11)*(Calc!$Y$8:$Y$500&gt;0),Calc!$Y$8:$Y$500,99999),Kanban_Helper!$B241),Calc!$Y$8:$Y$500,0)))=0,"",CONCATENATE(Calc!$AD$6,INDEX(Calc!$J$8:$J$500,MATCH(SMALL(IF((Calc!$K$8:$K$500=Kanban!H$11)*(Calc!$Y$8:$Y$500&gt;0),Calc!$Y$8:$Y$500,99999),Kanban_Helper!$B241),Calc!$Y$8:$Y$500,0)))))),"")</f>
        <v/>
      </c>
      <c r="I248" s="39"/>
    </row>
    <row r="249" spans="2:9" ht="15" thickTop="1" x14ac:dyDescent="0.35">
      <c r="B249" s="81"/>
      <c r="C249" s="170" t="str">
        <f t="array" ref="C249">IFERROR(IF(LEN(C$11)=0,"",IF($C$7&lt;&gt;"All",IF(INDEX(Calc!$V$8:$V$500,MATCH(INDEX(Calc!$D$8:$D$500,MATCH(SMALL(IF((Calc!$C$8:$C$500=Kanban!$C$7)*(Calc!$K$8:$K$500=Kanban!C$11)*(Calc!$Y$8:$Y$500&gt;0),Calc!$Y$8:$Y$500,99999),Kanban_Helper!$B242),Calc!$Y$8:$Y$500,0)),Calc!$D$8:$D$500,0))="Yes",CONCATENATE(INDEX(Calc!$D$8:$D$500,MATCH(SMALL(IF((Calc!$C$8:$C$500=Kanban!$C$7)*(Calc!$K$8:$K$500=Kanban!C$11)*(Calc!$Y$8:$Y$500&gt;0),Calc!$Y$8:$Y$500,99999),Kanban_Helper!$B242),Calc!$Y$8:$Y$500,0))," ",Calc!$V$7," ","!"),INDEX(Calc!$D$8:$D$500,MATCH(SMALL(IF((Calc!$C$8:$C$500=Kanban!$C$7)*(Calc!$K$8:$K$500=Kanban!C$11)*(Calc!$Y$8:$Y$500&gt;0),Calc!$Y$8:$Y$500,99999),Kanban_Helper!$B242),Calc!$Y$8:$Y$500,0))),IF(INDEX(Calc!$V$8:$V$500,MATCH(INDEX(Calc!$D$8:$D$500,MATCH(SMALL(IF((Calc!$K$8:$K$500=Kanban!C$11)*(Calc!$Y$8:$Y$500&gt;0),Calc!$Y$8:$Y$500,99999),Kanban_Helper!$B242),Calc!$Y$8:$Y$500,0)),Calc!$D$8:$D$500,0))="Yes",CONCATENATE(INDEX(Calc!$D$8:$D$500,MATCH(SMALL(IF((Calc!$K$8:$K$500=Kanban!C$11)*(Calc!$Y$8:$Y$500&gt;0),Calc!$Y$8:$Y$500,99999),Kanban_Helper!$B242),Calc!$Y$8:$Y$500,0))," ",Calc!$V$7," ","!"),INDEX(Calc!$D$8:$D$500,MATCH(SMALL(IF((Calc!$K$8:$K$500=Kanban!C$11)*(Calc!$Y$8:$Y$500&gt;0),Calc!$Y$8:$Y$500,99999),Kanban_Helper!$B242),Calc!$Y$8:$Y$500,0))))),"")</f>
        <v/>
      </c>
      <c r="D249" s="170" t="str">
        <f t="array" ref="D249">IFERROR(IF(LEN(D$11)=0,"",IF($C$7&lt;&gt;"All",IF(INDEX(Calc!$V$8:$V$500,MATCH(INDEX(Calc!$D$8:$D$500,MATCH(SMALL(IF((Calc!$C$8:$C$500=Kanban!$C$7)*(Calc!$K$8:$K$500=Kanban!D$11)*(Calc!$Y$8:$Y$500&gt;0),Calc!$Y$8:$Y$500,99999),Kanban_Helper!$B242),Calc!$Y$8:$Y$500,0)),Calc!$D$8:$D$500,0))="Yes",CONCATENATE(INDEX(Calc!$D$8:$D$500,MATCH(SMALL(IF((Calc!$C$8:$C$500=Kanban!$C$7)*(Calc!$K$8:$K$500=Kanban!D$11)*(Calc!$Y$8:$Y$500&gt;0),Calc!$Y$8:$Y$500,99999),Kanban_Helper!$B242),Calc!$Y$8:$Y$500,0))," ",Calc!$V$7," ","!"),INDEX(Calc!$D$8:$D$500,MATCH(SMALL(IF((Calc!$C$8:$C$500=Kanban!$C$7)*(Calc!$K$8:$K$500=Kanban!D$11)*(Calc!$Y$8:$Y$500&gt;0),Calc!$Y$8:$Y$500,99999),Kanban_Helper!$B242),Calc!$Y$8:$Y$500,0))),IF(INDEX(Calc!$V$8:$V$500,MATCH(INDEX(Calc!$D$8:$D$500,MATCH(SMALL(IF((Calc!$K$8:$K$500=Kanban!D$11)*(Calc!$Y$8:$Y$500&gt;0),Calc!$Y$8:$Y$500,99999),Kanban_Helper!$B242),Calc!$Y$8:$Y$500,0)),Calc!$D$8:$D$500,0))="Yes",CONCATENATE(INDEX(Calc!$D$8:$D$500,MATCH(SMALL(IF((Calc!$K$8:$K$500=Kanban!D$11)*(Calc!$Y$8:$Y$500&gt;0),Calc!$Y$8:$Y$500,99999),Kanban_Helper!$B242),Calc!$Y$8:$Y$500,0))," ",Calc!$V$7," ","!"),INDEX(Calc!$D$8:$D$500,MATCH(SMALL(IF((Calc!$K$8:$K$500=Kanban!D$11)*(Calc!$Y$8:$Y$500&gt;0),Calc!$Y$8:$Y$500,99999),Kanban_Helper!$B242),Calc!$Y$8:$Y$500,0))))),"")</f>
        <v/>
      </c>
      <c r="E249" s="170" t="str">
        <f t="array" ref="E249">IFERROR(IF(LEN(E$11)=0,"",IF($C$7&lt;&gt;"All",IF(INDEX(Calc!$V$8:$V$500,MATCH(INDEX(Calc!$D$8:$D$500,MATCH(SMALL(IF((Calc!$C$8:$C$500=Kanban!$C$7)*(Calc!$K$8:$K$500=Kanban!E$11)*(Calc!$Y$8:$Y$500&gt;0),Calc!$Y$8:$Y$500,99999),Kanban_Helper!$B242),Calc!$Y$8:$Y$500,0)),Calc!$D$8:$D$500,0))="Yes",CONCATENATE(INDEX(Calc!$D$8:$D$500,MATCH(SMALL(IF((Calc!$C$8:$C$500=Kanban!$C$7)*(Calc!$K$8:$K$500=Kanban!E$11)*(Calc!$Y$8:$Y$500&gt;0),Calc!$Y$8:$Y$500,99999),Kanban_Helper!$B242),Calc!$Y$8:$Y$500,0))," ",Calc!$V$7," ","!"),INDEX(Calc!$D$8:$D$500,MATCH(SMALL(IF((Calc!$C$8:$C$500=Kanban!$C$7)*(Calc!$K$8:$K$500=Kanban!E$11)*(Calc!$Y$8:$Y$500&gt;0),Calc!$Y$8:$Y$500,99999),Kanban_Helper!$B242),Calc!$Y$8:$Y$500,0))),IF(INDEX(Calc!$V$8:$V$500,MATCH(INDEX(Calc!$D$8:$D$500,MATCH(SMALL(IF((Calc!$K$8:$K$500=Kanban!E$11)*(Calc!$Y$8:$Y$500&gt;0),Calc!$Y$8:$Y$500,99999),Kanban_Helper!$B242),Calc!$Y$8:$Y$500,0)),Calc!$D$8:$D$500,0))="Yes",CONCATENATE(INDEX(Calc!$D$8:$D$500,MATCH(SMALL(IF((Calc!$K$8:$K$500=Kanban!E$11)*(Calc!$Y$8:$Y$500&gt;0),Calc!$Y$8:$Y$500,99999),Kanban_Helper!$B242),Calc!$Y$8:$Y$500,0))," ",Calc!$V$7," ","!"),INDEX(Calc!$D$8:$D$500,MATCH(SMALL(IF((Calc!$K$8:$K$500=Kanban!E$11)*(Calc!$Y$8:$Y$500&gt;0),Calc!$Y$8:$Y$500,99999),Kanban_Helper!$B242),Calc!$Y$8:$Y$500,0))))),"")</f>
        <v/>
      </c>
      <c r="F249" s="170" t="str">
        <f t="array" ref="F249">IFERROR(IF(LEN(F$11)=0,"",IF($C$7&lt;&gt;"All",IF(INDEX(Calc!$V$8:$V$500,MATCH(INDEX(Calc!$D$8:$D$500,MATCH(SMALL(IF((Calc!$C$8:$C$500=Kanban!$C$7)*(Calc!$K$8:$K$500=Kanban!F$11)*(Calc!$Y$8:$Y$500&gt;0),Calc!$Y$8:$Y$500,99999),Kanban_Helper!$B242),Calc!$Y$8:$Y$500,0)),Calc!$D$8:$D$500,0))="Yes",CONCATENATE(INDEX(Calc!$D$8:$D$500,MATCH(SMALL(IF((Calc!$C$8:$C$500=Kanban!$C$7)*(Calc!$K$8:$K$500=Kanban!F$11)*(Calc!$Y$8:$Y$500&gt;0),Calc!$Y$8:$Y$500,99999),Kanban_Helper!$B242),Calc!$Y$8:$Y$500,0))," ",Calc!$V$7," ","!"),INDEX(Calc!$D$8:$D$500,MATCH(SMALL(IF((Calc!$C$8:$C$500=Kanban!$C$7)*(Calc!$K$8:$K$500=Kanban!F$11)*(Calc!$Y$8:$Y$500&gt;0),Calc!$Y$8:$Y$500,99999),Kanban_Helper!$B242),Calc!$Y$8:$Y$500,0))),IF(INDEX(Calc!$V$8:$V$500,MATCH(INDEX(Calc!$D$8:$D$500,MATCH(SMALL(IF((Calc!$K$8:$K$500=Kanban!F$11)*(Calc!$Y$8:$Y$500&gt;0),Calc!$Y$8:$Y$500,99999),Kanban_Helper!$B242),Calc!$Y$8:$Y$500,0)),Calc!$D$8:$D$500,0))="Yes",CONCATENATE(INDEX(Calc!$D$8:$D$500,MATCH(SMALL(IF((Calc!$K$8:$K$500=Kanban!F$11)*(Calc!$Y$8:$Y$500&gt;0),Calc!$Y$8:$Y$500,99999),Kanban_Helper!$B242),Calc!$Y$8:$Y$500,0))," ",Calc!$V$7," ","!"),INDEX(Calc!$D$8:$D$500,MATCH(SMALL(IF((Calc!$K$8:$K$500=Kanban!F$11)*(Calc!$Y$8:$Y$500&gt;0),Calc!$Y$8:$Y$500,99999),Kanban_Helper!$B242),Calc!$Y$8:$Y$500,0))))),"")</f>
        <v/>
      </c>
      <c r="G249" s="170" t="str">
        <f t="array" ref="G249">IFERROR(IF(LEN(G$11)=0,"",IF($C$7&lt;&gt;"All",IF(INDEX(Calc!$V$8:$V$500,MATCH(INDEX(Calc!$D$8:$D$500,MATCH(SMALL(IF((Calc!$C$8:$C$500=Kanban!$C$7)*(Calc!$K$8:$K$500=Kanban!G$11)*(Calc!$Y$8:$Y$500&gt;0),Calc!$Y$8:$Y$500,99999),Kanban_Helper!$B242),Calc!$Y$8:$Y$500,0)),Calc!$D$8:$D$500,0))="Yes",CONCATENATE(INDEX(Calc!$D$8:$D$500,MATCH(SMALL(IF((Calc!$C$8:$C$500=Kanban!$C$7)*(Calc!$K$8:$K$500=Kanban!G$11)*(Calc!$Y$8:$Y$500&gt;0),Calc!$Y$8:$Y$500,99999),Kanban_Helper!$B242),Calc!$Y$8:$Y$500,0))," ",Calc!$V$7," ","!"),INDEX(Calc!$D$8:$D$500,MATCH(SMALL(IF((Calc!$C$8:$C$500=Kanban!$C$7)*(Calc!$K$8:$K$500=Kanban!G$11)*(Calc!$Y$8:$Y$500&gt;0),Calc!$Y$8:$Y$500,99999),Kanban_Helper!$B242),Calc!$Y$8:$Y$500,0))),IF(INDEX(Calc!$V$8:$V$500,MATCH(INDEX(Calc!$D$8:$D$500,MATCH(SMALL(IF((Calc!$K$8:$K$500=Kanban!G$11)*(Calc!$Y$8:$Y$500&gt;0),Calc!$Y$8:$Y$500,99999),Kanban_Helper!$B242),Calc!$Y$8:$Y$500,0)),Calc!$D$8:$D$500,0))="Yes",CONCATENATE(INDEX(Calc!$D$8:$D$500,MATCH(SMALL(IF((Calc!$K$8:$K$500=Kanban!G$11)*(Calc!$Y$8:$Y$500&gt;0),Calc!$Y$8:$Y$500,99999),Kanban_Helper!$B242),Calc!$Y$8:$Y$500,0))," ",Calc!$V$7," ","!"),INDEX(Calc!$D$8:$D$500,MATCH(SMALL(IF((Calc!$K$8:$K$500=Kanban!G$11)*(Calc!$Y$8:$Y$500&gt;0),Calc!$Y$8:$Y$500,99999),Kanban_Helper!$B242),Calc!$Y$8:$Y$500,0))))),"")</f>
        <v/>
      </c>
      <c r="H249" s="170" t="str">
        <f t="array" ref="H249">IFERROR(IF(LEN(H$11)=0,"",IF($C$7&lt;&gt;"All",IF(INDEX(Calc!$V$8:$V$500,MATCH(INDEX(Calc!$D$8:$D$500,MATCH(SMALL(IF((Calc!$C$8:$C$500=Kanban!$C$7)*(Calc!$K$8:$K$500=Kanban!H$11)*(Calc!$Y$8:$Y$500&gt;0),Calc!$Y$8:$Y$500,99999),Kanban_Helper!$B242),Calc!$Y$8:$Y$500,0)),Calc!$D$8:$D$500,0))="Yes",CONCATENATE(INDEX(Calc!$D$8:$D$500,MATCH(SMALL(IF((Calc!$C$8:$C$500=Kanban!$C$7)*(Calc!$K$8:$K$500=Kanban!H$11)*(Calc!$Y$8:$Y$500&gt;0),Calc!$Y$8:$Y$500,99999),Kanban_Helper!$B242),Calc!$Y$8:$Y$500,0))," ",Calc!$V$7," ","!"),INDEX(Calc!$D$8:$D$500,MATCH(SMALL(IF((Calc!$C$8:$C$500=Kanban!$C$7)*(Calc!$K$8:$K$500=Kanban!H$11)*(Calc!$Y$8:$Y$500&gt;0),Calc!$Y$8:$Y$500,99999),Kanban_Helper!$B242),Calc!$Y$8:$Y$500,0))),IF(INDEX(Calc!$V$8:$V$500,MATCH(INDEX(Calc!$D$8:$D$500,MATCH(SMALL(IF((Calc!$K$8:$K$500=Kanban!H$11)*(Calc!$Y$8:$Y$500&gt;0),Calc!$Y$8:$Y$500,99999),Kanban_Helper!$B242),Calc!$Y$8:$Y$500,0)),Calc!$D$8:$D$500,0))="Yes",CONCATENATE(INDEX(Calc!$D$8:$D$500,MATCH(SMALL(IF((Calc!$K$8:$K$500=Kanban!H$11)*(Calc!$Y$8:$Y$500&gt;0),Calc!$Y$8:$Y$500,99999),Kanban_Helper!$B242),Calc!$Y$8:$Y$500,0))," ",Calc!$V$7," ","!"),INDEX(Calc!$D$8:$D$500,MATCH(SMALL(IF((Calc!$K$8:$K$500=Kanban!H$11)*(Calc!$Y$8:$Y$500&gt;0),Calc!$Y$8:$Y$500,99999),Kanban_Helper!$B242),Calc!$Y$8:$Y$500,0))))),"")</f>
        <v/>
      </c>
      <c r="I249" s="39"/>
    </row>
    <row r="250" spans="2:9" x14ac:dyDescent="0.35">
      <c r="B250" s="81"/>
      <c r="C250" s="171" t="str">
        <f t="array" ref="C250">IFERROR(IF(LEN(C$11)=0,"",IF($C$7&lt;&gt;"All",INDEX(Calc!$E$8:$E$500,MATCH(SMALL(IF((Calc!$C$8:$C$500=Kanban!$C$7)*(Calc!$K$8:$K$500=Kanban!C$11)*(Calc!$Y$8:$Y$500&gt;0),Calc!$Y$8:$Y$500,99999),Kanban_Helper!$B243),Calc!$Y$8:$Y$500,0)),INDEX(Calc!$E$8:$E$500,MATCH(SMALL(IF((Calc!$K$8:$K$500=Kanban!C$11)*(Calc!$Y$8:$Y$500&gt;0),Calc!$Y$8:$Y$500,99999),Kanban_Helper!$B243),Calc!$Y$8:$Y$500,0)))),"")</f>
        <v/>
      </c>
      <c r="D250" s="171" t="str">
        <f t="array" ref="D250">IFERROR(IF(LEN(D$11)=0,"",IF($C$7&lt;&gt;"All",INDEX(Calc!$E$8:$E$500,MATCH(SMALL(IF((Calc!$C$8:$C$500=Kanban!$C$7)*(Calc!$K$8:$K$500=Kanban!D$11)*(Calc!$Y$8:$Y$500&gt;0),Calc!$Y$8:$Y$500,99999),Kanban_Helper!$B243),Calc!$Y$8:$Y$500,0)),INDEX(Calc!$E$8:$E$500,MATCH(SMALL(IF((Calc!$K$8:$K$500=Kanban!D$11)*(Calc!$Y$8:$Y$500&gt;0),Calc!$Y$8:$Y$500,99999),Kanban_Helper!$B243),Calc!$Y$8:$Y$500,0)))),"")</f>
        <v/>
      </c>
      <c r="E250" s="171" t="str">
        <f t="array" ref="E250">IFERROR(IF(LEN(E$11)=0,"",IF($C$7&lt;&gt;"All",INDEX(Calc!$E$8:$E$500,MATCH(SMALL(IF((Calc!$C$8:$C$500=Kanban!$C$7)*(Calc!$K$8:$K$500=Kanban!E$11)*(Calc!$Y$8:$Y$500&gt;0),Calc!$Y$8:$Y$500,99999),Kanban_Helper!$B243),Calc!$Y$8:$Y$500,0)),INDEX(Calc!$E$8:$E$500,MATCH(SMALL(IF((Calc!$K$8:$K$500=Kanban!E$11)*(Calc!$Y$8:$Y$500&gt;0),Calc!$Y$8:$Y$500,99999),Kanban_Helper!$B243),Calc!$Y$8:$Y$500,0)))),"")</f>
        <v/>
      </c>
      <c r="F250" s="171" t="str">
        <f t="array" ref="F250">IFERROR(IF(LEN(F$11)=0,"",IF($C$7&lt;&gt;"All",INDEX(Calc!$E$8:$E$500,MATCH(SMALL(IF((Calc!$C$8:$C$500=Kanban!$C$7)*(Calc!$K$8:$K$500=Kanban!F$11)*(Calc!$Y$8:$Y$500&gt;0),Calc!$Y$8:$Y$500,99999),Kanban_Helper!$B243),Calc!$Y$8:$Y$500,0)),INDEX(Calc!$E$8:$E$500,MATCH(SMALL(IF((Calc!$K$8:$K$500=Kanban!F$11)*(Calc!$Y$8:$Y$500&gt;0),Calc!$Y$8:$Y$500,99999),Kanban_Helper!$B243),Calc!$Y$8:$Y$500,0)))),"")</f>
        <v/>
      </c>
      <c r="G250" s="171" t="str">
        <f t="array" ref="G250">IFERROR(IF(LEN(G$11)=0,"",IF($C$7&lt;&gt;"All",INDEX(Calc!$E$8:$E$500,MATCH(SMALL(IF((Calc!$C$8:$C$500=Kanban!$C$7)*(Calc!$K$8:$K$500=Kanban!G$11)*(Calc!$Y$8:$Y$500&gt;0),Calc!$Y$8:$Y$500,99999),Kanban_Helper!$B243),Calc!$Y$8:$Y$500,0)),INDEX(Calc!$E$8:$E$500,MATCH(SMALL(IF((Calc!$K$8:$K$500=Kanban!G$11)*(Calc!$Y$8:$Y$500&gt;0),Calc!$Y$8:$Y$500,99999),Kanban_Helper!$B243),Calc!$Y$8:$Y$500,0)))),"")</f>
        <v/>
      </c>
      <c r="H250" s="171" t="str">
        <f t="array" ref="H250">IFERROR(IF(LEN(H$11)=0,"",IF($C$7&lt;&gt;"All",INDEX(Calc!$E$8:$E$500,MATCH(SMALL(IF((Calc!$C$8:$C$500=Kanban!$C$7)*(Calc!$K$8:$K$500=Kanban!H$11)*(Calc!$Y$8:$Y$500&gt;0),Calc!$Y$8:$Y$500,99999),Kanban_Helper!$B243),Calc!$Y$8:$Y$500,0)),INDEX(Calc!$E$8:$E$500,MATCH(SMALL(IF((Calc!$K$8:$K$500=Kanban!H$11)*(Calc!$Y$8:$Y$500&gt;0),Calc!$Y$8:$Y$500,99999),Kanban_Helper!$B243),Calc!$Y$8:$Y$500,0)))),"")</f>
        <v/>
      </c>
      <c r="I250" s="39"/>
    </row>
    <row r="251" spans="2:9" ht="15" thickBot="1" x14ac:dyDescent="0.4">
      <c r="B251" s="81"/>
      <c r="C251" s="172" t="str">
        <f t="array" ref="C251">IFERROR(IF(LEN(C$11)=0,"",IF($C$7&lt;&gt;"All",IF(LEN(INDEX(Calc!$J$8:$J$500,MATCH(SMALL(IF((Calc!$C$8:$C$500=Kanban!$C$7)*(Calc!$K$8:$K$500=Kanban!C$11)*(Calc!$Y$8:$Y$500&gt;0),Calc!$Y$8:$Y$500,99999),Kanban_Helper!$B244),Calc!$Y$8:$Y$500,0)))=0,"",CONCATENATE(Calc!$AD$6,INDEX(Calc!$J$8:$J$500,MATCH(SMALL(IF((Calc!$C$8:$C$500=Kanban!$C$7)*(Calc!$K$8:$K$500=Kanban!C$11)*(Calc!$Y$8:$Y$500&gt;0),Calc!$Y$8:$Y$500,99999),Kanban_Helper!$B244),Calc!$Y$8:$Y$500,0)))),IF(LEN(INDEX(Calc!$J$8:$J$500,MATCH(SMALL(IF((Calc!$K$8:$K$500=Kanban!C$11)*(Calc!$Y$8:$Y$500&gt;0),Calc!$Y$8:$Y$500,99999),Kanban_Helper!$B244),Calc!$Y$8:$Y$500,0)))=0,"",CONCATENATE(Calc!$AD$6,INDEX(Calc!$J$8:$J$500,MATCH(SMALL(IF((Calc!$K$8:$K$500=Kanban!C$11)*(Calc!$Y$8:$Y$500&gt;0),Calc!$Y$8:$Y$500,99999),Kanban_Helper!$B244),Calc!$Y$8:$Y$500,0)))))),"")</f>
        <v/>
      </c>
      <c r="D251" s="172" t="str">
        <f t="array" ref="D251">IFERROR(IF(LEN(D$11)=0,"",IF($C$7&lt;&gt;"All",IF(LEN(INDEX(Calc!$J$8:$J$500,MATCH(SMALL(IF((Calc!$C$8:$C$500=Kanban!$C$7)*(Calc!$K$8:$K$500=Kanban!D$11)*(Calc!$Y$8:$Y$500&gt;0),Calc!$Y$8:$Y$500,99999),Kanban_Helper!$B244),Calc!$Y$8:$Y$500,0)))=0,"",CONCATENATE(Calc!$AD$6,INDEX(Calc!$J$8:$J$500,MATCH(SMALL(IF((Calc!$C$8:$C$500=Kanban!$C$7)*(Calc!$K$8:$K$500=Kanban!D$11)*(Calc!$Y$8:$Y$500&gt;0),Calc!$Y$8:$Y$500,99999),Kanban_Helper!$B244),Calc!$Y$8:$Y$500,0)))),IF(LEN(INDEX(Calc!$J$8:$J$500,MATCH(SMALL(IF((Calc!$K$8:$K$500=Kanban!D$11)*(Calc!$Y$8:$Y$500&gt;0),Calc!$Y$8:$Y$500,99999),Kanban_Helper!$B244),Calc!$Y$8:$Y$500,0)))=0,"",CONCATENATE(Calc!$AD$6,INDEX(Calc!$J$8:$J$500,MATCH(SMALL(IF((Calc!$K$8:$K$500=Kanban!D$11)*(Calc!$Y$8:$Y$500&gt;0),Calc!$Y$8:$Y$500,99999),Kanban_Helper!$B244),Calc!$Y$8:$Y$500,0)))))),"")</f>
        <v/>
      </c>
      <c r="E251" s="172" t="str">
        <f t="array" ref="E251">IFERROR(IF(LEN(E$11)=0,"",IF($C$7&lt;&gt;"All",IF(LEN(INDEX(Calc!$J$8:$J$500,MATCH(SMALL(IF((Calc!$C$8:$C$500=Kanban!$C$7)*(Calc!$K$8:$K$500=Kanban!E$11)*(Calc!$Y$8:$Y$500&gt;0),Calc!$Y$8:$Y$500,99999),Kanban_Helper!$B244),Calc!$Y$8:$Y$500,0)))=0,"",CONCATENATE(Calc!$AD$6,INDEX(Calc!$J$8:$J$500,MATCH(SMALL(IF((Calc!$C$8:$C$500=Kanban!$C$7)*(Calc!$K$8:$K$500=Kanban!E$11)*(Calc!$Y$8:$Y$500&gt;0),Calc!$Y$8:$Y$500,99999),Kanban_Helper!$B244),Calc!$Y$8:$Y$500,0)))),IF(LEN(INDEX(Calc!$J$8:$J$500,MATCH(SMALL(IF((Calc!$K$8:$K$500=Kanban!E$11)*(Calc!$Y$8:$Y$500&gt;0),Calc!$Y$8:$Y$500,99999),Kanban_Helper!$B244),Calc!$Y$8:$Y$500,0)))=0,"",CONCATENATE(Calc!$AD$6,INDEX(Calc!$J$8:$J$500,MATCH(SMALL(IF((Calc!$K$8:$K$500=Kanban!E$11)*(Calc!$Y$8:$Y$500&gt;0),Calc!$Y$8:$Y$500,99999),Kanban_Helper!$B244),Calc!$Y$8:$Y$500,0)))))),"")</f>
        <v/>
      </c>
      <c r="F251" s="172" t="str">
        <f t="array" ref="F251">IFERROR(IF(LEN(F$11)=0,"",IF($C$7&lt;&gt;"All",IF(LEN(INDEX(Calc!$J$8:$J$500,MATCH(SMALL(IF((Calc!$C$8:$C$500=Kanban!$C$7)*(Calc!$K$8:$K$500=Kanban!F$11)*(Calc!$Y$8:$Y$500&gt;0),Calc!$Y$8:$Y$500,99999),Kanban_Helper!$B244),Calc!$Y$8:$Y$500,0)))=0,"",CONCATENATE(Calc!$AD$6,INDEX(Calc!$J$8:$J$500,MATCH(SMALL(IF((Calc!$C$8:$C$500=Kanban!$C$7)*(Calc!$K$8:$K$500=Kanban!F$11)*(Calc!$Y$8:$Y$500&gt;0),Calc!$Y$8:$Y$500,99999),Kanban_Helper!$B244),Calc!$Y$8:$Y$500,0)))),IF(LEN(INDEX(Calc!$J$8:$J$500,MATCH(SMALL(IF((Calc!$K$8:$K$500=Kanban!F$11)*(Calc!$Y$8:$Y$500&gt;0),Calc!$Y$8:$Y$500,99999),Kanban_Helper!$B244),Calc!$Y$8:$Y$500,0)))=0,"",CONCATENATE(Calc!$AD$6,INDEX(Calc!$J$8:$J$500,MATCH(SMALL(IF((Calc!$K$8:$K$500=Kanban!F$11)*(Calc!$Y$8:$Y$500&gt;0),Calc!$Y$8:$Y$500,99999),Kanban_Helper!$B244),Calc!$Y$8:$Y$500,0)))))),"")</f>
        <v/>
      </c>
      <c r="G251" s="172" t="str">
        <f t="array" ref="G251">IFERROR(IF(LEN(G$11)=0,"",IF($C$7&lt;&gt;"All",IF(LEN(INDEX(Calc!$J$8:$J$500,MATCH(SMALL(IF((Calc!$C$8:$C$500=Kanban!$C$7)*(Calc!$K$8:$K$500=Kanban!G$11)*(Calc!$Y$8:$Y$500&gt;0),Calc!$Y$8:$Y$500,99999),Kanban_Helper!$B244),Calc!$Y$8:$Y$500,0)))=0,"",CONCATENATE(Calc!$AD$6,INDEX(Calc!$J$8:$J$500,MATCH(SMALL(IF((Calc!$C$8:$C$500=Kanban!$C$7)*(Calc!$K$8:$K$500=Kanban!G$11)*(Calc!$Y$8:$Y$500&gt;0),Calc!$Y$8:$Y$500,99999),Kanban_Helper!$B244),Calc!$Y$8:$Y$500,0)))),IF(LEN(INDEX(Calc!$J$8:$J$500,MATCH(SMALL(IF((Calc!$K$8:$K$500=Kanban!G$11)*(Calc!$Y$8:$Y$500&gt;0),Calc!$Y$8:$Y$500,99999),Kanban_Helper!$B244),Calc!$Y$8:$Y$500,0)))=0,"",CONCATENATE(Calc!$AD$6,INDEX(Calc!$J$8:$J$500,MATCH(SMALL(IF((Calc!$K$8:$K$500=Kanban!G$11)*(Calc!$Y$8:$Y$500&gt;0),Calc!$Y$8:$Y$500,99999),Kanban_Helper!$B244),Calc!$Y$8:$Y$500,0)))))),"")</f>
        <v/>
      </c>
      <c r="H251" s="172" t="str">
        <f t="array" ref="H251">IFERROR(IF(LEN(H$11)=0,"",IF($C$7&lt;&gt;"All",IF(LEN(INDEX(Calc!$J$8:$J$500,MATCH(SMALL(IF((Calc!$C$8:$C$500=Kanban!$C$7)*(Calc!$K$8:$K$500=Kanban!H$11)*(Calc!$Y$8:$Y$500&gt;0),Calc!$Y$8:$Y$500,99999),Kanban_Helper!$B244),Calc!$Y$8:$Y$500,0)))=0,"",CONCATENATE(Calc!$AD$6,INDEX(Calc!$J$8:$J$500,MATCH(SMALL(IF((Calc!$C$8:$C$500=Kanban!$C$7)*(Calc!$K$8:$K$500=Kanban!H$11)*(Calc!$Y$8:$Y$500&gt;0),Calc!$Y$8:$Y$500,99999),Kanban_Helper!$B244),Calc!$Y$8:$Y$500,0)))),IF(LEN(INDEX(Calc!$J$8:$J$500,MATCH(SMALL(IF((Calc!$K$8:$K$500=Kanban!H$11)*(Calc!$Y$8:$Y$500&gt;0),Calc!$Y$8:$Y$500,99999),Kanban_Helper!$B244),Calc!$Y$8:$Y$500,0)))=0,"",CONCATENATE(Calc!$AD$6,INDEX(Calc!$J$8:$J$500,MATCH(SMALL(IF((Calc!$K$8:$K$500=Kanban!H$11)*(Calc!$Y$8:$Y$500&gt;0),Calc!$Y$8:$Y$500,99999),Kanban_Helper!$B244),Calc!$Y$8:$Y$500,0)))))),"")</f>
        <v/>
      </c>
      <c r="I251" s="39"/>
    </row>
    <row r="252" spans="2:9" ht="15" thickTop="1" x14ac:dyDescent="0.35">
      <c r="B252" s="81"/>
      <c r="C252" s="170" t="str">
        <f t="array" ref="C252">IFERROR(IF(LEN(C$11)=0,"",IF($C$7&lt;&gt;"All",IF(INDEX(Calc!$V$8:$V$500,MATCH(INDEX(Calc!$D$8:$D$500,MATCH(SMALL(IF((Calc!$C$8:$C$500=Kanban!$C$7)*(Calc!$K$8:$K$500=Kanban!C$11)*(Calc!$Y$8:$Y$500&gt;0),Calc!$Y$8:$Y$500,99999),Kanban_Helper!$B245),Calc!$Y$8:$Y$500,0)),Calc!$D$8:$D$500,0))="Yes",CONCATENATE(INDEX(Calc!$D$8:$D$500,MATCH(SMALL(IF((Calc!$C$8:$C$500=Kanban!$C$7)*(Calc!$K$8:$K$500=Kanban!C$11)*(Calc!$Y$8:$Y$500&gt;0),Calc!$Y$8:$Y$500,99999),Kanban_Helper!$B245),Calc!$Y$8:$Y$500,0))," ",Calc!$V$7," ","!"),INDEX(Calc!$D$8:$D$500,MATCH(SMALL(IF((Calc!$C$8:$C$500=Kanban!$C$7)*(Calc!$K$8:$K$500=Kanban!C$11)*(Calc!$Y$8:$Y$500&gt;0),Calc!$Y$8:$Y$500,99999),Kanban_Helper!$B245),Calc!$Y$8:$Y$500,0))),IF(INDEX(Calc!$V$8:$V$500,MATCH(INDEX(Calc!$D$8:$D$500,MATCH(SMALL(IF((Calc!$K$8:$K$500=Kanban!C$11)*(Calc!$Y$8:$Y$500&gt;0),Calc!$Y$8:$Y$500,99999),Kanban_Helper!$B245),Calc!$Y$8:$Y$500,0)),Calc!$D$8:$D$500,0))="Yes",CONCATENATE(INDEX(Calc!$D$8:$D$500,MATCH(SMALL(IF((Calc!$K$8:$K$500=Kanban!C$11)*(Calc!$Y$8:$Y$500&gt;0),Calc!$Y$8:$Y$500,99999),Kanban_Helper!$B245),Calc!$Y$8:$Y$500,0))," ",Calc!$V$7," ","!"),INDEX(Calc!$D$8:$D$500,MATCH(SMALL(IF((Calc!$K$8:$K$500=Kanban!C$11)*(Calc!$Y$8:$Y$500&gt;0),Calc!$Y$8:$Y$500,99999),Kanban_Helper!$B245),Calc!$Y$8:$Y$500,0))))),"")</f>
        <v/>
      </c>
      <c r="D252" s="170" t="str">
        <f t="array" ref="D252">IFERROR(IF(LEN(D$11)=0,"",IF($C$7&lt;&gt;"All",IF(INDEX(Calc!$V$8:$V$500,MATCH(INDEX(Calc!$D$8:$D$500,MATCH(SMALL(IF((Calc!$C$8:$C$500=Kanban!$C$7)*(Calc!$K$8:$K$500=Kanban!D$11)*(Calc!$Y$8:$Y$500&gt;0),Calc!$Y$8:$Y$500,99999),Kanban_Helper!$B245),Calc!$Y$8:$Y$500,0)),Calc!$D$8:$D$500,0))="Yes",CONCATENATE(INDEX(Calc!$D$8:$D$500,MATCH(SMALL(IF((Calc!$C$8:$C$500=Kanban!$C$7)*(Calc!$K$8:$K$500=Kanban!D$11)*(Calc!$Y$8:$Y$500&gt;0),Calc!$Y$8:$Y$500,99999),Kanban_Helper!$B245),Calc!$Y$8:$Y$500,0))," ",Calc!$V$7," ","!"),INDEX(Calc!$D$8:$D$500,MATCH(SMALL(IF((Calc!$C$8:$C$500=Kanban!$C$7)*(Calc!$K$8:$K$500=Kanban!D$11)*(Calc!$Y$8:$Y$500&gt;0),Calc!$Y$8:$Y$500,99999),Kanban_Helper!$B245),Calc!$Y$8:$Y$500,0))),IF(INDEX(Calc!$V$8:$V$500,MATCH(INDEX(Calc!$D$8:$D$500,MATCH(SMALL(IF((Calc!$K$8:$K$500=Kanban!D$11)*(Calc!$Y$8:$Y$500&gt;0),Calc!$Y$8:$Y$500,99999),Kanban_Helper!$B245),Calc!$Y$8:$Y$500,0)),Calc!$D$8:$D$500,0))="Yes",CONCATENATE(INDEX(Calc!$D$8:$D$500,MATCH(SMALL(IF((Calc!$K$8:$K$500=Kanban!D$11)*(Calc!$Y$8:$Y$500&gt;0),Calc!$Y$8:$Y$500,99999),Kanban_Helper!$B245),Calc!$Y$8:$Y$500,0))," ",Calc!$V$7," ","!"),INDEX(Calc!$D$8:$D$500,MATCH(SMALL(IF((Calc!$K$8:$K$500=Kanban!D$11)*(Calc!$Y$8:$Y$500&gt;0),Calc!$Y$8:$Y$500,99999),Kanban_Helper!$B245),Calc!$Y$8:$Y$500,0))))),"")</f>
        <v/>
      </c>
      <c r="E252" s="170" t="str">
        <f t="array" ref="E252">IFERROR(IF(LEN(E$11)=0,"",IF($C$7&lt;&gt;"All",IF(INDEX(Calc!$V$8:$V$500,MATCH(INDEX(Calc!$D$8:$D$500,MATCH(SMALL(IF((Calc!$C$8:$C$500=Kanban!$C$7)*(Calc!$K$8:$K$500=Kanban!E$11)*(Calc!$Y$8:$Y$500&gt;0),Calc!$Y$8:$Y$500,99999),Kanban_Helper!$B245),Calc!$Y$8:$Y$500,0)),Calc!$D$8:$D$500,0))="Yes",CONCATENATE(INDEX(Calc!$D$8:$D$500,MATCH(SMALL(IF((Calc!$C$8:$C$500=Kanban!$C$7)*(Calc!$K$8:$K$500=Kanban!E$11)*(Calc!$Y$8:$Y$500&gt;0),Calc!$Y$8:$Y$500,99999),Kanban_Helper!$B245),Calc!$Y$8:$Y$500,0))," ",Calc!$V$7," ","!"),INDEX(Calc!$D$8:$D$500,MATCH(SMALL(IF((Calc!$C$8:$C$500=Kanban!$C$7)*(Calc!$K$8:$K$500=Kanban!E$11)*(Calc!$Y$8:$Y$500&gt;0),Calc!$Y$8:$Y$500,99999),Kanban_Helper!$B245),Calc!$Y$8:$Y$500,0))),IF(INDEX(Calc!$V$8:$V$500,MATCH(INDEX(Calc!$D$8:$D$500,MATCH(SMALL(IF((Calc!$K$8:$K$500=Kanban!E$11)*(Calc!$Y$8:$Y$500&gt;0),Calc!$Y$8:$Y$500,99999),Kanban_Helper!$B245),Calc!$Y$8:$Y$500,0)),Calc!$D$8:$D$500,0))="Yes",CONCATENATE(INDEX(Calc!$D$8:$D$500,MATCH(SMALL(IF((Calc!$K$8:$K$500=Kanban!E$11)*(Calc!$Y$8:$Y$500&gt;0),Calc!$Y$8:$Y$500,99999),Kanban_Helper!$B245),Calc!$Y$8:$Y$500,0))," ",Calc!$V$7," ","!"),INDEX(Calc!$D$8:$D$500,MATCH(SMALL(IF((Calc!$K$8:$K$500=Kanban!E$11)*(Calc!$Y$8:$Y$500&gt;0),Calc!$Y$8:$Y$500,99999),Kanban_Helper!$B245),Calc!$Y$8:$Y$500,0))))),"")</f>
        <v/>
      </c>
      <c r="F252" s="170" t="str">
        <f t="array" ref="F252">IFERROR(IF(LEN(F$11)=0,"",IF($C$7&lt;&gt;"All",IF(INDEX(Calc!$V$8:$V$500,MATCH(INDEX(Calc!$D$8:$D$500,MATCH(SMALL(IF((Calc!$C$8:$C$500=Kanban!$C$7)*(Calc!$K$8:$K$500=Kanban!F$11)*(Calc!$Y$8:$Y$500&gt;0),Calc!$Y$8:$Y$500,99999),Kanban_Helper!$B245),Calc!$Y$8:$Y$500,0)),Calc!$D$8:$D$500,0))="Yes",CONCATENATE(INDEX(Calc!$D$8:$D$500,MATCH(SMALL(IF((Calc!$C$8:$C$500=Kanban!$C$7)*(Calc!$K$8:$K$500=Kanban!F$11)*(Calc!$Y$8:$Y$500&gt;0),Calc!$Y$8:$Y$500,99999),Kanban_Helper!$B245),Calc!$Y$8:$Y$500,0))," ",Calc!$V$7," ","!"),INDEX(Calc!$D$8:$D$500,MATCH(SMALL(IF((Calc!$C$8:$C$500=Kanban!$C$7)*(Calc!$K$8:$K$500=Kanban!F$11)*(Calc!$Y$8:$Y$500&gt;0),Calc!$Y$8:$Y$500,99999),Kanban_Helper!$B245),Calc!$Y$8:$Y$500,0))),IF(INDEX(Calc!$V$8:$V$500,MATCH(INDEX(Calc!$D$8:$D$500,MATCH(SMALL(IF((Calc!$K$8:$K$500=Kanban!F$11)*(Calc!$Y$8:$Y$500&gt;0),Calc!$Y$8:$Y$500,99999),Kanban_Helper!$B245),Calc!$Y$8:$Y$500,0)),Calc!$D$8:$D$500,0))="Yes",CONCATENATE(INDEX(Calc!$D$8:$D$500,MATCH(SMALL(IF((Calc!$K$8:$K$500=Kanban!F$11)*(Calc!$Y$8:$Y$500&gt;0),Calc!$Y$8:$Y$500,99999),Kanban_Helper!$B245),Calc!$Y$8:$Y$500,0))," ",Calc!$V$7," ","!"),INDEX(Calc!$D$8:$D$500,MATCH(SMALL(IF((Calc!$K$8:$K$500=Kanban!F$11)*(Calc!$Y$8:$Y$500&gt;0),Calc!$Y$8:$Y$500,99999),Kanban_Helper!$B245),Calc!$Y$8:$Y$500,0))))),"")</f>
        <v/>
      </c>
      <c r="G252" s="170" t="str">
        <f t="array" ref="G252">IFERROR(IF(LEN(G$11)=0,"",IF($C$7&lt;&gt;"All",IF(INDEX(Calc!$V$8:$V$500,MATCH(INDEX(Calc!$D$8:$D$500,MATCH(SMALL(IF((Calc!$C$8:$C$500=Kanban!$C$7)*(Calc!$K$8:$K$500=Kanban!G$11)*(Calc!$Y$8:$Y$500&gt;0),Calc!$Y$8:$Y$500,99999),Kanban_Helper!$B245),Calc!$Y$8:$Y$500,0)),Calc!$D$8:$D$500,0))="Yes",CONCATENATE(INDEX(Calc!$D$8:$D$500,MATCH(SMALL(IF((Calc!$C$8:$C$500=Kanban!$C$7)*(Calc!$K$8:$K$500=Kanban!G$11)*(Calc!$Y$8:$Y$500&gt;0),Calc!$Y$8:$Y$500,99999),Kanban_Helper!$B245),Calc!$Y$8:$Y$500,0))," ",Calc!$V$7," ","!"),INDEX(Calc!$D$8:$D$500,MATCH(SMALL(IF((Calc!$C$8:$C$500=Kanban!$C$7)*(Calc!$K$8:$K$500=Kanban!G$11)*(Calc!$Y$8:$Y$500&gt;0),Calc!$Y$8:$Y$500,99999),Kanban_Helper!$B245),Calc!$Y$8:$Y$500,0))),IF(INDEX(Calc!$V$8:$V$500,MATCH(INDEX(Calc!$D$8:$D$500,MATCH(SMALL(IF((Calc!$K$8:$K$500=Kanban!G$11)*(Calc!$Y$8:$Y$500&gt;0),Calc!$Y$8:$Y$500,99999),Kanban_Helper!$B245),Calc!$Y$8:$Y$500,0)),Calc!$D$8:$D$500,0))="Yes",CONCATENATE(INDEX(Calc!$D$8:$D$500,MATCH(SMALL(IF((Calc!$K$8:$K$500=Kanban!G$11)*(Calc!$Y$8:$Y$500&gt;0),Calc!$Y$8:$Y$500,99999),Kanban_Helper!$B245),Calc!$Y$8:$Y$500,0))," ",Calc!$V$7," ","!"),INDEX(Calc!$D$8:$D$500,MATCH(SMALL(IF((Calc!$K$8:$K$500=Kanban!G$11)*(Calc!$Y$8:$Y$500&gt;0),Calc!$Y$8:$Y$500,99999),Kanban_Helper!$B245),Calc!$Y$8:$Y$500,0))))),"")</f>
        <v/>
      </c>
      <c r="H252" s="170" t="str">
        <f t="array" ref="H252">IFERROR(IF(LEN(H$11)=0,"",IF($C$7&lt;&gt;"All",IF(INDEX(Calc!$V$8:$V$500,MATCH(INDEX(Calc!$D$8:$D$500,MATCH(SMALL(IF((Calc!$C$8:$C$500=Kanban!$C$7)*(Calc!$K$8:$K$500=Kanban!H$11)*(Calc!$Y$8:$Y$500&gt;0),Calc!$Y$8:$Y$500,99999),Kanban_Helper!$B245),Calc!$Y$8:$Y$500,0)),Calc!$D$8:$D$500,0))="Yes",CONCATENATE(INDEX(Calc!$D$8:$D$500,MATCH(SMALL(IF((Calc!$C$8:$C$500=Kanban!$C$7)*(Calc!$K$8:$K$500=Kanban!H$11)*(Calc!$Y$8:$Y$500&gt;0),Calc!$Y$8:$Y$500,99999),Kanban_Helper!$B245),Calc!$Y$8:$Y$500,0))," ",Calc!$V$7," ","!"),INDEX(Calc!$D$8:$D$500,MATCH(SMALL(IF((Calc!$C$8:$C$500=Kanban!$C$7)*(Calc!$K$8:$K$500=Kanban!H$11)*(Calc!$Y$8:$Y$500&gt;0),Calc!$Y$8:$Y$500,99999),Kanban_Helper!$B245),Calc!$Y$8:$Y$500,0))),IF(INDEX(Calc!$V$8:$V$500,MATCH(INDEX(Calc!$D$8:$D$500,MATCH(SMALL(IF((Calc!$K$8:$K$500=Kanban!H$11)*(Calc!$Y$8:$Y$500&gt;0),Calc!$Y$8:$Y$500,99999),Kanban_Helper!$B245),Calc!$Y$8:$Y$500,0)),Calc!$D$8:$D$500,0))="Yes",CONCATENATE(INDEX(Calc!$D$8:$D$500,MATCH(SMALL(IF((Calc!$K$8:$K$500=Kanban!H$11)*(Calc!$Y$8:$Y$500&gt;0),Calc!$Y$8:$Y$500,99999),Kanban_Helper!$B245),Calc!$Y$8:$Y$500,0))," ",Calc!$V$7," ","!"),INDEX(Calc!$D$8:$D$500,MATCH(SMALL(IF((Calc!$K$8:$K$500=Kanban!H$11)*(Calc!$Y$8:$Y$500&gt;0),Calc!$Y$8:$Y$500,99999),Kanban_Helper!$B245),Calc!$Y$8:$Y$500,0))))),"")</f>
        <v/>
      </c>
      <c r="I252" s="39"/>
    </row>
    <row r="253" spans="2:9" x14ac:dyDescent="0.35">
      <c r="B253" s="81"/>
      <c r="C253" s="171" t="str">
        <f t="array" ref="C253">IFERROR(IF(LEN(C$11)=0,"",IF($C$7&lt;&gt;"All",INDEX(Calc!$E$8:$E$500,MATCH(SMALL(IF((Calc!$C$8:$C$500=Kanban!$C$7)*(Calc!$K$8:$K$500=Kanban!C$11)*(Calc!$Y$8:$Y$500&gt;0),Calc!$Y$8:$Y$500,99999),Kanban_Helper!$B246),Calc!$Y$8:$Y$500,0)),INDEX(Calc!$E$8:$E$500,MATCH(SMALL(IF((Calc!$K$8:$K$500=Kanban!C$11)*(Calc!$Y$8:$Y$500&gt;0),Calc!$Y$8:$Y$500,99999),Kanban_Helper!$B246),Calc!$Y$8:$Y$500,0)))),"")</f>
        <v/>
      </c>
      <c r="D253" s="171" t="str">
        <f t="array" ref="D253">IFERROR(IF(LEN(D$11)=0,"",IF($C$7&lt;&gt;"All",INDEX(Calc!$E$8:$E$500,MATCH(SMALL(IF((Calc!$C$8:$C$500=Kanban!$C$7)*(Calc!$K$8:$K$500=Kanban!D$11)*(Calc!$Y$8:$Y$500&gt;0),Calc!$Y$8:$Y$500,99999),Kanban_Helper!$B246),Calc!$Y$8:$Y$500,0)),INDEX(Calc!$E$8:$E$500,MATCH(SMALL(IF((Calc!$K$8:$K$500=Kanban!D$11)*(Calc!$Y$8:$Y$500&gt;0),Calc!$Y$8:$Y$500,99999),Kanban_Helper!$B246),Calc!$Y$8:$Y$500,0)))),"")</f>
        <v/>
      </c>
      <c r="E253" s="171" t="str">
        <f t="array" ref="E253">IFERROR(IF(LEN(E$11)=0,"",IF($C$7&lt;&gt;"All",INDEX(Calc!$E$8:$E$500,MATCH(SMALL(IF((Calc!$C$8:$C$500=Kanban!$C$7)*(Calc!$K$8:$K$500=Kanban!E$11)*(Calc!$Y$8:$Y$500&gt;0),Calc!$Y$8:$Y$500,99999),Kanban_Helper!$B246),Calc!$Y$8:$Y$500,0)),INDEX(Calc!$E$8:$E$500,MATCH(SMALL(IF((Calc!$K$8:$K$500=Kanban!E$11)*(Calc!$Y$8:$Y$500&gt;0),Calc!$Y$8:$Y$500,99999),Kanban_Helper!$B246),Calc!$Y$8:$Y$500,0)))),"")</f>
        <v/>
      </c>
      <c r="F253" s="171" t="str">
        <f t="array" ref="F253">IFERROR(IF(LEN(F$11)=0,"",IF($C$7&lt;&gt;"All",INDEX(Calc!$E$8:$E$500,MATCH(SMALL(IF((Calc!$C$8:$C$500=Kanban!$C$7)*(Calc!$K$8:$K$500=Kanban!F$11)*(Calc!$Y$8:$Y$500&gt;0),Calc!$Y$8:$Y$500,99999),Kanban_Helper!$B246),Calc!$Y$8:$Y$500,0)),INDEX(Calc!$E$8:$E$500,MATCH(SMALL(IF((Calc!$K$8:$K$500=Kanban!F$11)*(Calc!$Y$8:$Y$500&gt;0),Calc!$Y$8:$Y$500,99999),Kanban_Helper!$B246),Calc!$Y$8:$Y$500,0)))),"")</f>
        <v/>
      </c>
      <c r="G253" s="171" t="str">
        <f t="array" ref="G253">IFERROR(IF(LEN(G$11)=0,"",IF($C$7&lt;&gt;"All",INDEX(Calc!$E$8:$E$500,MATCH(SMALL(IF((Calc!$C$8:$C$500=Kanban!$C$7)*(Calc!$K$8:$K$500=Kanban!G$11)*(Calc!$Y$8:$Y$500&gt;0),Calc!$Y$8:$Y$500,99999),Kanban_Helper!$B246),Calc!$Y$8:$Y$500,0)),INDEX(Calc!$E$8:$E$500,MATCH(SMALL(IF((Calc!$K$8:$K$500=Kanban!G$11)*(Calc!$Y$8:$Y$500&gt;0),Calc!$Y$8:$Y$500,99999),Kanban_Helper!$B246),Calc!$Y$8:$Y$500,0)))),"")</f>
        <v/>
      </c>
      <c r="H253" s="171" t="str">
        <f t="array" ref="H253">IFERROR(IF(LEN(H$11)=0,"",IF($C$7&lt;&gt;"All",INDEX(Calc!$E$8:$E$500,MATCH(SMALL(IF((Calc!$C$8:$C$500=Kanban!$C$7)*(Calc!$K$8:$K$500=Kanban!H$11)*(Calc!$Y$8:$Y$500&gt;0),Calc!$Y$8:$Y$500,99999),Kanban_Helper!$B246),Calc!$Y$8:$Y$500,0)),INDEX(Calc!$E$8:$E$500,MATCH(SMALL(IF((Calc!$K$8:$K$500=Kanban!H$11)*(Calc!$Y$8:$Y$500&gt;0),Calc!$Y$8:$Y$500,99999),Kanban_Helper!$B246),Calc!$Y$8:$Y$500,0)))),"")</f>
        <v/>
      </c>
      <c r="I253" s="39"/>
    </row>
    <row r="254" spans="2:9" ht="15" thickBot="1" x14ac:dyDescent="0.4">
      <c r="B254" s="81"/>
      <c r="C254" s="172" t="str">
        <f t="array" ref="C254">IFERROR(IF(LEN(C$11)=0,"",IF($C$7&lt;&gt;"All",IF(LEN(INDEX(Calc!$J$8:$J$500,MATCH(SMALL(IF((Calc!$C$8:$C$500=Kanban!$C$7)*(Calc!$K$8:$K$500=Kanban!C$11)*(Calc!$Y$8:$Y$500&gt;0),Calc!$Y$8:$Y$500,99999),Kanban_Helper!$B247),Calc!$Y$8:$Y$500,0)))=0,"",CONCATENATE(Calc!$AD$6,INDEX(Calc!$J$8:$J$500,MATCH(SMALL(IF((Calc!$C$8:$C$500=Kanban!$C$7)*(Calc!$K$8:$K$500=Kanban!C$11)*(Calc!$Y$8:$Y$500&gt;0),Calc!$Y$8:$Y$500,99999),Kanban_Helper!$B247),Calc!$Y$8:$Y$500,0)))),IF(LEN(INDEX(Calc!$J$8:$J$500,MATCH(SMALL(IF((Calc!$K$8:$K$500=Kanban!C$11)*(Calc!$Y$8:$Y$500&gt;0),Calc!$Y$8:$Y$500,99999),Kanban_Helper!$B247),Calc!$Y$8:$Y$500,0)))=0,"",CONCATENATE(Calc!$AD$6,INDEX(Calc!$J$8:$J$500,MATCH(SMALL(IF((Calc!$K$8:$K$500=Kanban!C$11)*(Calc!$Y$8:$Y$500&gt;0),Calc!$Y$8:$Y$500,99999),Kanban_Helper!$B247),Calc!$Y$8:$Y$500,0)))))),"")</f>
        <v/>
      </c>
      <c r="D254" s="172" t="str">
        <f t="array" ref="D254">IFERROR(IF(LEN(D$11)=0,"",IF($C$7&lt;&gt;"All",IF(LEN(INDEX(Calc!$J$8:$J$500,MATCH(SMALL(IF((Calc!$C$8:$C$500=Kanban!$C$7)*(Calc!$K$8:$K$500=Kanban!D$11)*(Calc!$Y$8:$Y$500&gt;0),Calc!$Y$8:$Y$500,99999),Kanban_Helper!$B247),Calc!$Y$8:$Y$500,0)))=0,"",CONCATENATE(Calc!$AD$6,INDEX(Calc!$J$8:$J$500,MATCH(SMALL(IF((Calc!$C$8:$C$500=Kanban!$C$7)*(Calc!$K$8:$K$500=Kanban!D$11)*(Calc!$Y$8:$Y$500&gt;0),Calc!$Y$8:$Y$500,99999),Kanban_Helper!$B247),Calc!$Y$8:$Y$500,0)))),IF(LEN(INDEX(Calc!$J$8:$J$500,MATCH(SMALL(IF((Calc!$K$8:$K$500=Kanban!D$11)*(Calc!$Y$8:$Y$500&gt;0),Calc!$Y$8:$Y$500,99999),Kanban_Helper!$B247),Calc!$Y$8:$Y$500,0)))=0,"",CONCATENATE(Calc!$AD$6,INDEX(Calc!$J$8:$J$500,MATCH(SMALL(IF((Calc!$K$8:$K$500=Kanban!D$11)*(Calc!$Y$8:$Y$500&gt;0),Calc!$Y$8:$Y$500,99999),Kanban_Helper!$B247),Calc!$Y$8:$Y$500,0)))))),"")</f>
        <v/>
      </c>
      <c r="E254" s="172" t="str">
        <f t="array" ref="E254">IFERROR(IF(LEN(E$11)=0,"",IF($C$7&lt;&gt;"All",IF(LEN(INDEX(Calc!$J$8:$J$500,MATCH(SMALL(IF((Calc!$C$8:$C$500=Kanban!$C$7)*(Calc!$K$8:$K$500=Kanban!E$11)*(Calc!$Y$8:$Y$500&gt;0),Calc!$Y$8:$Y$500,99999),Kanban_Helper!$B247),Calc!$Y$8:$Y$500,0)))=0,"",CONCATENATE(Calc!$AD$6,INDEX(Calc!$J$8:$J$500,MATCH(SMALL(IF((Calc!$C$8:$C$500=Kanban!$C$7)*(Calc!$K$8:$K$500=Kanban!E$11)*(Calc!$Y$8:$Y$500&gt;0),Calc!$Y$8:$Y$500,99999),Kanban_Helper!$B247),Calc!$Y$8:$Y$500,0)))),IF(LEN(INDEX(Calc!$J$8:$J$500,MATCH(SMALL(IF((Calc!$K$8:$K$500=Kanban!E$11)*(Calc!$Y$8:$Y$500&gt;0),Calc!$Y$8:$Y$500,99999),Kanban_Helper!$B247),Calc!$Y$8:$Y$500,0)))=0,"",CONCATENATE(Calc!$AD$6,INDEX(Calc!$J$8:$J$500,MATCH(SMALL(IF((Calc!$K$8:$K$500=Kanban!E$11)*(Calc!$Y$8:$Y$500&gt;0),Calc!$Y$8:$Y$500,99999),Kanban_Helper!$B247),Calc!$Y$8:$Y$500,0)))))),"")</f>
        <v/>
      </c>
      <c r="F254" s="172" t="str">
        <f t="array" ref="F254">IFERROR(IF(LEN(F$11)=0,"",IF($C$7&lt;&gt;"All",IF(LEN(INDEX(Calc!$J$8:$J$500,MATCH(SMALL(IF((Calc!$C$8:$C$500=Kanban!$C$7)*(Calc!$K$8:$K$500=Kanban!F$11)*(Calc!$Y$8:$Y$500&gt;0),Calc!$Y$8:$Y$500,99999),Kanban_Helper!$B247),Calc!$Y$8:$Y$500,0)))=0,"",CONCATENATE(Calc!$AD$6,INDEX(Calc!$J$8:$J$500,MATCH(SMALL(IF((Calc!$C$8:$C$500=Kanban!$C$7)*(Calc!$K$8:$K$500=Kanban!F$11)*(Calc!$Y$8:$Y$500&gt;0),Calc!$Y$8:$Y$500,99999),Kanban_Helper!$B247),Calc!$Y$8:$Y$500,0)))),IF(LEN(INDEX(Calc!$J$8:$J$500,MATCH(SMALL(IF((Calc!$K$8:$K$500=Kanban!F$11)*(Calc!$Y$8:$Y$500&gt;0),Calc!$Y$8:$Y$500,99999),Kanban_Helper!$B247),Calc!$Y$8:$Y$500,0)))=0,"",CONCATENATE(Calc!$AD$6,INDEX(Calc!$J$8:$J$500,MATCH(SMALL(IF((Calc!$K$8:$K$500=Kanban!F$11)*(Calc!$Y$8:$Y$500&gt;0),Calc!$Y$8:$Y$500,99999),Kanban_Helper!$B247),Calc!$Y$8:$Y$500,0)))))),"")</f>
        <v/>
      </c>
      <c r="G254" s="172" t="str">
        <f t="array" ref="G254">IFERROR(IF(LEN(G$11)=0,"",IF($C$7&lt;&gt;"All",IF(LEN(INDEX(Calc!$J$8:$J$500,MATCH(SMALL(IF((Calc!$C$8:$C$500=Kanban!$C$7)*(Calc!$K$8:$K$500=Kanban!G$11)*(Calc!$Y$8:$Y$500&gt;0),Calc!$Y$8:$Y$500,99999),Kanban_Helper!$B247),Calc!$Y$8:$Y$500,0)))=0,"",CONCATENATE(Calc!$AD$6,INDEX(Calc!$J$8:$J$500,MATCH(SMALL(IF((Calc!$C$8:$C$500=Kanban!$C$7)*(Calc!$K$8:$K$500=Kanban!G$11)*(Calc!$Y$8:$Y$500&gt;0),Calc!$Y$8:$Y$500,99999),Kanban_Helper!$B247),Calc!$Y$8:$Y$500,0)))),IF(LEN(INDEX(Calc!$J$8:$J$500,MATCH(SMALL(IF((Calc!$K$8:$K$500=Kanban!G$11)*(Calc!$Y$8:$Y$500&gt;0),Calc!$Y$8:$Y$500,99999),Kanban_Helper!$B247),Calc!$Y$8:$Y$500,0)))=0,"",CONCATENATE(Calc!$AD$6,INDEX(Calc!$J$8:$J$500,MATCH(SMALL(IF((Calc!$K$8:$K$500=Kanban!G$11)*(Calc!$Y$8:$Y$500&gt;0),Calc!$Y$8:$Y$500,99999),Kanban_Helper!$B247),Calc!$Y$8:$Y$500,0)))))),"")</f>
        <v/>
      </c>
      <c r="H254" s="172" t="str">
        <f t="array" ref="H254">IFERROR(IF(LEN(H$11)=0,"",IF($C$7&lt;&gt;"All",IF(LEN(INDEX(Calc!$J$8:$J$500,MATCH(SMALL(IF((Calc!$C$8:$C$500=Kanban!$C$7)*(Calc!$K$8:$K$500=Kanban!H$11)*(Calc!$Y$8:$Y$500&gt;0),Calc!$Y$8:$Y$500,99999),Kanban_Helper!$B247),Calc!$Y$8:$Y$500,0)))=0,"",CONCATENATE(Calc!$AD$6,INDEX(Calc!$J$8:$J$500,MATCH(SMALL(IF((Calc!$C$8:$C$500=Kanban!$C$7)*(Calc!$K$8:$K$500=Kanban!H$11)*(Calc!$Y$8:$Y$500&gt;0),Calc!$Y$8:$Y$500,99999),Kanban_Helper!$B247),Calc!$Y$8:$Y$500,0)))),IF(LEN(INDEX(Calc!$J$8:$J$500,MATCH(SMALL(IF((Calc!$K$8:$K$500=Kanban!H$11)*(Calc!$Y$8:$Y$500&gt;0),Calc!$Y$8:$Y$500,99999),Kanban_Helper!$B247),Calc!$Y$8:$Y$500,0)))=0,"",CONCATENATE(Calc!$AD$6,INDEX(Calc!$J$8:$J$500,MATCH(SMALL(IF((Calc!$K$8:$K$500=Kanban!H$11)*(Calc!$Y$8:$Y$500&gt;0),Calc!$Y$8:$Y$500,99999),Kanban_Helper!$B247),Calc!$Y$8:$Y$500,0)))))),"")</f>
        <v/>
      </c>
      <c r="I254" s="39"/>
    </row>
    <row r="255" spans="2:9" ht="15" thickTop="1" x14ac:dyDescent="0.35">
      <c r="B255" s="81"/>
      <c r="C255" s="170" t="str">
        <f t="array" ref="C255">IFERROR(IF(LEN(C$11)=0,"",IF($C$7&lt;&gt;"All",IF(INDEX(Calc!$V$8:$V$500,MATCH(INDEX(Calc!$D$8:$D$500,MATCH(SMALL(IF((Calc!$C$8:$C$500=Kanban!$C$7)*(Calc!$K$8:$K$500=Kanban!C$11)*(Calc!$Y$8:$Y$500&gt;0),Calc!$Y$8:$Y$500,99999),Kanban_Helper!$B248),Calc!$Y$8:$Y$500,0)),Calc!$D$8:$D$500,0))="Yes",CONCATENATE(INDEX(Calc!$D$8:$D$500,MATCH(SMALL(IF((Calc!$C$8:$C$500=Kanban!$C$7)*(Calc!$K$8:$K$500=Kanban!C$11)*(Calc!$Y$8:$Y$500&gt;0),Calc!$Y$8:$Y$500,99999),Kanban_Helper!$B248),Calc!$Y$8:$Y$500,0))," ",Calc!$V$7," ","!"),INDEX(Calc!$D$8:$D$500,MATCH(SMALL(IF((Calc!$C$8:$C$500=Kanban!$C$7)*(Calc!$K$8:$K$500=Kanban!C$11)*(Calc!$Y$8:$Y$500&gt;0),Calc!$Y$8:$Y$500,99999),Kanban_Helper!$B248),Calc!$Y$8:$Y$500,0))),IF(INDEX(Calc!$V$8:$V$500,MATCH(INDEX(Calc!$D$8:$D$500,MATCH(SMALL(IF((Calc!$K$8:$K$500=Kanban!C$11)*(Calc!$Y$8:$Y$500&gt;0),Calc!$Y$8:$Y$500,99999),Kanban_Helper!$B248),Calc!$Y$8:$Y$500,0)),Calc!$D$8:$D$500,0))="Yes",CONCATENATE(INDEX(Calc!$D$8:$D$500,MATCH(SMALL(IF((Calc!$K$8:$K$500=Kanban!C$11)*(Calc!$Y$8:$Y$500&gt;0),Calc!$Y$8:$Y$500,99999),Kanban_Helper!$B248),Calc!$Y$8:$Y$500,0))," ",Calc!$V$7," ","!"),INDEX(Calc!$D$8:$D$500,MATCH(SMALL(IF((Calc!$K$8:$K$500=Kanban!C$11)*(Calc!$Y$8:$Y$500&gt;0),Calc!$Y$8:$Y$500,99999),Kanban_Helper!$B248),Calc!$Y$8:$Y$500,0))))),"")</f>
        <v/>
      </c>
      <c r="D255" s="170" t="str">
        <f t="array" ref="D255">IFERROR(IF(LEN(D$11)=0,"",IF($C$7&lt;&gt;"All",IF(INDEX(Calc!$V$8:$V$500,MATCH(INDEX(Calc!$D$8:$D$500,MATCH(SMALL(IF((Calc!$C$8:$C$500=Kanban!$C$7)*(Calc!$K$8:$K$500=Kanban!D$11)*(Calc!$Y$8:$Y$500&gt;0),Calc!$Y$8:$Y$500,99999),Kanban_Helper!$B248),Calc!$Y$8:$Y$500,0)),Calc!$D$8:$D$500,0))="Yes",CONCATENATE(INDEX(Calc!$D$8:$D$500,MATCH(SMALL(IF((Calc!$C$8:$C$500=Kanban!$C$7)*(Calc!$K$8:$K$500=Kanban!D$11)*(Calc!$Y$8:$Y$500&gt;0),Calc!$Y$8:$Y$500,99999),Kanban_Helper!$B248),Calc!$Y$8:$Y$500,0))," ",Calc!$V$7," ","!"),INDEX(Calc!$D$8:$D$500,MATCH(SMALL(IF((Calc!$C$8:$C$500=Kanban!$C$7)*(Calc!$K$8:$K$500=Kanban!D$11)*(Calc!$Y$8:$Y$500&gt;0),Calc!$Y$8:$Y$500,99999),Kanban_Helper!$B248),Calc!$Y$8:$Y$500,0))),IF(INDEX(Calc!$V$8:$V$500,MATCH(INDEX(Calc!$D$8:$D$500,MATCH(SMALL(IF((Calc!$K$8:$K$500=Kanban!D$11)*(Calc!$Y$8:$Y$500&gt;0),Calc!$Y$8:$Y$500,99999),Kanban_Helper!$B248),Calc!$Y$8:$Y$500,0)),Calc!$D$8:$D$500,0))="Yes",CONCATENATE(INDEX(Calc!$D$8:$D$500,MATCH(SMALL(IF((Calc!$K$8:$K$500=Kanban!D$11)*(Calc!$Y$8:$Y$500&gt;0),Calc!$Y$8:$Y$500,99999),Kanban_Helper!$B248),Calc!$Y$8:$Y$500,0))," ",Calc!$V$7," ","!"),INDEX(Calc!$D$8:$D$500,MATCH(SMALL(IF((Calc!$K$8:$K$500=Kanban!D$11)*(Calc!$Y$8:$Y$500&gt;0),Calc!$Y$8:$Y$500,99999),Kanban_Helper!$B248),Calc!$Y$8:$Y$500,0))))),"")</f>
        <v/>
      </c>
      <c r="E255" s="170" t="str">
        <f t="array" ref="E255">IFERROR(IF(LEN(E$11)=0,"",IF($C$7&lt;&gt;"All",IF(INDEX(Calc!$V$8:$V$500,MATCH(INDEX(Calc!$D$8:$D$500,MATCH(SMALL(IF((Calc!$C$8:$C$500=Kanban!$C$7)*(Calc!$K$8:$K$500=Kanban!E$11)*(Calc!$Y$8:$Y$500&gt;0),Calc!$Y$8:$Y$500,99999),Kanban_Helper!$B248),Calc!$Y$8:$Y$500,0)),Calc!$D$8:$D$500,0))="Yes",CONCATENATE(INDEX(Calc!$D$8:$D$500,MATCH(SMALL(IF((Calc!$C$8:$C$500=Kanban!$C$7)*(Calc!$K$8:$K$500=Kanban!E$11)*(Calc!$Y$8:$Y$500&gt;0),Calc!$Y$8:$Y$500,99999),Kanban_Helper!$B248),Calc!$Y$8:$Y$500,0))," ",Calc!$V$7," ","!"),INDEX(Calc!$D$8:$D$500,MATCH(SMALL(IF((Calc!$C$8:$C$500=Kanban!$C$7)*(Calc!$K$8:$K$500=Kanban!E$11)*(Calc!$Y$8:$Y$500&gt;0),Calc!$Y$8:$Y$500,99999),Kanban_Helper!$B248),Calc!$Y$8:$Y$500,0))),IF(INDEX(Calc!$V$8:$V$500,MATCH(INDEX(Calc!$D$8:$D$500,MATCH(SMALL(IF((Calc!$K$8:$K$500=Kanban!E$11)*(Calc!$Y$8:$Y$500&gt;0),Calc!$Y$8:$Y$500,99999),Kanban_Helper!$B248),Calc!$Y$8:$Y$500,0)),Calc!$D$8:$D$500,0))="Yes",CONCATENATE(INDEX(Calc!$D$8:$D$500,MATCH(SMALL(IF((Calc!$K$8:$K$500=Kanban!E$11)*(Calc!$Y$8:$Y$500&gt;0),Calc!$Y$8:$Y$500,99999),Kanban_Helper!$B248),Calc!$Y$8:$Y$500,0))," ",Calc!$V$7," ","!"),INDEX(Calc!$D$8:$D$500,MATCH(SMALL(IF((Calc!$K$8:$K$500=Kanban!E$11)*(Calc!$Y$8:$Y$500&gt;0),Calc!$Y$8:$Y$500,99999),Kanban_Helper!$B248),Calc!$Y$8:$Y$500,0))))),"")</f>
        <v/>
      </c>
      <c r="F255" s="170" t="str">
        <f t="array" ref="F255">IFERROR(IF(LEN(F$11)=0,"",IF($C$7&lt;&gt;"All",IF(INDEX(Calc!$V$8:$V$500,MATCH(INDEX(Calc!$D$8:$D$500,MATCH(SMALL(IF((Calc!$C$8:$C$500=Kanban!$C$7)*(Calc!$K$8:$K$500=Kanban!F$11)*(Calc!$Y$8:$Y$500&gt;0),Calc!$Y$8:$Y$500,99999),Kanban_Helper!$B248),Calc!$Y$8:$Y$500,0)),Calc!$D$8:$D$500,0))="Yes",CONCATENATE(INDEX(Calc!$D$8:$D$500,MATCH(SMALL(IF((Calc!$C$8:$C$500=Kanban!$C$7)*(Calc!$K$8:$K$500=Kanban!F$11)*(Calc!$Y$8:$Y$500&gt;0),Calc!$Y$8:$Y$500,99999),Kanban_Helper!$B248),Calc!$Y$8:$Y$500,0))," ",Calc!$V$7," ","!"),INDEX(Calc!$D$8:$D$500,MATCH(SMALL(IF((Calc!$C$8:$C$500=Kanban!$C$7)*(Calc!$K$8:$K$500=Kanban!F$11)*(Calc!$Y$8:$Y$500&gt;0),Calc!$Y$8:$Y$500,99999),Kanban_Helper!$B248),Calc!$Y$8:$Y$500,0))),IF(INDEX(Calc!$V$8:$V$500,MATCH(INDEX(Calc!$D$8:$D$500,MATCH(SMALL(IF((Calc!$K$8:$K$500=Kanban!F$11)*(Calc!$Y$8:$Y$500&gt;0),Calc!$Y$8:$Y$500,99999),Kanban_Helper!$B248),Calc!$Y$8:$Y$500,0)),Calc!$D$8:$D$500,0))="Yes",CONCATENATE(INDEX(Calc!$D$8:$D$500,MATCH(SMALL(IF((Calc!$K$8:$K$500=Kanban!F$11)*(Calc!$Y$8:$Y$500&gt;0),Calc!$Y$8:$Y$500,99999),Kanban_Helper!$B248),Calc!$Y$8:$Y$500,0))," ",Calc!$V$7," ","!"),INDEX(Calc!$D$8:$D$500,MATCH(SMALL(IF((Calc!$K$8:$K$500=Kanban!F$11)*(Calc!$Y$8:$Y$500&gt;0),Calc!$Y$8:$Y$500,99999),Kanban_Helper!$B248),Calc!$Y$8:$Y$500,0))))),"")</f>
        <v/>
      </c>
      <c r="G255" s="170" t="str">
        <f t="array" ref="G255">IFERROR(IF(LEN(G$11)=0,"",IF($C$7&lt;&gt;"All",IF(INDEX(Calc!$V$8:$V$500,MATCH(INDEX(Calc!$D$8:$D$500,MATCH(SMALL(IF((Calc!$C$8:$C$500=Kanban!$C$7)*(Calc!$K$8:$K$500=Kanban!G$11)*(Calc!$Y$8:$Y$500&gt;0),Calc!$Y$8:$Y$500,99999),Kanban_Helper!$B248),Calc!$Y$8:$Y$500,0)),Calc!$D$8:$D$500,0))="Yes",CONCATENATE(INDEX(Calc!$D$8:$D$500,MATCH(SMALL(IF((Calc!$C$8:$C$500=Kanban!$C$7)*(Calc!$K$8:$K$500=Kanban!G$11)*(Calc!$Y$8:$Y$500&gt;0),Calc!$Y$8:$Y$500,99999),Kanban_Helper!$B248),Calc!$Y$8:$Y$500,0))," ",Calc!$V$7," ","!"),INDEX(Calc!$D$8:$D$500,MATCH(SMALL(IF((Calc!$C$8:$C$500=Kanban!$C$7)*(Calc!$K$8:$K$500=Kanban!G$11)*(Calc!$Y$8:$Y$500&gt;0),Calc!$Y$8:$Y$500,99999),Kanban_Helper!$B248),Calc!$Y$8:$Y$500,0))),IF(INDEX(Calc!$V$8:$V$500,MATCH(INDEX(Calc!$D$8:$D$500,MATCH(SMALL(IF((Calc!$K$8:$K$500=Kanban!G$11)*(Calc!$Y$8:$Y$500&gt;0),Calc!$Y$8:$Y$500,99999),Kanban_Helper!$B248),Calc!$Y$8:$Y$500,0)),Calc!$D$8:$D$500,0))="Yes",CONCATENATE(INDEX(Calc!$D$8:$D$500,MATCH(SMALL(IF((Calc!$K$8:$K$500=Kanban!G$11)*(Calc!$Y$8:$Y$500&gt;0),Calc!$Y$8:$Y$500,99999),Kanban_Helper!$B248),Calc!$Y$8:$Y$500,0))," ",Calc!$V$7," ","!"),INDEX(Calc!$D$8:$D$500,MATCH(SMALL(IF((Calc!$K$8:$K$500=Kanban!G$11)*(Calc!$Y$8:$Y$500&gt;0),Calc!$Y$8:$Y$500,99999),Kanban_Helper!$B248),Calc!$Y$8:$Y$500,0))))),"")</f>
        <v/>
      </c>
      <c r="H255" s="170" t="str">
        <f t="array" ref="H255">IFERROR(IF(LEN(H$11)=0,"",IF($C$7&lt;&gt;"All",IF(INDEX(Calc!$V$8:$V$500,MATCH(INDEX(Calc!$D$8:$D$500,MATCH(SMALL(IF((Calc!$C$8:$C$500=Kanban!$C$7)*(Calc!$K$8:$K$500=Kanban!H$11)*(Calc!$Y$8:$Y$500&gt;0),Calc!$Y$8:$Y$500,99999),Kanban_Helper!$B248),Calc!$Y$8:$Y$500,0)),Calc!$D$8:$D$500,0))="Yes",CONCATENATE(INDEX(Calc!$D$8:$D$500,MATCH(SMALL(IF((Calc!$C$8:$C$500=Kanban!$C$7)*(Calc!$K$8:$K$500=Kanban!H$11)*(Calc!$Y$8:$Y$500&gt;0),Calc!$Y$8:$Y$500,99999),Kanban_Helper!$B248),Calc!$Y$8:$Y$500,0))," ",Calc!$V$7," ","!"),INDEX(Calc!$D$8:$D$500,MATCH(SMALL(IF((Calc!$C$8:$C$500=Kanban!$C$7)*(Calc!$K$8:$K$500=Kanban!H$11)*(Calc!$Y$8:$Y$500&gt;0),Calc!$Y$8:$Y$500,99999),Kanban_Helper!$B248),Calc!$Y$8:$Y$500,0))),IF(INDEX(Calc!$V$8:$V$500,MATCH(INDEX(Calc!$D$8:$D$500,MATCH(SMALL(IF((Calc!$K$8:$K$500=Kanban!H$11)*(Calc!$Y$8:$Y$500&gt;0),Calc!$Y$8:$Y$500,99999),Kanban_Helper!$B248),Calc!$Y$8:$Y$500,0)),Calc!$D$8:$D$500,0))="Yes",CONCATENATE(INDEX(Calc!$D$8:$D$500,MATCH(SMALL(IF((Calc!$K$8:$K$500=Kanban!H$11)*(Calc!$Y$8:$Y$500&gt;0),Calc!$Y$8:$Y$500,99999),Kanban_Helper!$B248),Calc!$Y$8:$Y$500,0))," ",Calc!$V$7," ","!"),INDEX(Calc!$D$8:$D$500,MATCH(SMALL(IF((Calc!$K$8:$K$500=Kanban!H$11)*(Calc!$Y$8:$Y$500&gt;0),Calc!$Y$8:$Y$500,99999),Kanban_Helper!$B248),Calc!$Y$8:$Y$500,0))))),"")</f>
        <v/>
      </c>
      <c r="I255" s="39"/>
    </row>
    <row r="256" spans="2:9" x14ac:dyDescent="0.35">
      <c r="B256" s="81"/>
      <c r="C256" s="171" t="str">
        <f t="array" ref="C256">IFERROR(IF(LEN(C$11)=0,"",IF($C$7&lt;&gt;"All",INDEX(Calc!$E$8:$E$500,MATCH(SMALL(IF((Calc!$C$8:$C$500=Kanban!$C$7)*(Calc!$K$8:$K$500=Kanban!C$11)*(Calc!$Y$8:$Y$500&gt;0),Calc!$Y$8:$Y$500,99999),Kanban_Helper!$B249),Calc!$Y$8:$Y$500,0)),INDEX(Calc!$E$8:$E$500,MATCH(SMALL(IF((Calc!$K$8:$K$500=Kanban!C$11)*(Calc!$Y$8:$Y$500&gt;0),Calc!$Y$8:$Y$500,99999),Kanban_Helper!$B249),Calc!$Y$8:$Y$500,0)))),"")</f>
        <v/>
      </c>
      <c r="D256" s="171" t="str">
        <f t="array" ref="D256">IFERROR(IF(LEN(D$11)=0,"",IF($C$7&lt;&gt;"All",INDEX(Calc!$E$8:$E$500,MATCH(SMALL(IF((Calc!$C$8:$C$500=Kanban!$C$7)*(Calc!$K$8:$K$500=Kanban!D$11)*(Calc!$Y$8:$Y$500&gt;0),Calc!$Y$8:$Y$500,99999),Kanban_Helper!$B249),Calc!$Y$8:$Y$500,0)),INDEX(Calc!$E$8:$E$500,MATCH(SMALL(IF((Calc!$K$8:$K$500=Kanban!D$11)*(Calc!$Y$8:$Y$500&gt;0),Calc!$Y$8:$Y$500,99999),Kanban_Helper!$B249),Calc!$Y$8:$Y$500,0)))),"")</f>
        <v/>
      </c>
      <c r="E256" s="171" t="str">
        <f t="array" ref="E256">IFERROR(IF(LEN(E$11)=0,"",IF($C$7&lt;&gt;"All",INDEX(Calc!$E$8:$E$500,MATCH(SMALL(IF((Calc!$C$8:$C$500=Kanban!$C$7)*(Calc!$K$8:$K$500=Kanban!E$11)*(Calc!$Y$8:$Y$500&gt;0),Calc!$Y$8:$Y$500,99999),Kanban_Helper!$B249),Calc!$Y$8:$Y$500,0)),INDEX(Calc!$E$8:$E$500,MATCH(SMALL(IF((Calc!$K$8:$K$500=Kanban!E$11)*(Calc!$Y$8:$Y$500&gt;0),Calc!$Y$8:$Y$500,99999),Kanban_Helper!$B249),Calc!$Y$8:$Y$500,0)))),"")</f>
        <v/>
      </c>
      <c r="F256" s="171" t="str">
        <f t="array" ref="F256">IFERROR(IF(LEN(F$11)=0,"",IF($C$7&lt;&gt;"All",INDEX(Calc!$E$8:$E$500,MATCH(SMALL(IF((Calc!$C$8:$C$500=Kanban!$C$7)*(Calc!$K$8:$K$500=Kanban!F$11)*(Calc!$Y$8:$Y$500&gt;0),Calc!$Y$8:$Y$500,99999),Kanban_Helper!$B249),Calc!$Y$8:$Y$500,0)),INDEX(Calc!$E$8:$E$500,MATCH(SMALL(IF((Calc!$K$8:$K$500=Kanban!F$11)*(Calc!$Y$8:$Y$500&gt;0),Calc!$Y$8:$Y$500,99999),Kanban_Helper!$B249),Calc!$Y$8:$Y$500,0)))),"")</f>
        <v/>
      </c>
      <c r="G256" s="171" t="str">
        <f t="array" ref="G256">IFERROR(IF(LEN(G$11)=0,"",IF($C$7&lt;&gt;"All",INDEX(Calc!$E$8:$E$500,MATCH(SMALL(IF((Calc!$C$8:$C$500=Kanban!$C$7)*(Calc!$K$8:$K$500=Kanban!G$11)*(Calc!$Y$8:$Y$500&gt;0),Calc!$Y$8:$Y$500,99999),Kanban_Helper!$B249),Calc!$Y$8:$Y$500,0)),INDEX(Calc!$E$8:$E$500,MATCH(SMALL(IF((Calc!$K$8:$K$500=Kanban!G$11)*(Calc!$Y$8:$Y$500&gt;0),Calc!$Y$8:$Y$500,99999),Kanban_Helper!$B249),Calc!$Y$8:$Y$500,0)))),"")</f>
        <v/>
      </c>
      <c r="H256" s="171" t="str">
        <f t="array" ref="H256">IFERROR(IF(LEN(H$11)=0,"",IF($C$7&lt;&gt;"All",INDEX(Calc!$E$8:$E$500,MATCH(SMALL(IF((Calc!$C$8:$C$500=Kanban!$C$7)*(Calc!$K$8:$K$500=Kanban!H$11)*(Calc!$Y$8:$Y$500&gt;0),Calc!$Y$8:$Y$500,99999),Kanban_Helper!$B249),Calc!$Y$8:$Y$500,0)),INDEX(Calc!$E$8:$E$500,MATCH(SMALL(IF((Calc!$K$8:$K$500=Kanban!H$11)*(Calc!$Y$8:$Y$500&gt;0),Calc!$Y$8:$Y$500,99999),Kanban_Helper!$B249),Calc!$Y$8:$Y$500,0)))),"")</f>
        <v/>
      </c>
      <c r="I256" s="39"/>
    </row>
    <row r="257" spans="2:9" ht="15" thickBot="1" x14ac:dyDescent="0.4">
      <c r="B257" s="81"/>
      <c r="C257" s="172" t="str">
        <f t="array" ref="C257">IFERROR(IF(LEN(C$11)=0,"",IF($C$7&lt;&gt;"All",IF(LEN(INDEX(Calc!$J$8:$J$500,MATCH(SMALL(IF((Calc!$C$8:$C$500=Kanban!$C$7)*(Calc!$K$8:$K$500=Kanban!C$11)*(Calc!$Y$8:$Y$500&gt;0),Calc!$Y$8:$Y$500,99999),Kanban_Helper!$B250),Calc!$Y$8:$Y$500,0)))=0,"",CONCATENATE(Calc!$AD$6,INDEX(Calc!$J$8:$J$500,MATCH(SMALL(IF((Calc!$C$8:$C$500=Kanban!$C$7)*(Calc!$K$8:$K$500=Kanban!C$11)*(Calc!$Y$8:$Y$500&gt;0),Calc!$Y$8:$Y$500,99999),Kanban_Helper!$B250),Calc!$Y$8:$Y$500,0)))),IF(LEN(INDEX(Calc!$J$8:$J$500,MATCH(SMALL(IF((Calc!$K$8:$K$500=Kanban!C$11)*(Calc!$Y$8:$Y$500&gt;0),Calc!$Y$8:$Y$500,99999),Kanban_Helper!$B250),Calc!$Y$8:$Y$500,0)))=0,"",CONCATENATE(Calc!$AD$6,INDEX(Calc!$J$8:$J$500,MATCH(SMALL(IF((Calc!$K$8:$K$500=Kanban!C$11)*(Calc!$Y$8:$Y$500&gt;0),Calc!$Y$8:$Y$500,99999),Kanban_Helper!$B250),Calc!$Y$8:$Y$500,0)))))),"")</f>
        <v/>
      </c>
      <c r="D257" s="172" t="str">
        <f t="array" ref="D257">IFERROR(IF(LEN(D$11)=0,"",IF($C$7&lt;&gt;"All",IF(LEN(INDEX(Calc!$J$8:$J$500,MATCH(SMALL(IF((Calc!$C$8:$C$500=Kanban!$C$7)*(Calc!$K$8:$K$500=Kanban!D$11)*(Calc!$Y$8:$Y$500&gt;0),Calc!$Y$8:$Y$500,99999),Kanban_Helper!$B250),Calc!$Y$8:$Y$500,0)))=0,"",CONCATENATE(Calc!$AD$6,INDEX(Calc!$J$8:$J$500,MATCH(SMALL(IF((Calc!$C$8:$C$500=Kanban!$C$7)*(Calc!$K$8:$K$500=Kanban!D$11)*(Calc!$Y$8:$Y$500&gt;0),Calc!$Y$8:$Y$500,99999),Kanban_Helper!$B250),Calc!$Y$8:$Y$500,0)))),IF(LEN(INDEX(Calc!$J$8:$J$500,MATCH(SMALL(IF((Calc!$K$8:$K$500=Kanban!D$11)*(Calc!$Y$8:$Y$500&gt;0),Calc!$Y$8:$Y$500,99999),Kanban_Helper!$B250),Calc!$Y$8:$Y$500,0)))=0,"",CONCATENATE(Calc!$AD$6,INDEX(Calc!$J$8:$J$500,MATCH(SMALL(IF((Calc!$K$8:$K$500=Kanban!D$11)*(Calc!$Y$8:$Y$500&gt;0),Calc!$Y$8:$Y$500,99999),Kanban_Helper!$B250),Calc!$Y$8:$Y$500,0)))))),"")</f>
        <v/>
      </c>
      <c r="E257" s="172" t="str">
        <f t="array" ref="E257">IFERROR(IF(LEN(E$11)=0,"",IF($C$7&lt;&gt;"All",IF(LEN(INDEX(Calc!$J$8:$J$500,MATCH(SMALL(IF((Calc!$C$8:$C$500=Kanban!$C$7)*(Calc!$K$8:$K$500=Kanban!E$11)*(Calc!$Y$8:$Y$500&gt;0),Calc!$Y$8:$Y$500,99999),Kanban_Helper!$B250),Calc!$Y$8:$Y$500,0)))=0,"",CONCATENATE(Calc!$AD$6,INDEX(Calc!$J$8:$J$500,MATCH(SMALL(IF((Calc!$C$8:$C$500=Kanban!$C$7)*(Calc!$K$8:$K$500=Kanban!E$11)*(Calc!$Y$8:$Y$500&gt;0),Calc!$Y$8:$Y$500,99999),Kanban_Helper!$B250),Calc!$Y$8:$Y$500,0)))),IF(LEN(INDEX(Calc!$J$8:$J$500,MATCH(SMALL(IF((Calc!$K$8:$K$500=Kanban!E$11)*(Calc!$Y$8:$Y$500&gt;0),Calc!$Y$8:$Y$500,99999),Kanban_Helper!$B250),Calc!$Y$8:$Y$500,0)))=0,"",CONCATENATE(Calc!$AD$6,INDEX(Calc!$J$8:$J$500,MATCH(SMALL(IF((Calc!$K$8:$K$500=Kanban!E$11)*(Calc!$Y$8:$Y$500&gt;0),Calc!$Y$8:$Y$500,99999),Kanban_Helper!$B250),Calc!$Y$8:$Y$500,0)))))),"")</f>
        <v/>
      </c>
      <c r="F257" s="172" t="str">
        <f t="array" ref="F257">IFERROR(IF(LEN(F$11)=0,"",IF($C$7&lt;&gt;"All",IF(LEN(INDEX(Calc!$J$8:$J$500,MATCH(SMALL(IF((Calc!$C$8:$C$500=Kanban!$C$7)*(Calc!$K$8:$K$500=Kanban!F$11)*(Calc!$Y$8:$Y$500&gt;0),Calc!$Y$8:$Y$500,99999),Kanban_Helper!$B250),Calc!$Y$8:$Y$500,0)))=0,"",CONCATENATE(Calc!$AD$6,INDEX(Calc!$J$8:$J$500,MATCH(SMALL(IF((Calc!$C$8:$C$500=Kanban!$C$7)*(Calc!$K$8:$K$500=Kanban!F$11)*(Calc!$Y$8:$Y$500&gt;0),Calc!$Y$8:$Y$500,99999),Kanban_Helper!$B250),Calc!$Y$8:$Y$500,0)))),IF(LEN(INDEX(Calc!$J$8:$J$500,MATCH(SMALL(IF((Calc!$K$8:$K$500=Kanban!F$11)*(Calc!$Y$8:$Y$500&gt;0),Calc!$Y$8:$Y$500,99999),Kanban_Helper!$B250),Calc!$Y$8:$Y$500,0)))=0,"",CONCATENATE(Calc!$AD$6,INDEX(Calc!$J$8:$J$500,MATCH(SMALL(IF((Calc!$K$8:$K$500=Kanban!F$11)*(Calc!$Y$8:$Y$500&gt;0),Calc!$Y$8:$Y$500,99999),Kanban_Helper!$B250),Calc!$Y$8:$Y$500,0)))))),"")</f>
        <v/>
      </c>
      <c r="G257" s="172" t="str">
        <f t="array" ref="G257">IFERROR(IF(LEN(G$11)=0,"",IF($C$7&lt;&gt;"All",IF(LEN(INDEX(Calc!$J$8:$J$500,MATCH(SMALL(IF((Calc!$C$8:$C$500=Kanban!$C$7)*(Calc!$K$8:$K$500=Kanban!G$11)*(Calc!$Y$8:$Y$500&gt;0),Calc!$Y$8:$Y$500,99999),Kanban_Helper!$B250),Calc!$Y$8:$Y$500,0)))=0,"",CONCATENATE(Calc!$AD$6,INDEX(Calc!$J$8:$J$500,MATCH(SMALL(IF((Calc!$C$8:$C$500=Kanban!$C$7)*(Calc!$K$8:$K$500=Kanban!G$11)*(Calc!$Y$8:$Y$500&gt;0),Calc!$Y$8:$Y$500,99999),Kanban_Helper!$B250),Calc!$Y$8:$Y$500,0)))),IF(LEN(INDEX(Calc!$J$8:$J$500,MATCH(SMALL(IF((Calc!$K$8:$K$500=Kanban!G$11)*(Calc!$Y$8:$Y$500&gt;0),Calc!$Y$8:$Y$500,99999),Kanban_Helper!$B250),Calc!$Y$8:$Y$500,0)))=0,"",CONCATENATE(Calc!$AD$6,INDEX(Calc!$J$8:$J$500,MATCH(SMALL(IF((Calc!$K$8:$K$500=Kanban!G$11)*(Calc!$Y$8:$Y$500&gt;0),Calc!$Y$8:$Y$500,99999),Kanban_Helper!$B250),Calc!$Y$8:$Y$500,0)))))),"")</f>
        <v/>
      </c>
      <c r="H257" s="172" t="str">
        <f t="array" ref="H257">IFERROR(IF(LEN(H$11)=0,"",IF($C$7&lt;&gt;"All",IF(LEN(INDEX(Calc!$J$8:$J$500,MATCH(SMALL(IF((Calc!$C$8:$C$500=Kanban!$C$7)*(Calc!$K$8:$K$500=Kanban!H$11)*(Calc!$Y$8:$Y$500&gt;0),Calc!$Y$8:$Y$500,99999),Kanban_Helper!$B250),Calc!$Y$8:$Y$500,0)))=0,"",CONCATENATE(Calc!$AD$6,INDEX(Calc!$J$8:$J$500,MATCH(SMALL(IF((Calc!$C$8:$C$500=Kanban!$C$7)*(Calc!$K$8:$K$500=Kanban!H$11)*(Calc!$Y$8:$Y$500&gt;0),Calc!$Y$8:$Y$500,99999),Kanban_Helper!$B250),Calc!$Y$8:$Y$500,0)))),IF(LEN(INDEX(Calc!$J$8:$J$500,MATCH(SMALL(IF((Calc!$K$8:$K$500=Kanban!H$11)*(Calc!$Y$8:$Y$500&gt;0),Calc!$Y$8:$Y$500,99999),Kanban_Helper!$B250),Calc!$Y$8:$Y$500,0)))=0,"",CONCATENATE(Calc!$AD$6,INDEX(Calc!$J$8:$J$500,MATCH(SMALL(IF((Calc!$K$8:$K$500=Kanban!H$11)*(Calc!$Y$8:$Y$500&gt;0),Calc!$Y$8:$Y$500,99999),Kanban_Helper!$B250),Calc!$Y$8:$Y$500,0)))))),"")</f>
        <v/>
      </c>
      <c r="I257" s="39"/>
    </row>
    <row r="258" spans="2:9" ht="15" thickTop="1" x14ac:dyDescent="0.35">
      <c r="B258" s="81"/>
      <c r="C258" s="170" t="str">
        <f t="array" ref="C258">IFERROR(IF(LEN(C$11)=0,"",IF($C$7&lt;&gt;"All",IF(INDEX(Calc!$V$8:$V$500,MATCH(INDEX(Calc!$D$8:$D$500,MATCH(SMALL(IF((Calc!$C$8:$C$500=Kanban!$C$7)*(Calc!$K$8:$K$500=Kanban!C$11)*(Calc!$Y$8:$Y$500&gt;0),Calc!$Y$8:$Y$500,99999),Kanban_Helper!$B251),Calc!$Y$8:$Y$500,0)),Calc!$D$8:$D$500,0))="Yes",CONCATENATE(INDEX(Calc!$D$8:$D$500,MATCH(SMALL(IF((Calc!$C$8:$C$500=Kanban!$C$7)*(Calc!$K$8:$K$500=Kanban!C$11)*(Calc!$Y$8:$Y$500&gt;0),Calc!$Y$8:$Y$500,99999),Kanban_Helper!$B251),Calc!$Y$8:$Y$500,0))," ",Calc!$V$7," ","!"),INDEX(Calc!$D$8:$D$500,MATCH(SMALL(IF((Calc!$C$8:$C$500=Kanban!$C$7)*(Calc!$K$8:$K$500=Kanban!C$11)*(Calc!$Y$8:$Y$500&gt;0),Calc!$Y$8:$Y$500,99999),Kanban_Helper!$B251),Calc!$Y$8:$Y$500,0))),IF(INDEX(Calc!$V$8:$V$500,MATCH(INDEX(Calc!$D$8:$D$500,MATCH(SMALL(IF((Calc!$K$8:$K$500=Kanban!C$11)*(Calc!$Y$8:$Y$500&gt;0),Calc!$Y$8:$Y$500,99999),Kanban_Helper!$B251),Calc!$Y$8:$Y$500,0)),Calc!$D$8:$D$500,0))="Yes",CONCATENATE(INDEX(Calc!$D$8:$D$500,MATCH(SMALL(IF((Calc!$K$8:$K$500=Kanban!C$11)*(Calc!$Y$8:$Y$500&gt;0),Calc!$Y$8:$Y$500,99999),Kanban_Helper!$B251),Calc!$Y$8:$Y$500,0))," ",Calc!$V$7," ","!"),INDEX(Calc!$D$8:$D$500,MATCH(SMALL(IF((Calc!$K$8:$K$500=Kanban!C$11)*(Calc!$Y$8:$Y$500&gt;0),Calc!$Y$8:$Y$500,99999),Kanban_Helper!$B251),Calc!$Y$8:$Y$500,0))))),"")</f>
        <v/>
      </c>
      <c r="D258" s="170" t="str">
        <f t="array" ref="D258">IFERROR(IF(LEN(D$11)=0,"",IF($C$7&lt;&gt;"All",IF(INDEX(Calc!$V$8:$V$500,MATCH(INDEX(Calc!$D$8:$D$500,MATCH(SMALL(IF((Calc!$C$8:$C$500=Kanban!$C$7)*(Calc!$K$8:$K$500=Kanban!D$11)*(Calc!$Y$8:$Y$500&gt;0),Calc!$Y$8:$Y$500,99999),Kanban_Helper!$B251),Calc!$Y$8:$Y$500,0)),Calc!$D$8:$D$500,0))="Yes",CONCATENATE(INDEX(Calc!$D$8:$D$500,MATCH(SMALL(IF((Calc!$C$8:$C$500=Kanban!$C$7)*(Calc!$K$8:$K$500=Kanban!D$11)*(Calc!$Y$8:$Y$500&gt;0),Calc!$Y$8:$Y$500,99999),Kanban_Helper!$B251),Calc!$Y$8:$Y$500,0))," ",Calc!$V$7," ","!"),INDEX(Calc!$D$8:$D$500,MATCH(SMALL(IF((Calc!$C$8:$C$500=Kanban!$C$7)*(Calc!$K$8:$K$500=Kanban!D$11)*(Calc!$Y$8:$Y$500&gt;0),Calc!$Y$8:$Y$500,99999),Kanban_Helper!$B251),Calc!$Y$8:$Y$500,0))),IF(INDEX(Calc!$V$8:$V$500,MATCH(INDEX(Calc!$D$8:$D$500,MATCH(SMALL(IF((Calc!$K$8:$K$500=Kanban!D$11)*(Calc!$Y$8:$Y$500&gt;0),Calc!$Y$8:$Y$500,99999),Kanban_Helper!$B251),Calc!$Y$8:$Y$500,0)),Calc!$D$8:$D$500,0))="Yes",CONCATENATE(INDEX(Calc!$D$8:$D$500,MATCH(SMALL(IF((Calc!$K$8:$K$500=Kanban!D$11)*(Calc!$Y$8:$Y$500&gt;0),Calc!$Y$8:$Y$500,99999),Kanban_Helper!$B251),Calc!$Y$8:$Y$500,0))," ",Calc!$V$7," ","!"),INDEX(Calc!$D$8:$D$500,MATCH(SMALL(IF((Calc!$K$8:$K$500=Kanban!D$11)*(Calc!$Y$8:$Y$500&gt;0),Calc!$Y$8:$Y$500,99999),Kanban_Helper!$B251),Calc!$Y$8:$Y$500,0))))),"")</f>
        <v/>
      </c>
      <c r="E258" s="170" t="str">
        <f t="array" ref="E258">IFERROR(IF(LEN(E$11)=0,"",IF($C$7&lt;&gt;"All",IF(INDEX(Calc!$V$8:$V$500,MATCH(INDEX(Calc!$D$8:$D$500,MATCH(SMALL(IF((Calc!$C$8:$C$500=Kanban!$C$7)*(Calc!$K$8:$K$500=Kanban!E$11)*(Calc!$Y$8:$Y$500&gt;0),Calc!$Y$8:$Y$500,99999),Kanban_Helper!$B251),Calc!$Y$8:$Y$500,0)),Calc!$D$8:$D$500,0))="Yes",CONCATENATE(INDEX(Calc!$D$8:$D$500,MATCH(SMALL(IF((Calc!$C$8:$C$500=Kanban!$C$7)*(Calc!$K$8:$K$500=Kanban!E$11)*(Calc!$Y$8:$Y$500&gt;0),Calc!$Y$8:$Y$500,99999),Kanban_Helper!$B251),Calc!$Y$8:$Y$500,0))," ",Calc!$V$7," ","!"),INDEX(Calc!$D$8:$D$500,MATCH(SMALL(IF((Calc!$C$8:$C$500=Kanban!$C$7)*(Calc!$K$8:$K$500=Kanban!E$11)*(Calc!$Y$8:$Y$500&gt;0),Calc!$Y$8:$Y$500,99999),Kanban_Helper!$B251),Calc!$Y$8:$Y$500,0))),IF(INDEX(Calc!$V$8:$V$500,MATCH(INDEX(Calc!$D$8:$D$500,MATCH(SMALL(IF((Calc!$K$8:$K$500=Kanban!E$11)*(Calc!$Y$8:$Y$500&gt;0),Calc!$Y$8:$Y$500,99999),Kanban_Helper!$B251),Calc!$Y$8:$Y$500,0)),Calc!$D$8:$D$500,0))="Yes",CONCATENATE(INDEX(Calc!$D$8:$D$500,MATCH(SMALL(IF((Calc!$K$8:$K$500=Kanban!E$11)*(Calc!$Y$8:$Y$500&gt;0),Calc!$Y$8:$Y$500,99999),Kanban_Helper!$B251),Calc!$Y$8:$Y$500,0))," ",Calc!$V$7," ","!"),INDEX(Calc!$D$8:$D$500,MATCH(SMALL(IF((Calc!$K$8:$K$500=Kanban!E$11)*(Calc!$Y$8:$Y$500&gt;0),Calc!$Y$8:$Y$500,99999),Kanban_Helper!$B251),Calc!$Y$8:$Y$500,0))))),"")</f>
        <v/>
      </c>
      <c r="F258" s="170" t="str">
        <f t="array" ref="F258">IFERROR(IF(LEN(F$11)=0,"",IF($C$7&lt;&gt;"All",IF(INDEX(Calc!$V$8:$V$500,MATCH(INDEX(Calc!$D$8:$D$500,MATCH(SMALL(IF((Calc!$C$8:$C$500=Kanban!$C$7)*(Calc!$K$8:$K$500=Kanban!F$11)*(Calc!$Y$8:$Y$500&gt;0),Calc!$Y$8:$Y$500,99999),Kanban_Helper!$B251),Calc!$Y$8:$Y$500,0)),Calc!$D$8:$D$500,0))="Yes",CONCATENATE(INDEX(Calc!$D$8:$D$500,MATCH(SMALL(IF((Calc!$C$8:$C$500=Kanban!$C$7)*(Calc!$K$8:$K$500=Kanban!F$11)*(Calc!$Y$8:$Y$500&gt;0),Calc!$Y$8:$Y$500,99999),Kanban_Helper!$B251),Calc!$Y$8:$Y$500,0))," ",Calc!$V$7," ","!"),INDEX(Calc!$D$8:$D$500,MATCH(SMALL(IF((Calc!$C$8:$C$500=Kanban!$C$7)*(Calc!$K$8:$K$500=Kanban!F$11)*(Calc!$Y$8:$Y$500&gt;0),Calc!$Y$8:$Y$500,99999),Kanban_Helper!$B251),Calc!$Y$8:$Y$500,0))),IF(INDEX(Calc!$V$8:$V$500,MATCH(INDEX(Calc!$D$8:$D$500,MATCH(SMALL(IF((Calc!$K$8:$K$500=Kanban!F$11)*(Calc!$Y$8:$Y$500&gt;0),Calc!$Y$8:$Y$500,99999),Kanban_Helper!$B251),Calc!$Y$8:$Y$500,0)),Calc!$D$8:$D$500,0))="Yes",CONCATENATE(INDEX(Calc!$D$8:$D$500,MATCH(SMALL(IF((Calc!$K$8:$K$500=Kanban!F$11)*(Calc!$Y$8:$Y$500&gt;0),Calc!$Y$8:$Y$500,99999),Kanban_Helper!$B251),Calc!$Y$8:$Y$500,0))," ",Calc!$V$7," ","!"),INDEX(Calc!$D$8:$D$500,MATCH(SMALL(IF((Calc!$K$8:$K$500=Kanban!F$11)*(Calc!$Y$8:$Y$500&gt;0),Calc!$Y$8:$Y$500,99999),Kanban_Helper!$B251),Calc!$Y$8:$Y$500,0))))),"")</f>
        <v/>
      </c>
      <c r="G258" s="170" t="str">
        <f t="array" ref="G258">IFERROR(IF(LEN(G$11)=0,"",IF($C$7&lt;&gt;"All",IF(INDEX(Calc!$V$8:$V$500,MATCH(INDEX(Calc!$D$8:$D$500,MATCH(SMALL(IF((Calc!$C$8:$C$500=Kanban!$C$7)*(Calc!$K$8:$K$500=Kanban!G$11)*(Calc!$Y$8:$Y$500&gt;0),Calc!$Y$8:$Y$500,99999),Kanban_Helper!$B251),Calc!$Y$8:$Y$500,0)),Calc!$D$8:$D$500,0))="Yes",CONCATENATE(INDEX(Calc!$D$8:$D$500,MATCH(SMALL(IF((Calc!$C$8:$C$500=Kanban!$C$7)*(Calc!$K$8:$K$500=Kanban!G$11)*(Calc!$Y$8:$Y$500&gt;0),Calc!$Y$8:$Y$500,99999),Kanban_Helper!$B251),Calc!$Y$8:$Y$500,0))," ",Calc!$V$7," ","!"),INDEX(Calc!$D$8:$D$500,MATCH(SMALL(IF((Calc!$C$8:$C$500=Kanban!$C$7)*(Calc!$K$8:$K$500=Kanban!G$11)*(Calc!$Y$8:$Y$500&gt;0),Calc!$Y$8:$Y$500,99999),Kanban_Helper!$B251),Calc!$Y$8:$Y$500,0))),IF(INDEX(Calc!$V$8:$V$500,MATCH(INDEX(Calc!$D$8:$D$500,MATCH(SMALL(IF((Calc!$K$8:$K$500=Kanban!G$11)*(Calc!$Y$8:$Y$500&gt;0),Calc!$Y$8:$Y$500,99999),Kanban_Helper!$B251),Calc!$Y$8:$Y$500,0)),Calc!$D$8:$D$500,0))="Yes",CONCATENATE(INDEX(Calc!$D$8:$D$500,MATCH(SMALL(IF((Calc!$K$8:$K$500=Kanban!G$11)*(Calc!$Y$8:$Y$500&gt;0),Calc!$Y$8:$Y$500,99999),Kanban_Helper!$B251),Calc!$Y$8:$Y$500,0))," ",Calc!$V$7," ","!"),INDEX(Calc!$D$8:$D$500,MATCH(SMALL(IF((Calc!$K$8:$K$500=Kanban!G$11)*(Calc!$Y$8:$Y$500&gt;0),Calc!$Y$8:$Y$500,99999),Kanban_Helper!$B251),Calc!$Y$8:$Y$500,0))))),"")</f>
        <v/>
      </c>
      <c r="H258" s="170" t="str">
        <f t="array" ref="H258">IFERROR(IF(LEN(H$11)=0,"",IF($C$7&lt;&gt;"All",IF(INDEX(Calc!$V$8:$V$500,MATCH(INDEX(Calc!$D$8:$D$500,MATCH(SMALL(IF((Calc!$C$8:$C$500=Kanban!$C$7)*(Calc!$K$8:$K$500=Kanban!H$11)*(Calc!$Y$8:$Y$500&gt;0),Calc!$Y$8:$Y$500,99999),Kanban_Helper!$B251),Calc!$Y$8:$Y$500,0)),Calc!$D$8:$D$500,0))="Yes",CONCATENATE(INDEX(Calc!$D$8:$D$500,MATCH(SMALL(IF((Calc!$C$8:$C$500=Kanban!$C$7)*(Calc!$K$8:$K$500=Kanban!H$11)*(Calc!$Y$8:$Y$500&gt;0),Calc!$Y$8:$Y$500,99999),Kanban_Helper!$B251),Calc!$Y$8:$Y$500,0))," ",Calc!$V$7," ","!"),INDEX(Calc!$D$8:$D$500,MATCH(SMALL(IF((Calc!$C$8:$C$500=Kanban!$C$7)*(Calc!$K$8:$K$500=Kanban!H$11)*(Calc!$Y$8:$Y$500&gt;0),Calc!$Y$8:$Y$500,99999),Kanban_Helper!$B251),Calc!$Y$8:$Y$500,0))),IF(INDEX(Calc!$V$8:$V$500,MATCH(INDEX(Calc!$D$8:$D$500,MATCH(SMALL(IF((Calc!$K$8:$K$500=Kanban!H$11)*(Calc!$Y$8:$Y$500&gt;0),Calc!$Y$8:$Y$500,99999),Kanban_Helper!$B251),Calc!$Y$8:$Y$500,0)),Calc!$D$8:$D$500,0))="Yes",CONCATENATE(INDEX(Calc!$D$8:$D$500,MATCH(SMALL(IF((Calc!$K$8:$K$500=Kanban!H$11)*(Calc!$Y$8:$Y$500&gt;0),Calc!$Y$8:$Y$500,99999),Kanban_Helper!$B251),Calc!$Y$8:$Y$500,0))," ",Calc!$V$7," ","!"),INDEX(Calc!$D$8:$D$500,MATCH(SMALL(IF((Calc!$K$8:$K$500=Kanban!H$11)*(Calc!$Y$8:$Y$500&gt;0),Calc!$Y$8:$Y$500,99999),Kanban_Helper!$B251),Calc!$Y$8:$Y$500,0))))),"")</f>
        <v/>
      </c>
      <c r="I258" s="39"/>
    </row>
    <row r="259" spans="2:9" x14ac:dyDescent="0.35">
      <c r="B259" s="81"/>
      <c r="C259" s="171" t="str">
        <f t="array" ref="C259">IFERROR(IF(LEN(C$11)=0,"",IF($C$7&lt;&gt;"All",INDEX(Calc!$E$8:$E$500,MATCH(SMALL(IF((Calc!$C$8:$C$500=Kanban!$C$7)*(Calc!$K$8:$K$500=Kanban!C$11)*(Calc!$Y$8:$Y$500&gt;0),Calc!$Y$8:$Y$500,99999),Kanban_Helper!$B252),Calc!$Y$8:$Y$500,0)),INDEX(Calc!$E$8:$E$500,MATCH(SMALL(IF((Calc!$K$8:$K$500=Kanban!C$11)*(Calc!$Y$8:$Y$500&gt;0),Calc!$Y$8:$Y$500,99999),Kanban_Helper!$B252),Calc!$Y$8:$Y$500,0)))),"")</f>
        <v/>
      </c>
      <c r="D259" s="171" t="str">
        <f t="array" ref="D259">IFERROR(IF(LEN(D$11)=0,"",IF($C$7&lt;&gt;"All",INDEX(Calc!$E$8:$E$500,MATCH(SMALL(IF((Calc!$C$8:$C$500=Kanban!$C$7)*(Calc!$K$8:$K$500=Kanban!D$11)*(Calc!$Y$8:$Y$500&gt;0),Calc!$Y$8:$Y$500,99999),Kanban_Helper!$B252),Calc!$Y$8:$Y$500,0)),INDEX(Calc!$E$8:$E$500,MATCH(SMALL(IF((Calc!$K$8:$K$500=Kanban!D$11)*(Calc!$Y$8:$Y$500&gt;0),Calc!$Y$8:$Y$500,99999),Kanban_Helper!$B252),Calc!$Y$8:$Y$500,0)))),"")</f>
        <v/>
      </c>
      <c r="E259" s="171" t="str">
        <f t="array" ref="E259">IFERROR(IF(LEN(E$11)=0,"",IF($C$7&lt;&gt;"All",INDEX(Calc!$E$8:$E$500,MATCH(SMALL(IF((Calc!$C$8:$C$500=Kanban!$C$7)*(Calc!$K$8:$K$500=Kanban!E$11)*(Calc!$Y$8:$Y$500&gt;0),Calc!$Y$8:$Y$500,99999),Kanban_Helper!$B252),Calc!$Y$8:$Y$500,0)),INDEX(Calc!$E$8:$E$500,MATCH(SMALL(IF((Calc!$K$8:$K$500=Kanban!E$11)*(Calc!$Y$8:$Y$500&gt;0),Calc!$Y$8:$Y$500,99999),Kanban_Helper!$B252),Calc!$Y$8:$Y$500,0)))),"")</f>
        <v/>
      </c>
      <c r="F259" s="171" t="str">
        <f t="array" ref="F259">IFERROR(IF(LEN(F$11)=0,"",IF($C$7&lt;&gt;"All",INDEX(Calc!$E$8:$E$500,MATCH(SMALL(IF((Calc!$C$8:$C$500=Kanban!$C$7)*(Calc!$K$8:$K$500=Kanban!F$11)*(Calc!$Y$8:$Y$500&gt;0),Calc!$Y$8:$Y$500,99999),Kanban_Helper!$B252),Calc!$Y$8:$Y$500,0)),INDEX(Calc!$E$8:$E$500,MATCH(SMALL(IF((Calc!$K$8:$K$500=Kanban!F$11)*(Calc!$Y$8:$Y$500&gt;0),Calc!$Y$8:$Y$500,99999),Kanban_Helper!$B252),Calc!$Y$8:$Y$500,0)))),"")</f>
        <v/>
      </c>
      <c r="G259" s="171" t="str">
        <f t="array" ref="G259">IFERROR(IF(LEN(G$11)=0,"",IF($C$7&lt;&gt;"All",INDEX(Calc!$E$8:$E$500,MATCH(SMALL(IF((Calc!$C$8:$C$500=Kanban!$C$7)*(Calc!$K$8:$K$500=Kanban!G$11)*(Calc!$Y$8:$Y$500&gt;0),Calc!$Y$8:$Y$500,99999),Kanban_Helper!$B252),Calc!$Y$8:$Y$500,0)),INDEX(Calc!$E$8:$E$500,MATCH(SMALL(IF((Calc!$K$8:$K$500=Kanban!G$11)*(Calc!$Y$8:$Y$500&gt;0),Calc!$Y$8:$Y$500,99999),Kanban_Helper!$B252),Calc!$Y$8:$Y$500,0)))),"")</f>
        <v/>
      </c>
      <c r="H259" s="171" t="str">
        <f t="array" ref="H259">IFERROR(IF(LEN(H$11)=0,"",IF($C$7&lt;&gt;"All",INDEX(Calc!$E$8:$E$500,MATCH(SMALL(IF((Calc!$C$8:$C$500=Kanban!$C$7)*(Calc!$K$8:$K$500=Kanban!H$11)*(Calc!$Y$8:$Y$500&gt;0),Calc!$Y$8:$Y$500,99999),Kanban_Helper!$B252),Calc!$Y$8:$Y$500,0)),INDEX(Calc!$E$8:$E$500,MATCH(SMALL(IF((Calc!$K$8:$K$500=Kanban!H$11)*(Calc!$Y$8:$Y$500&gt;0),Calc!$Y$8:$Y$500,99999),Kanban_Helper!$B252),Calc!$Y$8:$Y$500,0)))),"")</f>
        <v/>
      </c>
      <c r="I259" s="39"/>
    </row>
    <row r="260" spans="2:9" ht="15" thickBot="1" x14ac:dyDescent="0.4">
      <c r="B260" s="81"/>
      <c r="C260" s="172" t="str">
        <f t="array" ref="C260">IFERROR(IF(LEN(C$11)=0,"",IF($C$7&lt;&gt;"All",IF(LEN(INDEX(Calc!$J$8:$J$500,MATCH(SMALL(IF((Calc!$C$8:$C$500=Kanban!$C$7)*(Calc!$K$8:$K$500=Kanban!C$11)*(Calc!$Y$8:$Y$500&gt;0),Calc!$Y$8:$Y$500,99999),Kanban_Helper!$B253),Calc!$Y$8:$Y$500,0)))=0,"",CONCATENATE(Calc!$AD$6,INDEX(Calc!$J$8:$J$500,MATCH(SMALL(IF((Calc!$C$8:$C$500=Kanban!$C$7)*(Calc!$K$8:$K$500=Kanban!C$11)*(Calc!$Y$8:$Y$500&gt;0),Calc!$Y$8:$Y$500,99999),Kanban_Helper!$B253),Calc!$Y$8:$Y$500,0)))),IF(LEN(INDEX(Calc!$J$8:$J$500,MATCH(SMALL(IF((Calc!$K$8:$K$500=Kanban!C$11)*(Calc!$Y$8:$Y$500&gt;0),Calc!$Y$8:$Y$500,99999),Kanban_Helper!$B253),Calc!$Y$8:$Y$500,0)))=0,"",CONCATENATE(Calc!$AD$6,INDEX(Calc!$J$8:$J$500,MATCH(SMALL(IF((Calc!$K$8:$K$500=Kanban!C$11)*(Calc!$Y$8:$Y$500&gt;0),Calc!$Y$8:$Y$500,99999),Kanban_Helper!$B253),Calc!$Y$8:$Y$500,0)))))),"")</f>
        <v/>
      </c>
      <c r="D260" s="172" t="str">
        <f t="array" ref="D260">IFERROR(IF(LEN(D$11)=0,"",IF($C$7&lt;&gt;"All",IF(LEN(INDEX(Calc!$J$8:$J$500,MATCH(SMALL(IF((Calc!$C$8:$C$500=Kanban!$C$7)*(Calc!$K$8:$K$500=Kanban!D$11)*(Calc!$Y$8:$Y$500&gt;0),Calc!$Y$8:$Y$500,99999),Kanban_Helper!$B253),Calc!$Y$8:$Y$500,0)))=0,"",CONCATENATE(Calc!$AD$6,INDEX(Calc!$J$8:$J$500,MATCH(SMALL(IF((Calc!$C$8:$C$500=Kanban!$C$7)*(Calc!$K$8:$K$500=Kanban!D$11)*(Calc!$Y$8:$Y$500&gt;0),Calc!$Y$8:$Y$500,99999),Kanban_Helper!$B253),Calc!$Y$8:$Y$500,0)))),IF(LEN(INDEX(Calc!$J$8:$J$500,MATCH(SMALL(IF((Calc!$K$8:$K$500=Kanban!D$11)*(Calc!$Y$8:$Y$500&gt;0),Calc!$Y$8:$Y$500,99999),Kanban_Helper!$B253),Calc!$Y$8:$Y$500,0)))=0,"",CONCATENATE(Calc!$AD$6,INDEX(Calc!$J$8:$J$500,MATCH(SMALL(IF((Calc!$K$8:$K$500=Kanban!D$11)*(Calc!$Y$8:$Y$500&gt;0),Calc!$Y$8:$Y$500,99999),Kanban_Helper!$B253),Calc!$Y$8:$Y$500,0)))))),"")</f>
        <v/>
      </c>
      <c r="E260" s="172" t="str">
        <f t="array" ref="E260">IFERROR(IF(LEN(E$11)=0,"",IF($C$7&lt;&gt;"All",IF(LEN(INDEX(Calc!$J$8:$J$500,MATCH(SMALL(IF((Calc!$C$8:$C$500=Kanban!$C$7)*(Calc!$K$8:$K$500=Kanban!E$11)*(Calc!$Y$8:$Y$500&gt;0),Calc!$Y$8:$Y$500,99999),Kanban_Helper!$B253),Calc!$Y$8:$Y$500,0)))=0,"",CONCATENATE(Calc!$AD$6,INDEX(Calc!$J$8:$J$500,MATCH(SMALL(IF((Calc!$C$8:$C$500=Kanban!$C$7)*(Calc!$K$8:$K$500=Kanban!E$11)*(Calc!$Y$8:$Y$500&gt;0),Calc!$Y$8:$Y$500,99999),Kanban_Helper!$B253),Calc!$Y$8:$Y$500,0)))),IF(LEN(INDEX(Calc!$J$8:$J$500,MATCH(SMALL(IF((Calc!$K$8:$K$500=Kanban!E$11)*(Calc!$Y$8:$Y$500&gt;0),Calc!$Y$8:$Y$500,99999),Kanban_Helper!$B253),Calc!$Y$8:$Y$500,0)))=0,"",CONCATENATE(Calc!$AD$6,INDEX(Calc!$J$8:$J$500,MATCH(SMALL(IF((Calc!$K$8:$K$500=Kanban!E$11)*(Calc!$Y$8:$Y$500&gt;0),Calc!$Y$8:$Y$500,99999),Kanban_Helper!$B253),Calc!$Y$8:$Y$500,0)))))),"")</f>
        <v/>
      </c>
      <c r="F260" s="172" t="str">
        <f t="array" ref="F260">IFERROR(IF(LEN(F$11)=0,"",IF($C$7&lt;&gt;"All",IF(LEN(INDEX(Calc!$J$8:$J$500,MATCH(SMALL(IF((Calc!$C$8:$C$500=Kanban!$C$7)*(Calc!$K$8:$K$500=Kanban!F$11)*(Calc!$Y$8:$Y$500&gt;0),Calc!$Y$8:$Y$500,99999),Kanban_Helper!$B253),Calc!$Y$8:$Y$500,0)))=0,"",CONCATENATE(Calc!$AD$6,INDEX(Calc!$J$8:$J$500,MATCH(SMALL(IF((Calc!$C$8:$C$500=Kanban!$C$7)*(Calc!$K$8:$K$500=Kanban!F$11)*(Calc!$Y$8:$Y$500&gt;0),Calc!$Y$8:$Y$500,99999),Kanban_Helper!$B253),Calc!$Y$8:$Y$500,0)))),IF(LEN(INDEX(Calc!$J$8:$J$500,MATCH(SMALL(IF((Calc!$K$8:$K$500=Kanban!F$11)*(Calc!$Y$8:$Y$500&gt;0),Calc!$Y$8:$Y$500,99999),Kanban_Helper!$B253),Calc!$Y$8:$Y$500,0)))=0,"",CONCATENATE(Calc!$AD$6,INDEX(Calc!$J$8:$J$500,MATCH(SMALL(IF((Calc!$K$8:$K$500=Kanban!F$11)*(Calc!$Y$8:$Y$500&gt;0),Calc!$Y$8:$Y$500,99999),Kanban_Helper!$B253),Calc!$Y$8:$Y$500,0)))))),"")</f>
        <v/>
      </c>
      <c r="G260" s="172" t="str">
        <f t="array" ref="G260">IFERROR(IF(LEN(G$11)=0,"",IF($C$7&lt;&gt;"All",IF(LEN(INDEX(Calc!$J$8:$J$500,MATCH(SMALL(IF((Calc!$C$8:$C$500=Kanban!$C$7)*(Calc!$K$8:$K$500=Kanban!G$11)*(Calc!$Y$8:$Y$500&gt;0),Calc!$Y$8:$Y$500,99999),Kanban_Helper!$B253),Calc!$Y$8:$Y$500,0)))=0,"",CONCATENATE(Calc!$AD$6,INDEX(Calc!$J$8:$J$500,MATCH(SMALL(IF((Calc!$C$8:$C$500=Kanban!$C$7)*(Calc!$K$8:$K$500=Kanban!G$11)*(Calc!$Y$8:$Y$500&gt;0),Calc!$Y$8:$Y$500,99999),Kanban_Helper!$B253),Calc!$Y$8:$Y$500,0)))),IF(LEN(INDEX(Calc!$J$8:$J$500,MATCH(SMALL(IF((Calc!$K$8:$K$500=Kanban!G$11)*(Calc!$Y$8:$Y$500&gt;0),Calc!$Y$8:$Y$500,99999),Kanban_Helper!$B253),Calc!$Y$8:$Y$500,0)))=0,"",CONCATENATE(Calc!$AD$6,INDEX(Calc!$J$8:$J$500,MATCH(SMALL(IF((Calc!$K$8:$K$500=Kanban!G$11)*(Calc!$Y$8:$Y$500&gt;0),Calc!$Y$8:$Y$500,99999),Kanban_Helper!$B253),Calc!$Y$8:$Y$500,0)))))),"")</f>
        <v/>
      </c>
      <c r="H260" s="172" t="str">
        <f t="array" ref="H260">IFERROR(IF(LEN(H$11)=0,"",IF($C$7&lt;&gt;"All",IF(LEN(INDEX(Calc!$J$8:$J$500,MATCH(SMALL(IF((Calc!$C$8:$C$500=Kanban!$C$7)*(Calc!$K$8:$K$500=Kanban!H$11)*(Calc!$Y$8:$Y$500&gt;0),Calc!$Y$8:$Y$500,99999),Kanban_Helper!$B253),Calc!$Y$8:$Y$500,0)))=0,"",CONCATENATE(Calc!$AD$6,INDEX(Calc!$J$8:$J$500,MATCH(SMALL(IF((Calc!$C$8:$C$500=Kanban!$C$7)*(Calc!$K$8:$K$500=Kanban!H$11)*(Calc!$Y$8:$Y$500&gt;0),Calc!$Y$8:$Y$500,99999),Kanban_Helper!$B253),Calc!$Y$8:$Y$500,0)))),IF(LEN(INDEX(Calc!$J$8:$J$500,MATCH(SMALL(IF((Calc!$K$8:$K$500=Kanban!H$11)*(Calc!$Y$8:$Y$500&gt;0),Calc!$Y$8:$Y$500,99999),Kanban_Helper!$B253),Calc!$Y$8:$Y$500,0)))=0,"",CONCATENATE(Calc!$AD$6,INDEX(Calc!$J$8:$J$500,MATCH(SMALL(IF((Calc!$K$8:$K$500=Kanban!H$11)*(Calc!$Y$8:$Y$500&gt;0),Calc!$Y$8:$Y$500,99999),Kanban_Helper!$B253),Calc!$Y$8:$Y$500,0)))))),"")</f>
        <v/>
      </c>
      <c r="I260" s="39"/>
    </row>
    <row r="261" spans="2:9" ht="15" thickTop="1" x14ac:dyDescent="0.35">
      <c r="B261" s="81"/>
      <c r="C261" s="170" t="str">
        <f t="array" ref="C261">IFERROR(IF(LEN(C$11)=0,"",IF($C$7&lt;&gt;"All",IF(INDEX(Calc!$V$8:$V$500,MATCH(INDEX(Calc!$D$8:$D$500,MATCH(SMALL(IF((Calc!$C$8:$C$500=Kanban!$C$7)*(Calc!$K$8:$K$500=Kanban!C$11)*(Calc!$Y$8:$Y$500&gt;0),Calc!$Y$8:$Y$500,99999),Kanban_Helper!$B254),Calc!$Y$8:$Y$500,0)),Calc!$D$8:$D$500,0))="Yes",CONCATENATE(INDEX(Calc!$D$8:$D$500,MATCH(SMALL(IF((Calc!$C$8:$C$500=Kanban!$C$7)*(Calc!$K$8:$K$500=Kanban!C$11)*(Calc!$Y$8:$Y$500&gt;0),Calc!$Y$8:$Y$500,99999),Kanban_Helper!$B254),Calc!$Y$8:$Y$500,0))," ",Calc!$V$7," ","!"),INDEX(Calc!$D$8:$D$500,MATCH(SMALL(IF((Calc!$C$8:$C$500=Kanban!$C$7)*(Calc!$K$8:$K$500=Kanban!C$11)*(Calc!$Y$8:$Y$500&gt;0),Calc!$Y$8:$Y$500,99999),Kanban_Helper!$B254),Calc!$Y$8:$Y$500,0))),IF(INDEX(Calc!$V$8:$V$500,MATCH(INDEX(Calc!$D$8:$D$500,MATCH(SMALL(IF((Calc!$K$8:$K$500=Kanban!C$11)*(Calc!$Y$8:$Y$500&gt;0),Calc!$Y$8:$Y$500,99999),Kanban_Helper!$B254),Calc!$Y$8:$Y$500,0)),Calc!$D$8:$D$500,0))="Yes",CONCATENATE(INDEX(Calc!$D$8:$D$500,MATCH(SMALL(IF((Calc!$K$8:$K$500=Kanban!C$11)*(Calc!$Y$8:$Y$500&gt;0),Calc!$Y$8:$Y$500,99999),Kanban_Helper!$B254),Calc!$Y$8:$Y$500,0))," ",Calc!$V$7," ","!"),INDEX(Calc!$D$8:$D$500,MATCH(SMALL(IF((Calc!$K$8:$K$500=Kanban!C$11)*(Calc!$Y$8:$Y$500&gt;0),Calc!$Y$8:$Y$500,99999),Kanban_Helper!$B254),Calc!$Y$8:$Y$500,0))))),"")</f>
        <v/>
      </c>
      <c r="D261" s="170" t="str">
        <f t="array" ref="D261">IFERROR(IF(LEN(D$11)=0,"",IF($C$7&lt;&gt;"All",IF(INDEX(Calc!$V$8:$V$500,MATCH(INDEX(Calc!$D$8:$D$500,MATCH(SMALL(IF((Calc!$C$8:$C$500=Kanban!$C$7)*(Calc!$K$8:$K$500=Kanban!D$11)*(Calc!$Y$8:$Y$500&gt;0),Calc!$Y$8:$Y$500,99999),Kanban_Helper!$B254),Calc!$Y$8:$Y$500,0)),Calc!$D$8:$D$500,0))="Yes",CONCATENATE(INDEX(Calc!$D$8:$D$500,MATCH(SMALL(IF((Calc!$C$8:$C$500=Kanban!$C$7)*(Calc!$K$8:$K$500=Kanban!D$11)*(Calc!$Y$8:$Y$500&gt;0),Calc!$Y$8:$Y$500,99999),Kanban_Helper!$B254),Calc!$Y$8:$Y$500,0))," ",Calc!$V$7," ","!"),INDEX(Calc!$D$8:$D$500,MATCH(SMALL(IF((Calc!$C$8:$C$500=Kanban!$C$7)*(Calc!$K$8:$K$500=Kanban!D$11)*(Calc!$Y$8:$Y$500&gt;0),Calc!$Y$8:$Y$500,99999),Kanban_Helper!$B254),Calc!$Y$8:$Y$500,0))),IF(INDEX(Calc!$V$8:$V$500,MATCH(INDEX(Calc!$D$8:$D$500,MATCH(SMALL(IF((Calc!$K$8:$K$500=Kanban!D$11)*(Calc!$Y$8:$Y$500&gt;0),Calc!$Y$8:$Y$500,99999),Kanban_Helper!$B254),Calc!$Y$8:$Y$500,0)),Calc!$D$8:$D$500,0))="Yes",CONCATENATE(INDEX(Calc!$D$8:$D$500,MATCH(SMALL(IF((Calc!$K$8:$K$500=Kanban!D$11)*(Calc!$Y$8:$Y$500&gt;0),Calc!$Y$8:$Y$500,99999),Kanban_Helper!$B254),Calc!$Y$8:$Y$500,0))," ",Calc!$V$7," ","!"),INDEX(Calc!$D$8:$D$500,MATCH(SMALL(IF((Calc!$K$8:$K$500=Kanban!D$11)*(Calc!$Y$8:$Y$500&gt;0),Calc!$Y$8:$Y$500,99999),Kanban_Helper!$B254),Calc!$Y$8:$Y$500,0))))),"")</f>
        <v/>
      </c>
      <c r="E261" s="170" t="str">
        <f t="array" ref="E261">IFERROR(IF(LEN(E$11)=0,"",IF($C$7&lt;&gt;"All",IF(INDEX(Calc!$V$8:$V$500,MATCH(INDEX(Calc!$D$8:$D$500,MATCH(SMALL(IF((Calc!$C$8:$C$500=Kanban!$C$7)*(Calc!$K$8:$K$500=Kanban!E$11)*(Calc!$Y$8:$Y$500&gt;0),Calc!$Y$8:$Y$500,99999),Kanban_Helper!$B254),Calc!$Y$8:$Y$500,0)),Calc!$D$8:$D$500,0))="Yes",CONCATENATE(INDEX(Calc!$D$8:$D$500,MATCH(SMALL(IF((Calc!$C$8:$C$500=Kanban!$C$7)*(Calc!$K$8:$K$500=Kanban!E$11)*(Calc!$Y$8:$Y$500&gt;0),Calc!$Y$8:$Y$500,99999),Kanban_Helper!$B254),Calc!$Y$8:$Y$500,0))," ",Calc!$V$7," ","!"),INDEX(Calc!$D$8:$D$500,MATCH(SMALL(IF((Calc!$C$8:$C$500=Kanban!$C$7)*(Calc!$K$8:$K$500=Kanban!E$11)*(Calc!$Y$8:$Y$500&gt;0),Calc!$Y$8:$Y$500,99999),Kanban_Helper!$B254),Calc!$Y$8:$Y$500,0))),IF(INDEX(Calc!$V$8:$V$500,MATCH(INDEX(Calc!$D$8:$D$500,MATCH(SMALL(IF((Calc!$K$8:$K$500=Kanban!E$11)*(Calc!$Y$8:$Y$500&gt;0),Calc!$Y$8:$Y$500,99999),Kanban_Helper!$B254),Calc!$Y$8:$Y$500,0)),Calc!$D$8:$D$500,0))="Yes",CONCATENATE(INDEX(Calc!$D$8:$D$500,MATCH(SMALL(IF((Calc!$K$8:$K$500=Kanban!E$11)*(Calc!$Y$8:$Y$500&gt;0),Calc!$Y$8:$Y$500,99999),Kanban_Helper!$B254),Calc!$Y$8:$Y$500,0))," ",Calc!$V$7," ","!"),INDEX(Calc!$D$8:$D$500,MATCH(SMALL(IF((Calc!$K$8:$K$500=Kanban!E$11)*(Calc!$Y$8:$Y$500&gt;0),Calc!$Y$8:$Y$500,99999),Kanban_Helper!$B254),Calc!$Y$8:$Y$500,0))))),"")</f>
        <v/>
      </c>
      <c r="F261" s="170" t="str">
        <f t="array" ref="F261">IFERROR(IF(LEN(F$11)=0,"",IF($C$7&lt;&gt;"All",IF(INDEX(Calc!$V$8:$V$500,MATCH(INDEX(Calc!$D$8:$D$500,MATCH(SMALL(IF((Calc!$C$8:$C$500=Kanban!$C$7)*(Calc!$K$8:$K$500=Kanban!F$11)*(Calc!$Y$8:$Y$500&gt;0),Calc!$Y$8:$Y$500,99999),Kanban_Helper!$B254),Calc!$Y$8:$Y$500,0)),Calc!$D$8:$D$500,0))="Yes",CONCATENATE(INDEX(Calc!$D$8:$D$500,MATCH(SMALL(IF((Calc!$C$8:$C$500=Kanban!$C$7)*(Calc!$K$8:$K$500=Kanban!F$11)*(Calc!$Y$8:$Y$500&gt;0),Calc!$Y$8:$Y$500,99999),Kanban_Helper!$B254),Calc!$Y$8:$Y$500,0))," ",Calc!$V$7," ","!"),INDEX(Calc!$D$8:$D$500,MATCH(SMALL(IF((Calc!$C$8:$C$500=Kanban!$C$7)*(Calc!$K$8:$K$500=Kanban!F$11)*(Calc!$Y$8:$Y$500&gt;0),Calc!$Y$8:$Y$500,99999),Kanban_Helper!$B254),Calc!$Y$8:$Y$500,0))),IF(INDEX(Calc!$V$8:$V$500,MATCH(INDEX(Calc!$D$8:$D$500,MATCH(SMALL(IF((Calc!$K$8:$K$500=Kanban!F$11)*(Calc!$Y$8:$Y$500&gt;0),Calc!$Y$8:$Y$500,99999),Kanban_Helper!$B254),Calc!$Y$8:$Y$500,0)),Calc!$D$8:$D$500,0))="Yes",CONCATENATE(INDEX(Calc!$D$8:$D$500,MATCH(SMALL(IF((Calc!$K$8:$K$500=Kanban!F$11)*(Calc!$Y$8:$Y$500&gt;0),Calc!$Y$8:$Y$500,99999),Kanban_Helper!$B254),Calc!$Y$8:$Y$500,0))," ",Calc!$V$7," ","!"),INDEX(Calc!$D$8:$D$500,MATCH(SMALL(IF((Calc!$K$8:$K$500=Kanban!F$11)*(Calc!$Y$8:$Y$500&gt;0),Calc!$Y$8:$Y$500,99999),Kanban_Helper!$B254),Calc!$Y$8:$Y$500,0))))),"")</f>
        <v/>
      </c>
      <c r="G261" s="170" t="str">
        <f t="array" ref="G261">IFERROR(IF(LEN(G$11)=0,"",IF($C$7&lt;&gt;"All",IF(INDEX(Calc!$V$8:$V$500,MATCH(INDEX(Calc!$D$8:$D$500,MATCH(SMALL(IF((Calc!$C$8:$C$500=Kanban!$C$7)*(Calc!$K$8:$K$500=Kanban!G$11)*(Calc!$Y$8:$Y$500&gt;0),Calc!$Y$8:$Y$500,99999),Kanban_Helper!$B254),Calc!$Y$8:$Y$500,0)),Calc!$D$8:$D$500,0))="Yes",CONCATENATE(INDEX(Calc!$D$8:$D$500,MATCH(SMALL(IF((Calc!$C$8:$C$500=Kanban!$C$7)*(Calc!$K$8:$K$500=Kanban!G$11)*(Calc!$Y$8:$Y$500&gt;0),Calc!$Y$8:$Y$500,99999),Kanban_Helper!$B254),Calc!$Y$8:$Y$500,0))," ",Calc!$V$7," ","!"),INDEX(Calc!$D$8:$D$500,MATCH(SMALL(IF((Calc!$C$8:$C$500=Kanban!$C$7)*(Calc!$K$8:$K$500=Kanban!G$11)*(Calc!$Y$8:$Y$500&gt;0),Calc!$Y$8:$Y$500,99999),Kanban_Helper!$B254),Calc!$Y$8:$Y$500,0))),IF(INDEX(Calc!$V$8:$V$500,MATCH(INDEX(Calc!$D$8:$D$500,MATCH(SMALL(IF((Calc!$K$8:$K$500=Kanban!G$11)*(Calc!$Y$8:$Y$500&gt;0),Calc!$Y$8:$Y$500,99999),Kanban_Helper!$B254),Calc!$Y$8:$Y$500,0)),Calc!$D$8:$D$500,0))="Yes",CONCATENATE(INDEX(Calc!$D$8:$D$500,MATCH(SMALL(IF((Calc!$K$8:$K$500=Kanban!G$11)*(Calc!$Y$8:$Y$500&gt;0),Calc!$Y$8:$Y$500,99999),Kanban_Helper!$B254),Calc!$Y$8:$Y$500,0))," ",Calc!$V$7," ","!"),INDEX(Calc!$D$8:$D$500,MATCH(SMALL(IF((Calc!$K$8:$K$500=Kanban!G$11)*(Calc!$Y$8:$Y$500&gt;0),Calc!$Y$8:$Y$500,99999),Kanban_Helper!$B254),Calc!$Y$8:$Y$500,0))))),"")</f>
        <v/>
      </c>
      <c r="H261" s="170" t="str">
        <f t="array" ref="H261">IFERROR(IF(LEN(H$11)=0,"",IF($C$7&lt;&gt;"All",IF(INDEX(Calc!$V$8:$V$500,MATCH(INDEX(Calc!$D$8:$D$500,MATCH(SMALL(IF((Calc!$C$8:$C$500=Kanban!$C$7)*(Calc!$K$8:$K$500=Kanban!H$11)*(Calc!$Y$8:$Y$500&gt;0),Calc!$Y$8:$Y$500,99999),Kanban_Helper!$B254),Calc!$Y$8:$Y$500,0)),Calc!$D$8:$D$500,0))="Yes",CONCATENATE(INDEX(Calc!$D$8:$D$500,MATCH(SMALL(IF((Calc!$C$8:$C$500=Kanban!$C$7)*(Calc!$K$8:$K$500=Kanban!H$11)*(Calc!$Y$8:$Y$500&gt;0),Calc!$Y$8:$Y$500,99999),Kanban_Helper!$B254),Calc!$Y$8:$Y$500,0))," ",Calc!$V$7," ","!"),INDEX(Calc!$D$8:$D$500,MATCH(SMALL(IF((Calc!$C$8:$C$500=Kanban!$C$7)*(Calc!$K$8:$K$500=Kanban!H$11)*(Calc!$Y$8:$Y$500&gt;0),Calc!$Y$8:$Y$500,99999),Kanban_Helper!$B254),Calc!$Y$8:$Y$500,0))),IF(INDEX(Calc!$V$8:$V$500,MATCH(INDEX(Calc!$D$8:$D$500,MATCH(SMALL(IF((Calc!$K$8:$K$500=Kanban!H$11)*(Calc!$Y$8:$Y$500&gt;0),Calc!$Y$8:$Y$500,99999),Kanban_Helper!$B254),Calc!$Y$8:$Y$500,0)),Calc!$D$8:$D$500,0))="Yes",CONCATENATE(INDEX(Calc!$D$8:$D$500,MATCH(SMALL(IF((Calc!$K$8:$K$500=Kanban!H$11)*(Calc!$Y$8:$Y$500&gt;0),Calc!$Y$8:$Y$500,99999),Kanban_Helper!$B254),Calc!$Y$8:$Y$500,0))," ",Calc!$V$7," ","!"),INDEX(Calc!$D$8:$D$500,MATCH(SMALL(IF((Calc!$K$8:$K$500=Kanban!H$11)*(Calc!$Y$8:$Y$500&gt;0),Calc!$Y$8:$Y$500,99999),Kanban_Helper!$B254),Calc!$Y$8:$Y$500,0))))),"")</f>
        <v/>
      </c>
      <c r="I261" s="39"/>
    </row>
    <row r="262" spans="2:9" x14ac:dyDescent="0.35">
      <c r="B262" s="81"/>
      <c r="C262" s="171" t="str">
        <f t="array" ref="C262">IFERROR(IF(LEN(C$11)=0,"",IF($C$7&lt;&gt;"All",INDEX(Calc!$E$8:$E$500,MATCH(SMALL(IF((Calc!$C$8:$C$500=Kanban!$C$7)*(Calc!$K$8:$K$500=Kanban!C$11)*(Calc!$Y$8:$Y$500&gt;0),Calc!$Y$8:$Y$500,99999),Kanban_Helper!$B255),Calc!$Y$8:$Y$500,0)),INDEX(Calc!$E$8:$E$500,MATCH(SMALL(IF((Calc!$K$8:$K$500=Kanban!C$11)*(Calc!$Y$8:$Y$500&gt;0),Calc!$Y$8:$Y$500,99999),Kanban_Helper!$B255),Calc!$Y$8:$Y$500,0)))),"")</f>
        <v/>
      </c>
      <c r="D262" s="171" t="str">
        <f t="array" ref="D262">IFERROR(IF(LEN(D$11)=0,"",IF($C$7&lt;&gt;"All",INDEX(Calc!$E$8:$E$500,MATCH(SMALL(IF((Calc!$C$8:$C$500=Kanban!$C$7)*(Calc!$K$8:$K$500=Kanban!D$11)*(Calc!$Y$8:$Y$500&gt;0),Calc!$Y$8:$Y$500,99999),Kanban_Helper!$B255),Calc!$Y$8:$Y$500,0)),INDEX(Calc!$E$8:$E$500,MATCH(SMALL(IF((Calc!$K$8:$K$500=Kanban!D$11)*(Calc!$Y$8:$Y$500&gt;0),Calc!$Y$8:$Y$500,99999),Kanban_Helper!$B255),Calc!$Y$8:$Y$500,0)))),"")</f>
        <v/>
      </c>
      <c r="E262" s="171" t="str">
        <f t="array" ref="E262">IFERROR(IF(LEN(E$11)=0,"",IF($C$7&lt;&gt;"All",INDEX(Calc!$E$8:$E$500,MATCH(SMALL(IF((Calc!$C$8:$C$500=Kanban!$C$7)*(Calc!$K$8:$K$500=Kanban!E$11)*(Calc!$Y$8:$Y$500&gt;0),Calc!$Y$8:$Y$500,99999),Kanban_Helper!$B255),Calc!$Y$8:$Y$500,0)),INDEX(Calc!$E$8:$E$500,MATCH(SMALL(IF((Calc!$K$8:$K$500=Kanban!E$11)*(Calc!$Y$8:$Y$500&gt;0),Calc!$Y$8:$Y$500,99999),Kanban_Helper!$B255),Calc!$Y$8:$Y$500,0)))),"")</f>
        <v/>
      </c>
      <c r="F262" s="171" t="str">
        <f t="array" ref="F262">IFERROR(IF(LEN(F$11)=0,"",IF($C$7&lt;&gt;"All",INDEX(Calc!$E$8:$E$500,MATCH(SMALL(IF((Calc!$C$8:$C$500=Kanban!$C$7)*(Calc!$K$8:$K$500=Kanban!F$11)*(Calc!$Y$8:$Y$500&gt;0),Calc!$Y$8:$Y$500,99999),Kanban_Helper!$B255),Calc!$Y$8:$Y$500,0)),INDEX(Calc!$E$8:$E$500,MATCH(SMALL(IF((Calc!$K$8:$K$500=Kanban!F$11)*(Calc!$Y$8:$Y$500&gt;0),Calc!$Y$8:$Y$500,99999),Kanban_Helper!$B255),Calc!$Y$8:$Y$500,0)))),"")</f>
        <v/>
      </c>
      <c r="G262" s="171" t="str">
        <f t="array" ref="G262">IFERROR(IF(LEN(G$11)=0,"",IF($C$7&lt;&gt;"All",INDEX(Calc!$E$8:$E$500,MATCH(SMALL(IF((Calc!$C$8:$C$500=Kanban!$C$7)*(Calc!$K$8:$K$500=Kanban!G$11)*(Calc!$Y$8:$Y$500&gt;0),Calc!$Y$8:$Y$500,99999),Kanban_Helper!$B255),Calc!$Y$8:$Y$500,0)),INDEX(Calc!$E$8:$E$500,MATCH(SMALL(IF((Calc!$K$8:$K$500=Kanban!G$11)*(Calc!$Y$8:$Y$500&gt;0),Calc!$Y$8:$Y$500,99999),Kanban_Helper!$B255),Calc!$Y$8:$Y$500,0)))),"")</f>
        <v/>
      </c>
      <c r="H262" s="171" t="str">
        <f t="array" ref="H262">IFERROR(IF(LEN(H$11)=0,"",IF($C$7&lt;&gt;"All",INDEX(Calc!$E$8:$E$500,MATCH(SMALL(IF((Calc!$C$8:$C$500=Kanban!$C$7)*(Calc!$K$8:$K$500=Kanban!H$11)*(Calc!$Y$8:$Y$500&gt;0),Calc!$Y$8:$Y$500,99999),Kanban_Helper!$B255),Calc!$Y$8:$Y$500,0)),INDEX(Calc!$E$8:$E$500,MATCH(SMALL(IF((Calc!$K$8:$K$500=Kanban!H$11)*(Calc!$Y$8:$Y$500&gt;0),Calc!$Y$8:$Y$500,99999),Kanban_Helper!$B255),Calc!$Y$8:$Y$500,0)))),"")</f>
        <v/>
      </c>
      <c r="I262" s="39"/>
    </row>
    <row r="263" spans="2:9" ht="15" thickBot="1" x14ac:dyDescent="0.4">
      <c r="B263" s="81"/>
      <c r="C263" s="172" t="str">
        <f t="array" ref="C263">IFERROR(IF(LEN(C$11)=0,"",IF($C$7&lt;&gt;"All",IF(LEN(INDEX(Calc!$J$8:$J$500,MATCH(SMALL(IF((Calc!$C$8:$C$500=Kanban!$C$7)*(Calc!$K$8:$K$500=Kanban!C$11)*(Calc!$Y$8:$Y$500&gt;0),Calc!$Y$8:$Y$500,99999),Kanban_Helper!$B256),Calc!$Y$8:$Y$500,0)))=0,"",CONCATENATE(Calc!$AD$6,INDEX(Calc!$J$8:$J$500,MATCH(SMALL(IF((Calc!$C$8:$C$500=Kanban!$C$7)*(Calc!$K$8:$K$500=Kanban!C$11)*(Calc!$Y$8:$Y$500&gt;0),Calc!$Y$8:$Y$500,99999),Kanban_Helper!$B256),Calc!$Y$8:$Y$500,0)))),IF(LEN(INDEX(Calc!$J$8:$J$500,MATCH(SMALL(IF((Calc!$K$8:$K$500=Kanban!C$11)*(Calc!$Y$8:$Y$500&gt;0),Calc!$Y$8:$Y$500,99999),Kanban_Helper!$B256),Calc!$Y$8:$Y$500,0)))=0,"",CONCATENATE(Calc!$AD$6,INDEX(Calc!$J$8:$J$500,MATCH(SMALL(IF((Calc!$K$8:$K$500=Kanban!C$11)*(Calc!$Y$8:$Y$500&gt;0),Calc!$Y$8:$Y$500,99999),Kanban_Helper!$B256),Calc!$Y$8:$Y$500,0)))))),"")</f>
        <v/>
      </c>
      <c r="D263" s="172" t="str">
        <f t="array" ref="D263">IFERROR(IF(LEN(D$11)=0,"",IF($C$7&lt;&gt;"All",IF(LEN(INDEX(Calc!$J$8:$J$500,MATCH(SMALL(IF((Calc!$C$8:$C$500=Kanban!$C$7)*(Calc!$K$8:$K$500=Kanban!D$11)*(Calc!$Y$8:$Y$500&gt;0),Calc!$Y$8:$Y$500,99999),Kanban_Helper!$B256),Calc!$Y$8:$Y$500,0)))=0,"",CONCATENATE(Calc!$AD$6,INDEX(Calc!$J$8:$J$500,MATCH(SMALL(IF((Calc!$C$8:$C$500=Kanban!$C$7)*(Calc!$K$8:$K$500=Kanban!D$11)*(Calc!$Y$8:$Y$500&gt;0),Calc!$Y$8:$Y$500,99999),Kanban_Helper!$B256),Calc!$Y$8:$Y$500,0)))),IF(LEN(INDEX(Calc!$J$8:$J$500,MATCH(SMALL(IF((Calc!$K$8:$K$500=Kanban!D$11)*(Calc!$Y$8:$Y$500&gt;0),Calc!$Y$8:$Y$500,99999),Kanban_Helper!$B256),Calc!$Y$8:$Y$500,0)))=0,"",CONCATENATE(Calc!$AD$6,INDEX(Calc!$J$8:$J$500,MATCH(SMALL(IF((Calc!$K$8:$K$500=Kanban!D$11)*(Calc!$Y$8:$Y$500&gt;0),Calc!$Y$8:$Y$500,99999),Kanban_Helper!$B256),Calc!$Y$8:$Y$500,0)))))),"")</f>
        <v/>
      </c>
      <c r="E263" s="172" t="str">
        <f t="array" ref="E263">IFERROR(IF(LEN(E$11)=0,"",IF($C$7&lt;&gt;"All",IF(LEN(INDEX(Calc!$J$8:$J$500,MATCH(SMALL(IF((Calc!$C$8:$C$500=Kanban!$C$7)*(Calc!$K$8:$K$500=Kanban!E$11)*(Calc!$Y$8:$Y$500&gt;0),Calc!$Y$8:$Y$500,99999),Kanban_Helper!$B256),Calc!$Y$8:$Y$500,0)))=0,"",CONCATENATE(Calc!$AD$6,INDEX(Calc!$J$8:$J$500,MATCH(SMALL(IF((Calc!$C$8:$C$500=Kanban!$C$7)*(Calc!$K$8:$K$500=Kanban!E$11)*(Calc!$Y$8:$Y$500&gt;0),Calc!$Y$8:$Y$500,99999),Kanban_Helper!$B256),Calc!$Y$8:$Y$500,0)))),IF(LEN(INDEX(Calc!$J$8:$J$500,MATCH(SMALL(IF((Calc!$K$8:$K$500=Kanban!E$11)*(Calc!$Y$8:$Y$500&gt;0),Calc!$Y$8:$Y$500,99999),Kanban_Helper!$B256),Calc!$Y$8:$Y$500,0)))=0,"",CONCATENATE(Calc!$AD$6,INDEX(Calc!$J$8:$J$500,MATCH(SMALL(IF((Calc!$K$8:$K$500=Kanban!E$11)*(Calc!$Y$8:$Y$500&gt;0),Calc!$Y$8:$Y$500,99999),Kanban_Helper!$B256),Calc!$Y$8:$Y$500,0)))))),"")</f>
        <v/>
      </c>
      <c r="F263" s="172" t="str">
        <f t="array" ref="F263">IFERROR(IF(LEN(F$11)=0,"",IF($C$7&lt;&gt;"All",IF(LEN(INDEX(Calc!$J$8:$J$500,MATCH(SMALL(IF((Calc!$C$8:$C$500=Kanban!$C$7)*(Calc!$K$8:$K$500=Kanban!F$11)*(Calc!$Y$8:$Y$500&gt;0),Calc!$Y$8:$Y$500,99999),Kanban_Helper!$B256),Calc!$Y$8:$Y$500,0)))=0,"",CONCATENATE(Calc!$AD$6,INDEX(Calc!$J$8:$J$500,MATCH(SMALL(IF((Calc!$C$8:$C$500=Kanban!$C$7)*(Calc!$K$8:$K$500=Kanban!F$11)*(Calc!$Y$8:$Y$500&gt;0),Calc!$Y$8:$Y$500,99999),Kanban_Helper!$B256),Calc!$Y$8:$Y$500,0)))),IF(LEN(INDEX(Calc!$J$8:$J$500,MATCH(SMALL(IF((Calc!$K$8:$K$500=Kanban!F$11)*(Calc!$Y$8:$Y$500&gt;0),Calc!$Y$8:$Y$500,99999),Kanban_Helper!$B256),Calc!$Y$8:$Y$500,0)))=0,"",CONCATENATE(Calc!$AD$6,INDEX(Calc!$J$8:$J$500,MATCH(SMALL(IF((Calc!$K$8:$K$500=Kanban!F$11)*(Calc!$Y$8:$Y$500&gt;0),Calc!$Y$8:$Y$500,99999),Kanban_Helper!$B256),Calc!$Y$8:$Y$500,0)))))),"")</f>
        <v/>
      </c>
      <c r="G263" s="172" t="str">
        <f t="array" ref="G263">IFERROR(IF(LEN(G$11)=0,"",IF($C$7&lt;&gt;"All",IF(LEN(INDEX(Calc!$J$8:$J$500,MATCH(SMALL(IF((Calc!$C$8:$C$500=Kanban!$C$7)*(Calc!$K$8:$K$500=Kanban!G$11)*(Calc!$Y$8:$Y$500&gt;0),Calc!$Y$8:$Y$500,99999),Kanban_Helper!$B256),Calc!$Y$8:$Y$500,0)))=0,"",CONCATENATE(Calc!$AD$6,INDEX(Calc!$J$8:$J$500,MATCH(SMALL(IF((Calc!$C$8:$C$500=Kanban!$C$7)*(Calc!$K$8:$K$500=Kanban!G$11)*(Calc!$Y$8:$Y$500&gt;0),Calc!$Y$8:$Y$500,99999),Kanban_Helper!$B256),Calc!$Y$8:$Y$500,0)))),IF(LEN(INDEX(Calc!$J$8:$J$500,MATCH(SMALL(IF((Calc!$K$8:$K$500=Kanban!G$11)*(Calc!$Y$8:$Y$500&gt;0),Calc!$Y$8:$Y$500,99999),Kanban_Helper!$B256),Calc!$Y$8:$Y$500,0)))=0,"",CONCATENATE(Calc!$AD$6,INDEX(Calc!$J$8:$J$500,MATCH(SMALL(IF((Calc!$K$8:$K$500=Kanban!G$11)*(Calc!$Y$8:$Y$500&gt;0),Calc!$Y$8:$Y$500,99999),Kanban_Helper!$B256),Calc!$Y$8:$Y$500,0)))))),"")</f>
        <v/>
      </c>
      <c r="H263" s="172" t="str">
        <f t="array" ref="H263">IFERROR(IF(LEN(H$11)=0,"",IF($C$7&lt;&gt;"All",IF(LEN(INDEX(Calc!$J$8:$J$500,MATCH(SMALL(IF((Calc!$C$8:$C$500=Kanban!$C$7)*(Calc!$K$8:$K$500=Kanban!H$11)*(Calc!$Y$8:$Y$500&gt;0),Calc!$Y$8:$Y$500,99999),Kanban_Helper!$B256),Calc!$Y$8:$Y$500,0)))=0,"",CONCATENATE(Calc!$AD$6,INDEX(Calc!$J$8:$J$500,MATCH(SMALL(IF((Calc!$C$8:$C$500=Kanban!$C$7)*(Calc!$K$8:$K$500=Kanban!H$11)*(Calc!$Y$8:$Y$500&gt;0),Calc!$Y$8:$Y$500,99999),Kanban_Helper!$B256),Calc!$Y$8:$Y$500,0)))),IF(LEN(INDEX(Calc!$J$8:$J$500,MATCH(SMALL(IF((Calc!$K$8:$K$500=Kanban!H$11)*(Calc!$Y$8:$Y$500&gt;0),Calc!$Y$8:$Y$500,99999),Kanban_Helper!$B256),Calc!$Y$8:$Y$500,0)))=0,"",CONCATENATE(Calc!$AD$6,INDEX(Calc!$J$8:$J$500,MATCH(SMALL(IF((Calc!$K$8:$K$500=Kanban!H$11)*(Calc!$Y$8:$Y$500&gt;0),Calc!$Y$8:$Y$500,99999),Kanban_Helper!$B256),Calc!$Y$8:$Y$500,0)))))),"")</f>
        <v/>
      </c>
      <c r="I263" s="39"/>
    </row>
    <row r="264" spans="2:9" ht="15" thickTop="1" x14ac:dyDescent="0.35">
      <c r="B264" s="81"/>
      <c r="C264" s="170" t="str">
        <f t="array" ref="C264">IFERROR(IF(LEN(C$11)=0,"",IF($C$7&lt;&gt;"All",IF(INDEX(Calc!$V$8:$V$500,MATCH(INDEX(Calc!$D$8:$D$500,MATCH(SMALL(IF((Calc!$C$8:$C$500=Kanban!$C$7)*(Calc!$K$8:$K$500=Kanban!C$11)*(Calc!$Y$8:$Y$500&gt;0),Calc!$Y$8:$Y$500,99999),Kanban_Helper!$B257),Calc!$Y$8:$Y$500,0)),Calc!$D$8:$D$500,0))="Yes",CONCATENATE(INDEX(Calc!$D$8:$D$500,MATCH(SMALL(IF((Calc!$C$8:$C$500=Kanban!$C$7)*(Calc!$K$8:$K$500=Kanban!C$11)*(Calc!$Y$8:$Y$500&gt;0),Calc!$Y$8:$Y$500,99999),Kanban_Helper!$B257),Calc!$Y$8:$Y$500,0))," ",Calc!$V$7," ","!"),INDEX(Calc!$D$8:$D$500,MATCH(SMALL(IF((Calc!$C$8:$C$500=Kanban!$C$7)*(Calc!$K$8:$K$500=Kanban!C$11)*(Calc!$Y$8:$Y$500&gt;0),Calc!$Y$8:$Y$500,99999),Kanban_Helper!$B257),Calc!$Y$8:$Y$500,0))),IF(INDEX(Calc!$V$8:$V$500,MATCH(INDEX(Calc!$D$8:$D$500,MATCH(SMALL(IF((Calc!$K$8:$K$500=Kanban!C$11)*(Calc!$Y$8:$Y$500&gt;0),Calc!$Y$8:$Y$500,99999),Kanban_Helper!$B257),Calc!$Y$8:$Y$500,0)),Calc!$D$8:$D$500,0))="Yes",CONCATENATE(INDEX(Calc!$D$8:$D$500,MATCH(SMALL(IF((Calc!$K$8:$K$500=Kanban!C$11)*(Calc!$Y$8:$Y$500&gt;0),Calc!$Y$8:$Y$500,99999),Kanban_Helper!$B257),Calc!$Y$8:$Y$500,0))," ",Calc!$V$7," ","!"),INDEX(Calc!$D$8:$D$500,MATCH(SMALL(IF((Calc!$K$8:$K$500=Kanban!C$11)*(Calc!$Y$8:$Y$500&gt;0),Calc!$Y$8:$Y$500,99999),Kanban_Helper!$B257),Calc!$Y$8:$Y$500,0))))),"")</f>
        <v/>
      </c>
      <c r="D264" s="170" t="str">
        <f t="array" ref="D264">IFERROR(IF(LEN(D$11)=0,"",IF($C$7&lt;&gt;"All",IF(INDEX(Calc!$V$8:$V$500,MATCH(INDEX(Calc!$D$8:$D$500,MATCH(SMALL(IF((Calc!$C$8:$C$500=Kanban!$C$7)*(Calc!$K$8:$K$500=Kanban!D$11)*(Calc!$Y$8:$Y$500&gt;0),Calc!$Y$8:$Y$500,99999),Kanban_Helper!$B257),Calc!$Y$8:$Y$500,0)),Calc!$D$8:$D$500,0))="Yes",CONCATENATE(INDEX(Calc!$D$8:$D$500,MATCH(SMALL(IF((Calc!$C$8:$C$500=Kanban!$C$7)*(Calc!$K$8:$K$500=Kanban!D$11)*(Calc!$Y$8:$Y$500&gt;0),Calc!$Y$8:$Y$500,99999),Kanban_Helper!$B257),Calc!$Y$8:$Y$500,0))," ",Calc!$V$7," ","!"),INDEX(Calc!$D$8:$D$500,MATCH(SMALL(IF((Calc!$C$8:$C$500=Kanban!$C$7)*(Calc!$K$8:$K$500=Kanban!D$11)*(Calc!$Y$8:$Y$500&gt;0),Calc!$Y$8:$Y$500,99999),Kanban_Helper!$B257),Calc!$Y$8:$Y$500,0))),IF(INDEX(Calc!$V$8:$V$500,MATCH(INDEX(Calc!$D$8:$D$500,MATCH(SMALL(IF((Calc!$K$8:$K$500=Kanban!D$11)*(Calc!$Y$8:$Y$500&gt;0),Calc!$Y$8:$Y$500,99999),Kanban_Helper!$B257),Calc!$Y$8:$Y$500,0)),Calc!$D$8:$D$500,0))="Yes",CONCATENATE(INDEX(Calc!$D$8:$D$500,MATCH(SMALL(IF((Calc!$K$8:$K$500=Kanban!D$11)*(Calc!$Y$8:$Y$500&gt;0),Calc!$Y$8:$Y$500,99999),Kanban_Helper!$B257),Calc!$Y$8:$Y$500,0))," ",Calc!$V$7," ","!"),INDEX(Calc!$D$8:$D$500,MATCH(SMALL(IF((Calc!$K$8:$K$500=Kanban!D$11)*(Calc!$Y$8:$Y$500&gt;0),Calc!$Y$8:$Y$500,99999),Kanban_Helper!$B257),Calc!$Y$8:$Y$500,0))))),"")</f>
        <v/>
      </c>
      <c r="E264" s="170" t="str">
        <f t="array" ref="E264">IFERROR(IF(LEN(E$11)=0,"",IF($C$7&lt;&gt;"All",IF(INDEX(Calc!$V$8:$V$500,MATCH(INDEX(Calc!$D$8:$D$500,MATCH(SMALL(IF((Calc!$C$8:$C$500=Kanban!$C$7)*(Calc!$K$8:$K$500=Kanban!E$11)*(Calc!$Y$8:$Y$500&gt;0),Calc!$Y$8:$Y$500,99999),Kanban_Helper!$B257),Calc!$Y$8:$Y$500,0)),Calc!$D$8:$D$500,0))="Yes",CONCATENATE(INDEX(Calc!$D$8:$D$500,MATCH(SMALL(IF((Calc!$C$8:$C$500=Kanban!$C$7)*(Calc!$K$8:$K$500=Kanban!E$11)*(Calc!$Y$8:$Y$500&gt;0),Calc!$Y$8:$Y$500,99999),Kanban_Helper!$B257),Calc!$Y$8:$Y$500,0))," ",Calc!$V$7," ","!"),INDEX(Calc!$D$8:$D$500,MATCH(SMALL(IF((Calc!$C$8:$C$500=Kanban!$C$7)*(Calc!$K$8:$K$500=Kanban!E$11)*(Calc!$Y$8:$Y$500&gt;0),Calc!$Y$8:$Y$500,99999),Kanban_Helper!$B257),Calc!$Y$8:$Y$500,0))),IF(INDEX(Calc!$V$8:$V$500,MATCH(INDEX(Calc!$D$8:$D$500,MATCH(SMALL(IF((Calc!$K$8:$K$500=Kanban!E$11)*(Calc!$Y$8:$Y$500&gt;0),Calc!$Y$8:$Y$500,99999),Kanban_Helper!$B257),Calc!$Y$8:$Y$500,0)),Calc!$D$8:$D$500,0))="Yes",CONCATENATE(INDEX(Calc!$D$8:$D$500,MATCH(SMALL(IF((Calc!$K$8:$K$500=Kanban!E$11)*(Calc!$Y$8:$Y$500&gt;0),Calc!$Y$8:$Y$500,99999),Kanban_Helper!$B257),Calc!$Y$8:$Y$500,0))," ",Calc!$V$7," ","!"),INDEX(Calc!$D$8:$D$500,MATCH(SMALL(IF((Calc!$K$8:$K$500=Kanban!E$11)*(Calc!$Y$8:$Y$500&gt;0),Calc!$Y$8:$Y$500,99999),Kanban_Helper!$B257),Calc!$Y$8:$Y$500,0))))),"")</f>
        <v/>
      </c>
      <c r="F264" s="170" t="str">
        <f t="array" ref="F264">IFERROR(IF(LEN(F$11)=0,"",IF($C$7&lt;&gt;"All",IF(INDEX(Calc!$V$8:$V$500,MATCH(INDEX(Calc!$D$8:$D$500,MATCH(SMALL(IF((Calc!$C$8:$C$500=Kanban!$C$7)*(Calc!$K$8:$K$500=Kanban!F$11)*(Calc!$Y$8:$Y$500&gt;0),Calc!$Y$8:$Y$500,99999),Kanban_Helper!$B257),Calc!$Y$8:$Y$500,0)),Calc!$D$8:$D$500,0))="Yes",CONCATENATE(INDEX(Calc!$D$8:$D$500,MATCH(SMALL(IF((Calc!$C$8:$C$500=Kanban!$C$7)*(Calc!$K$8:$K$500=Kanban!F$11)*(Calc!$Y$8:$Y$500&gt;0),Calc!$Y$8:$Y$500,99999),Kanban_Helper!$B257),Calc!$Y$8:$Y$500,0))," ",Calc!$V$7," ","!"),INDEX(Calc!$D$8:$D$500,MATCH(SMALL(IF((Calc!$C$8:$C$500=Kanban!$C$7)*(Calc!$K$8:$K$500=Kanban!F$11)*(Calc!$Y$8:$Y$500&gt;0),Calc!$Y$8:$Y$500,99999),Kanban_Helper!$B257),Calc!$Y$8:$Y$500,0))),IF(INDEX(Calc!$V$8:$V$500,MATCH(INDEX(Calc!$D$8:$D$500,MATCH(SMALL(IF((Calc!$K$8:$K$500=Kanban!F$11)*(Calc!$Y$8:$Y$500&gt;0),Calc!$Y$8:$Y$500,99999),Kanban_Helper!$B257),Calc!$Y$8:$Y$500,0)),Calc!$D$8:$D$500,0))="Yes",CONCATENATE(INDEX(Calc!$D$8:$D$500,MATCH(SMALL(IF((Calc!$K$8:$K$500=Kanban!F$11)*(Calc!$Y$8:$Y$500&gt;0),Calc!$Y$8:$Y$500,99999),Kanban_Helper!$B257),Calc!$Y$8:$Y$500,0))," ",Calc!$V$7," ","!"),INDEX(Calc!$D$8:$D$500,MATCH(SMALL(IF((Calc!$K$8:$K$500=Kanban!F$11)*(Calc!$Y$8:$Y$500&gt;0),Calc!$Y$8:$Y$500,99999),Kanban_Helper!$B257),Calc!$Y$8:$Y$500,0))))),"")</f>
        <v/>
      </c>
      <c r="G264" s="170" t="str">
        <f t="array" ref="G264">IFERROR(IF(LEN(G$11)=0,"",IF($C$7&lt;&gt;"All",IF(INDEX(Calc!$V$8:$V$500,MATCH(INDEX(Calc!$D$8:$D$500,MATCH(SMALL(IF((Calc!$C$8:$C$500=Kanban!$C$7)*(Calc!$K$8:$K$500=Kanban!G$11)*(Calc!$Y$8:$Y$500&gt;0),Calc!$Y$8:$Y$500,99999),Kanban_Helper!$B257),Calc!$Y$8:$Y$500,0)),Calc!$D$8:$D$500,0))="Yes",CONCATENATE(INDEX(Calc!$D$8:$D$500,MATCH(SMALL(IF((Calc!$C$8:$C$500=Kanban!$C$7)*(Calc!$K$8:$K$500=Kanban!G$11)*(Calc!$Y$8:$Y$500&gt;0),Calc!$Y$8:$Y$500,99999),Kanban_Helper!$B257),Calc!$Y$8:$Y$500,0))," ",Calc!$V$7," ","!"),INDEX(Calc!$D$8:$D$500,MATCH(SMALL(IF((Calc!$C$8:$C$500=Kanban!$C$7)*(Calc!$K$8:$K$500=Kanban!G$11)*(Calc!$Y$8:$Y$500&gt;0),Calc!$Y$8:$Y$500,99999),Kanban_Helper!$B257),Calc!$Y$8:$Y$500,0))),IF(INDEX(Calc!$V$8:$V$500,MATCH(INDEX(Calc!$D$8:$D$500,MATCH(SMALL(IF((Calc!$K$8:$K$500=Kanban!G$11)*(Calc!$Y$8:$Y$500&gt;0),Calc!$Y$8:$Y$500,99999),Kanban_Helper!$B257),Calc!$Y$8:$Y$500,0)),Calc!$D$8:$D$500,0))="Yes",CONCATENATE(INDEX(Calc!$D$8:$D$500,MATCH(SMALL(IF((Calc!$K$8:$K$500=Kanban!G$11)*(Calc!$Y$8:$Y$500&gt;0),Calc!$Y$8:$Y$500,99999),Kanban_Helper!$B257),Calc!$Y$8:$Y$500,0))," ",Calc!$V$7," ","!"),INDEX(Calc!$D$8:$D$500,MATCH(SMALL(IF((Calc!$K$8:$K$500=Kanban!G$11)*(Calc!$Y$8:$Y$500&gt;0),Calc!$Y$8:$Y$500,99999),Kanban_Helper!$B257),Calc!$Y$8:$Y$500,0))))),"")</f>
        <v/>
      </c>
      <c r="H264" s="170" t="str">
        <f t="array" ref="H264">IFERROR(IF(LEN(H$11)=0,"",IF($C$7&lt;&gt;"All",IF(INDEX(Calc!$V$8:$V$500,MATCH(INDEX(Calc!$D$8:$D$500,MATCH(SMALL(IF((Calc!$C$8:$C$500=Kanban!$C$7)*(Calc!$K$8:$K$500=Kanban!H$11)*(Calc!$Y$8:$Y$500&gt;0),Calc!$Y$8:$Y$500,99999),Kanban_Helper!$B257),Calc!$Y$8:$Y$500,0)),Calc!$D$8:$D$500,0))="Yes",CONCATENATE(INDEX(Calc!$D$8:$D$500,MATCH(SMALL(IF((Calc!$C$8:$C$500=Kanban!$C$7)*(Calc!$K$8:$K$500=Kanban!H$11)*(Calc!$Y$8:$Y$500&gt;0),Calc!$Y$8:$Y$500,99999),Kanban_Helper!$B257),Calc!$Y$8:$Y$500,0))," ",Calc!$V$7," ","!"),INDEX(Calc!$D$8:$D$500,MATCH(SMALL(IF((Calc!$C$8:$C$500=Kanban!$C$7)*(Calc!$K$8:$K$500=Kanban!H$11)*(Calc!$Y$8:$Y$500&gt;0),Calc!$Y$8:$Y$500,99999),Kanban_Helper!$B257),Calc!$Y$8:$Y$500,0))),IF(INDEX(Calc!$V$8:$V$500,MATCH(INDEX(Calc!$D$8:$D$500,MATCH(SMALL(IF((Calc!$K$8:$K$500=Kanban!H$11)*(Calc!$Y$8:$Y$500&gt;0),Calc!$Y$8:$Y$500,99999),Kanban_Helper!$B257),Calc!$Y$8:$Y$500,0)),Calc!$D$8:$D$500,0))="Yes",CONCATENATE(INDEX(Calc!$D$8:$D$500,MATCH(SMALL(IF((Calc!$K$8:$K$500=Kanban!H$11)*(Calc!$Y$8:$Y$500&gt;0),Calc!$Y$8:$Y$500,99999),Kanban_Helper!$B257),Calc!$Y$8:$Y$500,0))," ",Calc!$V$7," ","!"),INDEX(Calc!$D$8:$D$500,MATCH(SMALL(IF((Calc!$K$8:$K$500=Kanban!H$11)*(Calc!$Y$8:$Y$500&gt;0),Calc!$Y$8:$Y$500,99999),Kanban_Helper!$B257),Calc!$Y$8:$Y$500,0))))),"")</f>
        <v/>
      </c>
      <c r="I264" s="39"/>
    </row>
    <row r="265" spans="2:9" x14ac:dyDescent="0.35">
      <c r="B265" s="81"/>
      <c r="C265" s="171" t="str">
        <f t="array" ref="C265">IFERROR(IF(LEN(C$11)=0,"",IF($C$7&lt;&gt;"All",INDEX(Calc!$E$8:$E$500,MATCH(SMALL(IF((Calc!$C$8:$C$500=Kanban!$C$7)*(Calc!$K$8:$K$500=Kanban!C$11)*(Calc!$Y$8:$Y$500&gt;0),Calc!$Y$8:$Y$500,99999),Kanban_Helper!$B258),Calc!$Y$8:$Y$500,0)),INDEX(Calc!$E$8:$E$500,MATCH(SMALL(IF((Calc!$K$8:$K$500=Kanban!C$11)*(Calc!$Y$8:$Y$500&gt;0),Calc!$Y$8:$Y$500,99999),Kanban_Helper!$B258),Calc!$Y$8:$Y$500,0)))),"")</f>
        <v/>
      </c>
      <c r="D265" s="171" t="str">
        <f t="array" ref="D265">IFERROR(IF(LEN(D$11)=0,"",IF($C$7&lt;&gt;"All",INDEX(Calc!$E$8:$E$500,MATCH(SMALL(IF((Calc!$C$8:$C$500=Kanban!$C$7)*(Calc!$K$8:$K$500=Kanban!D$11)*(Calc!$Y$8:$Y$500&gt;0),Calc!$Y$8:$Y$500,99999),Kanban_Helper!$B258),Calc!$Y$8:$Y$500,0)),INDEX(Calc!$E$8:$E$500,MATCH(SMALL(IF((Calc!$K$8:$K$500=Kanban!D$11)*(Calc!$Y$8:$Y$500&gt;0),Calc!$Y$8:$Y$500,99999),Kanban_Helper!$B258),Calc!$Y$8:$Y$500,0)))),"")</f>
        <v/>
      </c>
      <c r="E265" s="171" t="str">
        <f t="array" ref="E265">IFERROR(IF(LEN(E$11)=0,"",IF($C$7&lt;&gt;"All",INDEX(Calc!$E$8:$E$500,MATCH(SMALL(IF((Calc!$C$8:$C$500=Kanban!$C$7)*(Calc!$K$8:$K$500=Kanban!E$11)*(Calc!$Y$8:$Y$500&gt;0),Calc!$Y$8:$Y$500,99999),Kanban_Helper!$B258),Calc!$Y$8:$Y$500,0)),INDEX(Calc!$E$8:$E$500,MATCH(SMALL(IF((Calc!$K$8:$K$500=Kanban!E$11)*(Calc!$Y$8:$Y$500&gt;0),Calc!$Y$8:$Y$500,99999),Kanban_Helper!$B258),Calc!$Y$8:$Y$500,0)))),"")</f>
        <v/>
      </c>
      <c r="F265" s="171" t="str">
        <f t="array" ref="F265">IFERROR(IF(LEN(F$11)=0,"",IF($C$7&lt;&gt;"All",INDEX(Calc!$E$8:$E$500,MATCH(SMALL(IF((Calc!$C$8:$C$500=Kanban!$C$7)*(Calc!$K$8:$K$500=Kanban!F$11)*(Calc!$Y$8:$Y$500&gt;0),Calc!$Y$8:$Y$500,99999),Kanban_Helper!$B258),Calc!$Y$8:$Y$500,0)),INDEX(Calc!$E$8:$E$500,MATCH(SMALL(IF((Calc!$K$8:$K$500=Kanban!F$11)*(Calc!$Y$8:$Y$500&gt;0),Calc!$Y$8:$Y$500,99999),Kanban_Helper!$B258),Calc!$Y$8:$Y$500,0)))),"")</f>
        <v/>
      </c>
      <c r="G265" s="171" t="str">
        <f t="array" ref="G265">IFERROR(IF(LEN(G$11)=0,"",IF($C$7&lt;&gt;"All",INDEX(Calc!$E$8:$E$500,MATCH(SMALL(IF((Calc!$C$8:$C$500=Kanban!$C$7)*(Calc!$K$8:$K$500=Kanban!G$11)*(Calc!$Y$8:$Y$500&gt;0),Calc!$Y$8:$Y$500,99999),Kanban_Helper!$B258),Calc!$Y$8:$Y$500,0)),INDEX(Calc!$E$8:$E$500,MATCH(SMALL(IF((Calc!$K$8:$K$500=Kanban!G$11)*(Calc!$Y$8:$Y$500&gt;0),Calc!$Y$8:$Y$500,99999),Kanban_Helper!$B258),Calc!$Y$8:$Y$500,0)))),"")</f>
        <v/>
      </c>
      <c r="H265" s="171" t="str">
        <f t="array" ref="H265">IFERROR(IF(LEN(H$11)=0,"",IF($C$7&lt;&gt;"All",INDEX(Calc!$E$8:$E$500,MATCH(SMALL(IF((Calc!$C$8:$C$500=Kanban!$C$7)*(Calc!$K$8:$K$500=Kanban!H$11)*(Calc!$Y$8:$Y$500&gt;0),Calc!$Y$8:$Y$500,99999),Kanban_Helper!$B258),Calc!$Y$8:$Y$500,0)),INDEX(Calc!$E$8:$E$500,MATCH(SMALL(IF((Calc!$K$8:$K$500=Kanban!H$11)*(Calc!$Y$8:$Y$500&gt;0),Calc!$Y$8:$Y$500,99999),Kanban_Helper!$B258),Calc!$Y$8:$Y$500,0)))),"")</f>
        <v/>
      </c>
      <c r="I265" s="39"/>
    </row>
    <row r="266" spans="2:9" ht="15" thickBot="1" x14ac:dyDescent="0.4">
      <c r="B266" s="81"/>
      <c r="C266" s="172" t="str">
        <f t="array" ref="C266">IFERROR(IF(LEN(C$11)=0,"",IF($C$7&lt;&gt;"All",IF(LEN(INDEX(Calc!$J$8:$J$500,MATCH(SMALL(IF((Calc!$C$8:$C$500=Kanban!$C$7)*(Calc!$K$8:$K$500=Kanban!C$11)*(Calc!$Y$8:$Y$500&gt;0),Calc!$Y$8:$Y$500,99999),Kanban_Helper!$B259),Calc!$Y$8:$Y$500,0)))=0,"",CONCATENATE(Calc!$AD$6,INDEX(Calc!$J$8:$J$500,MATCH(SMALL(IF((Calc!$C$8:$C$500=Kanban!$C$7)*(Calc!$K$8:$K$500=Kanban!C$11)*(Calc!$Y$8:$Y$500&gt;0),Calc!$Y$8:$Y$500,99999),Kanban_Helper!$B259),Calc!$Y$8:$Y$500,0)))),IF(LEN(INDEX(Calc!$J$8:$J$500,MATCH(SMALL(IF((Calc!$K$8:$K$500=Kanban!C$11)*(Calc!$Y$8:$Y$500&gt;0),Calc!$Y$8:$Y$500,99999),Kanban_Helper!$B259),Calc!$Y$8:$Y$500,0)))=0,"",CONCATENATE(Calc!$AD$6,INDEX(Calc!$J$8:$J$500,MATCH(SMALL(IF((Calc!$K$8:$K$500=Kanban!C$11)*(Calc!$Y$8:$Y$500&gt;0),Calc!$Y$8:$Y$500,99999),Kanban_Helper!$B259),Calc!$Y$8:$Y$500,0)))))),"")</f>
        <v/>
      </c>
      <c r="D266" s="172" t="str">
        <f t="array" ref="D266">IFERROR(IF(LEN(D$11)=0,"",IF($C$7&lt;&gt;"All",IF(LEN(INDEX(Calc!$J$8:$J$500,MATCH(SMALL(IF((Calc!$C$8:$C$500=Kanban!$C$7)*(Calc!$K$8:$K$500=Kanban!D$11)*(Calc!$Y$8:$Y$500&gt;0),Calc!$Y$8:$Y$500,99999),Kanban_Helper!$B259),Calc!$Y$8:$Y$500,0)))=0,"",CONCATENATE(Calc!$AD$6,INDEX(Calc!$J$8:$J$500,MATCH(SMALL(IF((Calc!$C$8:$C$500=Kanban!$C$7)*(Calc!$K$8:$K$500=Kanban!D$11)*(Calc!$Y$8:$Y$500&gt;0),Calc!$Y$8:$Y$500,99999),Kanban_Helper!$B259),Calc!$Y$8:$Y$500,0)))),IF(LEN(INDEX(Calc!$J$8:$J$500,MATCH(SMALL(IF((Calc!$K$8:$K$500=Kanban!D$11)*(Calc!$Y$8:$Y$500&gt;0),Calc!$Y$8:$Y$500,99999),Kanban_Helper!$B259),Calc!$Y$8:$Y$500,0)))=0,"",CONCATENATE(Calc!$AD$6,INDEX(Calc!$J$8:$J$500,MATCH(SMALL(IF((Calc!$K$8:$K$500=Kanban!D$11)*(Calc!$Y$8:$Y$500&gt;0),Calc!$Y$8:$Y$500,99999),Kanban_Helper!$B259),Calc!$Y$8:$Y$500,0)))))),"")</f>
        <v/>
      </c>
      <c r="E266" s="172" t="str">
        <f t="array" ref="E266">IFERROR(IF(LEN(E$11)=0,"",IF($C$7&lt;&gt;"All",IF(LEN(INDEX(Calc!$J$8:$J$500,MATCH(SMALL(IF((Calc!$C$8:$C$500=Kanban!$C$7)*(Calc!$K$8:$K$500=Kanban!E$11)*(Calc!$Y$8:$Y$500&gt;0),Calc!$Y$8:$Y$500,99999),Kanban_Helper!$B259),Calc!$Y$8:$Y$500,0)))=0,"",CONCATENATE(Calc!$AD$6,INDEX(Calc!$J$8:$J$500,MATCH(SMALL(IF((Calc!$C$8:$C$500=Kanban!$C$7)*(Calc!$K$8:$K$500=Kanban!E$11)*(Calc!$Y$8:$Y$500&gt;0),Calc!$Y$8:$Y$500,99999),Kanban_Helper!$B259),Calc!$Y$8:$Y$500,0)))),IF(LEN(INDEX(Calc!$J$8:$J$500,MATCH(SMALL(IF((Calc!$K$8:$K$500=Kanban!E$11)*(Calc!$Y$8:$Y$500&gt;0),Calc!$Y$8:$Y$500,99999),Kanban_Helper!$B259),Calc!$Y$8:$Y$500,0)))=0,"",CONCATENATE(Calc!$AD$6,INDEX(Calc!$J$8:$J$500,MATCH(SMALL(IF((Calc!$K$8:$K$500=Kanban!E$11)*(Calc!$Y$8:$Y$500&gt;0),Calc!$Y$8:$Y$500,99999),Kanban_Helper!$B259),Calc!$Y$8:$Y$500,0)))))),"")</f>
        <v/>
      </c>
      <c r="F266" s="172" t="str">
        <f t="array" ref="F266">IFERROR(IF(LEN(F$11)=0,"",IF($C$7&lt;&gt;"All",IF(LEN(INDEX(Calc!$J$8:$J$500,MATCH(SMALL(IF((Calc!$C$8:$C$500=Kanban!$C$7)*(Calc!$K$8:$K$500=Kanban!F$11)*(Calc!$Y$8:$Y$500&gt;0),Calc!$Y$8:$Y$500,99999),Kanban_Helper!$B259),Calc!$Y$8:$Y$500,0)))=0,"",CONCATENATE(Calc!$AD$6,INDEX(Calc!$J$8:$J$500,MATCH(SMALL(IF((Calc!$C$8:$C$500=Kanban!$C$7)*(Calc!$K$8:$K$500=Kanban!F$11)*(Calc!$Y$8:$Y$500&gt;0),Calc!$Y$8:$Y$500,99999),Kanban_Helper!$B259),Calc!$Y$8:$Y$500,0)))),IF(LEN(INDEX(Calc!$J$8:$J$500,MATCH(SMALL(IF((Calc!$K$8:$K$500=Kanban!F$11)*(Calc!$Y$8:$Y$500&gt;0),Calc!$Y$8:$Y$500,99999),Kanban_Helper!$B259),Calc!$Y$8:$Y$500,0)))=0,"",CONCATENATE(Calc!$AD$6,INDEX(Calc!$J$8:$J$500,MATCH(SMALL(IF((Calc!$K$8:$K$500=Kanban!F$11)*(Calc!$Y$8:$Y$500&gt;0),Calc!$Y$8:$Y$500,99999),Kanban_Helper!$B259),Calc!$Y$8:$Y$500,0)))))),"")</f>
        <v/>
      </c>
      <c r="G266" s="172" t="str">
        <f t="array" ref="G266">IFERROR(IF(LEN(G$11)=0,"",IF($C$7&lt;&gt;"All",IF(LEN(INDEX(Calc!$J$8:$J$500,MATCH(SMALL(IF((Calc!$C$8:$C$500=Kanban!$C$7)*(Calc!$K$8:$K$500=Kanban!G$11)*(Calc!$Y$8:$Y$500&gt;0),Calc!$Y$8:$Y$500,99999),Kanban_Helper!$B259),Calc!$Y$8:$Y$500,0)))=0,"",CONCATENATE(Calc!$AD$6,INDEX(Calc!$J$8:$J$500,MATCH(SMALL(IF((Calc!$C$8:$C$500=Kanban!$C$7)*(Calc!$K$8:$K$500=Kanban!G$11)*(Calc!$Y$8:$Y$500&gt;0),Calc!$Y$8:$Y$500,99999),Kanban_Helper!$B259),Calc!$Y$8:$Y$500,0)))),IF(LEN(INDEX(Calc!$J$8:$J$500,MATCH(SMALL(IF((Calc!$K$8:$K$500=Kanban!G$11)*(Calc!$Y$8:$Y$500&gt;0),Calc!$Y$8:$Y$500,99999),Kanban_Helper!$B259),Calc!$Y$8:$Y$500,0)))=0,"",CONCATENATE(Calc!$AD$6,INDEX(Calc!$J$8:$J$500,MATCH(SMALL(IF((Calc!$K$8:$K$500=Kanban!G$11)*(Calc!$Y$8:$Y$500&gt;0),Calc!$Y$8:$Y$500,99999),Kanban_Helper!$B259),Calc!$Y$8:$Y$500,0)))))),"")</f>
        <v/>
      </c>
      <c r="H266" s="172" t="str">
        <f t="array" ref="H266">IFERROR(IF(LEN(H$11)=0,"",IF($C$7&lt;&gt;"All",IF(LEN(INDEX(Calc!$J$8:$J$500,MATCH(SMALL(IF((Calc!$C$8:$C$500=Kanban!$C$7)*(Calc!$K$8:$K$500=Kanban!H$11)*(Calc!$Y$8:$Y$500&gt;0),Calc!$Y$8:$Y$500,99999),Kanban_Helper!$B259),Calc!$Y$8:$Y$500,0)))=0,"",CONCATENATE(Calc!$AD$6,INDEX(Calc!$J$8:$J$500,MATCH(SMALL(IF((Calc!$C$8:$C$500=Kanban!$C$7)*(Calc!$K$8:$K$500=Kanban!H$11)*(Calc!$Y$8:$Y$500&gt;0),Calc!$Y$8:$Y$500,99999),Kanban_Helper!$B259),Calc!$Y$8:$Y$500,0)))),IF(LEN(INDEX(Calc!$J$8:$J$500,MATCH(SMALL(IF((Calc!$K$8:$K$500=Kanban!H$11)*(Calc!$Y$8:$Y$500&gt;0),Calc!$Y$8:$Y$500,99999),Kanban_Helper!$B259),Calc!$Y$8:$Y$500,0)))=0,"",CONCATENATE(Calc!$AD$6,INDEX(Calc!$J$8:$J$500,MATCH(SMALL(IF((Calc!$K$8:$K$500=Kanban!H$11)*(Calc!$Y$8:$Y$500&gt;0),Calc!$Y$8:$Y$500,99999),Kanban_Helper!$B259),Calc!$Y$8:$Y$500,0)))))),"")</f>
        <v/>
      </c>
      <c r="I266" s="39"/>
    </row>
    <row r="267" spans="2:9" ht="15" thickTop="1" x14ac:dyDescent="0.35">
      <c r="B267" s="81"/>
      <c r="C267" s="170" t="str">
        <f t="array" ref="C267">IFERROR(IF(LEN(C$11)=0,"",IF($C$7&lt;&gt;"All",IF(INDEX(Calc!$V$8:$V$500,MATCH(INDEX(Calc!$D$8:$D$500,MATCH(SMALL(IF((Calc!$C$8:$C$500=Kanban!$C$7)*(Calc!$K$8:$K$500=Kanban!C$11)*(Calc!$Y$8:$Y$500&gt;0),Calc!$Y$8:$Y$500,99999),Kanban_Helper!$B260),Calc!$Y$8:$Y$500,0)),Calc!$D$8:$D$500,0))="Yes",CONCATENATE(INDEX(Calc!$D$8:$D$500,MATCH(SMALL(IF((Calc!$C$8:$C$500=Kanban!$C$7)*(Calc!$K$8:$K$500=Kanban!C$11)*(Calc!$Y$8:$Y$500&gt;0),Calc!$Y$8:$Y$500,99999),Kanban_Helper!$B260),Calc!$Y$8:$Y$500,0))," ",Calc!$V$7," ","!"),INDEX(Calc!$D$8:$D$500,MATCH(SMALL(IF((Calc!$C$8:$C$500=Kanban!$C$7)*(Calc!$K$8:$K$500=Kanban!C$11)*(Calc!$Y$8:$Y$500&gt;0),Calc!$Y$8:$Y$500,99999),Kanban_Helper!$B260),Calc!$Y$8:$Y$500,0))),IF(INDEX(Calc!$V$8:$V$500,MATCH(INDEX(Calc!$D$8:$D$500,MATCH(SMALL(IF((Calc!$K$8:$K$500=Kanban!C$11)*(Calc!$Y$8:$Y$500&gt;0),Calc!$Y$8:$Y$500,99999),Kanban_Helper!$B260),Calc!$Y$8:$Y$500,0)),Calc!$D$8:$D$500,0))="Yes",CONCATENATE(INDEX(Calc!$D$8:$D$500,MATCH(SMALL(IF((Calc!$K$8:$K$500=Kanban!C$11)*(Calc!$Y$8:$Y$500&gt;0),Calc!$Y$8:$Y$500,99999),Kanban_Helper!$B260),Calc!$Y$8:$Y$500,0))," ",Calc!$V$7," ","!"),INDEX(Calc!$D$8:$D$500,MATCH(SMALL(IF((Calc!$K$8:$K$500=Kanban!C$11)*(Calc!$Y$8:$Y$500&gt;0),Calc!$Y$8:$Y$500,99999),Kanban_Helper!$B260),Calc!$Y$8:$Y$500,0))))),"")</f>
        <v/>
      </c>
      <c r="D267" s="170" t="str">
        <f t="array" ref="D267">IFERROR(IF(LEN(D$11)=0,"",IF($C$7&lt;&gt;"All",IF(INDEX(Calc!$V$8:$V$500,MATCH(INDEX(Calc!$D$8:$D$500,MATCH(SMALL(IF((Calc!$C$8:$C$500=Kanban!$C$7)*(Calc!$K$8:$K$500=Kanban!D$11)*(Calc!$Y$8:$Y$500&gt;0),Calc!$Y$8:$Y$500,99999),Kanban_Helper!$B260),Calc!$Y$8:$Y$500,0)),Calc!$D$8:$D$500,0))="Yes",CONCATENATE(INDEX(Calc!$D$8:$D$500,MATCH(SMALL(IF((Calc!$C$8:$C$500=Kanban!$C$7)*(Calc!$K$8:$K$500=Kanban!D$11)*(Calc!$Y$8:$Y$500&gt;0),Calc!$Y$8:$Y$500,99999),Kanban_Helper!$B260),Calc!$Y$8:$Y$500,0))," ",Calc!$V$7," ","!"),INDEX(Calc!$D$8:$D$500,MATCH(SMALL(IF((Calc!$C$8:$C$500=Kanban!$C$7)*(Calc!$K$8:$K$500=Kanban!D$11)*(Calc!$Y$8:$Y$500&gt;0),Calc!$Y$8:$Y$500,99999),Kanban_Helper!$B260),Calc!$Y$8:$Y$500,0))),IF(INDEX(Calc!$V$8:$V$500,MATCH(INDEX(Calc!$D$8:$D$500,MATCH(SMALL(IF((Calc!$K$8:$K$500=Kanban!D$11)*(Calc!$Y$8:$Y$500&gt;0),Calc!$Y$8:$Y$500,99999),Kanban_Helper!$B260),Calc!$Y$8:$Y$500,0)),Calc!$D$8:$D$500,0))="Yes",CONCATENATE(INDEX(Calc!$D$8:$D$500,MATCH(SMALL(IF((Calc!$K$8:$K$500=Kanban!D$11)*(Calc!$Y$8:$Y$500&gt;0),Calc!$Y$8:$Y$500,99999),Kanban_Helper!$B260),Calc!$Y$8:$Y$500,0))," ",Calc!$V$7," ","!"),INDEX(Calc!$D$8:$D$500,MATCH(SMALL(IF((Calc!$K$8:$K$500=Kanban!D$11)*(Calc!$Y$8:$Y$500&gt;0),Calc!$Y$8:$Y$500,99999),Kanban_Helper!$B260),Calc!$Y$8:$Y$500,0))))),"")</f>
        <v/>
      </c>
      <c r="E267" s="170" t="str">
        <f t="array" ref="E267">IFERROR(IF(LEN(E$11)=0,"",IF($C$7&lt;&gt;"All",IF(INDEX(Calc!$V$8:$V$500,MATCH(INDEX(Calc!$D$8:$D$500,MATCH(SMALL(IF((Calc!$C$8:$C$500=Kanban!$C$7)*(Calc!$K$8:$K$500=Kanban!E$11)*(Calc!$Y$8:$Y$500&gt;0),Calc!$Y$8:$Y$500,99999),Kanban_Helper!$B260),Calc!$Y$8:$Y$500,0)),Calc!$D$8:$D$500,0))="Yes",CONCATENATE(INDEX(Calc!$D$8:$D$500,MATCH(SMALL(IF((Calc!$C$8:$C$500=Kanban!$C$7)*(Calc!$K$8:$K$500=Kanban!E$11)*(Calc!$Y$8:$Y$500&gt;0),Calc!$Y$8:$Y$500,99999),Kanban_Helper!$B260),Calc!$Y$8:$Y$500,0))," ",Calc!$V$7," ","!"),INDEX(Calc!$D$8:$D$500,MATCH(SMALL(IF((Calc!$C$8:$C$500=Kanban!$C$7)*(Calc!$K$8:$K$500=Kanban!E$11)*(Calc!$Y$8:$Y$500&gt;0),Calc!$Y$8:$Y$500,99999),Kanban_Helper!$B260),Calc!$Y$8:$Y$500,0))),IF(INDEX(Calc!$V$8:$V$500,MATCH(INDEX(Calc!$D$8:$D$500,MATCH(SMALL(IF((Calc!$K$8:$K$500=Kanban!E$11)*(Calc!$Y$8:$Y$500&gt;0),Calc!$Y$8:$Y$500,99999),Kanban_Helper!$B260),Calc!$Y$8:$Y$500,0)),Calc!$D$8:$D$500,0))="Yes",CONCATENATE(INDEX(Calc!$D$8:$D$500,MATCH(SMALL(IF((Calc!$K$8:$K$500=Kanban!E$11)*(Calc!$Y$8:$Y$500&gt;0),Calc!$Y$8:$Y$500,99999),Kanban_Helper!$B260),Calc!$Y$8:$Y$500,0))," ",Calc!$V$7," ","!"),INDEX(Calc!$D$8:$D$500,MATCH(SMALL(IF((Calc!$K$8:$K$500=Kanban!E$11)*(Calc!$Y$8:$Y$500&gt;0),Calc!$Y$8:$Y$500,99999),Kanban_Helper!$B260),Calc!$Y$8:$Y$500,0))))),"")</f>
        <v/>
      </c>
      <c r="F267" s="170" t="str">
        <f t="array" ref="F267">IFERROR(IF(LEN(F$11)=0,"",IF($C$7&lt;&gt;"All",IF(INDEX(Calc!$V$8:$V$500,MATCH(INDEX(Calc!$D$8:$D$500,MATCH(SMALL(IF((Calc!$C$8:$C$500=Kanban!$C$7)*(Calc!$K$8:$K$500=Kanban!F$11)*(Calc!$Y$8:$Y$500&gt;0),Calc!$Y$8:$Y$500,99999),Kanban_Helper!$B260),Calc!$Y$8:$Y$500,0)),Calc!$D$8:$D$500,0))="Yes",CONCATENATE(INDEX(Calc!$D$8:$D$500,MATCH(SMALL(IF((Calc!$C$8:$C$500=Kanban!$C$7)*(Calc!$K$8:$K$500=Kanban!F$11)*(Calc!$Y$8:$Y$500&gt;0),Calc!$Y$8:$Y$500,99999),Kanban_Helper!$B260),Calc!$Y$8:$Y$500,0))," ",Calc!$V$7," ","!"),INDEX(Calc!$D$8:$D$500,MATCH(SMALL(IF((Calc!$C$8:$C$500=Kanban!$C$7)*(Calc!$K$8:$K$500=Kanban!F$11)*(Calc!$Y$8:$Y$500&gt;0),Calc!$Y$8:$Y$500,99999),Kanban_Helper!$B260),Calc!$Y$8:$Y$500,0))),IF(INDEX(Calc!$V$8:$V$500,MATCH(INDEX(Calc!$D$8:$D$500,MATCH(SMALL(IF((Calc!$K$8:$K$500=Kanban!F$11)*(Calc!$Y$8:$Y$500&gt;0),Calc!$Y$8:$Y$500,99999),Kanban_Helper!$B260),Calc!$Y$8:$Y$500,0)),Calc!$D$8:$D$500,0))="Yes",CONCATENATE(INDEX(Calc!$D$8:$D$500,MATCH(SMALL(IF((Calc!$K$8:$K$500=Kanban!F$11)*(Calc!$Y$8:$Y$500&gt;0),Calc!$Y$8:$Y$500,99999),Kanban_Helper!$B260),Calc!$Y$8:$Y$500,0))," ",Calc!$V$7," ","!"),INDEX(Calc!$D$8:$D$500,MATCH(SMALL(IF((Calc!$K$8:$K$500=Kanban!F$11)*(Calc!$Y$8:$Y$500&gt;0),Calc!$Y$8:$Y$500,99999),Kanban_Helper!$B260),Calc!$Y$8:$Y$500,0))))),"")</f>
        <v/>
      </c>
      <c r="G267" s="170" t="str">
        <f t="array" ref="G267">IFERROR(IF(LEN(G$11)=0,"",IF($C$7&lt;&gt;"All",IF(INDEX(Calc!$V$8:$V$500,MATCH(INDEX(Calc!$D$8:$D$500,MATCH(SMALL(IF((Calc!$C$8:$C$500=Kanban!$C$7)*(Calc!$K$8:$K$500=Kanban!G$11)*(Calc!$Y$8:$Y$500&gt;0),Calc!$Y$8:$Y$500,99999),Kanban_Helper!$B260),Calc!$Y$8:$Y$500,0)),Calc!$D$8:$D$500,0))="Yes",CONCATENATE(INDEX(Calc!$D$8:$D$500,MATCH(SMALL(IF((Calc!$C$8:$C$500=Kanban!$C$7)*(Calc!$K$8:$K$500=Kanban!G$11)*(Calc!$Y$8:$Y$500&gt;0),Calc!$Y$8:$Y$500,99999),Kanban_Helper!$B260),Calc!$Y$8:$Y$500,0))," ",Calc!$V$7," ","!"),INDEX(Calc!$D$8:$D$500,MATCH(SMALL(IF((Calc!$C$8:$C$500=Kanban!$C$7)*(Calc!$K$8:$K$500=Kanban!G$11)*(Calc!$Y$8:$Y$500&gt;0),Calc!$Y$8:$Y$500,99999),Kanban_Helper!$B260),Calc!$Y$8:$Y$500,0))),IF(INDEX(Calc!$V$8:$V$500,MATCH(INDEX(Calc!$D$8:$D$500,MATCH(SMALL(IF((Calc!$K$8:$K$500=Kanban!G$11)*(Calc!$Y$8:$Y$500&gt;0),Calc!$Y$8:$Y$500,99999),Kanban_Helper!$B260),Calc!$Y$8:$Y$500,0)),Calc!$D$8:$D$500,0))="Yes",CONCATENATE(INDEX(Calc!$D$8:$D$500,MATCH(SMALL(IF((Calc!$K$8:$K$500=Kanban!G$11)*(Calc!$Y$8:$Y$500&gt;0),Calc!$Y$8:$Y$500,99999),Kanban_Helper!$B260),Calc!$Y$8:$Y$500,0))," ",Calc!$V$7," ","!"),INDEX(Calc!$D$8:$D$500,MATCH(SMALL(IF((Calc!$K$8:$K$500=Kanban!G$11)*(Calc!$Y$8:$Y$500&gt;0),Calc!$Y$8:$Y$500,99999),Kanban_Helper!$B260),Calc!$Y$8:$Y$500,0))))),"")</f>
        <v/>
      </c>
      <c r="H267" s="170" t="str">
        <f t="array" ref="H267">IFERROR(IF(LEN(H$11)=0,"",IF($C$7&lt;&gt;"All",IF(INDEX(Calc!$V$8:$V$500,MATCH(INDEX(Calc!$D$8:$D$500,MATCH(SMALL(IF((Calc!$C$8:$C$500=Kanban!$C$7)*(Calc!$K$8:$K$500=Kanban!H$11)*(Calc!$Y$8:$Y$500&gt;0),Calc!$Y$8:$Y$500,99999),Kanban_Helper!$B260),Calc!$Y$8:$Y$500,0)),Calc!$D$8:$D$500,0))="Yes",CONCATENATE(INDEX(Calc!$D$8:$D$500,MATCH(SMALL(IF((Calc!$C$8:$C$500=Kanban!$C$7)*(Calc!$K$8:$K$500=Kanban!H$11)*(Calc!$Y$8:$Y$500&gt;0),Calc!$Y$8:$Y$500,99999),Kanban_Helper!$B260),Calc!$Y$8:$Y$500,0))," ",Calc!$V$7," ","!"),INDEX(Calc!$D$8:$D$500,MATCH(SMALL(IF((Calc!$C$8:$C$500=Kanban!$C$7)*(Calc!$K$8:$K$500=Kanban!H$11)*(Calc!$Y$8:$Y$500&gt;0),Calc!$Y$8:$Y$500,99999),Kanban_Helper!$B260),Calc!$Y$8:$Y$500,0))),IF(INDEX(Calc!$V$8:$V$500,MATCH(INDEX(Calc!$D$8:$D$500,MATCH(SMALL(IF((Calc!$K$8:$K$500=Kanban!H$11)*(Calc!$Y$8:$Y$500&gt;0),Calc!$Y$8:$Y$500,99999),Kanban_Helper!$B260),Calc!$Y$8:$Y$500,0)),Calc!$D$8:$D$500,0))="Yes",CONCATENATE(INDEX(Calc!$D$8:$D$500,MATCH(SMALL(IF((Calc!$K$8:$K$500=Kanban!H$11)*(Calc!$Y$8:$Y$500&gt;0),Calc!$Y$8:$Y$500,99999),Kanban_Helper!$B260),Calc!$Y$8:$Y$500,0))," ",Calc!$V$7," ","!"),INDEX(Calc!$D$8:$D$500,MATCH(SMALL(IF((Calc!$K$8:$K$500=Kanban!H$11)*(Calc!$Y$8:$Y$500&gt;0),Calc!$Y$8:$Y$500,99999),Kanban_Helper!$B260),Calc!$Y$8:$Y$500,0))))),"")</f>
        <v/>
      </c>
      <c r="I267" s="39"/>
    </row>
    <row r="268" spans="2:9" x14ac:dyDescent="0.35">
      <c r="B268" s="81"/>
      <c r="C268" s="171" t="str">
        <f t="array" ref="C268">IFERROR(IF(LEN(C$11)=0,"",IF($C$7&lt;&gt;"All",INDEX(Calc!$E$8:$E$500,MATCH(SMALL(IF((Calc!$C$8:$C$500=Kanban!$C$7)*(Calc!$K$8:$K$500=Kanban!C$11)*(Calc!$Y$8:$Y$500&gt;0),Calc!$Y$8:$Y$500,99999),Kanban_Helper!$B261),Calc!$Y$8:$Y$500,0)),INDEX(Calc!$E$8:$E$500,MATCH(SMALL(IF((Calc!$K$8:$K$500=Kanban!C$11)*(Calc!$Y$8:$Y$500&gt;0),Calc!$Y$8:$Y$500,99999),Kanban_Helper!$B261),Calc!$Y$8:$Y$500,0)))),"")</f>
        <v/>
      </c>
      <c r="D268" s="171" t="str">
        <f t="array" ref="D268">IFERROR(IF(LEN(D$11)=0,"",IF($C$7&lt;&gt;"All",INDEX(Calc!$E$8:$E$500,MATCH(SMALL(IF((Calc!$C$8:$C$500=Kanban!$C$7)*(Calc!$K$8:$K$500=Kanban!D$11)*(Calc!$Y$8:$Y$500&gt;0),Calc!$Y$8:$Y$500,99999),Kanban_Helper!$B261),Calc!$Y$8:$Y$500,0)),INDEX(Calc!$E$8:$E$500,MATCH(SMALL(IF((Calc!$K$8:$K$500=Kanban!D$11)*(Calc!$Y$8:$Y$500&gt;0),Calc!$Y$8:$Y$500,99999),Kanban_Helper!$B261),Calc!$Y$8:$Y$500,0)))),"")</f>
        <v/>
      </c>
      <c r="E268" s="171" t="str">
        <f t="array" ref="E268">IFERROR(IF(LEN(E$11)=0,"",IF($C$7&lt;&gt;"All",INDEX(Calc!$E$8:$E$500,MATCH(SMALL(IF((Calc!$C$8:$C$500=Kanban!$C$7)*(Calc!$K$8:$K$500=Kanban!E$11)*(Calc!$Y$8:$Y$500&gt;0),Calc!$Y$8:$Y$500,99999),Kanban_Helper!$B261),Calc!$Y$8:$Y$500,0)),INDEX(Calc!$E$8:$E$500,MATCH(SMALL(IF((Calc!$K$8:$K$500=Kanban!E$11)*(Calc!$Y$8:$Y$500&gt;0),Calc!$Y$8:$Y$500,99999),Kanban_Helper!$B261),Calc!$Y$8:$Y$500,0)))),"")</f>
        <v/>
      </c>
      <c r="F268" s="171" t="str">
        <f t="array" ref="F268">IFERROR(IF(LEN(F$11)=0,"",IF($C$7&lt;&gt;"All",INDEX(Calc!$E$8:$E$500,MATCH(SMALL(IF((Calc!$C$8:$C$500=Kanban!$C$7)*(Calc!$K$8:$K$500=Kanban!F$11)*(Calc!$Y$8:$Y$500&gt;0),Calc!$Y$8:$Y$500,99999),Kanban_Helper!$B261),Calc!$Y$8:$Y$500,0)),INDEX(Calc!$E$8:$E$500,MATCH(SMALL(IF((Calc!$K$8:$K$500=Kanban!F$11)*(Calc!$Y$8:$Y$500&gt;0),Calc!$Y$8:$Y$500,99999),Kanban_Helper!$B261),Calc!$Y$8:$Y$500,0)))),"")</f>
        <v/>
      </c>
      <c r="G268" s="171" t="str">
        <f t="array" ref="G268">IFERROR(IF(LEN(G$11)=0,"",IF($C$7&lt;&gt;"All",INDEX(Calc!$E$8:$E$500,MATCH(SMALL(IF((Calc!$C$8:$C$500=Kanban!$C$7)*(Calc!$K$8:$K$500=Kanban!G$11)*(Calc!$Y$8:$Y$500&gt;0),Calc!$Y$8:$Y$500,99999),Kanban_Helper!$B261),Calc!$Y$8:$Y$500,0)),INDEX(Calc!$E$8:$E$500,MATCH(SMALL(IF((Calc!$K$8:$K$500=Kanban!G$11)*(Calc!$Y$8:$Y$500&gt;0),Calc!$Y$8:$Y$500,99999),Kanban_Helper!$B261),Calc!$Y$8:$Y$500,0)))),"")</f>
        <v/>
      </c>
      <c r="H268" s="171" t="str">
        <f t="array" ref="H268">IFERROR(IF(LEN(H$11)=0,"",IF($C$7&lt;&gt;"All",INDEX(Calc!$E$8:$E$500,MATCH(SMALL(IF((Calc!$C$8:$C$500=Kanban!$C$7)*(Calc!$K$8:$K$500=Kanban!H$11)*(Calc!$Y$8:$Y$500&gt;0),Calc!$Y$8:$Y$500,99999),Kanban_Helper!$B261),Calc!$Y$8:$Y$500,0)),INDEX(Calc!$E$8:$E$500,MATCH(SMALL(IF((Calc!$K$8:$K$500=Kanban!H$11)*(Calc!$Y$8:$Y$500&gt;0),Calc!$Y$8:$Y$500,99999),Kanban_Helper!$B261),Calc!$Y$8:$Y$500,0)))),"")</f>
        <v/>
      </c>
      <c r="I268" s="39"/>
    </row>
    <row r="269" spans="2:9" ht="15" thickBot="1" x14ac:dyDescent="0.4">
      <c r="B269" s="81"/>
      <c r="C269" s="172" t="str">
        <f t="array" ref="C269">IFERROR(IF(LEN(C$11)=0,"",IF($C$7&lt;&gt;"All",IF(LEN(INDEX(Calc!$J$8:$J$500,MATCH(SMALL(IF((Calc!$C$8:$C$500=Kanban!$C$7)*(Calc!$K$8:$K$500=Kanban!C$11)*(Calc!$Y$8:$Y$500&gt;0),Calc!$Y$8:$Y$500,99999),Kanban_Helper!$B262),Calc!$Y$8:$Y$500,0)))=0,"",CONCATENATE(Calc!$AD$6,INDEX(Calc!$J$8:$J$500,MATCH(SMALL(IF((Calc!$C$8:$C$500=Kanban!$C$7)*(Calc!$K$8:$K$500=Kanban!C$11)*(Calc!$Y$8:$Y$500&gt;0),Calc!$Y$8:$Y$500,99999),Kanban_Helper!$B262),Calc!$Y$8:$Y$500,0)))),IF(LEN(INDEX(Calc!$J$8:$J$500,MATCH(SMALL(IF((Calc!$K$8:$K$500=Kanban!C$11)*(Calc!$Y$8:$Y$500&gt;0),Calc!$Y$8:$Y$500,99999),Kanban_Helper!$B262),Calc!$Y$8:$Y$500,0)))=0,"",CONCATENATE(Calc!$AD$6,INDEX(Calc!$J$8:$J$500,MATCH(SMALL(IF((Calc!$K$8:$K$500=Kanban!C$11)*(Calc!$Y$8:$Y$500&gt;0),Calc!$Y$8:$Y$500,99999),Kanban_Helper!$B262),Calc!$Y$8:$Y$500,0)))))),"")</f>
        <v/>
      </c>
      <c r="D269" s="172" t="str">
        <f t="array" ref="D269">IFERROR(IF(LEN(D$11)=0,"",IF($C$7&lt;&gt;"All",IF(LEN(INDEX(Calc!$J$8:$J$500,MATCH(SMALL(IF((Calc!$C$8:$C$500=Kanban!$C$7)*(Calc!$K$8:$K$500=Kanban!D$11)*(Calc!$Y$8:$Y$500&gt;0),Calc!$Y$8:$Y$500,99999),Kanban_Helper!$B262),Calc!$Y$8:$Y$500,0)))=0,"",CONCATENATE(Calc!$AD$6,INDEX(Calc!$J$8:$J$500,MATCH(SMALL(IF((Calc!$C$8:$C$500=Kanban!$C$7)*(Calc!$K$8:$K$500=Kanban!D$11)*(Calc!$Y$8:$Y$500&gt;0),Calc!$Y$8:$Y$500,99999),Kanban_Helper!$B262),Calc!$Y$8:$Y$500,0)))),IF(LEN(INDEX(Calc!$J$8:$J$500,MATCH(SMALL(IF((Calc!$K$8:$K$500=Kanban!D$11)*(Calc!$Y$8:$Y$500&gt;0),Calc!$Y$8:$Y$500,99999),Kanban_Helper!$B262),Calc!$Y$8:$Y$500,0)))=0,"",CONCATENATE(Calc!$AD$6,INDEX(Calc!$J$8:$J$500,MATCH(SMALL(IF((Calc!$K$8:$K$500=Kanban!D$11)*(Calc!$Y$8:$Y$500&gt;0),Calc!$Y$8:$Y$500,99999),Kanban_Helper!$B262),Calc!$Y$8:$Y$500,0)))))),"")</f>
        <v/>
      </c>
      <c r="E269" s="172" t="str">
        <f t="array" ref="E269">IFERROR(IF(LEN(E$11)=0,"",IF($C$7&lt;&gt;"All",IF(LEN(INDEX(Calc!$J$8:$J$500,MATCH(SMALL(IF((Calc!$C$8:$C$500=Kanban!$C$7)*(Calc!$K$8:$K$500=Kanban!E$11)*(Calc!$Y$8:$Y$500&gt;0),Calc!$Y$8:$Y$500,99999),Kanban_Helper!$B262),Calc!$Y$8:$Y$500,0)))=0,"",CONCATENATE(Calc!$AD$6,INDEX(Calc!$J$8:$J$500,MATCH(SMALL(IF((Calc!$C$8:$C$500=Kanban!$C$7)*(Calc!$K$8:$K$500=Kanban!E$11)*(Calc!$Y$8:$Y$500&gt;0),Calc!$Y$8:$Y$500,99999),Kanban_Helper!$B262),Calc!$Y$8:$Y$500,0)))),IF(LEN(INDEX(Calc!$J$8:$J$500,MATCH(SMALL(IF((Calc!$K$8:$K$500=Kanban!E$11)*(Calc!$Y$8:$Y$500&gt;0),Calc!$Y$8:$Y$500,99999),Kanban_Helper!$B262),Calc!$Y$8:$Y$500,0)))=0,"",CONCATENATE(Calc!$AD$6,INDEX(Calc!$J$8:$J$500,MATCH(SMALL(IF((Calc!$K$8:$K$500=Kanban!E$11)*(Calc!$Y$8:$Y$500&gt;0),Calc!$Y$8:$Y$500,99999),Kanban_Helper!$B262),Calc!$Y$8:$Y$500,0)))))),"")</f>
        <v/>
      </c>
      <c r="F269" s="172" t="str">
        <f t="array" ref="F269">IFERROR(IF(LEN(F$11)=0,"",IF($C$7&lt;&gt;"All",IF(LEN(INDEX(Calc!$J$8:$J$500,MATCH(SMALL(IF((Calc!$C$8:$C$500=Kanban!$C$7)*(Calc!$K$8:$K$500=Kanban!F$11)*(Calc!$Y$8:$Y$500&gt;0),Calc!$Y$8:$Y$500,99999),Kanban_Helper!$B262),Calc!$Y$8:$Y$500,0)))=0,"",CONCATENATE(Calc!$AD$6,INDEX(Calc!$J$8:$J$500,MATCH(SMALL(IF((Calc!$C$8:$C$500=Kanban!$C$7)*(Calc!$K$8:$K$500=Kanban!F$11)*(Calc!$Y$8:$Y$500&gt;0),Calc!$Y$8:$Y$500,99999),Kanban_Helper!$B262),Calc!$Y$8:$Y$500,0)))),IF(LEN(INDEX(Calc!$J$8:$J$500,MATCH(SMALL(IF((Calc!$K$8:$K$500=Kanban!F$11)*(Calc!$Y$8:$Y$500&gt;0),Calc!$Y$8:$Y$500,99999),Kanban_Helper!$B262),Calc!$Y$8:$Y$500,0)))=0,"",CONCATENATE(Calc!$AD$6,INDEX(Calc!$J$8:$J$500,MATCH(SMALL(IF((Calc!$K$8:$K$500=Kanban!F$11)*(Calc!$Y$8:$Y$500&gt;0),Calc!$Y$8:$Y$500,99999),Kanban_Helper!$B262),Calc!$Y$8:$Y$500,0)))))),"")</f>
        <v/>
      </c>
      <c r="G269" s="172" t="str">
        <f t="array" ref="G269">IFERROR(IF(LEN(G$11)=0,"",IF($C$7&lt;&gt;"All",IF(LEN(INDEX(Calc!$J$8:$J$500,MATCH(SMALL(IF((Calc!$C$8:$C$500=Kanban!$C$7)*(Calc!$K$8:$K$500=Kanban!G$11)*(Calc!$Y$8:$Y$500&gt;0),Calc!$Y$8:$Y$500,99999),Kanban_Helper!$B262),Calc!$Y$8:$Y$500,0)))=0,"",CONCATENATE(Calc!$AD$6,INDEX(Calc!$J$8:$J$500,MATCH(SMALL(IF((Calc!$C$8:$C$500=Kanban!$C$7)*(Calc!$K$8:$K$500=Kanban!G$11)*(Calc!$Y$8:$Y$500&gt;0),Calc!$Y$8:$Y$500,99999),Kanban_Helper!$B262),Calc!$Y$8:$Y$500,0)))),IF(LEN(INDEX(Calc!$J$8:$J$500,MATCH(SMALL(IF((Calc!$K$8:$K$500=Kanban!G$11)*(Calc!$Y$8:$Y$500&gt;0),Calc!$Y$8:$Y$500,99999),Kanban_Helper!$B262),Calc!$Y$8:$Y$500,0)))=0,"",CONCATENATE(Calc!$AD$6,INDEX(Calc!$J$8:$J$500,MATCH(SMALL(IF((Calc!$K$8:$K$500=Kanban!G$11)*(Calc!$Y$8:$Y$500&gt;0),Calc!$Y$8:$Y$500,99999),Kanban_Helper!$B262),Calc!$Y$8:$Y$500,0)))))),"")</f>
        <v/>
      </c>
      <c r="H269" s="172" t="str">
        <f t="array" ref="H269">IFERROR(IF(LEN(H$11)=0,"",IF($C$7&lt;&gt;"All",IF(LEN(INDEX(Calc!$J$8:$J$500,MATCH(SMALL(IF((Calc!$C$8:$C$500=Kanban!$C$7)*(Calc!$K$8:$K$500=Kanban!H$11)*(Calc!$Y$8:$Y$500&gt;0),Calc!$Y$8:$Y$500,99999),Kanban_Helper!$B262),Calc!$Y$8:$Y$500,0)))=0,"",CONCATENATE(Calc!$AD$6,INDEX(Calc!$J$8:$J$500,MATCH(SMALL(IF((Calc!$C$8:$C$500=Kanban!$C$7)*(Calc!$K$8:$K$500=Kanban!H$11)*(Calc!$Y$8:$Y$500&gt;0),Calc!$Y$8:$Y$500,99999),Kanban_Helper!$B262),Calc!$Y$8:$Y$500,0)))),IF(LEN(INDEX(Calc!$J$8:$J$500,MATCH(SMALL(IF((Calc!$K$8:$K$500=Kanban!H$11)*(Calc!$Y$8:$Y$500&gt;0),Calc!$Y$8:$Y$500,99999),Kanban_Helper!$B262),Calc!$Y$8:$Y$500,0)))=0,"",CONCATENATE(Calc!$AD$6,INDEX(Calc!$J$8:$J$500,MATCH(SMALL(IF((Calc!$K$8:$K$500=Kanban!H$11)*(Calc!$Y$8:$Y$500&gt;0),Calc!$Y$8:$Y$500,99999),Kanban_Helper!$B262),Calc!$Y$8:$Y$500,0)))))),"")</f>
        <v/>
      </c>
      <c r="I269" s="39"/>
    </row>
    <row r="270" spans="2:9" ht="15" thickTop="1" x14ac:dyDescent="0.35">
      <c r="B270" s="81"/>
      <c r="C270" s="170" t="str">
        <f t="array" ref="C270">IFERROR(IF(LEN(C$11)=0,"",IF($C$7&lt;&gt;"All",IF(INDEX(Calc!$V$8:$V$500,MATCH(INDEX(Calc!$D$8:$D$500,MATCH(SMALL(IF((Calc!$C$8:$C$500=Kanban!$C$7)*(Calc!$K$8:$K$500=Kanban!C$11)*(Calc!$Y$8:$Y$500&gt;0),Calc!$Y$8:$Y$500,99999),Kanban_Helper!$B263),Calc!$Y$8:$Y$500,0)),Calc!$D$8:$D$500,0))="Yes",CONCATENATE(INDEX(Calc!$D$8:$D$500,MATCH(SMALL(IF((Calc!$C$8:$C$500=Kanban!$C$7)*(Calc!$K$8:$K$500=Kanban!C$11)*(Calc!$Y$8:$Y$500&gt;0),Calc!$Y$8:$Y$500,99999),Kanban_Helper!$B263),Calc!$Y$8:$Y$500,0))," ",Calc!$V$7," ","!"),INDEX(Calc!$D$8:$D$500,MATCH(SMALL(IF((Calc!$C$8:$C$500=Kanban!$C$7)*(Calc!$K$8:$K$500=Kanban!C$11)*(Calc!$Y$8:$Y$500&gt;0),Calc!$Y$8:$Y$500,99999),Kanban_Helper!$B263),Calc!$Y$8:$Y$500,0))),IF(INDEX(Calc!$V$8:$V$500,MATCH(INDEX(Calc!$D$8:$D$500,MATCH(SMALL(IF((Calc!$K$8:$K$500=Kanban!C$11)*(Calc!$Y$8:$Y$500&gt;0),Calc!$Y$8:$Y$500,99999),Kanban_Helper!$B263),Calc!$Y$8:$Y$500,0)),Calc!$D$8:$D$500,0))="Yes",CONCATENATE(INDEX(Calc!$D$8:$D$500,MATCH(SMALL(IF((Calc!$K$8:$K$500=Kanban!C$11)*(Calc!$Y$8:$Y$500&gt;0),Calc!$Y$8:$Y$500,99999),Kanban_Helper!$B263),Calc!$Y$8:$Y$500,0))," ",Calc!$V$7," ","!"),INDEX(Calc!$D$8:$D$500,MATCH(SMALL(IF((Calc!$K$8:$K$500=Kanban!C$11)*(Calc!$Y$8:$Y$500&gt;0),Calc!$Y$8:$Y$500,99999),Kanban_Helper!$B263),Calc!$Y$8:$Y$500,0))))),"")</f>
        <v/>
      </c>
      <c r="D270" s="170" t="str">
        <f t="array" ref="D270">IFERROR(IF(LEN(D$11)=0,"",IF($C$7&lt;&gt;"All",IF(INDEX(Calc!$V$8:$V$500,MATCH(INDEX(Calc!$D$8:$D$500,MATCH(SMALL(IF((Calc!$C$8:$C$500=Kanban!$C$7)*(Calc!$K$8:$K$500=Kanban!D$11)*(Calc!$Y$8:$Y$500&gt;0),Calc!$Y$8:$Y$500,99999),Kanban_Helper!$B263),Calc!$Y$8:$Y$500,0)),Calc!$D$8:$D$500,0))="Yes",CONCATENATE(INDEX(Calc!$D$8:$D$500,MATCH(SMALL(IF((Calc!$C$8:$C$500=Kanban!$C$7)*(Calc!$K$8:$K$500=Kanban!D$11)*(Calc!$Y$8:$Y$500&gt;0),Calc!$Y$8:$Y$500,99999),Kanban_Helper!$B263),Calc!$Y$8:$Y$500,0))," ",Calc!$V$7," ","!"),INDEX(Calc!$D$8:$D$500,MATCH(SMALL(IF((Calc!$C$8:$C$500=Kanban!$C$7)*(Calc!$K$8:$K$500=Kanban!D$11)*(Calc!$Y$8:$Y$500&gt;0),Calc!$Y$8:$Y$500,99999),Kanban_Helper!$B263),Calc!$Y$8:$Y$500,0))),IF(INDEX(Calc!$V$8:$V$500,MATCH(INDEX(Calc!$D$8:$D$500,MATCH(SMALL(IF((Calc!$K$8:$K$500=Kanban!D$11)*(Calc!$Y$8:$Y$500&gt;0),Calc!$Y$8:$Y$500,99999),Kanban_Helper!$B263),Calc!$Y$8:$Y$500,0)),Calc!$D$8:$D$500,0))="Yes",CONCATENATE(INDEX(Calc!$D$8:$D$500,MATCH(SMALL(IF((Calc!$K$8:$K$500=Kanban!D$11)*(Calc!$Y$8:$Y$500&gt;0),Calc!$Y$8:$Y$500,99999),Kanban_Helper!$B263),Calc!$Y$8:$Y$500,0))," ",Calc!$V$7," ","!"),INDEX(Calc!$D$8:$D$500,MATCH(SMALL(IF((Calc!$K$8:$K$500=Kanban!D$11)*(Calc!$Y$8:$Y$500&gt;0),Calc!$Y$8:$Y$500,99999),Kanban_Helper!$B263),Calc!$Y$8:$Y$500,0))))),"")</f>
        <v/>
      </c>
      <c r="E270" s="170" t="str">
        <f t="array" ref="E270">IFERROR(IF(LEN(E$11)=0,"",IF($C$7&lt;&gt;"All",IF(INDEX(Calc!$V$8:$V$500,MATCH(INDEX(Calc!$D$8:$D$500,MATCH(SMALL(IF((Calc!$C$8:$C$500=Kanban!$C$7)*(Calc!$K$8:$K$500=Kanban!E$11)*(Calc!$Y$8:$Y$500&gt;0),Calc!$Y$8:$Y$500,99999),Kanban_Helper!$B263),Calc!$Y$8:$Y$500,0)),Calc!$D$8:$D$500,0))="Yes",CONCATENATE(INDEX(Calc!$D$8:$D$500,MATCH(SMALL(IF((Calc!$C$8:$C$500=Kanban!$C$7)*(Calc!$K$8:$K$500=Kanban!E$11)*(Calc!$Y$8:$Y$500&gt;0),Calc!$Y$8:$Y$500,99999),Kanban_Helper!$B263),Calc!$Y$8:$Y$500,0))," ",Calc!$V$7," ","!"),INDEX(Calc!$D$8:$D$500,MATCH(SMALL(IF((Calc!$C$8:$C$500=Kanban!$C$7)*(Calc!$K$8:$K$500=Kanban!E$11)*(Calc!$Y$8:$Y$500&gt;0),Calc!$Y$8:$Y$500,99999),Kanban_Helper!$B263),Calc!$Y$8:$Y$500,0))),IF(INDEX(Calc!$V$8:$V$500,MATCH(INDEX(Calc!$D$8:$D$500,MATCH(SMALL(IF((Calc!$K$8:$K$500=Kanban!E$11)*(Calc!$Y$8:$Y$500&gt;0),Calc!$Y$8:$Y$500,99999),Kanban_Helper!$B263),Calc!$Y$8:$Y$500,0)),Calc!$D$8:$D$500,0))="Yes",CONCATENATE(INDEX(Calc!$D$8:$D$500,MATCH(SMALL(IF((Calc!$K$8:$K$500=Kanban!E$11)*(Calc!$Y$8:$Y$500&gt;0),Calc!$Y$8:$Y$500,99999),Kanban_Helper!$B263),Calc!$Y$8:$Y$500,0))," ",Calc!$V$7," ","!"),INDEX(Calc!$D$8:$D$500,MATCH(SMALL(IF((Calc!$K$8:$K$500=Kanban!E$11)*(Calc!$Y$8:$Y$500&gt;0),Calc!$Y$8:$Y$500,99999),Kanban_Helper!$B263),Calc!$Y$8:$Y$500,0))))),"")</f>
        <v/>
      </c>
      <c r="F270" s="170" t="str">
        <f t="array" ref="F270">IFERROR(IF(LEN(F$11)=0,"",IF($C$7&lt;&gt;"All",IF(INDEX(Calc!$V$8:$V$500,MATCH(INDEX(Calc!$D$8:$D$500,MATCH(SMALL(IF((Calc!$C$8:$C$500=Kanban!$C$7)*(Calc!$K$8:$K$500=Kanban!F$11)*(Calc!$Y$8:$Y$500&gt;0),Calc!$Y$8:$Y$500,99999),Kanban_Helper!$B263),Calc!$Y$8:$Y$500,0)),Calc!$D$8:$D$500,0))="Yes",CONCATENATE(INDEX(Calc!$D$8:$D$500,MATCH(SMALL(IF((Calc!$C$8:$C$500=Kanban!$C$7)*(Calc!$K$8:$K$500=Kanban!F$11)*(Calc!$Y$8:$Y$500&gt;0),Calc!$Y$8:$Y$500,99999),Kanban_Helper!$B263),Calc!$Y$8:$Y$500,0))," ",Calc!$V$7," ","!"),INDEX(Calc!$D$8:$D$500,MATCH(SMALL(IF((Calc!$C$8:$C$500=Kanban!$C$7)*(Calc!$K$8:$K$500=Kanban!F$11)*(Calc!$Y$8:$Y$500&gt;0),Calc!$Y$8:$Y$500,99999),Kanban_Helper!$B263),Calc!$Y$8:$Y$500,0))),IF(INDEX(Calc!$V$8:$V$500,MATCH(INDEX(Calc!$D$8:$D$500,MATCH(SMALL(IF((Calc!$K$8:$K$500=Kanban!F$11)*(Calc!$Y$8:$Y$500&gt;0),Calc!$Y$8:$Y$500,99999),Kanban_Helper!$B263),Calc!$Y$8:$Y$500,0)),Calc!$D$8:$D$500,0))="Yes",CONCATENATE(INDEX(Calc!$D$8:$D$500,MATCH(SMALL(IF((Calc!$K$8:$K$500=Kanban!F$11)*(Calc!$Y$8:$Y$500&gt;0),Calc!$Y$8:$Y$500,99999),Kanban_Helper!$B263),Calc!$Y$8:$Y$500,0))," ",Calc!$V$7," ","!"),INDEX(Calc!$D$8:$D$500,MATCH(SMALL(IF((Calc!$K$8:$K$500=Kanban!F$11)*(Calc!$Y$8:$Y$500&gt;0),Calc!$Y$8:$Y$500,99999),Kanban_Helper!$B263),Calc!$Y$8:$Y$500,0))))),"")</f>
        <v/>
      </c>
      <c r="G270" s="170" t="str">
        <f t="array" ref="G270">IFERROR(IF(LEN(G$11)=0,"",IF($C$7&lt;&gt;"All",IF(INDEX(Calc!$V$8:$V$500,MATCH(INDEX(Calc!$D$8:$D$500,MATCH(SMALL(IF((Calc!$C$8:$C$500=Kanban!$C$7)*(Calc!$K$8:$K$500=Kanban!G$11)*(Calc!$Y$8:$Y$500&gt;0),Calc!$Y$8:$Y$500,99999),Kanban_Helper!$B263),Calc!$Y$8:$Y$500,0)),Calc!$D$8:$D$500,0))="Yes",CONCATENATE(INDEX(Calc!$D$8:$D$500,MATCH(SMALL(IF((Calc!$C$8:$C$500=Kanban!$C$7)*(Calc!$K$8:$K$500=Kanban!G$11)*(Calc!$Y$8:$Y$500&gt;0),Calc!$Y$8:$Y$500,99999),Kanban_Helper!$B263),Calc!$Y$8:$Y$500,0))," ",Calc!$V$7," ","!"),INDEX(Calc!$D$8:$D$500,MATCH(SMALL(IF((Calc!$C$8:$C$500=Kanban!$C$7)*(Calc!$K$8:$K$500=Kanban!G$11)*(Calc!$Y$8:$Y$500&gt;0),Calc!$Y$8:$Y$500,99999),Kanban_Helper!$B263),Calc!$Y$8:$Y$500,0))),IF(INDEX(Calc!$V$8:$V$500,MATCH(INDEX(Calc!$D$8:$D$500,MATCH(SMALL(IF((Calc!$K$8:$K$500=Kanban!G$11)*(Calc!$Y$8:$Y$500&gt;0),Calc!$Y$8:$Y$500,99999),Kanban_Helper!$B263),Calc!$Y$8:$Y$500,0)),Calc!$D$8:$D$500,0))="Yes",CONCATENATE(INDEX(Calc!$D$8:$D$500,MATCH(SMALL(IF((Calc!$K$8:$K$500=Kanban!G$11)*(Calc!$Y$8:$Y$500&gt;0),Calc!$Y$8:$Y$500,99999),Kanban_Helper!$B263),Calc!$Y$8:$Y$500,0))," ",Calc!$V$7," ","!"),INDEX(Calc!$D$8:$D$500,MATCH(SMALL(IF((Calc!$K$8:$K$500=Kanban!G$11)*(Calc!$Y$8:$Y$500&gt;0),Calc!$Y$8:$Y$500,99999),Kanban_Helper!$B263),Calc!$Y$8:$Y$500,0))))),"")</f>
        <v/>
      </c>
      <c r="H270" s="170" t="str">
        <f t="array" ref="H270">IFERROR(IF(LEN(H$11)=0,"",IF($C$7&lt;&gt;"All",IF(INDEX(Calc!$V$8:$V$500,MATCH(INDEX(Calc!$D$8:$D$500,MATCH(SMALL(IF((Calc!$C$8:$C$500=Kanban!$C$7)*(Calc!$K$8:$K$500=Kanban!H$11)*(Calc!$Y$8:$Y$500&gt;0),Calc!$Y$8:$Y$500,99999),Kanban_Helper!$B263),Calc!$Y$8:$Y$500,0)),Calc!$D$8:$D$500,0))="Yes",CONCATENATE(INDEX(Calc!$D$8:$D$500,MATCH(SMALL(IF((Calc!$C$8:$C$500=Kanban!$C$7)*(Calc!$K$8:$K$500=Kanban!H$11)*(Calc!$Y$8:$Y$500&gt;0),Calc!$Y$8:$Y$500,99999),Kanban_Helper!$B263),Calc!$Y$8:$Y$500,0))," ",Calc!$V$7," ","!"),INDEX(Calc!$D$8:$D$500,MATCH(SMALL(IF((Calc!$C$8:$C$500=Kanban!$C$7)*(Calc!$K$8:$K$500=Kanban!H$11)*(Calc!$Y$8:$Y$500&gt;0),Calc!$Y$8:$Y$500,99999),Kanban_Helper!$B263),Calc!$Y$8:$Y$500,0))),IF(INDEX(Calc!$V$8:$V$500,MATCH(INDEX(Calc!$D$8:$D$500,MATCH(SMALL(IF((Calc!$K$8:$K$500=Kanban!H$11)*(Calc!$Y$8:$Y$500&gt;0),Calc!$Y$8:$Y$500,99999),Kanban_Helper!$B263),Calc!$Y$8:$Y$500,0)),Calc!$D$8:$D$500,0))="Yes",CONCATENATE(INDEX(Calc!$D$8:$D$500,MATCH(SMALL(IF((Calc!$K$8:$K$500=Kanban!H$11)*(Calc!$Y$8:$Y$500&gt;0),Calc!$Y$8:$Y$500,99999),Kanban_Helper!$B263),Calc!$Y$8:$Y$500,0))," ",Calc!$V$7," ","!"),INDEX(Calc!$D$8:$D$500,MATCH(SMALL(IF((Calc!$K$8:$K$500=Kanban!H$11)*(Calc!$Y$8:$Y$500&gt;0),Calc!$Y$8:$Y$500,99999),Kanban_Helper!$B263),Calc!$Y$8:$Y$500,0))))),"")</f>
        <v/>
      </c>
      <c r="I270" s="39"/>
    </row>
    <row r="271" spans="2:9" x14ac:dyDescent="0.35">
      <c r="B271" s="81"/>
      <c r="C271" s="171" t="str">
        <f t="array" ref="C271">IFERROR(IF(LEN(C$11)=0,"",IF($C$7&lt;&gt;"All",INDEX(Calc!$E$8:$E$500,MATCH(SMALL(IF((Calc!$C$8:$C$500=Kanban!$C$7)*(Calc!$K$8:$K$500=Kanban!C$11)*(Calc!$Y$8:$Y$500&gt;0),Calc!$Y$8:$Y$500,99999),Kanban_Helper!$B264),Calc!$Y$8:$Y$500,0)),INDEX(Calc!$E$8:$E$500,MATCH(SMALL(IF((Calc!$K$8:$K$500=Kanban!C$11)*(Calc!$Y$8:$Y$500&gt;0),Calc!$Y$8:$Y$500,99999),Kanban_Helper!$B264),Calc!$Y$8:$Y$500,0)))),"")</f>
        <v/>
      </c>
      <c r="D271" s="171" t="str">
        <f t="array" ref="D271">IFERROR(IF(LEN(D$11)=0,"",IF($C$7&lt;&gt;"All",INDEX(Calc!$E$8:$E$500,MATCH(SMALL(IF((Calc!$C$8:$C$500=Kanban!$C$7)*(Calc!$K$8:$K$500=Kanban!D$11)*(Calc!$Y$8:$Y$500&gt;0),Calc!$Y$8:$Y$500,99999),Kanban_Helper!$B264),Calc!$Y$8:$Y$500,0)),INDEX(Calc!$E$8:$E$500,MATCH(SMALL(IF((Calc!$K$8:$K$500=Kanban!D$11)*(Calc!$Y$8:$Y$500&gt;0),Calc!$Y$8:$Y$500,99999),Kanban_Helper!$B264),Calc!$Y$8:$Y$500,0)))),"")</f>
        <v/>
      </c>
      <c r="E271" s="171" t="str">
        <f t="array" ref="E271">IFERROR(IF(LEN(E$11)=0,"",IF($C$7&lt;&gt;"All",INDEX(Calc!$E$8:$E$500,MATCH(SMALL(IF((Calc!$C$8:$C$500=Kanban!$C$7)*(Calc!$K$8:$K$500=Kanban!E$11)*(Calc!$Y$8:$Y$500&gt;0),Calc!$Y$8:$Y$500,99999),Kanban_Helper!$B264),Calc!$Y$8:$Y$500,0)),INDEX(Calc!$E$8:$E$500,MATCH(SMALL(IF((Calc!$K$8:$K$500=Kanban!E$11)*(Calc!$Y$8:$Y$500&gt;0),Calc!$Y$8:$Y$500,99999),Kanban_Helper!$B264),Calc!$Y$8:$Y$500,0)))),"")</f>
        <v/>
      </c>
      <c r="F271" s="171" t="str">
        <f t="array" ref="F271">IFERROR(IF(LEN(F$11)=0,"",IF($C$7&lt;&gt;"All",INDEX(Calc!$E$8:$E$500,MATCH(SMALL(IF((Calc!$C$8:$C$500=Kanban!$C$7)*(Calc!$K$8:$K$500=Kanban!F$11)*(Calc!$Y$8:$Y$500&gt;0),Calc!$Y$8:$Y$500,99999),Kanban_Helper!$B264),Calc!$Y$8:$Y$500,0)),INDEX(Calc!$E$8:$E$500,MATCH(SMALL(IF((Calc!$K$8:$K$500=Kanban!F$11)*(Calc!$Y$8:$Y$500&gt;0),Calc!$Y$8:$Y$500,99999),Kanban_Helper!$B264),Calc!$Y$8:$Y$500,0)))),"")</f>
        <v/>
      </c>
      <c r="G271" s="171" t="str">
        <f t="array" ref="G271">IFERROR(IF(LEN(G$11)=0,"",IF($C$7&lt;&gt;"All",INDEX(Calc!$E$8:$E$500,MATCH(SMALL(IF((Calc!$C$8:$C$500=Kanban!$C$7)*(Calc!$K$8:$K$500=Kanban!G$11)*(Calc!$Y$8:$Y$500&gt;0),Calc!$Y$8:$Y$500,99999),Kanban_Helper!$B264),Calc!$Y$8:$Y$500,0)),INDEX(Calc!$E$8:$E$500,MATCH(SMALL(IF((Calc!$K$8:$K$500=Kanban!G$11)*(Calc!$Y$8:$Y$500&gt;0),Calc!$Y$8:$Y$500,99999),Kanban_Helper!$B264),Calc!$Y$8:$Y$500,0)))),"")</f>
        <v/>
      </c>
      <c r="H271" s="171" t="str">
        <f t="array" ref="H271">IFERROR(IF(LEN(H$11)=0,"",IF($C$7&lt;&gt;"All",INDEX(Calc!$E$8:$E$500,MATCH(SMALL(IF((Calc!$C$8:$C$500=Kanban!$C$7)*(Calc!$K$8:$K$500=Kanban!H$11)*(Calc!$Y$8:$Y$500&gt;0),Calc!$Y$8:$Y$500,99999),Kanban_Helper!$B264),Calc!$Y$8:$Y$500,0)),INDEX(Calc!$E$8:$E$500,MATCH(SMALL(IF((Calc!$K$8:$K$500=Kanban!H$11)*(Calc!$Y$8:$Y$500&gt;0),Calc!$Y$8:$Y$500,99999),Kanban_Helper!$B264),Calc!$Y$8:$Y$500,0)))),"")</f>
        <v/>
      </c>
      <c r="I271" s="39"/>
    </row>
    <row r="272" spans="2:9" ht="15" thickBot="1" x14ac:dyDescent="0.4">
      <c r="B272" s="81"/>
      <c r="C272" s="172" t="str">
        <f t="array" ref="C272">IFERROR(IF(LEN(C$11)=0,"",IF($C$7&lt;&gt;"All",IF(LEN(INDEX(Calc!$J$8:$J$500,MATCH(SMALL(IF((Calc!$C$8:$C$500=Kanban!$C$7)*(Calc!$K$8:$K$500=Kanban!C$11)*(Calc!$Y$8:$Y$500&gt;0),Calc!$Y$8:$Y$500,99999),Kanban_Helper!$B265),Calc!$Y$8:$Y$500,0)))=0,"",CONCATENATE(Calc!$AD$6,INDEX(Calc!$J$8:$J$500,MATCH(SMALL(IF((Calc!$C$8:$C$500=Kanban!$C$7)*(Calc!$K$8:$K$500=Kanban!C$11)*(Calc!$Y$8:$Y$500&gt;0),Calc!$Y$8:$Y$500,99999),Kanban_Helper!$B265),Calc!$Y$8:$Y$500,0)))),IF(LEN(INDEX(Calc!$J$8:$J$500,MATCH(SMALL(IF((Calc!$K$8:$K$500=Kanban!C$11)*(Calc!$Y$8:$Y$500&gt;0),Calc!$Y$8:$Y$500,99999),Kanban_Helper!$B265),Calc!$Y$8:$Y$500,0)))=0,"",CONCATENATE(Calc!$AD$6,INDEX(Calc!$J$8:$J$500,MATCH(SMALL(IF((Calc!$K$8:$K$500=Kanban!C$11)*(Calc!$Y$8:$Y$500&gt;0),Calc!$Y$8:$Y$500,99999),Kanban_Helper!$B265),Calc!$Y$8:$Y$500,0)))))),"")</f>
        <v/>
      </c>
      <c r="D272" s="172" t="str">
        <f t="array" ref="D272">IFERROR(IF(LEN(D$11)=0,"",IF($C$7&lt;&gt;"All",IF(LEN(INDEX(Calc!$J$8:$J$500,MATCH(SMALL(IF((Calc!$C$8:$C$500=Kanban!$C$7)*(Calc!$K$8:$K$500=Kanban!D$11)*(Calc!$Y$8:$Y$500&gt;0),Calc!$Y$8:$Y$500,99999),Kanban_Helper!$B265),Calc!$Y$8:$Y$500,0)))=0,"",CONCATENATE(Calc!$AD$6,INDEX(Calc!$J$8:$J$500,MATCH(SMALL(IF((Calc!$C$8:$C$500=Kanban!$C$7)*(Calc!$K$8:$K$500=Kanban!D$11)*(Calc!$Y$8:$Y$500&gt;0),Calc!$Y$8:$Y$500,99999),Kanban_Helper!$B265),Calc!$Y$8:$Y$500,0)))),IF(LEN(INDEX(Calc!$J$8:$J$500,MATCH(SMALL(IF((Calc!$K$8:$K$500=Kanban!D$11)*(Calc!$Y$8:$Y$500&gt;0),Calc!$Y$8:$Y$500,99999),Kanban_Helper!$B265),Calc!$Y$8:$Y$500,0)))=0,"",CONCATENATE(Calc!$AD$6,INDEX(Calc!$J$8:$J$500,MATCH(SMALL(IF((Calc!$K$8:$K$500=Kanban!D$11)*(Calc!$Y$8:$Y$500&gt;0),Calc!$Y$8:$Y$500,99999),Kanban_Helper!$B265),Calc!$Y$8:$Y$500,0)))))),"")</f>
        <v/>
      </c>
      <c r="E272" s="172" t="str">
        <f t="array" ref="E272">IFERROR(IF(LEN(E$11)=0,"",IF($C$7&lt;&gt;"All",IF(LEN(INDEX(Calc!$J$8:$J$500,MATCH(SMALL(IF((Calc!$C$8:$C$500=Kanban!$C$7)*(Calc!$K$8:$K$500=Kanban!E$11)*(Calc!$Y$8:$Y$500&gt;0),Calc!$Y$8:$Y$500,99999),Kanban_Helper!$B265),Calc!$Y$8:$Y$500,0)))=0,"",CONCATENATE(Calc!$AD$6,INDEX(Calc!$J$8:$J$500,MATCH(SMALL(IF((Calc!$C$8:$C$500=Kanban!$C$7)*(Calc!$K$8:$K$500=Kanban!E$11)*(Calc!$Y$8:$Y$500&gt;0),Calc!$Y$8:$Y$500,99999),Kanban_Helper!$B265),Calc!$Y$8:$Y$500,0)))),IF(LEN(INDEX(Calc!$J$8:$J$500,MATCH(SMALL(IF((Calc!$K$8:$K$500=Kanban!E$11)*(Calc!$Y$8:$Y$500&gt;0),Calc!$Y$8:$Y$500,99999),Kanban_Helper!$B265),Calc!$Y$8:$Y$500,0)))=0,"",CONCATENATE(Calc!$AD$6,INDEX(Calc!$J$8:$J$500,MATCH(SMALL(IF((Calc!$K$8:$K$500=Kanban!E$11)*(Calc!$Y$8:$Y$500&gt;0),Calc!$Y$8:$Y$500,99999),Kanban_Helper!$B265),Calc!$Y$8:$Y$500,0)))))),"")</f>
        <v/>
      </c>
      <c r="F272" s="172" t="str">
        <f t="array" ref="F272">IFERROR(IF(LEN(F$11)=0,"",IF($C$7&lt;&gt;"All",IF(LEN(INDEX(Calc!$J$8:$J$500,MATCH(SMALL(IF((Calc!$C$8:$C$500=Kanban!$C$7)*(Calc!$K$8:$K$500=Kanban!F$11)*(Calc!$Y$8:$Y$500&gt;0),Calc!$Y$8:$Y$500,99999),Kanban_Helper!$B265),Calc!$Y$8:$Y$500,0)))=0,"",CONCATENATE(Calc!$AD$6,INDEX(Calc!$J$8:$J$500,MATCH(SMALL(IF((Calc!$C$8:$C$500=Kanban!$C$7)*(Calc!$K$8:$K$500=Kanban!F$11)*(Calc!$Y$8:$Y$500&gt;0),Calc!$Y$8:$Y$500,99999),Kanban_Helper!$B265),Calc!$Y$8:$Y$500,0)))),IF(LEN(INDEX(Calc!$J$8:$J$500,MATCH(SMALL(IF((Calc!$K$8:$K$500=Kanban!F$11)*(Calc!$Y$8:$Y$500&gt;0),Calc!$Y$8:$Y$500,99999),Kanban_Helper!$B265),Calc!$Y$8:$Y$500,0)))=0,"",CONCATENATE(Calc!$AD$6,INDEX(Calc!$J$8:$J$500,MATCH(SMALL(IF((Calc!$K$8:$K$500=Kanban!F$11)*(Calc!$Y$8:$Y$500&gt;0),Calc!$Y$8:$Y$500,99999),Kanban_Helper!$B265),Calc!$Y$8:$Y$500,0)))))),"")</f>
        <v/>
      </c>
      <c r="G272" s="172" t="str">
        <f t="array" ref="G272">IFERROR(IF(LEN(G$11)=0,"",IF($C$7&lt;&gt;"All",IF(LEN(INDEX(Calc!$J$8:$J$500,MATCH(SMALL(IF((Calc!$C$8:$C$500=Kanban!$C$7)*(Calc!$K$8:$K$500=Kanban!G$11)*(Calc!$Y$8:$Y$500&gt;0),Calc!$Y$8:$Y$500,99999),Kanban_Helper!$B265),Calc!$Y$8:$Y$500,0)))=0,"",CONCATENATE(Calc!$AD$6,INDEX(Calc!$J$8:$J$500,MATCH(SMALL(IF((Calc!$C$8:$C$500=Kanban!$C$7)*(Calc!$K$8:$K$500=Kanban!G$11)*(Calc!$Y$8:$Y$500&gt;0),Calc!$Y$8:$Y$500,99999),Kanban_Helper!$B265),Calc!$Y$8:$Y$500,0)))),IF(LEN(INDEX(Calc!$J$8:$J$500,MATCH(SMALL(IF((Calc!$K$8:$K$500=Kanban!G$11)*(Calc!$Y$8:$Y$500&gt;0),Calc!$Y$8:$Y$500,99999),Kanban_Helper!$B265),Calc!$Y$8:$Y$500,0)))=0,"",CONCATENATE(Calc!$AD$6,INDEX(Calc!$J$8:$J$500,MATCH(SMALL(IF((Calc!$K$8:$K$500=Kanban!G$11)*(Calc!$Y$8:$Y$500&gt;0),Calc!$Y$8:$Y$500,99999),Kanban_Helper!$B265),Calc!$Y$8:$Y$500,0)))))),"")</f>
        <v/>
      </c>
      <c r="H272" s="172" t="str">
        <f t="array" ref="H272">IFERROR(IF(LEN(H$11)=0,"",IF($C$7&lt;&gt;"All",IF(LEN(INDEX(Calc!$J$8:$J$500,MATCH(SMALL(IF((Calc!$C$8:$C$500=Kanban!$C$7)*(Calc!$K$8:$K$500=Kanban!H$11)*(Calc!$Y$8:$Y$500&gt;0),Calc!$Y$8:$Y$500,99999),Kanban_Helper!$B265),Calc!$Y$8:$Y$500,0)))=0,"",CONCATENATE(Calc!$AD$6,INDEX(Calc!$J$8:$J$500,MATCH(SMALL(IF((Calc!$C$8:$C$500=Kanban!$C$7)*(Calc!$K$8:$K$500=Kanban!H$11)*(Calc!$Y$8:$Y$500&gt;0),Calc!$Y$8:$Y$500,99999),Kanban_Helper!$B265),Calc!$Y$8:$Y$500,0)))),IF(LEN(INDEX(Calc!$J$8:$J$500,MATCH(SMALL(IF((Calc!$K$8:$K$500=Kanban!H$11)*(Calc!$Y$8:$Y$500&gt;0),Calc!$Y$8:$Y$500,99999),Kanban_Helper!$B265),Calc!$Y$8:$Y$500,0)))=0,"",CONCATENATE(Calc!$AD$6,INDEX(Calc!$J$8:$J$500,MATCH(SMALL(IF((Calc!$K$8:$K$500=Kanban!H$11)*(Calc!$Y$8:$Y$500&gt;0),Calc!$Y$8:$Y$500,99999),Kanban_Helper!$B265),Calc!$Y$8:$Y$500,0)))))),"")</f>
        <v/>
      </c>
      <c r="I272" s="39"/>
    </row>
    <row r="273" spans="2:9" ht="15" thickTop="1" x14ac:dyDescent="0.35">
      <c r="B273" s="81"/>
      <c r="C273" s="170" t="str">
        <f t="array" ref="C273">IFERROR(IF(LEN(C$11)=0,"",IF($C$7&lt;&gt;"All",IF(INDEX(Calc!$V$8:$V$500,MATCH(INDEX(Calc!$D$8:$D$500,MATCH(SMALL(IF((Calc!$C$8:$C$500=Kanban!$C$7)*(Calc!$K$8:$K$500=Kanban!C$11)*(Calc!$Y$8:$Y$500&gt;0),Calc!$Y$8:$Y$500,99999),Kanban_Helper!$B266),Calc!$Y$8:$Y$500,0)),Calc!$D$8:$D$500,0))="Yes",CONCATENATE(INDEX(Calc!$D$8:$D$500,MATCH(SMALL(IF((Calc!$C$8:$C$500=Kanban!$C$7)*(Calc!$K$8:$K$500=Kanban!C$11)*(Calc!$Y$8:$Y$500&gt;0),Calc!$Y$8:$Y$500,99999),Kanban_Helper!$B266),Calc!$Y$8:$Y$500,0))," ",Calc!$V$7," ","!"),INDEX(Calc!$D$8:$D$500,MATCH(SMALL(IF((Calc!$C$8:$C$500=Kanban!$C$7)*(Calc!$K$8:$K$500=Kanban!C$11)*(Calc!$Y$8:$Y$500&gt;0),Calc!$Y$8:$Y$500,99999),Kanban_Helper!$B266),Calc!$Y$8:$Y$500,0))),IF(INDEX(Calc!$V$8:$V$500,MATCH(INDEX(Calc!$D$8:$D$500,MATCH(SMALL(IF((Calc!$K$8:$K$500=Kanban!C$11)*(Calc!$Y$8:$Y$500&gt;0),Calc!$Y$8:$Y$500,99999),Kanban_Helper!$B266),Calc!$Y$8:$Y$500,0)),Calc!$D$8:$D$500,0))="Yes",CONCATENATE(INDEX(Calc!$D$8:$D$500,MATCH(SMALL(IF((Calc!$K$8:$K$500=Kanban!C$11)*(Calc!$Y$8:$Y$500&gt;0),Calc!$Y$8:$Y$500,99999),Kanban_Helper!$B266),Calc!$Y$8:$Y$500,0))," ",Calc!$V$7," ","!"),INDEX(Calc!$D$8:$D$500,MATCH(SMALL(IF((Calc!$K$8:$K$500=Kanban!C$11)*(Calc!$Y$8:$Y$500&gt;0),Calc!$Y$8:$Y$500,99999),Kanban_Helper!$B266),Calc!$Y$8:$Y$500,0))))),"")</f>
        <v/>
      </c>
      <c r="D273" s="170" t="str">
        <f t="array" ref="D273">IFERROR(IF(LEN(D$11)=0,"",IF($C$7&lt;&gt;"All",IF(INDEX(Calc!$V$8:$V$500,MATCH(INDEX(Calc!$D$8:$D$500,MATCH(SMALL(IF((Calc!$C$8:$C$500=Kanban!$C$7)*(Calc!$K$8:$K$500=Kanban!D$11)*(Calc!$Y$8:$Y$500&gt;0),Calc!$Y$8:$Y$500,99999),Kanban_Helper!$B266),Calc!$Y$8:$Y$500,0)),Calc!$D$8:$D$500,0))="Yes",CONCATENATE(INDEX(Calc!$D$8:$D$500,MATCH(SMALL(IF((Calc!$C$8:$C$500=Kanban!$C$7)*(Calc!$K$8:$K$500=Kanban!D$11)*(Calc!$Y$8:$Y$500&gt;0),Calc!$Y$8:$Y$500,99999),Kanban_Helper!$B266),Calc!$Y$8:$Y$500,0))," ",Calc!$V$7," ","!"),INDEX(Calc!$D$8:$D$500,MATCH(SMALL(IF((Calc!$C$8:$C$500=Kanban!$C$7)*(Calc!$K$8:$K$500=Kanban!D$11)*(Calc!$Y$8:$Y$500&gt;0),Calc!$Y$8:$Y$500,99999),Kanban_Helper!$B266),Calc!$Y$8:$Y$500,0))),IF(INDEX(Calc!$V$8:$V$500,MATCH(INDEX(Calc!$D$8:$D$500,MATCH(SMALL(IF((Calc!$K$8:$K$500=Kanban!D$11)*(Calc!$Y$8:$Y$500&gt;0),Calc!$Y$8:$Y$500,99999),Kanban_Helper!$B266),Calc!$Y$8:$Y$500,0)),Calc!$D$8:$D$500,0))="Yes",CONCATENATE(INDEX(Calc!$D$8:$D$500,MATCH(SMALL(IF((Calc!$K$8:$K$500=Kanban!D$11)*(Calc!$Y$8:$Y$500&gt;0),Calc!$Y$8:$Y$500,99999),Kanban_Helper!$B266),Calc!$Y$8:$Y$500,0))," ",Calc!$V$7," ","!"),INDEX(Calc!$D$8:$D$500,MATCH(SMALL(IF((Calc!$K$8:$K$500=Kanban!D$11)*(Calc!$Y$8:$Y$500&gt;0),Calc!$Y$8:$Y$500,99999),Kanban_Helper!$B266),Calc!$Y$8:$Y$500,0))))),"")</f>
        <v/>
      </c>
      <c r="E273" s="170" t="str">
        <f t="array" ref="E273">IFERROR(IF(LEN(E$11)=0,"",IF($C$7&lt;&gt;"All",IF(INDEX(Calc!$V$8:$V$500,MATCH(INDEX(Calc!$D$8:$D$500,MATCH(SMALL(IF((Calc!$C$8:$C$500=Kanban!$C$7)*(Calc!$K$8:$K$500=Kanban!E$11)*(Calc!$Y$8:$Y$500&gt;0),Calc!$Y$8:$Y$500,99999),Kanban_Helper!$B266),Calc!$Y$8:$Y$500,0)),Calc!$D$8:$D$500,0))="Yes",CONCATENATE(INDEX(Calc!$D$8:$D$500,MATCH(SMALL(IF((Calc!$C$8:$C$500=Kanban!$C$7)*(Calc!$K$8:$K$500=Kanban!E$11)*(Calc!$Y$8:$Y$500&gt;0),Calc!$Y$8:$Y$500,99999),Kanban_Helper!$B266),Calc!$Y$8:$Y$500,0))," ",Calc!$V$7," ","!"),INDEX(Calc!$D$8:$D$500,MATCH(SMALL(IF((Calc!$C$8:$C$500=Kanban!$C$7)*(Calc!$K$8:$K$500=Kanban!E$11)*(Calc!$Y$8:$Y$500&gt;0),Calc!$Y$8:$Y$500,99999),Kanban_Helper!$B266),Calc!$Y$8:$Y$500,0))),IF(INDEX(Calc!$V$8:$V$500,MATCH(INDEX(Calc!$D$8:$D$500,MATCH(SMALL(IF((Calc!$K$8:$K$500=Kanban!E$11)*(Calc!$Y$8:$Y$500&gt;0),Calc!$Y$8:$Y$500,99999),Kanban_Helper!$B266),Calc!$Y$8:$Y$500,0)),Calc!$D$8:$D$500,0))="Yes",CONCATENATE(INDEX(Calc!$D$8:$D$500,MATCH(SMALL(IF((Calc!$K$8:$K$500=Kanban!E$11)*(Calc!$Y$8:$Y$500&gt;0),Calc!$Y$8:$Y$500,99999),Kanban_Helper!$B266),Calc!$Y$8:$Y$500,0))," ",Calc!$V$7," ","!"),INDEX(Calc!$D$8:$D$500,MATCH(SMALL(IF((Calc!$K$8:$K$500=Kanban!E$11)*(Calc!$Y$8:$Y$500&gt;0),Calc!$Y$8:$Y$500,99999),Kanban_Helper!$B266),Calc!$Y$8:$Y$500,0))))),"")</f>
        <v/>
      </c>
      <c r="F273" s="170" t="str">
        <f t="array" ref="F273">IFERROR(IF(LEN(F$11)=0,"",IF($C$7&lt;&gt;"All",IF(INDEX(Calc!$V$8:$V$500,MATCH(INDEX(Calc!$D$8:$D$500,MATCH(SMALL(IF((Calc!$C$8:$C$500=Kanban!$C$7)*(Calc!$K$8:$K$500=Kanban!F$11)*(Calc!$Y$8:$Y$500&gt;0),Calc!$Y$8:$Y$500,99999),Kanban_Helper!$B266),Calc!$Y$8:$Y$500,0)),Calc!$D$8:$D$500,0))="Yes",CONCATENATE(INDEX(Calc!$D$8:$D$500,MATCH(SMALL(IF((Calc!$C$8:$C$500=Kanban!$C$7)*(Calc!$K$8:$K$500=Kanban!F$11)*(Calc!$Y$8:$Y$500&gt;0),Calc!$Y$8:$Y$500,99999),Kanban_Helper!$B266),Calc!$Y$8:$Y$500,0))," ",Calc!$V$7," ","!"),INDEX(Calc!$D$8:$D$500,MATCH(SMALL(IF((Calc!$C$8:$C$500=Kanban!$C$7)*(Calc!$K$8:$K$500=Kanban!F$11)*(Calc!$Y$8:$Y$500&gt;0),Calc!$Y$8:$Y$500,99999),Kanban_Helper!$B266),Calc!$Y$8:$Y$500,0))),IF(INDEX(Calc!$V$8:$V$500,MATCH(INDEX(Calc!$D$8:$D$500,MATCH(SMALL(IF((Calc!$K$8:$K$500=Kanban!F$11)*(Calc!$Y$8:$Y$500&gt;0),Calc!$Y$8:$Y$500,99999),Kanban_Helper!$B266),Calc!$Y$8:$Y$500,0)),Calc!$D$8:$D$500,0))="Yes",CONCATENATE(INDEX(Calc!$D$8:$D$500,MATCH(SMALL(IF((Calc!$K$8:$K$500=Kanban!F$11)*(Calc!$Y$8:$Y$500&gt;0),Calc!$Y$8:$Y$500,99999),Kanban_Helper!$B266),Calc!$Y$8:$Y$500,0))," ",Calc!$V$7," ","!"),INDEX(Calc!$D$8:$D$500,MATCH(SMALL(IF((Calc!$K$8:$K$500=Kanban!F$11)*(Calc!$Y$8:$Y$500&gt;0),Calc!$Y$8:$Y$500,99999),Kanban_Helper!$B266),Calc!$Y$8:$Y$500,0))))),"")</f>
        <v/>
      </c>
      <c r="G273" s="170" t="str">
        <f t="array" ref="G273">IFERROR(IF(LEN(G$11)=0,"",IF($C$7&lt;&gt;"All",IF(INDEX(Calc!$V$8:$V$500,MATCH(INDEX(Calc!$D$8:$D$500,MATCH(SMALL(IF((Calc!$C$8:$C$500=Kanban!$C$7)*(Calc!$K$8:$K$500=Kanban!G$11)*(Calc!$Y$8:$Y$500&gt;0),Calc!$Y$8:$Y$500,99999),Kanban_Helper!$B266),Calc!$Y$8:$Y$500,0)),Calc!$D$8:$D$500,0))="Yes",CONCATENATE(INDEX(Calc!$D$8:$D$500,MATCH(SMALL(IF((Calc!$C$8:$C$500=Kanban!$C$7)*(Calc!$K$8:$K$500=Kanban!G$11)*(Calc!$Y$8:$Y$500&gt;0),Calc!$Y$8:$Y$500,99999),Kanban_Helper!$B266),Calc!$Y$8:$Y$500,0))," ",Calc!$V$7," ","!"),INDEX(Calc!$D$8:$D$500,MATCH(SMALL(IF((Calc!$C$8:$C$500=Kanban!$C$7)*(Calc!$K$8:$K$500=Kanban!G$11)*(Calc!$Y$8:$Y$500&gt;0),Calc!$Y$8:$Y$500,99999),Kanban_Helper!$B266),Calc!$Y$8:$Y$500,0))),IF(INDEX(Calc!$V$8:$V$500,MATCH(INDEX(Calc!$D$8:$D$500,MATCH(SMALL(IF((Calc!$K$8:$K$500=Kanban!G$11)*(Calc!$Y$8:$Y$500&gt;0),Calc!$Y$8:$Y$500,99999),Kanban_Helper!$B266),Calc!$Y$8:$Y$500,0)),Calc!$D$8:$D$500,0))="Yes",CONCATENATE(INDEX(Calc!$D$8:$D$500,MATCH(SMALL(IF((Calc!$K$8:$K$500=Kanban!G$11)*(Calc!$Y$8:$Y$500&gt;0),Calc!$Y$8:$Y$500,99999),Kanban_Helper!$B266),Calc!$Y$8:$Y$500,0))," ",Calc!$V$7," ","!"),INDEX(Calc!$D$8:$D$500,MATCH(SMALL(IF((Calc!$K$8:$K$500=Kanban!G$11)*(Calc!$Y$8:$Y$500&gt;0),Calc!$Y$8:$Y$500,99999),Kanban_Helper!$B266),Calc!$Y$8:$Y$500,0))))),"")</f>
        <v/>
      </c>
      <c r="H273" s="170" t="str">
        <f t="array" ref="H273">IFERROR(IF(LEN(H$11)=0,"",IF($C$7&lt;&gt;"All",IF(INDEX(Calc!$V$8:$V$500,MATCH(INDEX(Calc!$D$8:$D$500,MATCH(SMALL(IF((Calc!$C$8:$C$500=Kanban!$C$7)*(Calc!$K$8:$K$500=Kanban!H$11)*(Calc!$Y$8:$Y$500&gt;0),Calc!$Y$8:$Y$500,99999),Kanban_Helper!$B266),Calc!$Y$8:$Y$500,0)),Calc!$D$8:$D$500,0))="Yes",CONCATENATE(INDEX(Calc!$D$8:$D$500,MATCH(SMALL(IF((Calc!$C$8:$C$500=Kanban!$C$7)*(Calc!$K$8:$K$500=Kanban!H$11)*(Calc!$Y$8:$Y$500&gt;0),Calc!$Y$8:$Y$500,99999),Kanban_Helper!$B266),Calc!$Y$8:$Y$500,0))," ",Calc!$V$7," ","!"),INDEX(Calc!$D$8:$D$500,MATCH(SMALL(IF((Calc!$C$8:$C$500=Kanban!$C$7)*(Calc!$K$8:$K$500=Kanban!H$11)*(Calc!$Y$8:$Y$500&gt;0),Calc!$Y$8:$Y$500,99999),Kanban_Helper!$B266),Calc!$Y$8:$Y$500,0))),IF(INDEX(Calc!$V$8:$V$500,MATCH(INDEX(Calc!$D$8:$D$500,MATCH(SMALL(IF((Calc!$K$8:$K$500=Kanban!H$11)*(Calc!$Y$8:$Y$500&gt;0),Calc!$Y$8:$Y$500,99999),Kanban_Helper!$B266),Calc!$Y$8:$Y$500,0)),Calc!$D$8:$D$500,0))="Yes",CONCATENATE(INDEX(Calc!$D$8:$D$500,MATCH(SMALL(IF((Calc!$K$8:$K$500=Kanban!H$11)*(Calc!$Y$8:$Y$500&gt;0),Calc!$Y$8:$Y$500,99999),Kanban_Helper!$B266),Calc!$Y$8:$Y$500,0))," ",Calc!$V$7," ","!"),INDEX(Calc!$D$8:$D$500,MATCH(SMALL(IF((Calc!$K$8:$K$500=Kanban!H$11)*(Calc!$Y$8:$Y$500&gt;0),Calc!$Y$8:$Y$500,99999),Kanban_Helper!$B266),Calc!$Y$8:$Y$500,0))))),"")</f>
        <v/>
      </c>
      <c r="I273" s="39"/>
    </row>
    <row r="274" spans="2:9" x14ac:dyDescent="0.35">
      <c r="B274" s="81"/>
      <c r="C274" s="171" t="str">
        <f t="array" ref="C274">IFERROR(IF(LEN(C$11)=0,"",IF($C$7&lt;&gt;"All",INDEX(Calc!$E$8:$E$500,MATCH(SMALL(IF((Calc!$C$8:$C$500=Kanban!$C$7)*(Calc!$K$8:$K$500=Kanban!C$11)*(Calc!$Y$8:$Y$500&gt;0),Calc!$Y$8:$Y$500,99999),Kanban_Helper!$B267),Calc!$Y$8:$Y$500,0)),INDEX(Calc!$E$8:$E$500,MATCH(SMALL(IF((Calc!$K$8:$K$500=Kanban!C$11)*(Calc!$Y$8:$Y$500&gt;0),Calc!$Y$8:$Y$500,99999),Kanban_Helper!$B267),Calc!$Y$8:$Y$500,0)))),"")</f>
        <v/>
      </c>
      <c r="D274" s="171" t="str">
        <f t="array" ref="D274">IFERROR(IF(LEN(D$11)=0,"",IF($C$7&lt;&gt;"All",INDEX(Calc!$E$8:$E$500,MATCH(SMALL(IF((Calc!$C$8:$C$500=Kanban!$C$7)*(Calc!$K$8:$K$500=Kanban!D$11)*(Calc!$Y$8:$Y$500&gt;0),Calc!$Y$8:$Y$500,99999),Kanban_Helper!$B267),Calc!$Y$8:$Y$500,0)),INDEX(Calc!$E$8:$E$500,MATCH(SMALL(IF((Calc!$K$8:$K$500=Kanban!D$11)*(Calc!$Y$8:$Y$500&gt;0),Calc!$Y$8:$Y$500,99999),Kanban_Helper!$B267),Calc!$Y$8:$Y$500,0)))),"")</f>
        <v/>
      </c>
      <c r="E274" s="171" t="str">
        <f t="array" ref="E274">IFERROR(IF(LEN(E$11)=0,"",IF($C$7&lt;&gt;"All",INDEX(Calc!$E$8:$E$500,MATCH(SMALL(IF((Calc!$C$8:$C$500=Kanban!$C$7)*(Calc!$K$8:$K$500=Kanban!E$11)*(Calc!$Y$8:$Y$500&gt;0),Calc!$Y$8:$Y$500,99999),Kanban_Helper!$B267),Calc!$Y$8:$Y$500,0)),INDEX(Calc!$E$8:$E$500,MATCH(SMALL(IF((Calc!$K$8:$K$500=Kanban!E$11)*(Calc!$Y$8:$Y$500&gt;0),Calc!$Y$8:$Y$500,99999),Kanban_Helper!$B267),Calc!$Y$8:$Y$500,0)))),"")</f>
        <v/>
      </c>
      <c r="F274" s="171" t="str">
        <f t="array" ref="F274">IFERROR(IF(LEN(F$11)=0,"",IF($C$7&lt;&gt;"All",INDEX(Calc!$E$8:$E$500,MATCH(SMALL(IF((Calc!$C$8:$C$500=Kanban!$C$7)*(Calc!$K$8:$K$500=Kanban!F$11)*(Calc!$Y$8:$Y$500&gt;0),Calc!$Y$8:$Y$500,99999),Kanban_Helper!$B267),Calc!$Y$8:$Y$500,0)),INDEX(Calc!$E$8:$E$500,MATCH(SMALL(IF((Calc!$K$8:$K$500=Kanban!F$11)*(Calc!$Y$8:$Y$500&gt;0),Calc!$Y$8:$Y$500,99999),Kanban_Helper!$B267),Calc!$Y$8:$Y$500,0)))),"")</f>
        <v/>
      </c>
      <c r="G274" s="171" t="str">
        <f t="array" ref="G274">IFERROR(IF(LEN(G$11)=0,"",IF($C$7&lt;&gt;"All",INDEX(Calc!$E$8:$E$500,MATCH(SMALL(IF((Calc!$C$8:$C$500=Kanban!$C$7)*(Calc!$K$8:$K$500=Kanban!G$11)*(Calc!$Y$8:$Y$500&gt;0),Calc!$Y$8:$Y$500,99999),Kanban_Helper!$B267),Calc!$Y$8:$Y$500,0)),INDEX(Calc!$E$8:$E$500,MATCH(SMALL(IF((Calc!$K$8:$K$500=Kanban!G$11)*(Calc!$Y$8:$Y$500&gt;0),Calc!$Y$8:$Y$500,99999),Kanban_Helper!$B267),Calc!$Y$8:$Y$500,0)))),"")</f>
        <v/>
      </c>
      <c r="H274" s="171" t="str">
        <f t="array" ref="H274">IFERROR(IF(LEN(H$11)=0,"",IF($C$7&lt;&gt;"All",INDEX(Calc!$E$8:$E$500,MATCH(SMALL(IF((Calc!$C$8:$C$500=Kanban!$C$7)*(Calc!$K$8:$K$500=Kanban!H$11)*(Calc!$Y$8:$Y$500&gt;0),Calc!$Y$8:$Y$500,99999),Kanban_Helper!$B267),Calc!$Y$8:$Y$500,0)),INDEX(Calc!$E$8:$E$500,MATCH(SMALL(IF((Calc!$K$8:$K$500=Kanban!H$11)*(Calc!$Y$8:$Y$500&gt;0),Calc!$Y$8:$Y$500,99999),Kanban_Helper!$B267),Calc!$Y$8:$Y$500,0)))),"")</f>
        <v/>
      </c>
      <c r="I274" s="39"/>
    </row>
    <row r="275" spans="2:9" ht="15" thickBot="1" x14ac:dyDescent="0.4">
      <c r="B275" s="81"/>
      <c r="C275" s="172" t="str">
        <f t="array" ref="C275">IFERROR(IF(LEN(C$11)=0,"",IF($C$7&lt;&gt;"All",IF(LEN(INDEX(Calc!$J$8:$J$500,MATCH(SMALL(IF((Calc!$C$8:$C$500=Kanban!$C$7)*(Calc!$K$8:$K$500=Kanban!C$11)*(Calc!$Y$8:$Y$500&gt;0),Calc!$Y$8:$Y$500,99999),Kanban_Helper!$B268),Calc!$Y$8:$Y$500,0)))=0,"",CONCATENATE(Calc!$AD$6,INDEX(Calc!$J$8:$J$500,MATCH(SMALL(IF((Calc!$C$8:$C$500=Kanban!$C$7)*(Calc!$K$8:$K$500=Kanban!C$11)*(Calc!$Y$8:$Y$500&gt;0),Calc!$Y$8:$Y$500,99999),Kanban_Helper!$B268),Calc!$Y$8:$Y$500,0)))),IF(LEN(INDEX(Calc!$J$8:$J$500,MATCH(SMALL(IF((Calc!$K$8:$K$500=Kanban!C$11)*(Calc!$Y$8:$Y$500&gt;0),Calc!$Y$8:$Y$500,99999),Kanban_Helper!$B268),Calc!$Y$8:$Y$500,0)))=0,"",CONCATENATE(Calc!$AD$6,INDEX(Calc!$J$8:$J$500,MATCH(SMALL(IF((Calc!$K$8:$K$500=Kanban!C$11)*(Calc!$Y$8:$Y$500&gt;0),Calc!$Y$8:$Y$500,99999),Kanban_Helper!$B268),Calc!$Y$8:$Y$500,0)))))),"")</f>
        <v/>
      </c>
      <c r="D275" s="172" t="str">
        <f t="array" ref="D275">IFERROR(IF(LEN(D$11)=0,"",IF($C$7&lt;&gt;"All",IF(LEN(INDEX(Calc!$J$8:$J$500,MATCH(SMALL(IF((Calc!$C$8:$C$500=Kanban!$C$7)*(Calc!$K$8:$K$500=Kanban!D$11)*(Calc!$Y$8:$Y$500&gt;0),Calc!$Y$8:$Y$500,99999),Kanban_Helper!$B268),Calc!$Y$8:$Y$500,0)))=0,"",CONCATENATE(Calc!$AD$6,INDEX(Calc!$J$8:$J$500,MATCH(SMALL(IF((Calc!$C$8:$C$500=Kanban!$C$7)*(Calc!$K$8:$K$500=Kanban!D$11)*(Calc!$Y$8:$Y$500&gt;0),Calc!$Y$8:$Y$500,99999),Kanban_Helper!$B268),Calc!$Y$8:$Y$500,0)))),IF(LEN(INDEX(Calc!$J$8:$J$500,MATCH(SMALL(IF((Calc!$K$8:$K$500=Kanban!D$11)*(Calc!$Y$8:$Y$500&gt;0),Calc!$Y$8:$Y$500,99999),Kanban_Helper!$B268),Calc!$Y$8:$Y$500,0)))=0,"",CONCATENATE(Calc!$AD$6,INDEX(Calc!$J$8:$J$500,MATCH(SMALL(IF((Calc!$K$8:$K$500=Kanban!D$11)*(Calc!$Y$8:$Y$500&gt;0),Calc!$Y$8:$Y$500,99999),Kanban_Helper!$B268),Calc!$Y$8:$Y$500,0)))))),"")</f>
        <v/>
      </c>
      <c r="E275" s="172" t="str">
        <f t="array" ref="E275">IFERROR(IF(LEN(E$11)=0,"",IF($C$7&lt;&gt;"All",IF(LEN(INDEX(Calc!$J$8:$J$500,MATCH(SMALL(IF((Calc!$C$8:$C$500=Kanban!$C$7)*(Calc!$K$8:$K$500=Kanban!E$11)*(Calc!$Y$8:$Y$500&gt;0),Calc!$Y$8:$Y$500,99999),Kanban_Helper!$B268),Calc!$Y$8:$Y$500,0)))=0,"",CONCATENATE(Calc!$AD$6,INDEX(Calc!$J$8:$J$500,MATCH(SMALL(IF((Calc!$C$8:$C$500=Kanban!$C$7)*(Calc!$K$8:$K$500=Kanban!E$11)*(Calc!$Y$8:$Y$500&gt;0),Calc!$Y$8:$Y$500,99999),Kanban_Helper!$B268),Calc!$Y$8:$Y$500,0)))),IF(LEN(INDEX(Calc!$J$8:$J$500,MATCH(SMALL(IF((Calc!$K$8:$K$500=Kanban!E$11)*(Calc!$Y$8:$Y$500&gt;0),Calc!$Y$8:$Y$500,99999),Kanban_Helper!$B268),Calc!$Y$8:$Y$500,0)))=0,"",CONCATENATE(Calc!$AD$6,INDEX(Calc!$J$8:$J$500,MATCH(SMALL(IF((Calc!$K$8:$K$500=Kanban!E$11)*(Calc!$Y$8:$Y$500&gt;0),Calc!$Y$8:$Y$500,99999),Kanban_Helper!$B268),Calc!$Y$8:$Y$500,0)))))),"")</f>
        <v/>
      </c>
      <c r="F275" s="172" t="str">
        <f t="array" ref="F275">IFERROR(IF(LEN(F$11)=0,"",IF($C$7&lt;&gt;"All",IF(LEN(INDEX(Calc!$J$8:$J$500,MATCH(SMALL(IF((Calc!$C$8:$C$500=Kanban!$C$7)*(Calc!$K$8:$K$500=Kanban!F$11)*(Calc!$Y$8:$Y$500&gt;0),Calc!$Y$8:$Y$500,99999),Kanban_Helper!$B268),Calc!$Y$8:$Y$500,0)))=0,"",CONCATENATE(Calc!$AD$6,INDEX(Calc!$J$8:$J$500,MATCH(SMALL(IF((Calc!$C$8:$C$500=Kanban!$C$7)*(Calc!$K$8:$K$500=Kanban!F$11)*(Calc!$Y$8:$Y$500&gt;0),Calc!$Y$8:$Y$500,99999),Kanban_Helper!$B268),Calc!$Y$8:$Y$500,0)))),IF(LEN(INDEX(Calc!$J$8:$J$500,MATCH(SMALL(IF((Calc!$K$8:$K$500=Kanban!F$11)*(Calc!$Y$8:$Y$500&gt;0),Calc!$Y$8:$Y$500,99999),Kanban_Helper!$B268),Calc!$Y$8:$Y$500,0)))=0,"",CONCATENATE(Calc!$AD$6,INDEX(Calc!$J$8:$J$500,MATCH(SMALL(IF((Calc!$K$8:$K$500=Kanban!F$11)*(Calc!$Y$8:$Y$500&gt;0),Calc!$Y$8:$Y$500,99999),Kanban_Helper!$B268),Calc!$Y$8:$Y$500,0)))))),"")</f>
        <v/>
      </c>
      <c r="G275" s="172" t="str">
        <f t="array" ref="G275">IFERROR(IF(LEN(G$11)=0,"",IF($C$7&lt;&gt;"All",IF(LEN(INDEX(Calc!$J$8:$J$500,MATCH(SMALL(IF((Calc!$C$8:$C$500=Kanban!$C$7)*(Calc!$K$8:$K$500=Kanban!G$11)*(Calc!$Y$8:$Y$500&gt;0),Calc!$Y$8:$Y$500,99999),Kanban_Helper!$B268),Calc!$Y$8:$Y$500,0)))=0,"",CONCATENATE(Calc!$AD$6,INDEX(Calc!$J$8:$J$500,MATCH(SMALL(IF((Calc!$C$8:$C$500=Kanban!$C$7)*(Calc!$K$8:$K$500=Kanban!G$11)*(Calc!$Y$8:$Y$500&gt;0),Calc!$Y$8:$Y$500,99999),Kanban_Helper!$B268),Calc!$Y$8:$Y$500,0)))),IF(LEN(INDEX(Calc!$J$8:$J$500,MATCH(SMALL(IF((Calc!$K$8:$K$500=Kanban!G$11)*(Calc!$Y$8:$Y$500&gt;0),Calc!$Y$8:$Y$500,99999),Kanban_Helper!$B268),Calc!$Y$8:$Y$500,0)))=0,"",CONCATENATE(Calc!$AD$6,INDEX(Calc!$J$8:$J$500,MATCH(SMALL(IF((Calc!$K$8:$K$500=Kanban!G$11)*(Calc!$Y$8:$Y$500&gt;0),Calc!$Y$8:$Y$500,99999),Kanban_Helper!$B268),Calc!$Y$8:$Y$500,0)))))),"")</f>
        <v/>
      </c>
      <c r="H275" s="172" t="str">
        <f t="array" ref="H275">IFERROR(IF(LEN(H$11)=0,"",IF($C$7&lt;&gt;"All",IF(LEN(INDEX(Calc!$J$8:$J$500,MATCH(SMALL(IF((Calc!$C$8:$C$500=Kanban!$C$7)*(Calc!$K$8:$K$500=Kanban!H$11)*(Calc!$Y$8:$Y$500&gt;0),Calc!$Y$8:$Y$500,99999),Kanban_Helper!$B268),Calc!$Y$8:$Y$500,0)))=0,"",CONCATENATE(Calc!$AD$6,INDEX(Calc!$J$8:$J$500,MATCH(SMALL(IF((Calc!$C$8:$C$500=Kanban!$C$7)*(Calc!$K$8:$K$500=Kanban!H$11)*(Calc!$Y$8:$Y$500&gt;0),Calc!$Y$8:$Y$500,99999),Kanban_Helper!$B268),Calc!$Y$8:$Y$500,0)))),IF(LEN(INDEX(Calc!$J$8:$J$500,MATCH(SMALL(IF((Calc!$K$8:$K$500=Kanban!H$11)*(Calc!$Y$8:$Y$500&gt;0),Calc!$Y$8:$Y$500,99999),Kanban_Helper!$B268),Calc!$Y$8:$Y$500,0)))=0,"",CONCATENATE(Calc!$AD$6,INDEX(Calc!$J$8:$J$500,MATCH(SMALL(IF((Calc!$K$8:$K$500=Kanban!H$11)*(Calc!$Y$8:$Y$500&gt;0),Calc!$Y$8:$Y$500,99999),Kanban_Helper!$B268),Calc!$Y$8:$Y$500,0)))))),"")</f>
        <v/>
      </c>
      <c r="I275" s="39"/>
    </row>
    <row r="276" spans="2:9" ht="15" thickTop="1" x14ac:dyDescent="0.35">
      <c r="B276" s="81"/>
      <c r="C276" s="170" t="str">
        <f t="array" ref="C276">IFERROR(IF(LEN(C$11)=0,"",IF($C$7&lt;&gt;"All",IF(INDEX(Calc!$V$8:$V$500,MATCH(INDEX(Calc!$D$8:$D$500,MATCH(SMALL(IF((Calc!$C$8:$C$500=Kanban!$C$7)*(Calc!$K$8:$K$500=Kanban!C$11)*(Calc!$Y$8:$Y$500&gt;0),Calc!$Y$8:$Y$500,99999),Kanban_Helper!$B269),Calc!$Y$8:$Y$500,0)),Calc!$D$8:$D$500,0))="Yes",CONCATENATE(INDEX(Calc!$D$8:$D$500,MATCH(SMALL(IF((Calc!$C$8:$C$500=Kanban!$C$7)*(Calc!$K$8:$K$500=Kanban!C$11)*(Calc!$Y$8:$Y$500&gt;0),Calc!$Y$8:$Y$500,99999),Kanban_Helper!$B269),Calc!$Y$8:$Y$500,0))," ",Calc!$V$7," ","!"),INDEX(Calc!$D$8:$D$500,MATCH(SMALL(IF((Calc!$C$8:$C$500=Kanban!$C$7)*(Calc!$K$8:$K$500=Kanban!C$11)*(Calc!$Y$8:$Y$500&gt;0),Calc!$Y$8:$Y$500,99999),Kanban_Helper!$B269),Calc!$Y$8:$Y$500,0))),IF(INDEX(Calc!$V$8:$V$500,MATCH(INDEX(Calc!$D$8:$D$500,MATCH(SMALL(IF((Calc!$K$8:$K$500=Kanban!C$11)*(Calc!$Y$8:$Y$500&gt;0),Calc!$Y$8:$Y$500,99999),Kanban_Helper!$B269),Calc!$Y$8:$Y$500,0)),Calc!$D$8:$D$500,0))="Yes",CONCATENATE(INDEX(Calc!$D$8:$D$500,MATCH(SMALL(IF((Calc!$K$8:$K$500=Kanban!C$11)*(Calc!$Y$8:$Y$500&gt;0),Calc!$Y$8:$Y$500,99999),Kanban_Helper!$B269),Calc!$Y$8:$Y$500,0))," ",Calc!$V$7," ","!"),INDEX(Calc!$D$8:$D$500,MATCH(SMALL(IF((Calc!$K$8:$K$500=Kanban!C$11)*(Calc!$Y$8:$Y$500&gt;0),Calc!$Y$8:$Y$500,99999),Kanban_Helper!$B269),Calc!$Y$8:$Y$500,0))))),"")</f>
        <v/>
      </c>
      <c r="D276" s="170" t="str">
        <f t="array" ref="D276">IFERROR(IF(LEN(D$11)=0,"",IF($C$7&lt;&gt;"All",IF(INDEX(Calc!$V$8:$V$500,MATCH(INDEX(Calc!$D$8:$D$500,MATCH(SMALL(IF((Calc!$C$8:$C$500=Kanban!$C$7)*(Calc!$K$8:$K$500=Kanban!D$11)*(Calc!$Y$8:$Y$500&gt;0),Calc!$Y$8:$Y$500,99999),Kanban_Helper!$B269),Calc!$Y$8:$Y$500,0)),Calc!$D$8:$D$500,0))="Yes",CONCATENATE(INDEX(Calc!$D$8:$D$500,MATCH(SMALL(IF((Calc!$C$8:$C$500=Kanban!$C$7)*(Calc!$K$8:$K$500=Kanban!D$11)*(Calc!$Y$8:$Y$500&gt;0),Calc!$Y$8:$Y$500,99999),Kanban_Helper!$B269),Calc!$Y$8:$Y$500,0))," ",Calc!$V$7," ","!"),INDEX(Calc!$D$8:$D$500,MATCH(SMALL(IF((Calc!$C$8:$C$500=Kanban!$C$7)*(Calc!$K$8:$K$500=Kanban!D$11)*(Calc!$Y$8:$Y$500&gt;0),Calc!$Y$8:$Y$500,99999),Kanban_Helper!$B269),Calc!$Y$8:$Y$500,0))),IF(INDEX(Calc!$V$8:$V$500,MATCH(INDEX(Calc!$D$8:$D$500,MATCH(SMALL(IF((Calc!$K$8:$K$500=Kanban!D$11)*(Calc!$Y$8:$Y$500&gt;0),Calc!$Y$8:$Y$500,99999),Kanban_Helper!$B269),Calc!$Y$8:$Y$500,0)),Calc!$D$8:$D$500,0))="Yes",CONCATENATE(INDEX(Calc!$D$8:$D$500,MATCH(SMALL(IF((Calc!$K$8:$K$500=Kanban!D$11)*(Calc!$Y$8:$Y$500&gt;0),Calc!$Y$8:$Y$500,99999),Kanban_Helper!$B269),Calc!$Y$8:$Y$500,0))," ",Calc!$V$7," ","!"),INDEX(Calc!$D$8:$D$500,MATCH(SMALL(IF((Calc!$K$8:$K$500=Kanban!D$11)*(Calc!$Y$8:$Y$500&gt;0),Calc!$Y$8:$Y$500,99999),Kanban_Helper!$B269),Calc!$Y$8:$Y$500,0))))),"")</f>
        <v/>
      </c>
      <c r="E276" s="170" t="str">
        <f t="array" ref="E276">IFERROR(IF(LEN(E$11)=0,"",IF($C$7&lt;&gt;"All",IF(INDEX(Calc!$V$8:$V$500,MATCH(INDEX(Calc!$D$8:$D$500,MATCH(SMALL(IF((Calc!$C$8:$C$500=Kanban!$C$7)*(Calc!$K$8:$K$500=Kanban!E$11)*(Calc!$Y$8:$Y$500&gt;0),Calc!$Y$8:$Y$500,99999),Kanban_Helper!$B269),Calc!$Y$8:$Y$500,0)),Calc!$D$8:$D$500,0))="Yes",CONCATENATE(INDEX(Calc!$D$8:$D$500,MATCH(SMALL(IF((Calc!$C$8:$C$500=Kanban!$C$7)*(Calc!$K$8:$K$500=Kanban!E$11)*(Calc!$Y$8:$Y$500&gt;0),Calc!$Y$8:$Y$500,99999),Kanban_Helper!$B269),Calc!$Y$8:$Y$500,0))," ",Calc!$V$7," ","!"),INDEX(Calc!$D$8:$D$500,MATCH(SMALL(IF((Calc!$C$8:$C$500=Kanban!$C$7)*(Calc!$K$8:$K$500=Kanban!E$11)*(Calc!$Y$8:$Y$500&gt;0),Calc!$Y$8:$Y$500,99999),Kanban_Helper!$B269),Calc!$Y$8:$Y$500,0))),IF(INDEX(Calc!$V$8:$V$500,MATCH(INDEX(Calc!$D$8:$D$500,MATCH(SMALL(IF((Calc!$K$8:$K$500=Kanban!E$11)*(Calc!$Y$8:$Y$500&gt;0),Calc!$Y$8:$Y$500,99999),Kanban_Helper!$B269),Calc!$Y$8:$Y$500,0)),Calc!$D$8:$D$500,0))="Yes",CONCATENATE(INDEX(Calc!$D$8:$D$500,MATCH(SMALL(IF((Calc!$K$8:$K$500=Kanban!E$11)*(Calc!$Y$8:$Y$500&gt;0),Calc!$Y$8:$Y$500,99999),Kanban_Helper!$B269),Calc!$Y$8:$Y$500,0))," ",Calc!$V$7," ","!"),INDEX(Calc!$D$8:$D$500,MATCH(SMALL(IF((Calc!$K$8:$K$500=Kanban!E$11)*(Calc!$Y$8:$Y$500&gt;0),Calc!$Y$8:$Y$500,99999),Kanban_Helper!$B269),Calc!$Y$8:$Y$500,0))))),"")</f>
        <v/>
      </c>
      <c r="F276" s="170" t="str">
        <f t="array" ref="F276">IFERROR(IF(LEN(F$11)=0,"",IF($C$7&lt;&gt;"All",IF(INDEX(Calc!$V$8:$V$500,MATCH(INDEX(Calc!$D$8:$D$500,MATCH(SMALL(IF((Calc!$C$8:$C$500=Kanban!$C$7)*(Calc!$K$8:$K$500=Kanban!F$11)*(Calc!$Y$8:$Y$500&gt;0),Calc!$Y$8:$Y$500,99999),Kanban_Helper!$B269),Calc!$Y$8:$Y$500,0)),Calc!$D$8:$D$500,0))="Yes",CONCATENATE(INDEX(Calc!$D$8:$D$500,MATCH(SMALL(IF((Calc!$C$8:$C$500=Kanban!$C$7)*(Calc!$K$8:$K$500=Kanban!F$11)*(Calc!$Y$8:$Y$500&gt;0),Calc!$Y$8:$Y$500,99999),Kanban_Helper!$B269),Calc!$Y$8:$Y$500,0))," ",Calc!$V$7," ","!"),INDEX(Calc!$D$8:$D$500,MATCH(SMALL(IF((Calc!$C$8:$C$500=Kanban!$C$7)*(Calc!$K$8:$K$500=Kanban!F$11)*(Calc!$Y$8:$Y$500&gt;0),Calc!$Y$8:$Y$500,99999),Kanban_Helper!$B269),Calc!$Y$8:$Y$500,0))),IF(INDEX(Calc!$V$8:$V$500,MATCH(INDEX(Calc!$D$8:$D$500,MATCH(SMALL(IF((Calc!$K$8:$K$500=Kanban!F$11)*(Calc!$Y$8:$Y$500&gt;0),Calc!$Y$8:$Y$500,99999),Kanban_Helper!$B269),Calc!$Y$8:$Y$500,0)),Calc!$D$8:$D$500,0))="Yes",CONCATENATE(INDEX(Calc!$D$8:$D$500,MATCH(SMALL(IF((Calc!$K$8:$K$500=Kanban!F$11)*(Calc!$Y$8:$Y$500&gt;0),Calc!$Y$8:$Y$500,99999),Kanban_Helper!$B269),Calc!$Y$8:$Y$500,0))," ",Calc!$V$7," ","!"),INDEX(Calc!$D$8:$D$500,MATCH(SMALL(IF((Calc!$K$8:$K$500=Kanban!F$11)*(Calc!$Y$8:$Y$500&gt;0),Calc!$Y$8:$Y$500,99999),Kanban_Helper!$B269),Calc!$Y$8:$Y$500,0))))),"")</f>
        <v/>
      </c>
      <c r="G276" s="170" t="str">
        <f t="array" ref="G276">IFERROR(IF(LEN(G$11)=0,"",IF($C$7&lt;&gt;"All",IF(INDEX(Calc!$V$8:$V$500,MATCH(INDEX(Calc!$D$8:$D$500,MATCH(SMALL(IF((Calc!$C$8:$C$500=Kanban!$C$7)*(Calc!$K$8:$K$500=Kanban!G$11)*(Calc!$Y$8:$Y$500&gt;0),Calc!$Y$8:$Y$500,99999),Kanban_Helper!$B269),Calc!$Y$8:$Y$500,0)),Calc!$D$8:$D$500,0))="Yes",CONCATENATE(INDEX(Calc!$D$8:$D$500,MATCH(SMALL(IF((Calc!$C$8:$C$500=Kanban!$C$7)*(Calc!$K$8:$K$500=Kanban!G$11)*(Calc!$Y$8:$Y$500&gt;0),Calc!$Y$8:$Y$500,99999),Kanban_Helper!$B269),Calc!$Y$8:$Y$500,0))," ",Calc!$V$7," ","!"),INDEX(Calc!$D$8:$D$500,MATCH(SMALL(IF((Calc!$C$8:$C$500=Kanban!$C$7)*(Calc!$K$8:$K$500=Kanban!G$11)*(Calc!$Y$8:$Y$500&gt;0),Calc!$Y$8:$Y$500,99999),Kanban_Helper!$B269),Calc!$Y$8:$Y$500,0))),IF(INDEX(Calc!$V$8:$V$500,MATCH(INDEX(Calc!$D$8:$D$500,MATCH(SMALL(IF((Calc!$K$8:$K$500=Kanban!G$11)*(Calc!$Y$8:$Y$500&gt;0),Calc!$Y$8:$Y$500,99999),Kanban_Helper!$B269),Calc!$Y$8:$Y$500,0)),Calc!$D$8:$D$500,0))="Yes",CONCATENATE(INDEX(Calc!$D$8:$D$500,MATCH(SMALL(IF((Calc!$K$8:$K$500=Kanban!G$11)*(Calc!$Y$8:$Y$500&gt;0),Calc!$Y$8:$Y$500,99999),Kanban_Helper!$B269),Calc!$Y$8:$Y$500,0))," ",Calc!$V$7," ","!"),INDEX(Calc!$D$8:$D$500,MATCH(SMALL(IF((Calc!$K$8:$K$500=Kanban!G$11)*(Calc!$Y$8:$Y$500&gt;0),Calc!$Y$8:$Y$500,99999),Kanban_Helper!$B269),Calc!$Y$8:$Y$500,0))))),"")</f>
        <v/>
      </c>
      <c r="H276" s="170" t="str">
        <f t="array" ref="H276">IFERROR(IF(LEN(H$11)=0,"",IF($C$7&lt;&gt;"All",IF(INDEX(Calc!$V$8:$V$500,MATCH(INDEX(Calc!$D$8:$D$500,MATCH(SMALL(IF((Calc!$C$8:$C$500=Kanban!$C$7)*(Calc!$K$8:$K$500=Kanban!H$11)*(Calc!$Y$8:$Y$500&gt;0),Calc!$Y$8:$Y$500,99999),Kanban_Helper!$B269),Calc!$Y$8:$Y$500,0)),Calc!$D$8:$D$500,0))="Yes",CONCATENATE(INDEX(Calc!$D$8:$D$500,MATCH(SMALL(IF((Calc!$C$8:$C$500=Kanban!$C$7)*(Calc!$K$8:$K$500=Kanban!H$11)*(Calc!$Y$8:$Y$500&gt;0),Calc!$Y$8:$Y$500,99999),Kanban_Helper!$B269),Calc!$Y$8:$Y$500,0))," ",Calc!$V$7," ","!"),INDEX(Calc!$D$8:$D$500,MATCH(SMALL(IF((Calc!$C$8:$C$500=Kanban!$C$7)*(Calc!$K$8:$K$500=Kanban!H$11)*(Calc!$Y$8:$Y$500&gt;0),Calc!$Y$8:$Y$500,99999),Kanban_Helper!$B269),Calc!$Y$8:$Y$500,0))),IF(INDEX(Calc!$V$8:$V$500,MATCH(INDEX(Calc!$D$8:$D$500,MATCH(SMALL(IF((Calc!$K$8:$K$500=Kanban!H$11)*(Calc!$Y$8:$Y$500&gt;0),Calc!$Y$8:$Y$500,99999),Kanban_Helper!$B269),Calc!$Y$8:$Y$500,0)),Calc!$D$8:$D$500,0))="Yes",CONCATENATE(INDEX(Calc!$D$8:$D$500,MATCH(SMALL(IF((Calc!$K$8:$K$500=Kanban!H$11)*(Calc!$Y$8:$Y$500&gt;0),Calc!$Y$8:$Y$500,99999),Kanban_Helper!$B269),Calc!$Y$8:$Y$500,0))," ",Calc!$V$7," ","!"),INDEX(Calc!$D$8:$D$500,MATCH(SMALL(IF((Calc!$K$8:$K$500=Kanban!H$11)*(Calc!$Y$8:$Y$500&gt;0),Calc!$Y$8:$Y$500,99999),Kanban_Helper!$B269),Calc!$Y$8:$Y$500,0))))),"")</f>
        <v/>
      </c>
      <c r="I276" s="39"/>
    </row>
    <row r="277" spans="2:9" x14ac:dyDescent="0.35">
      <c r="B277" s="81"/>
      <c r="C277" s="171" t="str">
        <f t="array" ref="C277">IFERROR(IF(LEN(C$11)=0,"",IF($C$7&lt;&gt;"All",INDEX(Calc!$E$8:$E$500,MATCH(SMALL(IF((Calc!$C$8:$C$500=Kanban!$C$7)*(Calc!$K$8:$K$500=Kanban!C$11)*(Calc!$Y$8:$Y$500&gt;0),Calc!$Y$8:$Y$500,99999),Kanban_Helper!$B270),Calc!$Y$8:$Y$500,0)),INDEX(Calc!$E$8:$E$500,MATCH(SMALL(IF((Calc!$K$8:$K$500=Kanban!C$11)*(Calc!$Y$8:$Y$500&gt;0),Calc!$Y$8:$Y$500,99999),Kanban_Helper!$B270),Calc!$Y$8:$Y$500,0)))),"")</f>
        <v/>
      </c>
      <c r="D277" s="171" t="str">
        <f t="array" ref="D277">IFERROR(IF(LEN(D$11)=0,"",IF($C$7&lt;&gt;"All",INDEX(Calc!$E$8:$E$500,MATCH(SMALL(IF((Calc!$C$8:$C$500=Kanban!$C$7)*(Calc!$K$8:$K$500=Kanban!D$11)*(Calc!$Y$8:$Y$500&gt;0),Calc!$Y$8:$Y$500,99999),Kanban_Helper!$B270),Calc!$Y$8:$Y$500,0)),INDEX(Calc!$E$8:$E$500,MATCH(SMALL(IF((Calc!$K$8:$K$500=Kanban!D$11)*(Calc!$Y$8:$Y$500&gt;0),Calc!$Y$8:$Y$500,99999),Kanban_Helper!$B270),Calc!$Y$8:$Y$500,0)))),"")</f>
        <v/>
      </c>
      <c r="E277" s="171" t="str">
        <f t="array" ref="E277">IFERROR(IF(LEN(E$11)=0,"",IF($C$7&lt;&gt;"All",INDEX(Calc!$E$8:$E$500,MATCH(SMALL(IF((Calc!$C$8:$C$500=Kanban!$C$7)*(Calc!$K$8:$K$500=Kanban!E$11)*(Calc!$Y$8:$Y$500&gt;0),Calc!$Y$8:$Y$500,99999),Kanban_Helper!$B270),Calc!$Y$8:$Y$500,0)),INDEX(Calc!$E$8:$E$500,MATCH(SMALL(IF((Calc!$K$8:$K$500=Kanban!E$11)*(Calc!$Y$8:$Y$500&gt;0),Calc!$Y$8:$Y$500,99999),Kanban_Helper!$B270),Calc!$Y$8:$Y$500,0)))),"")</f>
        <v/>
      </c>
      <c r="F277" s="171" t="str">
        <f t="array" ref="F277">IFERROR(IF(LEN(F$11)=0,"",IF($C$7&lt;&gt;"All",INDEX(Calc!$E$8:$E$500,MATCH(SMALL(IF((Calc!$C$8:$C$500=Kanban!$C$7)*(Calc!$K$8:$K$500=Kanban!F$11)*(Calc!$Y$8:$Y$500&gt;0),Calc!$Y$8:$Y$500,99999),Kanban_Helper!$B270),Calc!$Y$8:$Y$500,0)),INDEX(Calc!$E$8:$E$500,MATCH(SMALL(IF((Calc!$K$8:$K$500=Kanban!F$11)*(Calc!$Y$8:$Y$500&gt;0),Calc!$Y$8:$Y$500,99999),Kanban_Helper!$B270),Calc!$Y$8:$Y$500,0)))),"")</f>
        <v/>
      </c>
      <c r="G277" s="171" t="str">
        <f t="array" ref="G277">IFERROR(IF(LEN(G$11)=0,"",IF($C$7&lt;&gt;"All",INDEX(Calc!$E$8:$E$500,MATCH(SMALL(IF((Calc!$C$8:$C$500=Kanban!$C$7)*(Calc!$K$8:$K$500=Kanban!G$11)*(Calc!$Y$8:$Y$500&gt;0),Calc!$Y$8:$Y$500,99999),Kanban_Helper!$B270),Calc!$Y$8:$Y$500,0)),INDEX(Calc!$E$8:$E$500,MATCH(SMALL(IF((Calc!$K$8:$K$500=Kanban!G$11)*(Calc!$Y$8:$Y$500&gt;0),Calc!$Y$8:$Y$500,99999),Kanban_Helper!$B270),Calc!$Y$8:$Y$500,0)))),"")</f>
        <v/>
      </c>
      <c r="H277" s="171" t="str">
        <f t="array" ref="H277">IFERROR(IF(LEN(H$11)=0,"",IF($C$7&lt;&gt;"All",INDEX(Calc!$E$8:$E$500,MATCH(SMALL(IF((Calc!$C$8:$C$500=Kanban!$C$7)*(Calc!$K$8:$K$500=Kanban!H$11)*(Calc!$Y$8:$Y$500&gt;0),Calc!$Y$8:$Y$500,99999),Kanban_Helper!$B270),Calc!$Y$8:$Y$500,0)),INDEX(Calc!$E$8:$E$500,MATCH(SMALL(IF((Calc!$K$8:$K$500=Kanban!H$11)*(Calc!$Y$8:$Y$500&gt;0),Calc!$Y$8:$Y$500,99999),Kanban_Helper!$B270),Calc!$Y$8:$Y$500,0)))),"")</f>
        <v/>
      </c>
      <c r="I277" s="39"/>
    </row>
    <row r="278" spans="2:9" ht="15" thickBot="1" x14ac:dyDescent="0.4">
      <c r="B278" s="81"/>
      <c r="C278" s="172" t="str">
        <f t="array" ref="C278">IFERROR(IF(LEN(C$11)=0,"",IF($C$7&lt;&gt;"All",IF(LEN(INDEX(Calc!$J$8:$J$500,MATCH(SMALL(IF((Calc!$C$8:$C$500=Kanban!$C$7)*(Calc!$K$8:$K$500=Kanban!C$11)*(Calc!$Y$8:$Y$500&gt;0),Calc!$Y$8:$Y$500,99999),Kanban_Helper!$B271),Calc!$Y$8:$Y$500,0)))=0,"",CONCATENATE(Calc!$AD$6,INDEX(Calc!$J$8:$J$500,MATCH(SMALL(IF((Calc!$C$8:$C$500=Kanban!$C$7)*(Calc!$K$8:$K$500=Kanban!C$11)*(Calc!$Y$8:$Y$500&gt;0),Calc!$Y$8:$Y$500,99999),Kanban_Helper!$B271),Calc!$Y$8:$Y$500,0)))),IF(LEN(INDEX(Calc!$J$8:$J$500,MATCH(SMALL(IF((Calc!$K$8:$K$500=Kanban!C$11)*(Calc!$Y$8:$Y$500&gt;0),Calc!$Y$8:$Y$500,99999),Kanban_Helper!$B271),Calc!$Y$8:$Y$500,0)))=0,"",CONCATENATE(Calc!$AD$6,INDEX(Calc!$J$8:$J$500,MATCH(SMALL(IF((Calc!$K$8:$K$500=Kanban!C$11)*(Calc!$Y$8:$Y$500&gt;0),Calc!$Y$8:$Y$500,99999),Kanban_Helper!$B271),Calc!$Y$8:$Y$500,0)))))),"")</f>
        <v/>
      </c>
      <c r="D278" s="172" t="str">
        <f t="array" ref="D278">IFERROR(IF(LEN(D$11)=0,"",IF($C$7&lt;&gt;"All",IF(LEN(INDEX(Calc!$J$8:$J$500,MATCH(SMALL(IF((Calc!$C$8:$C$500=Kanban!$C$7)*(Calc!$K$8:$K$500=Kanban!D$11)*(Calc!$Y$8:$Y$500&gt;0),Calc!$Y$8:$Y$500,99999),Kanban_Helper!$B271),Calc!$Y$8:$Y$500,0)))=0,"",CONCATENATE(Calc!$AD$6,INDEX(Calc!$J$8:$J$500,MATCH(SMALL(IF((Calc!$C$8:$C$500=Kanban!$C$7)*(Calc!$K$8:$K$500=Kanban!D$11)*(Calc!$Y$8:$Y$500&gt;0),Calc!$Y$8:$Y$500,99999),Kanban_Helper!$B271),Calc!$Y$8:$Y$500,0)))),IF(LEN(INDEX(Calc!$J$8:$J$500,MATCH(SMALL(IF((Calc!$K$8:$K$500=Kanban!D$11)*(Calc!$Y$8:$Y$500&gt;0),Calc!$Y$8:$Y$500,99999),Kanban_Helper!$B271),Calc!$Y$8:$Y$500,0)))=0,"",CONCATENATE(Calc!$AD$6,INDEX(Calc!$J$8:$J$500,MATCH(SMALL(IF((Calc!$K$8:$K$500=Kanban!D$11)*(Calc!$Y$8:$Y$500&gt;0),Calc!$Y$8:$Y$500,99999),Kanban_Helper!$B271),Calc!$Y$8:$Y$500,0)))))),"")</f>
        <v/>
      </c>
      <c r="E278" s="172" t="str">
        <f t="array" ref="E278">IFERROR(IF(LEN(E$11)=0,"",IF($C$7&lt;&gt;"All",IF(LEN(INDEX(Calc!$J$8:$J$500,MATCH(SMALL(IF((Calc!$C$8:$C$500=Kanban!$C$7)*(Calc!$K$8:$K$500=Kanban!E$11)*(Calc!$Y$8:$Y$500&gt;0),Calc!$Y$8:$Y$500,99999),Kanban_Helper!$B271),Calc!$Y$8:$Y$500,0)))=0,"",CONCATENATE(Calc!$AD$6,INDEX(Calc!$J$8:$J$500,MATCH(SMALL(IF((Calc!$C$8:$C$500=Kanban!$C$7)*(Calc!$K$8:$K$500=Kanban!E$11)*(Calc!$Y$8:$Y$500&gt;0),Calc!$Y$8:$Y$500,99999),Kanban_Helper!$B271),Calc!$Y$8:$Y$500,0)))),IF(LEN(INDEX(Calc!$J$8:$J$500,MATCH(SMALL(IF((Calc!$K$8:$K$500=Kanban!E$11)*(Calc!$Y$8:$Y$500&gt;0),Calc!$Y$8:$Y$500,99999),Kanban_Helper!$B271),Calc!$Y$8:$Y$500,0)))=0,"",CONCATENATE(Calc!$AD$6,INDEX(Calc!$J$8:$J$500,MATCH(SMALL(IF((Calc!$K$8:$K$500=Kanban!E$11)*(Calc!$Y$8:$Y$500&gt;0),Calc!$Y$8:$Y$500,99999),Kanban_Helper!$B271),Calc!$Y$8:$Y$500,0)))))),"")</f>
        <v/>
      </c>
      <c r="F278" s="172" t="str">
        <f t="array" ref="F278">IFERROR(IF(LEN(F$11)=0,"",IF($C$7&lt;&gt;"All",IF(LEN(INDEX(Calc!$J$8:$J$500,MATCH(SMALL(IF((Calc!$C$8:$C$500=Kanban!$C$7)*(Calc!$K$8:$K$500=Kanban!F$11)*(Calc!$Y$8:$Y$500&gt;0),Calc!$Y$8:$Y$500,99999),Kanban_Helper!$B271),Calc!$Y$8:$Y$500,0)))=0,"",CONCATENATE(Calc!$AD$6,INDEX(Calc!$J$8:$J$500,MATCH(SMALL(IF((Calc!$C$8:$C$500=Kanban!$C$7)*(Calc!$K$8:$K$500=Kanban!F$11)*(Calc!$Y$8:$Y$500&gt;0),Calc!$Y$8:$Y$500,99999),Kanban_Helper!$B271),Calc!$Y$8:$Y$500,0)))),IF(LEN(INDEX(Calc!$J$8:$J$500,MATCH(SMALL(IF((Calc!$K$8:$K$500=Kanban!F$11)*(Calc!$Y$8:$Y$500&gt;0),Calc!$Y$8:$Y$500,99999),Kanban_Helper!$B271),Calc!$Y$8:$Y$500,0)))=0,"",CONCATENATE(Calc!$AD$6,INDEX(Calc!$J$8:$J$500,MATCH(SMALL(IF((Calc!$K$8:$K$500=Kanban!F$11)*(Calc!$Y$8:$Y$500&gt;0),Calc!$Y$8:$Y$500,99999),Kanban_Helper!$B271),Calc!$Y$8:$Y$500,0)))))),"")</f>
        <v/>
      </c>
      <c r="G278" s="172" t="str">
        <f t="array" ref="G278">IFERROR(IF(LEN(G$11)=0,"",IF($C$7&lt;&gt;"All",IF(LEN(INDEX(Calc!$J$8:$J$500,MATCH(SMALL(IF((Calc!$C$8:$C$500=Kanban!$C$7)*(Calc!$K$8:$K$500=Kanban!G$11)*(Calc!$Y$8:$Y$500&gt;0),Calc!$Y$8:$Y$500,99999),Kanban_Helper!$B271),Calc!$Y$8:$Y$500,0)))=0,"",CONCATENATE(Calc!$AD$6,INDEX(Calc!$J$8:$J$500,MATCH(SMALL(IF((Calc!$C$8:$C$500=Kanban!$C$7)*(Calc!$K$8:$K$500=Kanban!G$11)*(Calc!$Y$8:$Y$500&gt;0),Calc!$Y$8:$Y$500,99999),Kanban_Helper!$B271),Calc!$Y$8:$Y$500,0)))),IF(LEN(INDEX(Calc!$J$8:$J$500,MATCH(SMALL(IF((Calc!$K$8:$K$500=Kanban!G$11)*(Calc!$Y$8:$Y$500&gt;0),Calc!$Y$8:$Y$500,99999),Kanban_Helper!$B271),Calc!$Y$8:$Y$500,0)))=0,"",CONCATENATE(Calc!$AD$6,INDEX(Calc!$J$8:$J$500,MATCH(SMALL(IF((Calc!$K$8:$K$500=Kanban!G$11)*(Calc!$Y$8:$Y$500&gt;0),Calc!$Y$8:$Y$500,99999),Kanban_Helper!$B271),Calc!$Y$8:$Y$500,0)))))),"")</f>
        <v/>
      </c>
      <c r="H278" s="172" t="str">
        <f t="array" ref="H278">IFERROR(IF(LEN(H$11)=0,"",IF($C$7&lt;&gt;"All",IF(LEN(INDEX(Calc!$J$8:$J$500,MATCH(SMALL(IF((Calc!$C$8:$C$500=Kanban!$C$7)*(Calc!$K$8:$K$500=Kanban!H$11)*(Calc!$Y$8:$Y$500&gt;0),Calc!$Y$8:$Y$500,99999),Kanban_Helper!$B271),Calc!$Y$8:$Y$500,0)))=0,"",CONCATENATE(Calc!$AD$6,INDEX(Calc!$J$8:$J$500,MATCH(SMALL(IF((Calc!$C$8:$C$500=Kanban!$C$7)*(Calc!$K$8:$K$500=Kanban!H$11)*(Calc!$Y$8:$Y$500&gt;0),Calc!$Y$8:$Y$500,99999),Kanban_Helper!$B271),Calc!$Y$8:$Y$500,0)))),IF(LEN(INDEX(Calc!$J$8:$J$500,MATCH(SMALL(IF((Calc!$K$8:$K$500=Kanban!H$11)*(Calc!$Y$8:$Y$500&gt;0),Calc!$Y$8:$Y$500,99999),Kanban_Helper!$B271),Calc!$Y$8:$Y$500,0)))=0,"",CONCATENATE(Calc!$AD$6,INDEX(Calc!$J$8:$J$500,MATCH(SMALL(IF((Calc!$K$8:$K$500=Kanban!H$11)*(Calc!$Y$8:$Y$500&gt;0),Calc!$Y$8:$Y$500,99999),Kanban_Helper!$B271),Calc!$Y$8:$Y$500,0)))))),"")</f>
        <v/>
      </c>
      <c r="I278" s="39"/>
    </row>
    <row r="279" spans="2:9" ht="15" thickTop="1" x14ac:dyDescent="0.35">
      <c r="B279" s="81"/>
      <c r="C279" s="170" t="str">
        <f t="array" ref="C279">IFERROR(IF(LEN(C$11)=0,"",IF($C$7&lt;&gt;"All",IF(INDEX(Calc!$V$8:$V$500,MATCH(INDEX(Calc!$D$8:$D$500,MATCH(SMALL(IF((Calc!$C$8:$C$500=Kanban!$C$7)*(Calc!$K$8:$K$500=Kanban!C$11)*(Calc!$Y$8:$Y$500&gt;0),Calc!$Y$8:$Y$500,99999),Kanban_Helper!$B272),Calc!$Y$8:$Y$500,0)),Calc!$D$8:$D$500,0))="Yes",CONCATENATE(INDEX(Calc!$D$8:$D$500,MATCH(SMALL(IF((Calc!$C$8:$C$500=Kanban!$C$7)*(Calc!$K$8:$K$500=Kanban!C$11)*(Calc!$Y$8:$Y$500&gt;0),Calc!$Y$8:$Y$500,99999),Kanban_Helper!$B272),Calc!$Y$8:$Y$500,0))," ",Calc!$V$7," ","!"),INDEX(Calc!$D$8:$D$500,MATCH(SMALL(IF((Calc!$C$8:$C$500=Kanban!$C$7)*(Calc!$K$8:$K$500=Kanban!C$11)*(Calc!$Y$8:$Y$500&gt;0),Calc!$Y$8:$Y$500,99999),Kanban_Helper!$B272),Calc!$Y$8:$Y$500,0))),IF(INDEX(Calc!$V$8:$V$500,MATCH(INDEX(Calc!$D$8:$D$500,MATCH(SMALL(IF((Calc!$K$8:$K$500=Kanban!C$11)*(Calc!$Y$8:$Y$500&gt;0),Calc!$Y$8:$Y$500,99999),Kanban_Helper!$B272),Calc!$Y$8:$Y$500,0)),Calc!$D$8:$D$500,0))="Yes",CONCATENATE(INDEX(Calc!$D$8:$D$500,MATCH(SMALL(IF((Calc!$K$8:$K$500=Kanban!C$11)*(Calc!$Y$8:$Y$500&gt;0),Calc!$Y$8:$Y$500,99999),Kanban_Helper!$B272),Calc!$Y$8:$Y$500,0))," ",Calc!$V$7," ","!"),INDEX(Calc!$D$8:$D$500,MATCH(SMALL(IF((Calc!$K$8:$K$500=Kanban!C$11)*(Calc!$Y$8:$Y$500&gt;0),Calc!$Y$8:$Y$500,99999),Kanban_Helper!$B272),Calc!$Y$8:$Y$500,0))))),"")</f>
        <v/>
      </c>
      <c r="D279" s="170" t="str">
        <f t="array" ref="D279">IFERROR(IF(LEN(D$11)=0,"",IF($C$7&lt;&gt;"All",IF(INDEX(Calc!$V$8:$V$500,MATCH(INDEX(Calc!$D$8:$D$500,MATCH(SMALL(IF((Calc!$C$8:$C$500=Kanban!$C$7)*(Calc!$K$8:$K$500=Kanban!D$11)*(Calc!$Y$8:$Y$500&gt;0),Calc!$Y$8:$Y$500,99999),Kanban_Helper!$B272),Calc!$Y$8:$Y$500,0)),Calc!$D$8:$D$500,0))="Yes",CONCATENATE(INDEX(Calc!$D$8:$D$500,MATCH(SMALL(IF((Calc!$C$8:$C$500=Kanban!$C$7)*(Calc!$K$8:$K$500=Kanban!D$11)*(Calc!$Y$8:$Y$500&gt;0),Calc!$Y$8:$Y$500,99999),Kanban_Helper!$B272),Calc!$Y$8:$Y$500,0))," ",Calc!$V$7," ","!"),INDEX(Calc!$D$8:$D$500,MATCH(SMALL(IF((Calc!$C$8:$C$500=Kanban!$C$7)*(Calc!$K$8:$K$500=Kanban!D$11)*(Calc!$Y$8:$Y$500&gt;0),Calc!$Y$8:$Y$500,99999),Kanban_Helper!$B272),Calc!$Y$8:$Y$500,0))),IF(INDEX(Calc!$V$8:$V$500,MATCH(INDEX(Calc!$D$8:$D$500,MATCH(SMALL(IF((Calc!$K$8:$K$500=Kanban!D$11)*(Calc!$Y$8:$Y$500&gt;0),Calc!$Y$8:$Y$500,99999),Kanban_Helper!$B272),Calc!$Y$8:$Y$500,0)),Calc!$D$8:$D$500,0))="Yes",CONCATENATE(INDEX(Calc!$D$8:$D$500,MATCH(SMALL(IF((Calc!$K$8:$K$500=Kanban!D$11)*(Calc!$Y$8:$Y$500&gt;0),Calc!$Y$8:$Y$500,99999),Kanban_Helper!$B272),Calc!$Y$8:$Y$500,0))," ",Calc!$V$7," ","!"),INDEX(Calc!$D$8:$D$500,MATCH(SMALL(IF((Calc!$K$8:$K$500=Kanban!D$11)*(Calc!$Y$8:$Y$500&gt;0),Calc!$Y$8:$Y$500,99999),Kanban_Helper!$B272),Calc!$Y$8:$Y$500,0))))),"")</f>
        <v/>
      </c>
      <c r="E279" s="170" t="str">
        <f t="array" ref="E279">IFERROR(IF(LEN(E$11)=0,"",IF($C$7&lt;&gt;"All",IF(INDEX(Calc!$V$8:$V$500,MATCH(INDEX(Calc!$D$8:$D$500,MATCH(SMALL(IF((Calc!$C$8:$C$500=Kanban!$C$7)*(Calc!$K$8:$K$500=Kanban!E$11)*(Calc!$Y$8:$Y$500&gt;0),Calc!$Y$8:$Y$500,99999),Kanban_Helper!$B272),Calc!$Y$8:$Y$500,0)),Calc!$D$8:$D$500,0))="Yes",CONCATENATE(INDEX(Calc!$D$8:$D$500,MATCH(SMALL(IF((Calc!$C$8:$C$500=Kanban!$C$7)*(Calc!$K$8:$K$500=Kanban!E$11)*(Calc!$Y$8:$Y$500&gt;0),Calc!$Y$8:$Y$500,99999),Kanban_Helper!$B272),Calc!$Y$8:$Y$500,0))," ",Calc!$V$7," ","!"),INDEX(Calc!$D$8:$D$500,MATCH(SMALL(IF((Calc!$C$8:$C$500=Kanban!$C$7)*(Calc!$K$8:$K$500=Kanban!E$11)*(Calc!$Y$8:$Y$500&gt;0),Calc!$Y$8:$Y$500,99999),Kanban_Helper!$B272),Calc!$Y$8:$Y$500,0))),IF(INDEX(Calc!$V$8:$V$500,MATCH(INDEX(Calc!$D$8:$D$500,MATCH(SMALL(IF((Calc!$K$8:$K$500=Kanban!E$11)*(Calc!$Y$8:$Y$500&gt;0),Calc!$Y$8:$Y$500,99999),Kanban_Helper!$B272),Calc!$Y$8:$Y$500,0)),Calc!$D$8:$D$500,0))="Yes",CONCATENATE(INDEX(Calc!$D$8:$D$500,MATCH(SMALL(IF((Calc!$K$8:$K$500=Kanban!E$11)*(Calc!$Y$8:$Y$500&gt;0),Calc!$Y$8:$Y$500,99999),Kanban_Helper!$B272),Calc!$Y$8:$Y$500,0))," ",Calc!$V$7," ","!"),INDEX(Calc!$D$8:$D$500,MATCH(SMALL(IF((Calc!$K$8:$K$500=Kanban!E$11)*(Calc!$Y$8:$Y$500&gt;0),Calc!$Y$8:$Y$500,99999),Kanban_Helper!$B272),Calc!$Y$8:$Y$500,0))))),"")</f>
        <v/>
      </c>
      <c r="F279" s="170" t="str">
        <f t="array" ref="F279">IFERROR(IF(LEN(F$11)=0,"",IF($C$7&lt;&gt;"All",IF(INDEX(Calc!$V$8:$V$500,MATCH(INDEX(Calc!$D$8:$D$500,MATCH(SMALL(IF((Calc!$C$8:$C$500=Kanban!$C$7)*(Calc!$K$8:$K$500=Kanban!F$11)*(Calc!$Y$8:$Y$500&gt;0),Calc!$Y$8:$Y$500,99999),Kanban_Helper!$B272),Calc!$Y$8:$Y$500,0)),Calc!$D$8:$D$500,0))="Yes",CONCATENATE(INDEX(Calc!$D$8:$D$500,MATCH(SMALL(IF((Calc!$C$8:$C$500=Kanban!$C$7)*(Calc!$K$8:$K$500=Kanban!F$11)*(Calc!$Y$8:$Y$500&gt;0),Calc!$Y$8:$Y$500,99999),Kanban_Helper!$B272),Calc!$Y$8:$Y$500,0))," ",Calc!$V$7," ","!"),INDEX(Calc!$D$8:$D$500,MATCH(SMALL(IF((Calc!$C$8:$C$500=Kanban!$C$7)*(Calc!$K$8:$K$500=Kanban!F$11)*(Calc!$Y$8:$Y$500&gt;0),Calc!$Y$8:$Y$500,99999),Kanban_Helper!$B272),Calc!$Y$8:$Y$500,0))),IF(INDEX(Calc!$V$8:$V$500,MATCH(INDEX(Calc!$D$8:$D$500,MATCH(SMALL(IF((Calc!$K$8:$K$500=Kanban!F$11)*(Calc!$Y$8:$Y$500&gt;0),Calc!$Y$8:$Y$500,99999),Kanban_Helper!$B272),Calc!$Y$8:$Y$500,0)),Calc!$D$8:$D$500,0))="Yes",CONCATENATE(INDEX(Calc!$D$8:$D$500,MATCH(SMALL(IF((Calc!$K$8:$K$500=Kanban!F$11)*(Calc!$Y$8:$Y$500&gt;0),Calc!$Y$8:$Y$500,99999),Kanban_Helper!$B272),Calc!$Y$8:$Y$500,0))," ",Calc!$V$7," ","!"),INDEX(Calc!$D$8:$D$500,MATCH(SMALL(IF((Calc!$K$8:$K$500=Kanban!F$11)*(Calc!$Y$8:$Y$500&gt;0),Calc!$Y$8:$Y$500,99999),Kanban_Helper!$B272),Calc!$Y$8:$Y$500,0))))),"")</f>
        <v/>
      </c>
      <c r="G279" s="170" t="str">
        <f t="array" ref="G279">IFERROR(IF(LEN(G$11)=0,"",IF($C$7&lt;&gt;"All",IF(INDEX(Calc!$V$8:$V$500,MATCH(INDEX(Calc!$D$8:$D$500,MATCH(SMALL(IF((Calc!$C$8:$C$500=Kanban!$C$7)*(Calc!$K$8:$K$500=Kanban!G$11)*(Calc!$Y$8:$Y$500&gt;0),Calc!$Y$8:$Y$500,99999),Kanban_Helper!$B272),Calc!$Y$8:$Y$500,0)),Calc!$D$8:$D$500,0))="Yes",CONCATENATE(INDEX(Calc!$D$8:$D$500,MATCH(SMALL(IF((Calc!$C$8:$C$500=Kanban!$C$7)*(Calc!$K$8:$K$500=Kanban!G$11)*(Calc!$Y$8:$Y$500&gt;0),Calc!$Y$8:$Y$500,99999),Kanban_Helper!$B272),Calc!$Y$8:$Y$500,0))," ",Calc!$V$7," ","!"),INDEX(Calc!$D$8:$D$500,MATCH(SMALL(IF((Calc!$C$8:$C$500=Kanban!$C$7)*(Calc!$K$8:$K$500=Kanban!G$11)*(Calc!$Y$8:$Y$500&gt;0),Calc!$Y$8:$Y$500,99999),Kanban_Helper!$B272),Calc!$Y$8:$Y$500,0))),IF(INDEX(Calc!$V$8:$V$500,MATCH(INDEX(Calc!$D$8:$D$500,MATCH(SMALL(IF((Calc!$K$8:$K$500=Kanban!G$11)*(Calc!$Y$8:$Y$500&gt;0),Calc!$Y$8:$Y$500,99999),Kanban_Helper!$B272),Calc!$Y$8:$Y$500,0)),Calc!$D$8:$D$500,0))="Yes",CONCATENATE(INDEX(Calc!$D$8:$D$500,MATCH(SMALL(IF((Calc!$K$8:$K$500=Kanban!G$11)*(Calc!$Y$8:$Y$500&gt;0),Calc!$Y$8:$Y$500,99999),Kanban_Helper!$B272),Calc!$Y$8:$Y$500,0))," ",Calc!$V$7," ","!"),INDEX(Calc!$D$8:$D$500,MATCH(SMALL(IF((Calc!$K$8:$K$500=Kanban!G$11)*(Calc!$Y$8:$Y$500&gt;0),Calc!$Y$8:$Y$500,99999),Kanban_Helper!$B272),Calc!$Y$8:$Y$500,0))))),"")</f>
        <v/>
      </c>
      <c r="H279" s="170" t="str">
        <f t="array" ref="H279">IFERROR(IF(LEN(H$11)=0,"",IF($C$7&lt;&gt;"All",IF(INDEX(Calc!$V$8:$V$500,MATCH(INDEX(Calc!$D$8:$D$500,MATCH(SMALL(IF((Calc!$C$8:$C$500=Kanban!$C$7)*(Calc!$K$8:$K$500=Kanban!H$11)*(Calc!$Y$8:$Y$500&gt;0),Calc!$Y$8:$Y$500,99999),Kanban_Helper!$B272),Calc!$Y$8:$Y$500,0)),Calc!$D$8:$D$500,0))="Yes",CONCATENATE(INDEX(Calc!$D$8:$D$500,MATCH(SMALL(IF((Calc!$C$8:$C$500=Kanban!$C$7)*(Calc!$K$8:$K$500=Kanban!H$11)*(Calc!$Y$8:$Y$500&gt;0),Calc!$Y$8:$Y$500,99999),Kanban_Helper!$B272),Calc!$Y$8:$Y$500,0))," ",Calc!$V$7," ","!"),INDEX(Calc!$D$8:$D$500,MATCH(SMALL(IF((Calc!$C$8:$C$500=Kanban!$C$7)*(Calc!$K$8:$K$500=Kanban!H$11)*(Calc!$Y$8:$Y$500&gt;0),Calc!$Y$8:$Y$500,99999),Kanban_Helper!$B272),Calc!$Y$8:$Y$500,0))),IF(INDEX(Calc!$V$8:$V$500,MATCH(INDEX(Calc!$D$8:$D$500,MATCH(SMALL(IF((Calc!$K$8:$K$500=Kanban!H$11)*(Calc!$Y$8:$Y$500&gt;0),Calc!$Y$8:$Y$500,99999),Kanban_Helper!$B272),Calc!$Y$8:$Y$500,0)),Calc!$D$8:$D$500,0))="Yes",CONCATENATE(INDEX(Calc!$D$8:$D$500,MATCH(SMALL(IF((Calc!$K$8:$K$500=Kanban!H$11)*(Calc!$Y$8:$Y$500&gt;0),Calc!$Y$8:$Y$500,99999),Kanban_Helper!$B272),Calc!$Y$8:$Y$500,0))," ",Calc!$V$7," ","!"),INDEX(Calc!$D$8:$D$500,MATCH(SMALL(IF((Calc!$K$8:$K$500=Kanban!H$11)*(Calc!$Y$8:$Y$500&gt;0),Calc!$Y$8:$Y$500,99999),Kanban_Helper!$B272),Calc!$Y$8:$Y$500,0))))),"")</f>
        <v/>
      </c>
      <c r="I279" s="39"/>
    </row>
    <row r="280" spans="2:9" x14ac:dyDescent="0.35">
      <c r="B280" s="81"/>
      <c r="C280" s="171" t="str">
        <f t="array" ref="C280">IFERROR(IF(LEN(C$11)=0,"",IF($C$7&lt;&gt;"All",INDEX(Calc!$E$8:$E$500,MATCH(SMALL(IF((Calc!$C$8:$C$500=Kanban!$C$7)*(Calc!$K$8:$K$500=Kanban!C$11)*(Calc!$Y$8:$Y$500&gt;0),Calc!$Y$8:$Y$500,99999),Kanban_Helper!$B273),Calc!$Y$8:$Y$500,0)),INDEX(Calc!$E$8:$E$500,MATCH(SMALL(IF((Calc!$K$8:$K$500=Kanban!C$11)*(Calc!$Y$8:$Y$500&gt;0),Calc!$Y$8:$Y$500,99999),Kanban_Helper!$B273),Calc!$Y$8:$Y$500,0)))),"")</f>
        <v/>
      </c>
      <c r="D280" s="171" t="str">
        <f t="array" ref="D280">IFERROR(IF(LEN(D$11)=0,"",IF($C$7&lt;&gt;"All",INDEX(Calc!$E$8:$E$500,MATCH(SMALL(IF((Calc!$C$8:$C$500=Kanban!$C$7)*(Calc!$K$8:$K$500=Kanban!D$11)*(Calc!$Y$8:$Y$500&gt;0),Calc!$Y$8:$Y$500,99999),Kanban_Helper!$B273),Calc!$Y$8:$Y$500,0)),INDEX(Calc!$E$8:$E$500,MATCH(SMALL(IF((Calc!$K$8:$K$500=Kanban!D$11)*(Calc!$Y$8:$Y$500&gt;0),Calc!$Y$8:$Y$500,99999),Kanban_Helper!$B273),Calc!$Y$8:$Y$500,0)))),"")</f>
        <v/>
      </c>
      <c r="E280" s="171" t="str">
        <f t="array" ref="E280">IFERROR(IF(LEN(E$11)=0,"",IF($C$7&lt;&gt;"All",INDEX(Calc!$E$8:$E$500,MATCH(SMALL(IF((Calc!$C$8:$C$500=Kanban!$C$7)*(Calc!$K$8:$K$500=Kanban!E$11)*(Calc!$Y$8:$Y$500&gt;0),Calc!$Y$8:$Y$500,99999),Kanban_Helper!$B273),Calc!$Y$8:$Y$500,0)),INDEX(Calc!$E$8:$E$500,MATCH(SMALL(IF((Calc!$K$8:$K$500=Kanban!E$11)*(Calc!$Y$8:$Y$500&gt;0),Calc!$Y$8:$Y$500,99999),Kanban_Helper!$B273),Calc!$Y$8:$Y$500,0)))),"")</f>
        <v/>
      </c>
      <c r="F280" s="171" t="str">
        <f t="array" ref="F280">IFERROR(IF(LEN(F$11)=0,"",IF($C$7&lt;&gt;"All",INDEX(Calc!$E$8:$E$500,MATCH(SMALL(IF((Calc!$C$8:$C$500=Kanban!$C$7)*(Calc!$K$8:$K$500=Kanban!F$11)*(Calc!$Y$8:$Y$500&gt;0),Calc!$Y$8:$Y$500,99999),Kanban_Helper!$B273),Calc!$Y$8:$Y$500,0)),INDEX(Calc!$E$8:$E$500,MATCH(SMALL(IF((Calc!$K$8:$K$500=Kanban!F$11)*(Calc!$Y$8:$Y$500&gt;0),Calc!$Y$8:$Y$500,99999),Kanban_Helper!$B273),Calc!$Y$8:$Y$500,0)))),"")</f>
        <v/>
      </c>
      <c r="G280" s="171" t="str">
        <f t="array" ref="G280">IFERROR(IF(LEN(G$11)=0,"",IF($C$7&lt;&gt;"All",INDEX(Calc!$E$8:$E$500,MATCH(SMALL(IF((Calc!$C$8:$C$500=Kanban!$C$7)*(Calc!$K$8:$K$500=Kanban!G$11)*(Calc!$Y$8:$Y$500&gt;0),Calc!$Y$8:$Y$500,99999),Kanban_Helper!$B273),Calc!$Y$8:$Y$500,0)),INDEX(Calc!$E$8:$E$500,MATCH(SMALL(IF((Calc!$K$8:$K$500=Kanban!G$11)*(Calc!$Y$8:$Y$500&gt;0),Calc!$Y$8:$Y$500,99999),Kanban_Helper!$B273),Calc!$Y$8:$Y$500,0)))),"")</f>
        <v/>
      </c>
      <c r="H280" s="171" t="str">
        <f t="array" ref="H280">IFERROR(IF(LEN(H$11)=0,"",IF($C$7&lt;&gt;"All",INDEX(Calc!$E$8:$E$500,MATCH(SMALL(IF((Calc!$C$8:$C$500=Kanban!$C$7)*(Calc!$K$8:$K$500=Kanban!H$11)*(Calc!$Y$8:$Y$500&gt;0),Calc!$Y$8:$Y$500,99999),Kanban_Helper!$B273),Calc!$Y$8:$Y$500,0)),INDEX(Calc!$E$8:$E$500,MATCH(SMALL(IF((Calc!$K$8:$K$500=Kanban!H$11)*(Calc!$Y$8:$Y$500&gt;0),Calc!$Y$8:$Y$500,99999),Kanban_Helper!$B273),Calc!$Y$8:$Y$500,0)))),"")</f>
        <v/>
      </c>
      <c r="I280" s="39"/>
    </row>
    <row r="281" spans="2:9" ht="15" thickBot="1" x14ac:dyDescent="0.4">
      <c r="B281" s="81"/>
      <c r="C281" s="172" t="str">
        <f t="array" ref="C281">IFERROR(IF(LEN(C$11)=0,"",IF($C$7&lt;&gt;"All",IF(LEN(INDEX(Calc!$J$8:$J$500,MATCH(SMALL(IF((Calc!$C$8:$C$500=Kanban!$C$7)*(Calc!$K$8:$K$500=Kanban!C$11)*(Calc!$Y$8:$Y$500&gt;0),Calc!$Y$8:$Y$500,99999),Kanban_Helper!$B274),Calc!$Y$8:$Y$500,0)))=0,"",CONCATENATE(Calc!$AD$6,INDEX(Calc!$J$8:$J$500,MATCH(SMALL(IF((Calc!$C$8:$C$500=Kanban!$C$7)*(Calc!$K$8:$K$500=Kanban!C$11)*(Calc!$Y$8:$Y$500&gt;0),Calc!$Y$8:$Y$500,99999),Kanban_Helper!$B274),Calc!$Y$8:$Y$500,0)))),IF(LEN(INDEX(Calc!$J$8:$J$500,MATCH(SMALL(IF((Calc!$K$8:$K$500=Kanban!C$11)*(Calc!$Y$8:$Y$500&gt;0),Calc!$Y$8:$Y$500,99999),Kanban_Helper!$B274),Calc!$Y$8:$Y$500,0)))=0,"",CONCATENATE(Calc!$AD$6,INDEX(Calc!$J$8:$J$500,MATCH(SMALL(IF((Calc!$K$8:$K$500=Kanban!C$11)*(Calc!$Y$8:$Y$500&gt;0),Calc!$Y$8:$Y$500,99999),Kanban_Helper!$B274),Calc!$Y$8:$Y$500,0)))))),"")</f>
        <v/>
      </c>
      <c r="D281" s="172" t="str">
        <f t="array" ref="D281">IFERROR(IF(LEN(D$11)=0,"",IF($C$7&lt;&gt;"All",IF(LEN(INDEX(Calc!$J$8:$J$500,MATCH(SMALL(IF((Calc!$C$8:$C$500=Kanban!$C$7)*(Calc!$K$8:$K$500=Kanban!D$11)*(Calc!$Y$8:$Y$500&gt;0),Calc!$Y$8:$Y$500,99999),Kanban_Helper!$B274),Calc!$Y$8:$Y$500,0)))=0,"",CONCATENATE(Calc!$AD$6,INDEX(Calc!$J$8:$J$500,MATCH(SMALL(IF((Calc!$C$8:$C$500=Kanban!$C$7)*(Calc!$K$8:$K$500=Kanban!D$11)*(Calc!$Y$8:$Y$500&gt;0),Calc!$Y$8:$Y$500,99999),Kanban_Helper!$B274),Calc!$Y$8:$Y$500,0)))),IF(LEN(INDEX(Calc!$J$8:$J$500,MATCH(SMALL(IF((Calc!$K$8:$K$500=Kanban!D$11)*(Calc!$Y$8:$Y$500&gt;0),Calc!$Y$8:$Y$500,99999),Kanban_Helper!$B274),Calc!$Y$8:$Y$500,0)))=0,"",CONCATENATE(Calc!$AD$6,INDEX(Calc!$J$8:$J$500,MATCH(SMALL(IF((Calc!$K$8:$K$500=Kanban!D$11)*(Calc!$Y$8:$Y$500&gt;0),Calc!$Y$8:$Y$500,99999),Kanban_Helper!$B274),Calc!$Y$8:$Y$500,0)))))),"")</f>
        <v/>
      </c>
      <c r="E281" s="172" t="str">
        <f t="array" ref="E281">IFERROR(IF(LEN(E$11)=0,"",IF($C$7&lt;&gt;"All",IF(LEN(INDEX(Calc!$J$8:$J$500,MATCH(SMALL(IF((Calc!$C$8:$C$500=Kanban!$C$7)*(Calc!$K$8:$K$500=Kanban!E$11)*(Calc!$Y$8:$Y$500&gt;0),Calc!$Y$8:$Y$500,99999),Kanban_Helper!$B274),Calc!$Y$8:$Y$500,0)))=0,"",CONCATENATE(Calc!$AD$6,INDEX(Calc!$J$8:$J$500,MATCH(SMALL(IF((Calc!$C$8:$C$500=Kanban!$C$7)*(Calc!$K$8:$K$500=Kanban!E$11)*(Calc!$Y$8:$Y$500&gt;0),Calc!$Y$8:$Y$500,99999),Kanban_Helper!$B274),Calc!$Y$8:$Y$500,0)))),IF(LEN(INDEX(Calc!$J$8:$J$500,MATCH(SMALL(IF((Calc!$K$8:$K$500=Kanban!E$11)*(Calc!$Y$8:$Y$500&gt;0),Calc!$Y$8:$Y$500,99999),Kanban_Helper!$B274),Calc!$Y$8:$Y$500,0)))=0,"",CONCATENATE(Calc!$AD$6,INDEX(Calc!$J$8:$J$500,MATCH(SMALL(IF((Calc!$K$8:$K$500=Kanban!E$11)*(Calc!$Y$8:$Y$500&gt;0),Calc!$Y$8:$Y$500,99999),Kanban_Helper!$B274),Calc!$Y$8:$Y$500,0)))))),"")</f>
        <v/>
      </c>
      <c r="F281" s="172" t="str">
        <f t="array" ref="F281">IFERROR(IF(LEN(F$11)=0,"",IF($C$7&lt;&gt;"All",IF(LEN(INDEX(Calc!$J$8:$J$500,MATCH(SMALL(IF((Calc!$C$8:$C$500=Kanban!$C$7)*(Calc!$K$8:$K$500=Kanban!F$11)*(Calc!$Y$8:$Y$500&gt;0),Calc!$Y$8:$Y$500,99999),Kanban_Helper!$B274),Calc!$Y$8:$Y$500,0)))=0,"",CONCATENATE(Calc!$AD$6,INDEX(Calc!$J$8:$J$500,MATCH(SMALL(IF((Calc!$C$8:$C$500=Kanban!$C$7)*(Calc!$K$8:$K$500=Kanban!F$11)*(Calc!$Y$8:$Y$500&gt;0),Calc!$Y$8:$Y$500,99999),Kanban_Helper!$B274),Calc!$Y$8:$Y$500,0)))),IF(LEN(INDEX(Calc!$J$8:$J$500,MATCH(SMALL(IF((Calc!$K$8:$K$500=Kanban!F$11)*(Calc!$Y$8:$Y$500&gt;0),Calc!$Y$8:$Y$500,99999),Kanban_Helper!$B274),Calc!$Y$8:$Y$500,0)))=0,"",CONCATENATE(Calc!$AD$6,INDEX(Calc!$J$8:$J$500,MATCH(SMALL(IF((Calc!$K$8:$K$500=Kanban!F$11)*(Calc!$Y$8:$Y$500&gt;0),Calc!$Y$8:$Y$500,99999),Kanban_Helper!$B274),Calc!$Y$8:$Y$500,0)))))),"")</f>
        <v/>
      </c>
      <c r="G281" s="172" t="str">
        <f t="array" ref="G281">IFERROR(IF(LEN(G$11)=0,"",IF($C$7&lt;&gt;"All",IF(LEN(INDEX(Calc!$J$8:$J$500,MATCH(SMALL(IF((Calc!$C$8:$C$500=Kanban!$C$7)*(Calc!$K$8:$K$500=Kanban!G$11)*(Calc!$Y$8:$Y$500&gt;0),Calc!$Y$8:$Y$500,99999),Kanban_Helper!$B274),Calc!$Y$8:$Y$500,0)))=0,"",CONCATENATE(Calc!$AD$6,INDEX(Calc!$J$8:$J$500,MATCH(SMALL(IF((Calc!$C$8:$C$500=Kanban!$C$7)*(Calc!$K$8:$K$500=Kanban!G$11)*(Calc!$Y$8:$Y$500&gt;0),Calc!$Y$8:$Y$500,99999),Kanban_Helper!$B274),Calc!$Y$8:$Y$500,0)))),IF(LEN(INDEX(Calc!$J$8:$J$500,MATCH(SMALL(IF((Calc!$K$8:$K$500=Kanban!G$11)*(Calc!$Y$8:$Y$500&gt;0),Calc!$Y$8:$Y$500,99999),Kanban_Helper!$B274),Calc!$Y$8:$Y$500,0)))=0,"",CONCATENATE(Calc!$AD$6,INDEX(Calc!$J$8:$J$500,MATCH(SMALL(IF((Calc!$K$8:$K$500=Kanban!G$11)*(Calc!$Y$8:$Y$500&gt;0),Calc!$Y$8:$Y$500,99999),Kanban_Helper!$B274),Calc!$Y$8:$Y$500,0)))))),"")</f>
        <v/>
      </c>
      <c r="H281" s="172" t="str">
        <f t="array" ref="H281">IFERROR(IF(LEN(H$11)=0,"",IF($C$7&lt;&gt;"All",IF(LEN(INDEX(Calc!$J$8:$J$500,MATCH(SMALL(IF((Calc!$C$8:$C$500=Kanban!$C$7)*(Calc!$K$8:$K$500=Kanban!H$11)*(Calc!$Y$8:$Y$500&gt;0),Calc!$Y$8:$Y$500,99999),Kanban_Helper!$B274),Calc!$Y$8:$Y$500,0)))=0,"",CONCATENATE(Calc!$AD$6,INDEX(Calc!$J$8:$J$500,MATCH(SMALL(IF((Calc!$C$8:$C$500=Kanban!$C$7)*(Calc!$K$8:$K$500=Kanban!H$11)*(Calc!$Y$8:$Y$500&gt;0),Calc!$Y$8:$Y$500,99999),Kanban_Helper!$B274),Calc!$Y$8:$Y$500,0)))),IF(LEN(INDEX(Calc!$J$8:$J$500,MATCH(SMALL(IF((Calc!$K$8:$K$500=Kanban!H$11)*(Calc!$Y$8:$Y$500&gt;0),Calc!$Y$8:$Y$500,99999),Kanban_Helper!$B274),Calc!$Y$8:$Y$500,0)))=0,"",CONCATENATE(Calc!$AD$6,INDEX(Calc!$J$8:$J$500,MATCH(SMALL(IF((Calc!$K$8:$K$500=Kanban!H$11)*(Calc!$Y$8:$Y$500&gt;0),Calc!$Y$8:$Y$500,99999),Kanban_Helper!$B274),Calc!$Y$8:$Y$500,0)))))),"")</f>
        <v/>
      </c>
      <c r="I281" s="39"/>
    </row>
    <row r="282" spans="2:9" ht="15" thickTop="1" x14ac:dyDescent="0.35">
      <c r="B282" s="81"/>
      <c r="C282" s="170" t="str">
        <f t="array" ref="C282">IFERROR(IF(LEN(C$11)=0,"",IF($C$7&lt;&gt;"All",IF(INDEX(Calc!$V$8:$V$500,MATCH(INDEX(Calc!$D$8:$D$500,MATCH(SMALL(IF((Calc!$C$8:$C$500=Kanban!$C$7)*(Calc!$K$8:$K$500=Kanban!C$11)*(Calc!$Y$8:$Y$500&gt;0),Calc!$Y$8:$Y$500,99999),Kanban_Helper!$B275),Calc!$Y$8:$Y$500,0)),Calc!$D$8:$D$500,0))="Yes",CONCATENATE(INDEX(Calc!$D$8:$D$500,MATCH(SMALL(IF((Calc!$C$8:$C$500=Kanban!$C$7)*(Calc!$K$8:$K$500=Kanban!C$11)*(Calc!$Y$8:$Y$500&gt;0),Calc!$Y$8:$Y$500,99999),Kanban_Helper!$B275),Calc!$Y$8:$Y$500,0))," ",Calc!$V$7," ","!"),INDEX(Calc!$D$8:$D$500,MATCH(SMALL(IF((Calc!$C$8:$C$500=Kanban!$C$7)*(Calc!$K$8:$K$500=Kanban!C$11)*(Calc!$Y$8:$Y$500&gt;0),Calc!$Y$8:$Y$500,99999),Kanban_Helper!$B275),Calc!$Y$8:$Y$500,0))),IF(INDEX(Calc!$V$8:$V$500,MATCH(INDEX(Calc!$D$8:$D$500,MATCH(SMALL(IF((Calc!$K$8:$K$500=Kanban!C$11)*(Calc!$Y$8:$Y$500&gt;0),Calc!$Y$8:$Y$500,99999),Kanban_Helper!$B275),Calc!$Y$8:$Y$500,0)),Calc!$D$8:$D$500,0))="Yes",CONCATENATE(INDEX(Calc!$D$8:$D$500,MATCH(SMALL(IF((Calc!$K$8:$K$500=Kanban!C$11)*(Calc!$Y$8:$Y$500&gt;0),Calc!$Y$8:$Y$500,99999),Kanban_Helper!$B275),Calc!$Y$8:$Y$500,0))," ",Calc!$V$7," ","!"),INDEX(Calc!$D$8:$D$500,MATCH(SMALL(IF((Calc!$K$8:$K$500=Kanban!C$11)*(Calc!$Y$8:$Y$500&gt;0),Calc!$Y$8:$Y$500,99999),Kanban_Helper!$B275),Calc!$Y$8:$Y$500,0))))),"")</f>
        <v/>
      </c>
      <c r="D282" s="170" t="str">
        <f t="array" ref="D282">IFERROR(IF(LEN(D$11)=0,"",IF($C$7&lt;&gt;"All",IF(INDEX(Calc!$V$8:$V$500,MATCH(INDEX(Calc!$D$8:$D$500,MATCH(SMALL(IF((Calc!$C$8:$C$500=Kanban!$C$7)*(Calc!$K$8:$K$500=Kanban!D$11)*(Calc!$Y$8:$Y$500&gt;0),Calc!$Y$8:$Y$500,99999),Kanban_Helper!$B275),Calc!$Y$8:$Y$500,0)),Calc!$D$8:$D$500,0))="Yes",CONCATENATE(INDEX(Calc!$D$8:$D$500,MATCH(SMALL(IF((Calc!$C$8:$C$500=Kanban!$C$7)*(Calc!$K$8:$K$500=Kanban!D$11)*(Calc!$Y$8:$Y$500&gt;0),Calc!$Y$8:$Y$500,99999),Kanban_Helper!$B275),Calc!$Y$8:$Y$500,0))," ",Calc!$V$7," ","!"),INDEX(Calc!$D$8:$D$500,MATCH(SMALL(IF((Calc!$C$8:$C$500=Kanban!$C$7)*(Calc!$K$8:$K$500=Kanban!D$11)*(Calc!$Y$8:$Y$500&gt;0),Calc!$Y$8:$Y$500,99999),Kanban_Helper!$B275),Calc!$Y$8:$Y$500,0))),IF(INDEX(Calc!$V$8:$V$500,MATCH(INDEX(Calc!$D$8:$D$500,MATCH(SMALL(IF((Calc!$K$8:$K$500=Kanban!D$11)*(Calc!$Y$8:$Y$500&gt;0),Calc!$Y$8:$Y$500,99999),Kanban_Helper!$B275),Calc!$Y$8:$Y$500,0)),Calc!$D$8:$D$500,0))="Yes",CONCATENATE(INDEX(Calc!$D$8:$D$500,MATCH(SMALL(IF((Calc!$K$8:$K$500=Kanban!D$11)*(Calc!$Y$8:$Y$500&gt;0),Calc!$Y$8:$Y$500,99999),Kanban_Helper!$B275),Calc!$Y$8:$Y$500,0))," ",Calc!$V$7," ","!"),INDEX(Calc!$D$8:$D$500,MATCH(SMALL(IF((Calc!$K$8:$K$500=Kanban!D$11)*(Calc!$Y$8:$Y$500&gt;0),Calc!$Y$8:$Y$500,99999),Kanban_Helper!$B275),Calc!$Y$8:$Y$500,0))))),"")</f>
        <v/>
      </c>
      <c r="E282" s="170" t="str">
        <f t="array" ref="E282">IFERROR(IF(LEN(E$11)=0,"",IF($C$7&lt;&gt;"All",IF(INDEX(Calc!$V$8:$V$500,MATCH(INDEX(Calc!$D$8:$D$500,MATCH(SMALL(IF((Calc!$C$8:$C$500=Kanban!$C$7)*(Calc!$K$8:$K$500=Kanban!E$11)*(Calc!$Y$8:$Y$500&gt;0),Calc!$Y$8:$Y$500,99999),Kanban_Helper!$B275),Calc!$Y$8:$Y$500,0)),Calc!$D$8:$D$500,0))="Yes",CONCATENATE(INDEX(Calc!$D$8:$D$500,MATCH(SMALL(IF((Calc!$C$8:$C$500=Kanban!$C$7)*(Calc!$K$8:$K$500=Kanban!E$11)*(Calc!$Y$8:$Y$500&gt;0),Calc!$Y$8:$Y$500,99999),Kanban_Helper!$B275),Calc!$Y$8:$Y$500,0))," ",Calc!$V$7," ","!"),INDEX(Calc!$D$8:$D$500,MATCH(SMALL(IF((Calc!$C$8:$C$500=Kanban!$C$7)*(Calc!$K$8:$K$500=Kanban!E$11)*(Calc!$Y$8:$Y$500&gt;0),Calc!$Y$8:$Y$500,99999),Kanban_Helper!$B275),Calc!$Y$8:$Y$500,0))),IF(INDEX(Calc!$V$8:$V$500,MATCH(INDEX(Calc!$D$8:$D$500,MATCH(SMALL(IF((Calc!$K$8:$K$500=Kanban!E$11)*(Calc!$Y$8:$Y$500&gt;0),Calc!$Y$8:$Y$500,99999),Kanban_Helper!$B275),Calc!$Y$8:$Y$500,0)),Calc!$D$8:$D$500,0))="Yes",CONCATENATE(INDEX(Calc!$D$8:$D$500,MATCH(SMALL(IF((Calc!$K$8:$K$500=Kanban!E$11)*(Calc!$Y$8:$Y$500&gt;0),Calc!$Y$8:$Y$500,99999),Kanban_Helper!$B275),Calc!$Y$8:$Y$500,0))," ",Calc!$V$7," ","!"),INDEX(Calc!$D$8:$D$500,MATCH(SMALL(IF((Calc!$K$8:$K$500=Kanban!E$11)*(Calc!$Y$8:$Y$500&gt;0),Calc!$Y$8:$Y$500,99999),Kanban_Helper!$B275),Calc!$Y$8:$Y$500,0))))),"")</f>
        <v/>
      </c>
      <c r="F282" s="170" t="str">
        <f t="array" ref="F282">IFERROR(IF(LEN(F$11)=0,"",IF($C$7&lt;&gt;"All",IF(INDEX(Calc!$V$8:$V$500,MATCH(INDEX(Calc!$D$8:$D$500,MATCH(SMALL(IF((Calc!$C$8:$C$500=Kanban!$C$7)*(Calc!$K$8:$K$500=Kanban!F$11)*(Calc!$Y$8:$Y$500&gt;0),Calc!$Y$8:$Y$500,99999),Kanban_Helper!$B275),Calc!$Y$8:$Y$500,0)),Calc!$D$8:$D$500,0))="Yes",CONCATENATE(INDEX(Calc!$D$8:$D$500,MATCH(SMALL(IF((Calc!$C$8:$C$500=Kanban!$C$7)*(Calc!$K$8:$K$500=Kanban!F$11)*(Calc!$Y$8:$Y$500&gt;0),Calc!$Y$8:$Y$500,99999),Kanban_Helper!$B275),Calc!$Y$8:$Y$500,0))," ",Calc!$V$7," ","!"),INDEX(Calc!$D$8:$D$500,MATCH(SMALL(IF((Calc!$C$8:$C$500=Kanban!$C$7)*(Calc!$K$8:$K$500=Kanban!F$11)*(Calc!$Y$8:$Y$500&gt;0),Calc!$Y$8:$Y$500,99999),Kanban_Helper!$B275),Calc!$Y$8:$Y$500,0))),IF(INDEX(Calc!$V$8:$V$500,MATCH(INDEX(Calc!$D$8:$D$500,MATCH(SMALL(IF((Calc!$K$8:$K$500=Kanban!F$11)*(Calc!$Y$8:$Y$500&gt;0),Calc!$Y$8:$Y$500,99999),Kanban_Helper!$B275),Calc!$Y$8:$Y$500,0)),Calc!$D$8:$D$500,0))="Yes",CONCATENATE(INDEX(Calc!$D$8:$D$500,MATCH(SMALL(IF((Calc!$K$8:$K$500=Kanban!F$11)*(Calc!$Y$8:$Y$500&gt;0),Calc!$Y$8:$Y$500,99999),Kanban_Helper!$B275),Calc!$Y$8:$Y$500,0))," ",Calc!$V$7," ","!"),INDEX(Calc!$D$8:$D$500,MATCH(SMALL(IF((Calc!$K$8:$K$500=Kanban!F$11)*(Calc!$Y$8:$Y$500&gt;0),Calc!$Y$8:$Y$500,99999),Kanban_Helper!$B275),Calc!$Y$8:$Y$500,0))))),"")</f>
        <v/>
      </c>
      <c r="G282" s="170" t="str">
        <f t="array" ref="G282">IFERROR(IF(LEN(G$11)=0,"",IF($C$7&lt;&gt;"All",IF(INDEX(Calc!$V$8:$V$500,MATCH(INDEX(Calc!$D$8:$D$500,MATCH(SMALL(IF((Calc!$C$8:$C$500=Kanban!$C$7)*(Calc!$K$8:$K$500=Kanban!G$11)*(Calc!$Y$8:$Y$500&gt;0),Calc!$Y$8:$Y$500,99999),Kanban_Helper!$B275),Calc!$Y$8:$Y$500,0)),Calc!$D$8:$D$500,0))="Yes",CONCATENATE(INDEX(Calc!$D$8:$D$500,MATCH(SMALL(IF((Calc!$C$8:$C$500=Kanban!$C$7)*(Calc!$K$8:$K$500=Kanban!G$11)*(Calc!$Y$8:$Y$500&gt;0),Calc!$Y$8:$Y$500,99999),Kanban_Helper!$B275),Calc!$Y$8:$Y$500,0))," ",Calc!$V$7," ","!"),INDEX(Calc!$D$8:$D$500,MATCH(SMALL(IF((Calc!$C$8:$C$500=Kanban!$C$7)*(Calc!$K$8:$K$500=Kanban!G$11)*(Calc!$Y$8:$Y$500&gt;0),Calc!$Y$8:$Y$500,99999),Kanban_Helper!$B275),Calc!$Y$8:$Y$500,0))),IF(INDEX(Calc!$V$8:$V$500,MATCH(INDEX(Calc!$D$8:$D$500,MATCH(SMALL(IF((Calc!$K$8:$K$500=Kanban!G$11)*(Calc!$Y$8:$Y$500&gt;0),Calc!$Y$8:$Y$500,99999),Kanban_Helper!$B275),Calc!$Y$8:$Y$500,0)),Calc!$D$8:$D$500,0))="Yes",CONCATENATE(INDEX(Calc!$D$8:$D$500,MATCH(SMALL(IF((Calc!$K$8:$K$500=Kanban!G$11)*(Calc!$Y$8:$Y$500&gt;0),Calc!$Y$8:$Y$500,99999),Kanban_Helper!$B275),Calc!$Y$8:$Y$500,0))," ",Calc!$V$7," ","!"),INDEX(Calc!$D$8:$D$500,MATCH(SMALL(IF((Calc!$K$8:$K$500=Kanban!G$11)*(Calc!$Y$8:$Y$500&gt;0),Calc!$Y$8:$Y$500,99999),Kanban_Helper!$B275),Calc!$Y$8:$Y$500,0))))),"")</f>
        <v/>
      </c>
      <c r="H282" s="170" t="str">
        <f t="array" ref="H282">IFERROR(IF(LEN(H$11)=0,"",IF($C$7&lt;&gt;"All",IF(INDEX(Calc!$V$8:$V$500,MATCH(INDEX(Calc!$D$8:$D$500,MATCH(SMALL(IF((Calc!$C$8:$C$500=Kanban!$C$7)*(Calc!$K$8:$K$500=Kanban!H$11)*(Calc!$Y$8:$Y$500&gt;0),Calc!$Y$8:$Y$500,99999),Kanban_Helper!$B275),Calc!$Y$8:$Y$500,0)),Calc!$D$8:$D$500,0))="Yes",CONCATENATE(INDEX(Calc!$D$8:$D$500,MATCH(SMALL(IF((Calc!$C$8:$C$500=Kanban!$C$7)*(Calc!$K$8:$K$500=Kanban!H$11)*(Calc!$Y$8:$Y$500&gt;0),Calc!$Y$8:$Y$500,99999),Kanban_Helper!$B275),Calc!$Y$8:$Y$500,0))," ",Calc!$V$7," ","!"),INDEX(Calc!$D$8:$D$500,MATCH(SMALL(IF((Calc!$C$8:$C$500=Kanban!$C$7)*(Calc!$K$8:$K$500=Kanban!H$11)*(Calc!$Y$8:$Y$500&gt;0),Calc!$Y$8:$Y$500,99999),Kanban_Helper!$B275),Calc!$Y$8:$Y$500,0))),IF(INDEX(Calc!$V$8:$V$500,MATCH(INDEX(Calc!$D$8:$D$500,MATCH(SMALL(IF((Calc!$K$8:$K$500=Kanban!H$11)*(Calc!$Y$8:$Y$500&gt;0),Calc!$Y$8:$Y$500,99999),Kanban_Helper!$B275),Calc!$Y$8:$Y$500,0)),Calc!$D$8:$D$500,0))="Yes",CONCATENATE(INDEX(Calc!$D$8:$D$500,MATCH(SMALL(IF((Calc!$K$8:$K$500=Kanban!H$11)*(Calc!$Y$8:$Y$500&gt;0),Calc!$Y$8:$Y$500,99999),Kanban_Helper!$B275),Calc!$Y$8:$Y$500,0))," ",Calc!$V$7," ","!"),INDEX(Calc!$D$8:$D$500,MATCH(SMALL(IF((Calc!$K$8:$K$500=Kanban!H$11)*(Calc!$Y$8:$Y$500&gt;0),Calc!$Y$8:$Y$500,99999),Kanban_Helper!$B275),Calc!$Y$8:$Y$500,0))))),"")</f>
        <v/>
      </c>
      <c r="I282" s="39"/>
    </row>
    <row r="283" spans="2:9" x14ac:dyDescent="0.35">
      <c r="B283" s="81"/>
      <c r="C283" s="171" t="str">
        <f t="array" ref="C283">IFERROR(IF(LEN(C$11)=0,"",IF($C$7&lt;&gt;"All",INDEX(Calc!$E$8:$E$500,MATCH(SMALL(IF((Calc!$C$8:$C$500=Kanban!$C$7)*(Calc!$K$8:$K$500=Kanban!C$11)*(Calc!$Y$8:$Y$500&gt;0),Calc!$Y$8:$Y$500,99999),Kanban_Helper!$B276),Calc!$Y$8:$Y$500,0)),INDEX(Calc!$E$8:$E$500,MATCH(SMALL(IF((Calc!$K$8:$K$500=Kanban!C$11)*(Calc!$Y$8:$Y$500&gt;0),Calc!$Y$8:$Y$500,99999),Kanban_Helper!$B276),Calc!$Y$8:$Y$500,0)))),"")</f>
        <v/>
      </c>
      <c r="D283" s="171" t="str">
        <f t="array" ref="D283">IFERROR(IF(LEN(D$11)=0,"",IF($C$7&lt;&gt;"All",INDEX(Calc!$E$8:$E$500,MATCH(SMALL(IF((Calc!$C$8:$C$500=Kanban!$C$7)*(Calc!$K$8:$K$500=Kanban!D$11)*(Calc!$Y$8:$Y$500&gt;0),Calc!$Y$8:$Y$500,99999),Kanban_Helper!$B276),Calc!$Y$8:$Y$500,0)),INDEX(Calc!$E$8:$E$500,MATCH(SMALL(IF((Calc!$K$8:$K$500=Kanban!D$11)*(Calc!$Y$8:$Y$500&gt;0),Calc!$Y$8:$Y$500,99999),Kanban_Helper!$B276),Calc!$Y$8:$Y$500,0)))),"")</f>
        <v/>
      </c>
      <c r="E283" s="171" t="str">
        <f t="array" ref="E283">IFERROR(IF(LEN(E$11)=0,"",IF($C$7&lt;&gt;"All",INDEX(Calc!$E$8:$E$500,MATCH(SMALL(IF((Calc!$C$8:$C$500=Kanban!$C$7)*(Calc!$K$8:$K$500=Kanban!E$11)*(Calc!$Y$8:$Y$500&gt;0),Calc!$Y$8:$Y$500,99999),Kanban_Helper!$B276),Calc!$Y$8:$Y$500,0)),INDEX(Calc!$E$8:$E$500,MATCH(SMALL(IF((Calc!$K$8:$K$500=Kanban!E$11)*(Calc!$Y$8:$Y$500&gt;0),Calc!$Y$8:$Y$500,99999),Kanban_Helper!$B276),Calc!$Y$8:$Y$500,0)))),"")</f>
        <v/>
      </c>
      <c r="F283" s="171" t="str">
        <f t="array" ref="F283">IFERROR(IF(LEN(F$11)=0,"",IF($C$7&lt;&gt;"All",INDEX(Calc!$E$8:$E$500,MATCH(SMALL(IF((Calc!$C$8:$C$500=Kanban!$C$7)*(Calc!$K$8:$K$500=Kanban!F$11)*(Calc!$Y$8:$Y$500&gt;0),Calc!$Y$8:$Y$500,99999),Kanban_Helper!$B276),Calc!$Y$8:$Y$500,0)),INDEX(Calc!$E$8:$E$500,MATCH(SMALL(IF((Calc!$K$8:$K$500=Kanban!F$11)*(Calc!$Y$8:$Y$500&gt;0),Calc!$Y$8:$Y$500,99999),Kanban_Helper!$B276),Calc!$Y$8:$Y$500,0)))),"")</f>
        <v/>
      </c>
      <c r="G283" s="171" t="str">
        <f t="array" ref="G283">IFERROR(IF(LEN(G$11)=0,"",IF($C$7&lt;&gt;"All",INDEX(Calc!$E$8:$E$500,MATCH(SMALL(IF((Calc!$C$8:$C$500=Kanban!$C$7)*(Calc!$K$8:$K$500=Kanban!G$11)*(Calc!$Y$8:$Y$500&gt;0),Calc!$Y$8:$Y$500,99999),Kanban_Helper!$B276),Calc!$Y$8:$Y$500,0)),INDEX(Calc!$E$8:$E$500,MATCH(SMALL(IF((Calc!$K$8:$K$500=Kanban!G$11)*(Calc!$Y$8:$Y$500&gt;0),Calc!$Y$8:$Y$500,99999),Kanban_Helper!$B276),Calc!$Y$8:$Y$500,0)))),"")</f>
        <v/>
      </c>
      <c r="H283" s="171" t="str">
        <f t="array" ref="H283">IFERROR(IF(LEN(H$11)=0,"",IF($C$7&lt;&gt;"All",INDEX(Calc!$E$8:$E$500,MATCH(SMALL(IF((Calc!$C$8:$C$500=Kanban!$C$7)*(Calc!$K$8:$K$500=Kanban!H$11)*(Calc!$Y$8:$Y$500&gt;0),Calc!$Y$8:$Y$500,99999),Kanban_Helper!$B276),Calc!$Y$8:$Y$500,0)),INDEX(Calc!$E$8:$E$500,MATCH(SMALL(IF((Calc!$K$8:$K$500=Kanban!H$11)*(Calc!$Y$8:$Y$500&gt;0),Calc!$Y$8:$Y$500,99999),Kanban_Helper!$B276),Calc!$Y$8:$Y$500,0)))),"")</f>
        <v/>
      </c>
      <c r="I283" s="39"/>
    </row>
    <row r="284" spans="2:9" ht="15" thickBot="1" x14ac:dyDescent="0.4">
      <c r="B284" s="81"/>
      <c r="C284" s="172" t="str">
        <f t="array" ref="C284">IFERROR(IF(LEN(C$11)=0,"",IF($C$7&lt;&gt;"All",IF(LEN(INDEX(Calc!$J$8:$J$500,MATCH(SMALL(IF((Calc!$C$8:$C$500=Kanban!$C$7)*(Calc!$K$8:$K$500=Kanban!C$11)*(Calc!$Y$8:$Y$500&gt;0),Calc!$Y$8:$Y$500,99999),Kanban_Helper!$B277),Calc!$Y$8:$Y$500,0)))=0,"",CONCATENATE(Calc!$AD$6,INDEX(Calc!$J$8:$J$500,MATCH(SMALL(IF((Calc!$C$8:$C$500=Kanban!$C$7)*(Calc!$K$8:$K$500=Kanban!C$11)*(Calc!$Y$8:$Y$500&gt;0),Calc!$Y$8:$Y$500,99999),Kanban_Helper!$B277),Calc!$Y$8:$Y$500,0)))),IF(LEN(INDEX(Calc!$J$8:$J$500,MATCH(SMALL(IF((Calc!$K$8:$K$500=Kanban!C$11)*(Calc!$Y$8:$Y$500&gt;0),Calc!$Y$8:$Y$500,99999),Kanban_Helper!$B277),Calc!$Y$8:$Y$500,0)))=0,"",CONCATENATE(Calc!$AD$6,INDEX(Calc!$J$8:$J$500,MATCH(SMALL(IF((Calc!$K$8:$K$500=Kanban!C$11)*(Calc!$Y$8:$Y$500&gt;0),Calc!$Y$8:$Y$500,99999),Kanban_Helper!$B277),Calc!$Y$8:$Y$500,0)))))),"")</f>
        <v/>
      </c>
      <c r="D284" s="172" t="str">
        <f t="array" ref="D284">IFERROR(IF(LEN(D$11)=0,"",IF($C$7&lt;&gt;"All",IF(LEN(INDEX(Calc!$J$8:$J$500,MATCH(SMALL(IF((Calc!$C$8:$C$500=Kanban!$C$7)*(Calc!$K$8:$K$500=Kanban!D$11)*(Calc!$Y$8:$Y$500&gt;0),Calc!$Y$8:$Y$500,99999),Kanban_Helper!$B277),Calc!$Y$8:$Y$500,0)))=0,"",CONCATENATE(Calc!$AD$6,INDEX(Calc!$J$8:$J$500,MATCH(SMALL(IF((Calc!$C$8:$C$500=Kanban!$C$7)*(Calc!$K$8:$K$500=Kanban!D$11)*(Calc!$Y$8:$Y$500&gt;0),Calc!$Y$8:$Y$500,99999),Kanban_Helper!$B277),Calc!$Y$8:$Y$500,0)))),IF(LEN(INDEX(Calc!$J$8:$J$500,MATCH(SMALL(IF((Calc!$K$8:$K$500=Kanban!D$11)*(Calc!$Y$8:$Y$500&gt;0),Calc!$Y$8:$Y$500,99999),Kanban_Helper!$B277),Calc!$Y$8:$Y$500,0)))=0,"",CONCATENATE(Calc!$AD$6,INDEX(Calc!$J$8:$J$500,MATCH(SMALL(IF((Calc!$K$8:$K$500=Kanban!D$11)*(Calc!$Y$8:$Y$500&gt;0),Calc!$Y$8:$Y$500,99999),Kanban_Helper!$B277),Calc!$Y$8:$Y$500,0)))))),"")</f>
        <v/>
      </c>
      <c r="E284" s="172" t="str">
        <f t="array" ref="E284">IFERROR(IF(LEN(E$11)=0,"",IF($C$7&lt;&gt;"All",IF(LEN(INDEX(Calc!$J$8:$J$500,MATCH(SMALL(IF((Calc!$C$8:$C$500=Kanban!$C$7)*(Calc!$K$8:$K$500=Kanban!E$11)*(Calc!$Y$8:$Y$500&gt;0),Calc!$Y$8:$Y$500,99999),Kanban_Helper!$B277),Calc!$Y$8:$Y$500,0)))=0,"",CONCATENATE(Calc!$AD$6,INDEX(Calc!$J$8:$J$500,MATCH(SMALL(IF((Calc!$C$8:$C$500=Kanban!$C$7)*(Calc!$K$8:$K$500=Kanban!E$11)*(Calc!$Y$8:$Y$500&gt;0),Calc!$Y$8:$Y$500,99999),Kanban_Helper!$B277),Calc!$Y$8:$Y$500,0)))),IF(LEN(INDEX(Calc!$J$8:$J$500,MATCH(SMALL(IF((Calc!$K$8:$K$500=Kanban!E$11)*(Calc!$Y$8:$Y$500&gt;0),Calc!$Y$8:$Y$500,99999),Kanban_Helper!$B277),Calc!$Y$8:$Y$500,0)))=0,"",CONCATENATE(Calc!$AD$6,INDEX(Calc!$J$8:$J$500,MATCH(SMALL(IF((Calc!$K$8:$K$500=Kanban!E$11)*(Calc!$Y$8:$Y$500&gt;0),Calc!$Y$8:$Y$500,99999),Kanban_Helper!$B277),Calc!$Y$8:$Y$500,0)))))),"")</f>
        <v/>
      </c>
      <c r="F284" s="172" t="str">
        <f t="array" ref="F284">IFERROR(IF(LEN(F$11)=0,"",IF($C$7&lt;&gt;"All",IF(LEN(INDEX(Calc!$J$8:$J$500,MATCH(SMALL(IF((Calc!$C$8:$C$500=Kanban!$C$7)*(Calc!$K$8:$K$500=Kanban!F$11)*(Calc!$Y$8:$Y$500&gt;0),Calc!$Y$8:$Y$500,99999),Kanban_Helper!$B277),Calc!$Y$8:$Y$500,0)))=0,"",CONCATENATE(Calc!$AD$6,INDEX(Calc!$J$8:$J$500,MATCH(SMALL(IF((Calc!$C$8:$C$500=Kanban!$C$7)*(Calc!$K$8:$K$500=Kanban!F$11)*(Calc!$Y$8:$Y$500&gt;0),Calc!$Y$8:$Y$500,99999),Kanban_Helper!$B277),Calc!$Y$8:$Y$500,0)))),IF(LEN(INDEX(Calc!$J$8:$J$500,MATCH(SMALL(IF((Calc!$K$8:$K$500=Kanban!F$11)*(Calc!$Y$8:$Y$500&gt;0),Calc!$Y$8:$Y$500,99999),Kanban_Helper!$B277),Calc!$Y$8:$Y$500,0)))=0,"",CONCATENATE(Calc!$AD$6,INDEX(Calc!$J$8:$J$500,MATCH(SMALL(IF((Calc!$K$8:$K$500=Kanban!F$11)*(Calc!$Y$8:$Y$500&gt;0),Calc!$Y$8:$Y$500,99999),Kanban_Helper!$B277),Calc!$Y$8:$Y$500,0)))))),"")</f>
        <v/>
      </c>
      <c r="G284" s="172" t="str">
        <f t="array" ref="G284">IFERROR(IF(LEN(G$11)=0,"",IF($C$7&lt;&gt;"All",IF(LEN(INDEX(Calc!$J$8:$J$500,MATCH(SMALL(IF((Calc!$C$8:$C$500=Kanban!$C$7)*(Calc!$K$8:$K$500=Kanban!G$11)*(Calc!$Y$8:$Y$500&gt;0),Calc!$Y$8:$Y$500,99999),Kanban_Helper!$B277),Calc!$Y$8:$Y$500,0)))=0,"",CONCATENATE(Calc!$AD$6,INDEX(Calc!$J$8:$J$500,MATCH(SMALL(IF((Calc!$C$8:$C$500=Kanban!$C$7)*(Calc!$K$8:$K$500=Kanban!G$11)*(Calc!$Y$8:$Y$500&gt;0),Calc!$Y$8:$Y$500,99999),Kanban_Helper!$B277),Calc!$Y$8:$Y$500,0)))),IF(LEN(INDEX(Calc!$J$8:$J$500,MATCH(SMALL(IF((Calc!$K$8:$K$500=Kanban!G$11)*(Calc!$Y$8:$Y$500&gt;0),Calc!$Y$8:$Y$500,99999),Kanban_Helper!$B277),Calc!$Y$8:$Y$500,0)))=0,"",CONCATENATE(Calc!$AD$6,INDEX(Calc!$J$8:$J$500,MATCH(SMALL(IF((Calc!$K$8:$K$500=Kanban!G$11)*(Calc!$Y$8:$Y$500&gt;0),Calc!$Y$8:$Y$500,99999),Kanban_Helper!$B277),Calc!$Y$8:$Y$500,0)))))),"")</f>
        <v/>
      </c>
      <c r="H284" s="172" t="str">
        <f t="array" ref="H284">IFERROR(IF(LEN(H$11)=0,"",IF($C$7&lt;&gt;"All",IF(LEN(INDEX(Calc!$J$8:$J$500,MATCH(SMALL(IF((Calc!$C$8:$C$500=Kanban!$C$7)*(Calc!$K$8:$K$500=Kanban!H$11)*(Calc!$Y$8:$Y$500&gt;0),Calc!$Y$8:$Y$500,99999),Kanban_Helper!$B277),Calc!$Y$8:$Y$500,0)))=0,"",CONCATENATE(Calc!$AD$6,INDEX(Calc!$J$8:$J$500,MATCH(SMALL(IF((Calc!$C$8:$C$500=Kanban!$C$7)*(Calc!$K$8:$K$500=Kanban!H$11)*(Calc!$Y$8:$Y$500&gt;0),Calc!$Y$8:$Y$500,99999),Kanban_Helper!$B277),Calc!$Y$8:$Y$500,0)))),IF(LEN(INDEX(Calc!$J$8:$J$500,MATCH(SMALL(IF((Calc!$K$8:$K$500=Kanban!H$11)*(Calc!$Y$8:$Y$500&gt;0),Calc!$Y$8:$Y$500,99999),Kanban_Helper!$B277),Calc!$Y$8:$Y$500,0)))=0,"",CONCATENATE(Calc!$AD$6,INDEX(Calc!$J$8:$J$500,MATCH(SMALL(IF((Calc!$K$8:$K$500=Kanban!H$11)*(Calc!$Y$8:$Y$500&gt;0),Calc!$Y$8:$Y$500,99999),Kanban_Helper!$B277),Calc!$Y$8:$Y$500,0)))))),"")</f>
        <v/>
      </c>
      <c r="I284" s="39"/>
    </row>
    <row r="285" spans="2:9" ht="15" thickTop="1" x14ac:dyDescent="0.35">
      <c r="B285" s="81"/>
      <c r="C285" s="170" t="str">
        <f t="array" ref="C285">IFERROR(IF(LEN(C$11)=0,"",IF($C$7&lt;&gt;"All",IF(INDEX(Calc!$V$8:$V$500,MATCH(INDEX(Calc!$D$8:$D$500,MATCH(SMALL(IF((Calc!$C$8:$C$500=Kanban!$C$7)*(Calc!$K$8:$K$500=Kanban!C$11)*(Calc!$Y$8:$Y$500&gt;0),Calc!$Y$8:$Y$500,99999),Kanban_Helper!$B278),Calc!$Y$8:$Y$500,0)),Calc!$D$8:$D$500,0))="Yes",CONCATENATE(INDEX(Calc!$D$8:$D$500,MATCH(SMALL(IF((Calc!$C$8:$C$500=Kanban!$C$7)*(Calc!$K$8:$K$500=Kanban!C$11)*(Calc!$Y$8:$Y$500&gt;0),Calc!$Y$8:$Y$500,99999),Kanban_Helper!$B278),Calc!$Y$8:$Y$500,0))," ",Calc!$V$7," ","!"),INDEX(Calc!$D$8:$D$500,MATCH(SMALL(IF((Calc!$C$8:$C$500=Kanban!$C$7)*(Calc!$K$8:$K$500=Kanban!C$11)*(Calc!$Y$8:$Y$500&gt;0),Calc!$Y$8:$Y$500,99999),Kanban_Helper!$B278),Calc!$Y$8:$Y$500,0))),IF(INDEX(Calc!$V$8:$V$500,MATCH(INDEX(Calc!$D$8:$D$500,MATCH(SMALL(IF((Calc!$K$8:$K$500=Kanban!C$11)*(Calc!$Y$8:$Y$500&gt;0),Calc!$Y$8:$Y$500,99999),Kanban_Helper!$B278),Calc!$Y$8:$Y$500,0)),Calc!$D$8:$D$500,0))="Yes",CONCATENATE(INDEX(Calc!$D$8:$D$500,MATCH(SMALL(IF((Calc!$K$8:$K$500=Kanban!C$11)*(Calc!$Y$8:$Y$500&gt;0),Calc!$Y$8:$Y$500,99999),Kanban_Helper!$B278),Calc!$Y$8:$Y$500,0))," ",Calc!$V$7," ","!"),INDEX(Calc!$D$8:$D$500,MATCH(SMALL(IF((Calc!$K$8:$K$500=Kanban!C$11)*(Calc!$Y$8:$Y$500&gt;0),Calc!$Y$8:$Y$500,99999),Kanban_Helper!$B278),Calc!$Y$8:$Y$500,0))))),"")</f>
        <v/>
      </c>
      <c r="D285" s="170" t="str">
        <f t="array" ref="D285">IFERROR(IF(LEN(D$11)=0,"",IF($C$7&lt;&gt;"All",IF(INDEX(Calc!$V$8:$V$500,MATCH(INDEX(Calc!$D$8:$D$500,MATCH(SMALL(IF((Calc!$C$8:$C$500=Kanban!$C$7)*(Calc!$K$8:$K$500=Kanban!D$11)*(Calc!$Y$8:$Y$500&gt;0),Calc!$Y$8:$Y$500,99999),Kanban_Helper!$B278),Calc!$Y$8:$Y$500,0)),Calc!$D$8:$D$500,0))="Yes",CONCATENATE(INDEX(Calc!$D$8:$D$500,MATCH(SMALL(IF((Calc!$C$8:$C$500=Kanban!$C$7)*(Calc!$K$8:$K$500=Kanban!D$11)*(Calc!$Y$8:$Y$500&gt;0),Calc!$Y$8:$Y$500,99999),Kanban_Helper!$B278),Calc!$Y$8:$Y$500,0))," ",Calc!$V$7," ","!"),INDEX(Calc!$D$8:$D$500,MATCH(SMALL(IF((Calc!$C$8:$C$500=Kanban!$C$7)*(Calc!$K$8:$K$500=Kanban!D$11)*(Calc!$Y$8:$Y$500&gt;0),Calc!$Y$8:$Y$500,99999),Kanban_Helper!$B278),Calc!$Y$8:$Y$500,0))),IF(INDEX(Calc!$V$8:$V$500,MATCH(INDEX(Calc!$D$8:$D$500,MATCH(SMALL(IF((Calc!$K$8:$K$500=Kanban!D$11)*(Calc!$Y$8:$Y$500&gt;0),Calc!$Y$8:$Y$500,99999),Kanban_Helper!$B278),Calc!$Y$8:$Y$500,0)),Calc!$D$8:$D$500,0))="Yes",CONCATENATE(INDEX(Calc!$D$8:$D$500,MATCH(SMALL(IF((Calc!$K$8:$K$500=Kanban!D$11)*(Calc!$Y$8:$Y$500&gt;0),Calc!$Y$8:$Y$500,99999),Kanban_Helper!$B278),Calc!$Y$8:$Y$500,0))," ",Calc!$V$7," ","!"),INDEX(Calc!$D$8:$D$500,MATCH(SMALL(IF((Calc!$K$8:$K$500=Kanban!D$11)*(Calc!$Y$8:$Y$500&gt;0),Calc!$Y$8:$Y$500,99999),Kanban_Helper!$B278),Calc!$Y$8:$Y$500,0))))),"")</f>
        <v/>
      </c>
      <c r="E285" s="170" t="str">
        <f t="array" ref="E285">IFERROR(IF(LEN(E$11)=0,"",IF($C$7&lt;&gt;"All",IF(INDEX(Calc!$V$8:$V$500,MATCH(INDEX(Calc!$D$8:$D$500,MATCH(SMALL(IF((Calc!$C$8:$C$500=Kanban!$C$7)*(Calc!$K$8:$K$500=Kanban!E$11)*(Calc!$Y$8:$Y$500&gt;0),Calc!$Y$8:$Y$500,99999),Kanban_Helper!$B278),Calc!$Y$8:$Y$500,0)),Calc!$D$8:$D$500,0))="Yes",CONCATENATE(INDEX(Calc!$D$8:$D$500,MATCH(SMALL(IF((Calc!$C$8:$C$500=Kanban!$C$7)*(Calc!$K$8:$K$500=Kanban!E$11)*(Calc!$Y$8:$Y$500&gt;0),Calc!$Y$8:$Y$500,99999),Kanban_Helper!$B278),Calc!$Y$8:$Y$500,0))," ",Calc!$V$7," ","!"),INDEX(Calc!$D$8:$D$500,MATCH(SMALL(IF((Calc!$C$8:$C$500=Kanban!$C$7)*(Calc!$K$8:$K$500=Kanban!E$11)*(Calc!$Y$8:$Y$500&gt;0),Calc!$Y$8:$Y$500,99999),Kanban_Helper!$B278),Calc!$Y$8:$Y$500,0))),IF(INDEX(Calc!$V$8:$V$500,MATCH(INDEX(Calc!$D$8:$D$500,MATCH(SMALL(IF((Calc!$K$8:$K$500=Kanban!E$11)*(Calc!$Y$8:$Y$500&gt;0),Calc!$Y$8:$Y$500,99999),Kanban_Helper!$B278),Calc!$Y$8:$Y$500,0)),Calc!$D$8:$D$500,0))="Yes",CONCATENATE(INDEX(Calc!$D$8:$D$500,MATCH(SMALL(IF((Calc!$K$8:$K$500=Kanban!E$11)*(Calc!$Y$8:$Y$500&gt;0),Calc!$Y$8:$Y$500,99999),Kanban_Helper!$B278),Calc!$Y$8:$Y$500,0))," ",Calc!$V$7," ","!"),INDEX(Calc!$D$8:$D$500,MATCH(SMALL(IF((Calc!$K$8:$K$500=Kanban!E$11)*(Calc!$Y$8:$Y$500&gt;0),Calc!$Y$8:$Y$500,99999),Kanban_Helper!$B278),Calc!$Y$8:$Y$500,0))))),"")</f>
        <v/>
      </c>
      <c r="F285" s="170" t="str">
        <f t="array" ref="F285">IFERROR(IF(LEN(F$11)=0,"",IF($C$7&lt;&gt;"All",IF(INDEX(Calc!$V$8:$V$500,MATCH(INDEX(Calc!$D$8:$D$500,MATCH(SMALL(IF((Calc!$C$8:$C$500=Kanban!$C$7)*(Calc!$K$8:$K$500=Kanban!F$11)*(Calc!$Y$8:$Y$500&gt;0),Calc!$Y$8:$Y$500,99999),Kanban_Helper!$B278),Calc!$Y$8:$Y$500,0)),Calc!$D$8:$D$500,0))="Yes",CONCATENATE(INDEX(Calc!$D$8:$D$500,MATCH(SMALL(IF((Calc!$C$8:$C$500=Kanban!$C$7)*(Calc!$K$8:$K$500=Kanban!F$11)*(Calc!$Y$8:$Y$500&gt;0),Calc!$Y$8:$Y$500,99999),Kanban_Helper!$B278),Calc!$Y$8:$Y$500,0))," ",Calc!$V$7," ","!"),INDEX(Calc!$D$8:$D$500,MATCH(SMALL(IF((Calc!$C$8:$C$500=Kanban!$C$7)*(Calc!$K$8:$K$500=Kanban!F$11)*(Calc!$Y$8:$Y$500&gt;0),Calc!$Y$8:$Y$500,99999),Kanban_Helper!$B278),Calc!$Y$8:$Y$500,0))),IF(INDEX(Calc!$V$8:$V$500,MATCH(INDEX(Calc!$D$8:$D$500,MATCH(SMALL(IF((Calc!$K$8:$K$500=Kanban!F$11)*(Calc!$Y$8:$Y$500&gt;0),Calc!$Y$8:$Y$500,99999),Kanban_Helper!$B278),Calc!$Y$8:$Y$500,0)),Calc!$D$8:$D$500,0))="Yes",CONCATENATE(INDEX(Calc!$D$8:$D$500,MATCH(SMALL(IF((Calc!$K$8:$K$500=Kanban!F$11)*(Calc!$Y$8:$Y$500&gt;0),Calc!$Y$8:$Y$500,99999),Kanban_Helper!$B278),Calc!$Y$8:$Y$500,0))," ",Calc!$V$7," ","!"),INDEX(Calc!$D$8:$D$500,MATCH(SMALL(IF((Calc!$K$8:$K$500=Kanban!F$11)*(Calc!$Y$8:$Y$500&gt;0),Calc!$Y$8:$Y$500,99999),Kanban_Helper!$B278),Calc!$Y$8:$Y$500,0))))),"")</f>
        <v/>
      </c>
      <c r="G285" s="170" t="str">
        <f t="array" ref="G285">IFERROR(IF(LEN(G$11)=0,"",IF($C$7&lt;&gt;"All",IF(INDEX(Calc!$V$8:$V$500,MATCH(INDEX(Calc!$D$8:$D$500,MATCH(SMALL(IF((Calc!$C$8:$C$500=Kanban!$C$7)*(Calc!$K$8:$K$500=Kanban!G$11)*(Calc!$Y$8:$Y$500&gt;0),Calc!$Y$8:$Y$500,99999),Kanban_Helper!$B278),Calc!$Y$8:$Y$500,0)),Calc!$D$8:$D$500,0))="Yes",CONCATENATE(INDEX(Calc!$D$8:$D$500,MATCH(SMALL(IF((Calc!$C$8:$C$500=Kanban!$C$7)*(Calc!$K$8:$K$500=Kanban!G$11)*(Calc!$Y$8:$Y$500&gt;0),Calc!$Y$8:$Y$500,99999),Kanban_Helper!$B278),Calc!$Y$8:$Y$500,0))," ",Calc!$V$7," ","!"),INDEX(Calc!$D$8:$D$500,MATCH(SMALL(IF((Calc!$C$8:$C$500=Kanban!$C$7)*(Calc!$K$8:$K$500=Kanban!G$11)*(Calc!$Y$8:$Y$500&gt;0),Calc!$Y$8:$Y$500,99999),Kanban_Helper!$B278),Calc!$Y$8:$Y$500,0))),IF(INDEX(Calc!$V$8:$V$500,MATCH(INDEX(Calc!$D$8:$D$500,MATCH(SMALL(IF((Calc!$K$8:$K$500=Kanban!G$11)*(Calc!$Y$8:$Y$500&gt;0),Calc!$Y$8:$Y$500,99999),Kanban_Helper!$B278),Calc!$Y$8:$Y$500,0)),Calc!$D$8:$D$500,0))="Yes",CONCATENATE(INDEX(Calc!$D$8:$D$500,MATCH(SMALL(IF((Calc!$K$8:$K$500=Kanban!G$11)*(Calc!$Y$8:$Y$500&gt;0),Calc!$Y$8:$Y$500,99999),Kanban_Helper!$B278),Calc!$Y$8:$Y$500,0))," ",Calc!$V$7," ","!"),INDEX(Calc!$D$8:$D$500,MATCH(SMALL(IF((Calc!$K$8:$K$500=Kanban!G$11)*(Calc!$Y$8:$Y$500&gt;0),Calc!$Y$8:$Y$500,99999),Kanban_Helper!$B278),Calc!$Y$8:$Y$500,0))))),"")</f>
        <v/>
      </c>
      <c r="H285" s="170" t="str">
        <f t="array" ref="H285">IFERROR(IF(LEN(H$11)=0,"",IF($C$7&lt;&gt;"All",IF(INDEX(Calc!$V$8:$V$500,MATCH(INDEX(Calc!$D$8:$D$500,MATCH(SMALL(IF((Calc!$C$8:$C$500=Kanban!$C$7)*(Calc!$K$8:$K$500=Kanban!H$11)*(Calc!$Y$8:$Y$500&gt;0),Calc!$Y$8:$Y$500,99999),Kanban_Helper!$B278),Calc!$Y$8:$Y$500,0)),Calc!$D$8:$D$500,0))="Yes",CONCATENATE(INDEX(Calc!$D$8:$D$500,MATCH(SMALL(IF((Calc!$C$8:$C$500=Kanban!$C$7)*(Calc!$K$8:$K$500=Kanban!H$11)*(Calc!$Y$8:$Y$500&gt;0),Calc!$Y$8:$Y$500,99999),Kanban_Helper!$B278),Calc!$Y$8:$Y$500,0))," ",Calc!$V$7," ","!"),INDEX(Calc!$D$8:$D$500,MATCH(SMALL(IF((Calc!$C$8:$C$500=Kanban!$C$7)*(Calc!$K$8:$K$500=Kanban!H$11)*(Calc!$Y$8:$Y$500&gt;0),Calc!$Y$8:$Y$500,99999),Kanban_Helper!$B278),Calc!$Y$8:$Y$500,0))),IF(INDEX(Calc!$V$8:$V$500,MATCH(INDEX(Calc!$D$8:$D$500,MATCH(SMALL(IF((Calc!$K$8:$K$500=Kanban!H$11)*(Calc!$Y$8:$Y$500&gt;0),Calc!$Y$8:$Y$500,99999),Kanban_Helper!$B278),Calc!$Y$8:$Y$500,0)),Calc!$D$8:$D$500,0))="Yes",CONCATENATE(INDEX(Calc!$D$8:$D$500,MATCH(SMALL(IF((Calc!$K$8:$K$500=Kanban!H$11)*(Calc!$Y$8:$Y$500&gt;0),Calc!$Y$8:$Y$500,99999),Kanban_Helper!$B278),Calc!$Y$8:$Y$500,0))," ",Calc!$V$7," ","!"),INDEX(Calc!$D$8:$D$500,MATCH(SMALL(IF((Calc!$K$8:$K$500=Kanban!H$11)*(Calc!$Y$8:$Y$500&gt;0),Calc!$Y$8:$Y$500,99999),Kanban_Helper!$B278),Calc!$Y$8:$Y$500,0))))),"")</f>
        <v/>
      </c>
      <c r="I285" s="39"/>
    </row>
    <row r="286" spans="2:9" x14ac:dyDescent="0.35">
      <c r="B286" s="81"/>
      <c r="C286" s="171" t="str">
        <f t="array" ref="C286">IFERROR(IF(LEN(C$11)=0,"",IF($C$7&lt;&gt;"All",INDEX(Calc!$E$8:$E$500,MATCH(SMALL(IF((Calc!$C$8:$C$500=Kanban!$C$7)*(Calc!$K$8:$K$500=Kanban!C$11)*(Calc!$Y$8:$Y$500&gt;0),Calc!$Y$8:$Y$500,99999),Kanban_Helper!$B279),Calc!$Y$8:$Y$500,0)),INDEX(Calc!$E$8:$E$500,MATCH(SMALL(IF((Calc!$K$8:$K$500=Kanban!C$11)*(Calc!$Y$8:$Y$500&gt;0),Calc!$Y$8:$Y$500,99999),Kanban_Helper!$B279),Calc!$Y$8:$Y$500,0)))),"")</f>
        <v/>
      </c>
      <c r="D286" s="171" t="str">
        <f t="array" ref="D286">IFERROR(IF(LEN(D$11)=0,"",IF($C$7&lt;&gt;"All",INDEX(Calc!$E$8:$E$500,MATCH(SMALL(IF((Calc!$C$8:$C$500=Kanban!$C$7)*(Calc!$K$8:$K$500=Kanban!D$11)*(Calc!$Y$8:$Y$500&gt;0),Calc!$Y$8:$Y$500,99999),Kanban_Helper!$B279),Calc!$Y$8:$Y$500,0)),INDEX(Calc!$E$8:$E$500,MATCH(SMALL(IF((Calc!$K$8:$K$500=Kanban!D$11)*(Calc!$Y$8:$Y$500&gt;0),Calc!$Y$8:$Y$500,99999),Kanban_Helper!$B279),Calc!$Y$8:$Y$500,0)))),"")</f>
        <v/>
      </c>
      <c r="E286" s="171" t="str">
        <f t="array" ref="E286">IFERROR(IF(LEN(E$11)=0,"",IF($C$7&lt;&gt;"All",INDEX(Calc!$E$8:$E$500,MATCH(SMALL(IF((Calc!$C$8:$C$500=Kanban!$C$7)*(Calc!$K$8:$K$500=Kanban!E$11)*(Calc!$Y$8:$Y$500&gt;0),Calc!$Y$8:$Y$500,99999),Kanban_Helper!$B279),Calc!$Y$8:$Y$500,0)),INDEX(Calc!$E$8:$E$500,MATCH(SMALL(IF((Calc!$K$8:$K$500=Kanban!E$11)*(Calc!$Y$8:$Y$500&gt;0),Calc!$Y$8:$Y$500,99999),Kanban_Helper!$B279),Calc!$Y$8:$Y$500,0)))),"")</f>
        <v/>
      </c>
      <c r="F286" s="171" t="str">
        <f t="array" ref="F286">IFERROR(IF(LEN(F$11)=0,"",IF($C$7&lt;&gt;"All",INDEX(Calc!$E$8:$E$500,MATCH(SMALL(IF((Calc!$C$8:$C$500=Kanban!$C$7)*(Calc!$K$8:$K$500=Kanban!F$11)*(Calc!$Y$8:$Y$500&gt;0),Calc!$Y$8:$Y$500,99999),Kanban_Helper!$B279),Calc!$Y$8:$Y$500,0)),INDEX(Calc!$E$8:$E$500,MATCH(SMALL(IF((Calc!$K$8:$K$500=Kanban!F$11)*(Calc!$Y$8:$Y$500&gt;0),Calc!$Y$8:$Y$500,99999),Kanban_Helper!$B279),Calc!$Y$8:$Y$500,0)))),"")</f>
        <v/>
      </c>
      <c r="G286" s="171" t="str">
        <f t="array" ref="G286">IFERROR(IF(LEN(G$11)=0,"",IF($C$7&lt;&gt;"All",INDEX(Calc!$E$8:$E$500,MATCH(SMALL(IF((Calc!$C$8:$C$500=Kanban!$C$7)*(Calc!$K$8:$K$500=Kanban!G$11)*(Calc!$Y$8:$Y$500&gt;0),Calc!$Y$8:$Y$500,99999),Kanban_Helper!$B279),Calc!$Y$8:$Y$500,0)),INDEX(Calc!$E$8:$E$500,MATCH(SMALL(IF((Calc!$K$8:$K$500=Kanban!G$11)*(Calc!$Y$8:$Y$500&gt;0),Calc!$Y$8:$Y$500,99999),Kanban_Helper!$B279),Calc!$Y$8:$Y$500,0)))),"")</f>
        <v/>
      </c>
      <c r="H286" s="171" t="str">
        <f t="array" ref="H286">IFERROR(IF(LEN(H$11)=0,"",IF($C$7&lt;&gt;"All",INDEX(Calc!$E$8:$E$500,MATCH(SMALL(IF((Calc!$C$8:$C$500=Kanban!$C$7)*(Calc!$K$8:$K$500=Kanban!H$11)*(Calc!$Y$8:$Y$500&gt;0),Calc!$Y$8:$Y$500,99999),Kanban_Helper!$B279),Calc!$Y$8:$Y$500,0)),INDEX(Calc!$E$8:$E$500,MATCH(SMALL(IF((Calc!$K$8:$K$500=Kanban!H$11)*(Calc!$Y$8:$Y$500&gt;0),Calc!$Y$8:$Y$500,99999),Kanban_Helper!$B279),Calc!$Y$8:$Y$500,0)))),"")</f>
        <v/>
      </c>
      <c r="I286" s="39"/>
    </row>
    <row r="287" spans="2:9" ht="15" thickBot="1" x14ac:dyDescent="0.4">
      <c r="B287" s="81"/>
      <c r="C287" s="172" t="str">
        <f t="array" ref="C287">IFERROR(IF(LEN(C$11)=0,"",IF($C$7&lt;&gt;"All",IF(LEN(INDEX(Calc!$J$8:$J$500,MATCH(SMALL(IF((Calc!$C$8:$C$500=Kanban!$C$7)*(Calc!$K$8:$K$500=Kanban!C$11)*(Calc!$Y$8:$Y$500&gt;0),Calc!$Y$8:$Y$500,99999),Kanban_Helper!$B280),Calc!$Y$8:$Y$500,0)))=0,"",CONCATENATE(Calc!$AD$6,INDEX(Calc!$J$8:$J$500,MATCH(SMALL(IF((Calc!$C$8:$C$500=Kanban!$C$7)*(Calc!$K$8:$K$500=Kanban!C$11)*(Calc!$Y$8:$Y$500&gt;0),Calc!$Y$8:$Y$500,99999),Kanban_Helper!$B280),Calc!$Y$8:$Y$500,0)))),IF(LEN(INDEX(Calc!$J$8:$J$500,MATCH(SMALL(IF((Calc!$K$8:$K$500=Kanban!C$11)*(Calc!$Y$8:$Y$500&gt;0),Calc!$Y$8:$Y$500,99999),Kanban_Helper!$B280),Calc!$Y$8:$Y$500,0)))=0,"",CONCATENATE(Calc!$AD$6,INDEX(Calc!$J$8:$J$500,MATCH(SMALL(IF((Calc!$K$8:$K$500=Kanban!C$11)*(Calc!$Y$8:$Y$500&gt;0),Calc!$Y$8:$Y$500,99999),Kanban_Helper!$B280),Calc!$Y$8:$Y$500,0)))))),"")</f>
        <v/>
      </c>
      <c r="D287" s="172" t="str">
        <f t="array" ref="D287">IFERROR(IF(LEN(D$11)=0,"",IF($C$7&lt;&gt;"All",IF(LEN(INDEX(Calc!$J$8:$J$500,MATCH(SMALL(IF((Calc!$C$8:$C$500=Kanban!$C$7)*(Calc!$K$8:$K$500=Kanban!D$11)*(Calc!$Y$8:$Y$500&gt;0),Calc!$Y$8:$Y$500,99999),Kanban_Helper!$B280),Calc!$Y$8:$Y$500,0)))=0,"",CONCATENATE(Calc!$AD$6,INDEX(Calc!$J$8:$J$500,MATCH(SMALL(IF((Calc!$C$8:$C$500=Kanban!$C$7)*(Calc!$K$8:$K$500=Kanban!D$11)*(Calc!$Y$8:$Y$500&gt;0),Calc!$Y$8:$Y$500,99999),Kanban_Helper!$B280),Calc!$Y$8:$Y$500,0)))),IF(LEN(INDEX(Calc!$J$8:$J$500,MATCH(SMALL(IF((Calc!$K$8:$K$500=Kanban!D$11)*(Calc!$Y$8:$Y$500&gt;0),Calc!$Y$8:$Y$500,99999),Kanban_Helper!$B280),Calc!$Y$8:$Y$500,0)))=0,"",CONCATENATE(Calc!$AD$6,INDEX(Calc!$J$8:$J$500,MATCH(SMALL(IF((Calc!$K$8:$K$500=Kanban!D$11)*(Calc!$Y$8:$Y$500&gt;0),Calc!$Y$8:$Y$500,99999),Kanban_Helper!$B280),Calc!$Y$8:$Y$500,0)))))),"")</f>
        <v/>
      </c>
      <c r="E287" s="172" t="str">
        <f t="array" ref="E287">IFERROR(IF(LEN(E$11)=0,"",IF($C$7&lt;&gt;"All",IF(LEN(INDEX(Calc!$J$8:$J$500,MATCH(SMALL(IF((Calc!$C$8:$C$500=Kanban!$C$7)*(Calc!$K$8:$K$500=Kanban!E$11)*(Calc!$Y$8:$Y$500&gt;0),Calc!$Y$8:$Y$500,99999),Kanban_Helper!$B280),Calc!$Y$8:$Y$500,0)))=0,"",CONCATENATE(Calc!$AD$6,INDEX(Calc!$J$8:$J$500,MATCH(SMALL(IF((Calc!$C$8:$C$500=Kanban!$C$7)*(Calc!$K$8:$K$500=Kanban!E$11)*(Calc!$Y$8:$Y$500&gt;0),Calc!$Y$8:$Y$500,99999),Kanban_Helper!$B280),Calc!$Y$8:$Y$500,0)))),IF(LEN(INDEX(Calc!$J$8:$J$500,MATCH(SMALL(IF((Calc!$K$8:$K$500=Kanban!E$11)*(Calc!$Y$8:$Y$500&gt;0),Calc!$Y$8:$Y$500,99999),Kanban_Helper!$B280),Calc!$Y$8:$Y$500,0)))=0,"",CONCATENATE(Calc!$AD$6,INDEX(Calc!$J$8:$J$500,MATCH(SMALL(IF((Calc!$K$8:$K$500=Kanban!E$11)*(Calc!$Y$8:$Y$500&gt;0),Calc!$Y$8:$Y$500,99999),Kanban_Helper!$B280),Calc!$Y$8:$Y$500,0)))))),"")</f>
        <v/>
      </c>
      <c r="F287" s="172" t="str">
        <f t="array" ref="F287">IFERROR(IF(LEN(F$11)=0,"",IF($C$7&lt;&gt;"All",IF(LEN(INDEX(Calc!$J$8:$J$500,MATCH(SMALL(IF((Calc!$C$8:$C$500=Kanban!$C$7)*(Calc!$K$8:$K$500=Kanban!F$11)*(Calc!$Y$8:$Y$500&gt;0),Calc!$Y$8:$Y$500,99999),Kanban_Helper!$B280),Calc!$Y$8:$Y$500,0)))=0,"",CONCATENATE(Calc!$AD$6,INDEX(Calc!$J$8:$J$500,MATCH(SMALL(IF((Calc!$C$8:$C$500=Kanban!$C$7)*(Calc!$K$8:$K$500=Kanban!F$11)*(Calc!$Y$8:$Y$500&gt;0),Calc!$Y$8:$Y$500,99999),Kanban_Helper!$B280),Calc!$Y$8:$Y$500,0)))),IF(LEN(INDEX(Calc!$J$8:$J$500,MATCH(SMALL(IF((Calc!$K$8:$K$500=Kanban!F$11)*(Calc!$Y$8:$Y$500&gt;0),Calc!$Y$8:$Y$500,99999),Kanban_Helper!$B280),Calc!$Y$8:$Y$500,0)))=0,"",CONCATENATE(Calc!$AD$6,INDEX(Calc!$J$8:$J$500,MATCH(SMALL(IF((Calc!$K$8:$K$500=Kanban!F$11)*(Calc!$Y$8:$Y$500&gt;0),Calc!$Y$8:$Y$500,99999),Kanban_Helper!$B280),Calc!$Y$8:$Y$500,0)))))),"")</f>
        <v/>
      </c>
      <c r="G287" s="172" t="str">
        <f t="array" ref="G287">IFERROR(IF(LEN(G$11)=0,"",IF($C$7&lt;&gt;"All",IF(LEN(INDEX(Calc!$J$8:$J$500,MATCH(SMALL(IF((Calc!$C$8:$C$500=Kanban!$C$7)*(Calc!$K$8:$K$500=Kanban!G$11)*(Calc!$Y$8:$Y$500&gt;0),Calc!$Y$8:$Y$500,99999),Kanban_Helper!$B280),Calc!$Y$8:$Y$500,0)))=0,"",CONCATENATE(Calc!$AD$6,INDEX(Calc!$J$8:$J$500,MATCH(SMALL(IF((Calc!$C$8:$C$500=Kanban!$C$7)*(Calc!$K$8:$K$500=Kanban!G$11)*(Calc!$Y$8:$Y$500&gt;0),Calc!$Y$8:$Y$500,99999),Kanban_Helper!$B280),Calc!$Y$8:$Y$500,0)))),IF(LEN(INDEX(Calc!$J$8:$J$500,MATCH(SMALL(IF((Calc!$K$8:$K$500=Kanban!G$11)*(Calc!$Y$8:$Y$500&gt;0),Calc!$Y$8:$Y$500,99999),Kanban_Helper!$B280),Calc!$Y$8:$Y$500,0)))=0,"",CONCATENATE(Calc!$AD$6,INDEX(Calc!$J$8:$J$500,MATCH(SMALL(IF((Calc!$K$8:$K$500=Kanban!G$11)*(Calc!$Y$8:$Y$500&gt;0),Calc!$Y$8:$Y$500,99999),Kanban_Helper!$B280),Calc!$Y$8:$Y$500,0)))))),"")</f>
        <v/>
      </c>
      <c r="H287" s="172" t="str">
        <f t="array" ref="H287">IFERROR(IF(LEN(H$11)=0,"",IF($C$7&lt;&gt;"All",IF(LEN(INDEX(Calc!$J$8:$J$500,MATCH(SMALL(IF((Calc!$C$8:$C$500=Kanban!$C$7)*(Calc!$K$8:$K$500=Kanban!H$11)*(Calc!$Y$8:$Y$500&gt;0),Calc!$Y$8:$Y$500,99999),Kanban_Helper!$B280),Calc!$Y$8:$Y$500,0)))=0,"",CONCATENATE(Calc!$AD$6,INDEX(Calc!$J$8:$J$500,MATCH(SMALL(IF((Calc!$C$8:$C$500=Kanban!$C$7)*(Calc!$K$8:$K$500=Kanban!H$11)*(Calc!$Y$8:$Y$500&gt;0),Calc!$Y$8:$Y$500,99999),Kanban_Helper!$B280),Calc!$Y$8:$Y$500,0)))),IF(LEN(INDEX(Calc!$J$8:$J$500,MATCH(SMALL(IF((Calc!$K$8:$K$500=Kanban!H$11)*(Calc!$Y$8:$Y$500&gt;0),Calc!$Y$8:$Y$500,99999),Kanban_Helper!$B280),Calc!$Y$8:$Y$500,0)))=0,"",CONCATENATE(Calc!$AD$6,INDEX(Calc!$J$8:$J$500,MATCH(SMALL(IF((Calc!$K$8:$K$500=Kanban!H$11)*(Calc!$Y$8:$Y$500&gt;0),Calc!$Y$8:$Y$500,99999),Kanban_Helper!$B280),Calc!$Y$8:$Y$500,0)))))),"")</f>
        <v/>
      </c>
      <c r="I287" s="39"/>
    </row>
    <row r="288" spans="2:9" ht="15" thickTop="1" x14ac:dyDescent="0.35">
      <c r="B288" s="81"/>
      <c r="C288" s="170" t="str">
        <f t="array" ref="C288">IFERROR(IF(LEN(C$11)=0,"",IF($C$7&lt;&gt;"All",IF(INDEX(Calc!$V$8:$V$500,MATCH(INDEX(Calc!$D$8:$D$500,MATCH(SMALL(IF((Calc!$C$8:$C$500=Kanban!$C$7)*(Calc!$K$8:$K$500=Kanban!C$11)*(Calc!$Y$8:$Y$500&gt;0),Calc!$Y$8:$Y$500,99999),Kanban_Helper!$B281),Calc!$Y$8:$Y$500,0)),Calc!$D$8:$D$500,0))="Yes",CONCATENATE(INDEX(Calc!$D$8:$D$500,MATCH(SMALL(IF((Calc!$C$8:$C$500=Kanban!$C$7)*(Calc!$K$8:$K$500=Kanban!C$11)*(Calc!$Y$8:$Y$500&gt;0),Calc!$Y$8:$Y$500,99999),Kanban_Helper!$B281),Calc!$Y$8:$Y$500,0))," ",Calc!$V$7," ","!"),INDEX(Calc!$D$8:$D$500,MATCH(SMALL(IF((Calc!$C$8:$C$500=Kanban!$C$7)*(Calc!$K$8:$K$500=Kanban!C$11)*(Calc!$Y$8:$Y$500&gt;0),Calc!$Y$8:$Y$500,99999),Kanban_Helper!$B281),Calc!$Y$8:$Y$500,0))),IF(INDEX(Calc!$V$8:$V$500,MATCH(INDEX(Calc!$D$8:$D$500,MATCH(SMALL(IF((Calc!$K$8:$K$500=Kanban!C$11)*(Calc!$Y$8:$Y$500&gt;0),Calc!$Y$8:$Y$500,99999),Kanban_Helper!$B281),Calc!$Y$8:$Y$500,0)),Calc!$D$8:$D$500,0))="Yes",CONCATENATE(INDEX(Calc!$D$8:$D$500,MATCH(SMALL(IF((Calc!$K$8:$K$500=Kanban!C$11)*(Calc!$Y$8:$Y$500&gt;0),Calc!$Y$8:$Y$500,99999),Kanban_Helper!$B281),Calc!$Y$8:$Y$500,0))," ",Calc!$V$7," ","!"),INDEX(Calc!$D$8:$D$500,MATCH(SMALL(IF((Calc!$K$8:$K$500=Kanban!C$11)*(Calc!$Y$8:$Y$500&gt;0),Calc!$Y$8:$Y$500,99999),Kanban_Helper!$B281),Calc!$Y$8:$Y$500,0))))),"")</f>
        <v/>
      </c>
      <c r="D288" s="170" t="str">
        <f t="array" ref="D288">IFERROR(IF(LEN(D$11)=0,"",IF($C$7&lt;&gt;"All",IF(INDEX(Calc!$V$8:$V$500,MATCH(INDEX(Calc!$D$8:$D$500,MATCH(SMALL(IF((Calc!$C$8:$C$500=Kanban!$C$7)*(Calc!$K$8:$K$500=Kanban!D$11)*(Calc!$Y$8:$Y$500&gt;0),Calc!$Y$8:$Y$500,99999),Kanban_Helper!$B281),Calc!$Y$8:$Y$500,0)),Calc!$D$8:$D$500,0))="Yes",CONCATENATE(INDEX(Calc!$D$8:$D$500,MATCH(SMALL(IF((Calc!$C$8:$C$500=Kanban!$C$7)*(Calc!$K$8:$K$500=Kanban!D$11)*(Calc!$Y$8:$Y$500&gt;0),Calc!$Y$8:$Y$500,99999),Kanban_Helper!$B281),Calc!$Y$8:$Y$500,0))," ",Calc!$V$7," ","!"),INDEX(Calc!$D$8:$D$500,MATCH(SMALL(IF((Calc!$C$8:$C$500=Kanban!$C$7)*(Calc!$K$8:$K$500=Kanban!D$11)*(Calc!$Y$8:$Y$500&gt;0),Calc!$Y$8:$Y$500,99999),Kanban_Helper!$B281),Calc!$Y$8:$Y$500,0))),IF(INDEX(Calc!$V$8:$V$500,MATCH(INDEX(Calc!$D$8:$D$500,MATCH(SMALL(IF((Calc!$K$8:$K$500=Kanban!D$11)*(Calc!$Y$8:$Y$500&gt;0),Calc!$Y$8:$Y$500,99999),Kanban_Helper!$B281),Calc!$Y$8:$Y$500,0)),Calc!$D$8:$D$500,0))="Yes",CONCATENATE(INDEX(Calc!$D$8:$D$500,MATCH(SMALL(IF((Calc!$K$8:$K$500=Kanban!D$11)*(Calc!$Y$8:$Y$500&gt;0),Calc!$Y$8:$Y$500,99999),Kanban_Helper!$B281),Calc!$Y$8:$Y$500,0))," ",Calc!$V$7," ","!"),INDEX(Calc!$D$8:$D$500,MATCH(SMALL(IF((Calc!$K$8:$K$500=Kanban!D$11)*(Calc!$Y$8:$Y$500&gt;0),Calc!$Y$8:$Y$500,99999),Kanban_Helper!$B281),Calc!$Y$8:$Y$500,0))))),"")</f>
        <v/>
      </c>
      <c r="E288" s="170" t="str">
        <f t="array" ref="E288">IFERROR(IF(LEN(E$11)=0,"",IF($C$7&lt;&gt;"All",IF(INDEX(Calc!$V$8:$V$500,MATCH(INDEX(Calc!$D$8:$D$500,MATCH(SMALL(IF((Calc!$C$8:$C$500=Kanban!$C$7)*(Calc!$K$8:$K$500=Kanban!E$11)*(Calc!$Y$8:$Y$500&gt;0),Calc!$Y$8:$Y$500,99999),Kanban_Helper!$B281),Calc!$Y$8:$Y$500,0)),Calc!$D$8:$D$500,0))="Yes",CONCATENATE(INDEX(Calc!$D$8:$D$500,MATCH(SMALL(IF((Calc!$C$8:$C$500=Kanban!$C$7)*(Calc!$K$8:$K$500=Kanban!E$11)*(Calc!$Y$8:$Y$500&gt;0),Calc!$Y$8:$Y$500,99999),Kanban_Helper!$B281),Calc!$Y$8:$Y$500,0))," ",Calc!$V$7," ","!"),INDEX(Calc!$D$8:$D$500,MATCH(SMALL(IF((Calc!$C$8:$C$500=Kanban!$C$7)*(Calc!$K$8:$K$500=Kanban!E$11)*(Calc!$Y$8:$Y$500&gt;0),Calc!$Y$8:$Y$500,99999),Kanban_Helper!$B281),Calc!$Y$8:$Y$500,0))),IF(INDEX(Calc!$V$8:$V$500,MATCH(INDEX(Calc!$D$8:$D$500,MATCH(SMALL(IF((Calc!$K$8:$K$500=Kanban!E$11)*(Calc!$Y$8:$Y$500&gt;0),Calc!$Y$8:$Y$500,99999),Kanban_Helper!$B281),Calc!$Y$8:$Y$500,0)),Calc!$D$8:$D$500,0))="Yes",CONCATENATE(INDEX(Calc!$D$8:$D$500,MATCH(SMALL(IF((Calc!$K$8:$K$500=Kanban!E$11)*(Calc!$Y$8:$Y$500&gt;0),Calc!$Y$8:$Y$500,99999),Kanban_Helper!$B281),Calc!$Y$8:$Y$500,0))," ",Calc!$V$7," ","!"),INDEX(Calc!$D$8:$D$500,MATCH(SMALL(IF((Calc!$K$8:$K$500=Kanban!E$11)*(Calc!$Y$8:$Y$500&gt;0),Calc!$Y$8:$Y$500,99999),Kanban_Helper!$B281),Calc!$Y$8:$Y$500,0))))),"")</f>
        <v/>
      </c>
      <c r="F288" s="170" t="str">
        <f t="array" ref="F288">IFERROR(IF(LEN(F$11)=0,"",IF($C$7&lt;&gt;"All",IF(INDEX(Calc!$V$8:$V$500,MATCH(INDEX(Calc!$D$8:$D$500,MATCH(SMALL(IF((Calc!$C$8:$C$500=Kanban!$C$7)*(Calc!$K$8:$K$500=Kanban!F$11)*(Calc!$Y$8:$Y$500&gt;0),Calc!$Y$8:$Y$500,99999),Kanban_Helper!$B281),Calc!$Y$8:$Y$500,0)),Calc!$D$8:$D$500,0))="Yes",CONCATENATE(INDEX(Calc!$D$8:$D$500,MATCH(SMALL(IF((Calc!$C$8:$C$500=Kanban!$C$7)*(Calc!$K$8:$K$500=Kanban!F$11)*(Calc!$Y$8:$Y$500&gt;0),Calc!$Y$8:$Y$500,99999),Kanban_Helper!$B281),Calc!$Y$8:$Y$500,0))," ",Calc!$V$7," ","!"),INDEX(Calc!$D$8:$D$500,MATCH(SMALL(IF((Calc!$C$8:$C$500=Kanban!$C$7)*(Calc!$K$8:$K$500=Kanban!F$11)*(Calc!$Y$8:$Y$500&gt;0),Calc!$Y$8:$Y$500,99999),Kanban_Helper!$B281),Calc!$Y$8:$Y$500,0))),IF(INDEX(Calc!$V$8:$V$500,MATCH(INDEX(Calc!$D$8:$D$500,MATCH(SMALL(IF((Calc!$K$8:$K$500=Kanban!F$11)*(Calc!$Y$8:$Y$500&gt;0),Calc!$Y$8:$Y$500,99999),Kanban_Helper!$B281),Calc!$Y$8:$Y$500,0)),Calc!$D$8:$D$500,0))="Yes",CONCATENATE(INDEX(Calc!$D$8:$D$500,MATCH(SMALL(IF((Calc!$K$8:$K$500=Kanban!F$11)*(Calc!$Y$8:$Y$500&gt;0),Calc!$Y$8:$Y$500,99999),Kanban_Helper!$B281),Calc!$Y$8:$Y$500,0))," ",Calc!$V$7," ","!"),INDEX(Calc!$D$8:$D$500,MATCH(SMALL(IF((Calc!$K$8:$K$500=Kanban!F$11)*(Calc!$Y$8:$Y$500&gt;0),Calc!$Y$8:$Y$500,99999),Kanban_Helper!$B281),Calc!$Y$8:$Y$500,0))))),"")</f>
        <v/>
      </c>
      <c r="G288" s="170" t="str">
        <f t="array" ref="G288">IFERROR(IF(LEN(G$11)=0,"",IF($C$7&lt;&gt;"All",IF(INDEX(Calc!$V$8:$V$500,MATCH(INDEX(Calc!$D$8:$D$500,MATCH(SMALL(IF((Calc!$C$8:$C$500=Kanban!$C$7)*(Calc!$K$8:$K$500=Kanban!G$11)*(Calc!$Y$8:$Y$500&gt;0),Calc!$Y$8:$Y$500,99999),Kanban_Helper!$B281),Calc!$Y$8:$Y$500,0)),Calc!$D$8:$D$500,0))="Yes",CONCATENATE(INDEX(Calc!$D$8:$D$500,MATCH(SMALL(IF((Calc!$C$8:$C$500=Kanban!$C$7)*(Calc!$K$8:$K$500=Kanban!G$11)*(Calc!$Y$8:$Y$500&gt;0),Calc!$Y$8:$Y$500,99999),Kanban_Helper!$B281),Calc!$Y$8:$Y$500,0))," ",Calc!$V$7," ","!"),INDEX(Calc!$D$8:$D$500,MATCH(SMALL(IF((Calc!$C$8:$C$500=Kanban!$C$7)*(Calc!$K$8:$K$500=Kanban!G$11)*(Calc!$Y$8:$Y$500&gt;0),Calc!$Y$8:$Y$500,99999),Kanban_Helper!$B281),Calc!$Y$8:$Y$500,0))),IF(INDEX(Calc!$V$8:$V$500,MATCH(INDEX(Calc!$D$8:$D$500,MATCH(SMALL(IF((Calc!$K$8:$K$500=Kanban!G$11)*(Calc!$Y$8:$Y$500&gt;0),Calc!$Y$8:$Y$500,99999),Kanban_Helper!$B281),Calc!$Y$8:$Y$500,0)),Calc!$D$8:$D$500,0))="Yes",CONCATENATE(INDEX(Calc!$D$8:$D$500,MATCH(SMALL(IF((Calc!$K$8:$K$500=Kanban!G$11)*(Calc!$Y$8:$Y$500&gt;0),Calc!$Y$8:$Y$500,99999),Kanban_Helper!$B281),Calc!$Y$8:$Y$500,0))," ",Calc!$V$7," ","!"),INDEX(Calc!$D$8:$D$500,MATCH(SMALL(IF((Calc!$K$8:$K$500=Kanban!G$11)*(Calc!$Y$8:$Y$500&gt;0),Calc!$Y$8:$Y$500,99999),Kanban_Helper!$B281),Calc!$Y$8:$Y$500,0))))),"")</f>
        <v/>
      </c>
      <c r="H288" s="170" t="str">
        <f t="array" ref="H288">IFERROR(IF(LEN(H$11)=0,"",IF($C$7&lt;&gt;"All",IF(INDEX(Calc!$V$8:$V$500,MATCH(INDEX(Calc!$D$8:$D$500,MATCH(SMALL(IF((Calc!$C$8:$C$500=Kanban!$C$7)*(Calc!$K$8:$K$500=Kanban!H$11)*(Calc!$Y$8:$Y$500&gt;0),Calc!$Y$8:$Y$500,99999),Kanban_Helper!$B281),Calc!$Y$8:$Y$500,0)),Calc!$D$8:$D$500,0))="Yes",CONCATENATE(INDEX(Calc!$D$8:$D$500,MATCH(SMALL(IF((Calc!$C$8:$C$500=Kanban!$C$7)*(Calc!$K$8:$K$500=Kanban!H$11)*(Calc!$Y$8:$Y$500&gt;0),Calc!$Y$8:$Y$500,99999),Kanban_Helper!$B281),Calc!$Y$8:$Y$500,0))," ",Calc!$V$7," ","!"),INDEX(Calc!$D$8:$D$500,MATCH(SMALL(IF((Calc!$C$8:$C$500=Kanban!$C$7)*(Calc!$K$8:$K$500=Kanban!H$11)*(Calc!$Y$8:$Y$500&gt;0),Calc!$Y$8:$Y$500,99999),Kanban_Helper!$B281),Calc!$Y$8:$Y$500,0))),IF(INDEX(Calc!$V$8:$V$500,MATCH(INDEX(Calc!$D$8:$D$500,MATCH(SMALL(IF((Calc!$K$8:$K$500=Kanban!H$11)*(Calc!$Y$8:$Y$500&gt;0),Calc!$Y$8:$Y$500,99999),Kanban_Helper!$B281),Calc!$Y$8:$Y$500,0)),Calc!$D$8:$D$500,0))="Yes",CONCATENATE(INDEX(Calc!$D$8:$D$500,MATCH(SMALL(IF((Calc!$K$8:$K$500=Kanban!H$11)*(Calc!$Y$8:$Y$500&gt;0),Calc!$Y$8:$Y$500,99999),Kanban_Helper!$B281),Calc!$Y$8:$Y$500,0))," ",Calc!$V$7," ","!"),INDEX(Calc!$D$8:$D$500,MATCH(SMALL(IF((Calc!$K$8:$K$500=Kanban!H$11)*(Calc!$Y$8:$Y$500&gt;0),Calc!$Y$8:$Y$500,99999),Kanban_Helper!$B281),Calc!$Y$8:$Y$500,0))))),"")</f>
        <v/>
      </c>
      <c r="I288" s="39"/>
    </row>
    <row r="289" spans="2:9" x14ac:dyDescent="0.35">
      <c r="B289" s="81"/>
      <c r="C289" s="171" t="str">
        <f t="array" ref="C289">IFERROR(IF(LEN(C$11)=0,"",IF($C$7&lt;&gt;"All",INDEX(Calc!$E$8:$E$500,MATCH(SMALL(IF((Calc!$C$8:$C$500=Kanban!$C$7)*(Calc!$K$8:$K$500=Kanban!C$11)*(Calc!$Y$8:$Y$500&gt;0),Calc!$Y$8:$Y$500,99999),Kanban_Helper!$B282),Calc!$Y$8:$Y$500,0)),INDEX(Calc!$E$8:$E$500,MATCH(SMALL(IF((Calc!$K$8:$K$500=Kanban!C$11)*(Calc!$Y$8:$Y$500&gt;0),Calc!$Y$8:$Y$500,99999),Kanban_Helper!$B282),Calc!$Y$8:$Y$500,0)))),"")</f>
        <v/>
      </c>
      <c r="D289" s="171" t="str">
        <f t="array" ref="D289">IFERROR(IF(LEN(D$11)=0,"",IF($C$7&lt;&gt;"All",INDEX(Calc!$E$8:$E$500,MATCH(SMALL(IF((Calc!$C$8:$C$500=Kanban!$C$7)*(Calc!$K$8:$K$500=Kanban!D$11)*(Calc!$Y$8:$Y$500&gt;0),Calc!$Y$8:$Y$500,99999),Kanban_Helper!$B282),Calc!$Y$8:$Y$500,0)),INDEX(Calc!$E$8:$E$500,MATCH(SMALL(IF((Calc!$K$8:$K$500=Kanban!D$11)*(Calc!$Y$8:$Y$500&gt;0),Calc!$Y$8:$Y$500,99999),Kanban_Helper!$B282),Calc!$Y$8:$Y$500,0)))),"")</f>
        <v/>
      </c>
      <c r="E289" s="171" t="str">
        <f t="array" ref="E289">IFERROR(IF(LEN(E$11)=0,"",IF($C$7&lt;&gt;"All",INDEX(Calc!$E$8:$E$500,MATCH(SMALL(IF((Calc!$C$8:$C$500=Kanban!$C$7)*(Calc!$K$8:$K$500=Kanban!E$11)*(Calc!$Y$8:$Y$500&gt;0),Calc!$Y$8:$Y$500,99999),Kanban_Helper!$B282),Calc!$Y$8:$Y$500,0)),INDEX(Calc!$E$8:$E$500,MATCH(SMALL(IF((Calc!$K$8:$K$500=Kanban!E$11)*(Calc!$Y$8:$Y$500&gt;0),Calc!$Y$8:$Y$500,99999),Kanban_Helper!$B282),Calc!$Y$8:$Y$500,0)))),"")</f>
        <v/>
      </c>
      <c r="F289" s="171" t="str">
        <f t="array" ref="F289">IFERROR(IF(LEN(F$11)=0,"",IF($C$7&lt;&gt;"All",INDEX(Calc!$E$8:$E$500,MATCH(SMALL(IF((Calc!$C$8:$C$500=Kanban!$C$7)*(Calc!$K$8:$K$500=Kanban!F$11)*(Calc!$Y$8:$Y$500&gt;0),Calc!$Y$8:$Y$500,99999),Kanban_Helper!$B282),Calc!$Y$8:$Y$500,0)),INDEX(Calc!$E$8:$E$500,MATCH(SMALL(IF((Calc!$K$8:$K$500=Kanban!F$11)*(Calc!$Y$8:$Y$500&gt;0),Calc!$Y$8:$Y$500,99999),Kanban_Helper!$B282),Calc!$Y$8:$Y$500,0)))),"")</f>
        <v/>
      </c>
      <c r="G289" s="171" t="str">
        <f t="array" ref="G289">IFERROR(IF(LEN(G$11)=0,"",IF($C$7&lt;&gt;"All",INDEX(Calc!$E$8:$E$500,MATCH(SMALL(IF((Calc!$C$8:$C$500=Kanban!$C$7)*(Calc!$K$8:$K$500=Kanban!G$11)*(Calc!$Y$8:$Y$500&gt;0),Calc!$Y$8:$Y$500,99999),Kanban_Helper!$B282),Calc!$Y$8:$Y$500,0)),INDEX(Calc!$E$8:$E$500,MATCH(SMALL(IF((Calc!$K$8:$K$500=Kanban!G$11)*(Calc!$Y$8:$Y$500&gt;0),Calc!$Y$8:$Y$500,99999),Kanban_Helper!$B282),Calc!$Y$8:$Y$500,0)))),"")</f>
        <v/>
      </c>
      <c r="H289" s="171" t="str">
        <f t="array" ref="H289">IFERROR(IF(LEN(H$11)=0,"",IF($C$7&lt;&gt;"All",INDEX(Calc!$E$8:$E$500,MATCH(SMALL(IF((Calc!$C$8:$C$500=Kanban!$C$7)*(Calc!$K$8:$K$500=Kanban!H$11)*(Calc!$Y$8:$Y$500&gt;0),Calc!$Y$8:$Y$500,99999),Kanban_Helper!$B282),Calc!$Y$8:$Y$500,0)),INDEX(Calc!$E$8:$E$500,MATCH(SMALL(IF((Calc!$K$8:$K$500=Kanban!H$11)*(Calc!$Y$8:$Y$500&gt;0),Calc!$Y$8:$Y$500,99999),Kanban_Helper!$B282),Calc!$Y$8:$Y$500,0)))),"")</f>
        <v/>
      </c>
      <c r="I289" s="39"/>
    </row>
    <row r="290" spans="2:9" ht="15" thickBot="1" x14ac:dyDescent="0.4">
      <c r="B290" s="81"/>
      <c r="C290" s="172" t="str">
        <f t="array" ref="C290">IFERROR(IF(LEN(C$11)=0,"",IF($C$7&lt;&gt;"All",IF(LEN(INDEX(Calc!$J$8:$J$500,MATCH(SMALL(IF((Calc!$C$8:$C$500=Kanban!$C$7)*(Calc!$K$8:$K$500=Kanban!C$11)*(Calc!$Y$8:$Y$500&gt;0),Calc!$Y$8:$Y$500,99999),Kanban_Helper!$B283),Calc!$Y$8:$Y$500,0)))=0,"",CONCATENATE(Calc!$AD$6,INDEX(Calc!$J$8:$J$500,MATCH(SMALL(IF((Calc!$C$8:$C$500=Kanban!$C$7)*(Calc!$K$8:$K$500=Kanban!C$11)*(Calc!$Y$8:$Y$500&gt;0),Calc!$Y$8:$Y$500,99999),Kanban_Helper!$B283),Calc!$Y$8:$Y$500,0)))),IF(LEN(INDEX(Calc!$J$8:$J$500,MATCH(SMALL(IF((Calc!$K$8:$K$500=Kanban!C$11)*(Calc!$Y$8:$Y$500&gt;0),Calc!$Y$8:$Y$500,99999),Kanban_Helper!$B283),Calc!$Y$8:$Y$500,0)))=0,"",CONCATENATE(Calc!$AD$6,INDEX(Calc!$J$8:$J$500,MATCH(SMALL(IF((Calc!$K$8:$K$500=Kanban!C$11)*(Calc!$Y$8:$Y$500&gt;0),Calc!$Y$8:$Y$500,99999),Kanban_Helper!$B283),Calc!$Y$8:$Y$500,0)))))),"")</f>
        <v/>
      </c>
      <c r="D290" s="172" t="str">
        <f t="array" ref="D290">IFERROR(IF(LEN(D$11)=0,"",IF($C$7&lt;&gt;"All",IF(LEN(INDEX(Calc!$J$8:$J$500,MATCH(SMALL(IF((Calc!$C$8:$C$500=Kanban!$C$7)*(Calc!$K$8:$K$500=Kanban!D$11)*(Calc!$Y$8:$Y$500&gt;0),Calc!$Y$8:$Y$500,99999),Kanban_Helper!$B283),Calc!$Y$8:$Y$500,0)))=0,"",CONCATENATE(Calc!$AD$6,INDEX(Calc!$J$8:$J$500,MATCH(SMALL(IF((Calc!$C$8:$C$500=Kanban!$C$7)*(Calc!$K$8:$K$500=Kanban!D$11)*(Calc!$Y$8:$Y$500&gt;0),Calc!$Y$8:$Y$500,99999),Kanban_Helper!$B283),Calc!$Y$8:$Y$500,0)))),IF(LEN(INDEX(Calc!$J$8:$J$500,MATCH(SMALL(IF((Calc!$K$8:$K$500=Kanban!D$11)*(Calc!$Y$8:$Y$500&gt;0),Calc!$Y$8:$Y$500,99999),Kanban_Helper!$B283),Calc!$Y$8:$Y$500,0)))=0,"",CONCATENATE(Calc!$AD$6,INDEX(Calc!$J$8:$J$500,MATCH(SMALL(IF((Calc!$K$8:$K$500=Kanban!D$11)*(Calc!$Y$8:$Y$500&gt;0),Calc!$Y$8:$Y$500,99999),Kanban_Helper!$B283),Calc!$Y$8:$Y$500,0)))))),"")</f>
        <v/>
      </c>
      <c r="E290" s="172" t="str">
        <f t="array" ref="E290">IFERROR(IF(LEN(E$11)=0,"",IF($C$7&lt;&gt;"All",IF(LEN(INDEX(Calc!$J$8:$J$500,MATCH(SMALL(IF((Calc!$C$8:$C$500=Kanban!$C$7)*(Calc!$K$8:$K$500=Kanban!E$11)*(Calc!$Y$8:$Y$500&gt;0),Calc!$Y$8:$Y$500,99999),Kanban_Helper!$B283),Calc!$Y$8:$Y$500,0)))=0,"",CONCATENATE(Calc!$AD$6,INDEX(Calc!$J$8:$J$500,MATCH(SMALL(IF((Calc!$C$8:$C$500=Kanban!$C$7)*(Calc!$K$8:$K$500=Kanban!E$11)*(Calc!$Y$8:$Y$500&gt;0),Calc!$Y$8:$Y$500,99999),Kanban_Helper!$B283),Calc!$Y$8:$Y$500,0)))),IF(LEN(INDEX(Calc!$J$8:$J$500,MATCH(SMALL(IF((Calc!$K$8:$K$500=Kanban!E$11)*(Calc!$Y$8:$Y$500&gt;0),Calc!$Y$8:$Y$500,99999),Kanban_Helper!$B283),Calc!$Y$8:$Y$500,0)))=0,"",CONCATENATE(Calc!$AD$6,INDEX(Calc!$J$8:$J$500,MATCH(SMALL(IF((Calc!$K$8:$K$500=Kanban!E$11)*(Calc!$Y$8:$Y$500&gt;0),Calc!$Y$8:$Y$500,99999),Kanban_Helper!$B283),Calc!$Y$8:$Y$500,0)))))),"")</f>
        <v/>
      </c>
      <c r="F290" s="172" t="str">
        <f t="array" ref="F290">IFERROR(IF(LEN(F$11)=0,"",IF($C$7&lt;&gt;"All",IF(LEN(INDEX(Calc!$J$8:$J$500,MATCH(SMALL(IF((Calc!$C$8:$C$500=Kanban!$C$7)*(Calc!$K$8:$K$500=Kanban!F$11)*(Calc!$Y$8:$Y$500&gt;0),Calc!$Y$8:$Y$500,99999),Kanban_Helper!$B283),Calc!$Y$8:$Y$500,0)))=0,"",CONCATENATE(Calc!$AD$6,INDEX(Calc!$J$8:$J$500,MATCH(SMALL(IF((Calc!$C$8:$C$500=Kanban!$C$7)*(Calc!$K$8:$K$500=Kanban!F$11)*(Calc!$Y$8:$Y$500&gt;0),Calc!$Y$8:$Y$500,99999),Kanban_Helper!$B283),Calc!$Y$8:$Y$500,0)))),IF(LEN(INDEX(Calc!$J$8:$J$500,MATCH(SMALL(IF((Calc!$K$8:$K$500=Kanban!F$11)*(Calc!$Y$8:$Y$500&gt;0),Calc!$Y$8:$Y$500,99999),Kanban_Helper!$B283),Calc!$Y$8:$Y$500,0)))=0,"",CONCATENATE(Calc!$AD$6,INDEX(Calc!$J$8:$J$500,MATCH(SMALL(IF((Calc!$K$8:$K$500=Kanban!F$11)*(Calc!$Y$8:$Y$500&gt;0),Calc!$Y$8:$Y$500,99999),Kanban_Helper!$B283),Calc!$Y$8:$Y$500,0)))))),"")</f>
        <v/>
      </c>
      <c r="G290" s="172" t="str">
        <f t="array" ref="G290">IFERROR(IF(LEN(G$11)=0,"",IF($C$7&lt;&gt;"All",IF(LEN(INDEX(Calc!$J$8:$J$500,MATCH(SMALL(IF((Calc!$C$8:$C$500=Kanban!$C$7)*(Calc!$K$8:$K$500=Kanban!G$11)*(Calc!$Y$8:$Y$500&gt;0),Calc!$Y$8:$Y$500,99999),Kanban_Helper!$B283),Calc!$Y$8:$Y$500,0)))=0,"",CONCATENATE(Calc!$AD$6,INDEX(Calc!$J$8:$J$500,MATCH(SMALL(IF((Calc!$C$8:$C$500=Kanban!$C$7)*(Calc!$K$8:$K$500=Kanban!G$11)*(Calc!$Y$8:$Y$500&gt;0),Calc!$Y$8:$Y$500,99999),Kanban_Helper!$B283),Calc!$Y$8:$Y$500,0)))),IF(LEN(INDEX(Calc!$J$8:$J$500,MATCH(SMALL(IF((Calc!$K$8:$K$500=Kanban!G$11)*(Calc!$Y$8:$Y$500&gt;0),Calc!$Y$8:$Y$500,99999),Kanban_Helper!$B283),Calc!$Y$8:$Y$500,0)))=0,"",CONCATENATE(Calc!$AD$6,INDEX(Calc!$J$8:$J$500,MATCH(SMALL(IF((Calc!$K$8:$K$500=Kanban!G$11)*(Calc!$Y$8:$Y$500&gt;0),Calc!$Y$8:$Y$500,99999),Kanban_Helper!$B283),Calc!$Y$8:$Y$500,0)))))),"")</f>
        <v/>
      </c>
      <c r="H290" s="172" t="str">
        <f t="array" ref="H290">IFERROR(IF(LEN(H$11)=0,"",IF($C$7&lt;&gt;"All",IF(LEN(INDEX(Calc!$J$8:$J$500,MATCH(SMALL(IF((Calc!$C$8:$C$500=Kanban!$C$7)*(Calc!$K$8:$K$500=Kanban!H$11)*(Calc!$Y$8:$Y$500&gt;0),Calc!$Y$8:$Y$500,99999),Kanban_Helper!$B283),Calc!$Y$8:$Y$500,0)))=0,"",CONCATENATE(Calc!$AD$6,INDEX(Calc!$J$8:$J$500,MATCH(SMALL(IF((Calc!$C$8:$C$500=Kanban!$C$7)*(Calc!$K$8:$K$500=Kanban!H$11)*(Calc!$Y$8:$Y$500&gt;0),Calc!$Y$8:$Y$500,99999),Kanban_Helper!$B283),Calc!$Y$8:$Y$500,0)))),IF(LEN(INDEX(Calc!$J$8:$J$500,MATCH(SMALL(IF((Calc!$K$8:$K$500=Kanban!H$11)*(Calc!$Y$8:$Y$500&gt;0),Calc!$Y$8:$Y$500,99999),Kanban_Helper!$B283),Calc!$Y$8:$Y$500,0)))=0,"",CONCATENATE(Calc!$AD$6,INDEX(Calc!$J$8:$J$500,MATCH(SMALL(IF((Calc!$K$8:$K$500=Kanban!H$11)*(Calc!$Y$8:$Y$500&gt;0),Calc!$Y$8:$Y$500,99999),Kanban_Helper!$B283),Calc!$Y$8:$Y$500,0)))))),"")</f>
        <v/>
      </c>
      <c r="I290" s="39"/>
    </row>
    <row r="291" spans="2:9" ht="15" thickTop="1" x14ac:dyDescent="0.35">
      <c r="B291" s="81"/>
      <c r="C291" s="170" t="str">
        <f t="array" ref="C291">IFERROR(IF(LEN(C$11)=0,"",IF($C$7&lt;&gt;"All",IF(INDEX(Calc!$V$8:$V$500,MATCH(INDEX(Calc!$D$8:$D$500,MATCH(SMALL(IF((Calc!$C$8:$C$500=Kanban!$C$7)*(Calc!$K$8:$K$500=Kanban!C$11)*(Calc!$Y$8:$Y$500&gt;0),Calc!$Y$8:$Y$500,99999),Kanban_Helper!$B284),Calc!$Y$8:$Y$500,0)),Calc!$D$8:$D$500,0))="Yes",CONCATENATE(INDEX(Calc!$D$8:$D$500,MATCH(SMALL(IF((Calc!$C$8:$C$500=Kanban!$C$7)*(Calc!$K$8:$K$500=Kanban!C$11)*(Calc!$Y$8:$Y$500&gt;0),Calc!$Y$8:$Y$500,99999),Kanban_Helper!$B284),Calc!$Y$8:$Y$500,0))," ",Calc!$V$7," ","!"),INDEX(Calc!$D$8:$D$500,MATCH(SMALL(IF((Calc!$C$8:$C$500=Kanban!$C$7)*(Calc!$K$8:$K$500=Kanban!C$11)*(Calc!$Y$8:$Y$500&gt;0),Calc!$Y$8:$Y$500,99999),Kanban_Helper!$B284),Calc!$Y$8:$Y$500,0))),IF(INDEX(Calc!$V$8:$V$500,MATCH(INDEX(Calc!$D$8:$D$500,MATCH(SMALL(IF((Calc!$K$8:$K$500=Kanban!C$11)*(Calc!$Y$8:$Y$500&gt;0),Calc!$Y$8:$Y$500,99999),Kanban_Helper!$B284),Calc!$Y$8:$Y$500,0)),Calc!$D$8:$D$500,0))="Yes",CONCATENATE(INDEX(Calc!$D$8:$D$500,MATCH(SMALL(IF((Calc!$K$8:$K$500=Kanban!C$11)*(Calc!$Y$8:$Y$500&gt;0),Calc!$Y$8:$Y$500,99999),Kanban_Helper!$B284),Calc!$Y$8:$Y$500,0))," ",Calc!$V$7," ","!"),INDEX(Calc!$D$8:$D$500,MATCH(SMALL(IF((Calc!$K$8:$K$500=Kanban!C$11)*(Calc!$Y$8:$Y$500&gt;0),Calc!$Y$8:$Y$500,99999),Kanban_Helper!$B284),Calc!$Y$8:$Y$500,0))))),"")</f>
        <v/>
      </c>
      <c r="D291" s="170" t="str">
        <f t="array" ref="D291">IFERROR(IF(LEN(D$11)=0,"",IF($C$7&lt;&gt;"All",IF(INDEX(Calc!$V$8:$V$500,MATCH(INDEX(Calc!$D$8:$D$500,MATCH(SMALL(IF((Calc!$C$8:$C$500=Kanban!$C$7)*(Calc!$K$8:$K$500=Kanban!D$11)*(Calc!$Y$8:$Y$500&gt;0),Calc!$Y$8:$Y$500,99999),Kanban_Helper!$B284),Calc!$Y$8:$Y$500,0)),Calc!$D$8:$D$500,0))="Yes",CONCATENATE(INDEX(Calc!$D$8:$D$500,MATCH(SMALL(IF((Calc!$C$8:$C$500=Kanban!$C$7)*(Calc!$K$8:$K$500=Kanban!D$11)*(Calc!$Y$8:$Y$500&gt;0),Calc!$Y$8:$Y$500,99999),Kanban_Helper!$B284),Calc!$Y$8:$Y$500,0))," ",Calc!$V$7," ","!"),INDEX(Calc!$D$8:$D$500,MATCH(SMALL(IF((Calc!$C$8:$C$500=Kanban!$C$7)*(Calc!$K$8:$K$500=Kanban!D$11)*(Calc!$Y$8:$Y$500&gt;0),Calc!$Y$8:$Y$500,99999),Kanban_Helper!$B284),Calc!$Y$8:$Y$500,0))),IF(INDEX(Calc!$V$8:$V$500,MATCH(INDEX(Calc!$D$8:$D$500,MATCH(SMALL(IF((Calc!$K$8:$K$500=Kanban!D$11)*(Calc!$Y$8:$Y$500&gt;0),Calc!$Y$8:$Y$500,99999),Kanban_Helper!$B284),Calc!$Y$8:$Y$500,0)),Calc!$D$8:$D$500,0))="Yes",CONCATENATE(INDEX(Calc!$D$8:$D$500,MATCH(SMALL(IF((Calc!$K$8:$K$500=Kanban!D$11)*(Calc!$Y$8:$Y$500&gt;0),Calc!$Y$8:$Y$500,99999),Kanban_Helper!$B284),Calc!$Y$8:$Y$500,0))," ",Calc!$V$7," ","!"),INDEX(Calc!$D$8:$D$500,MATCH(SMALL(IF((Calc!$K$8:$K$500=Kanban!D$11)*(Calc!$Y$8:$Y$500&gt;0),Calc!$Y$8:$Y$500,99999),Kanban_Helper!$B284),Calc!$Y$8:$Y$500,0))))),"")</f>
        <v/>
      </c>
      <c r="E291" s="170" t="str">
        <f t="array" ref="E291">IFERROR(IF(LEN(E$11)=0,"",IF($C$7&lt;&gt;"All",IF(INDEX(Calc!$V$8:$V$500,MATCH(INDEX(Calc!$D$8:$D$500,MATCH(SMALL(IF((Calc!$C$8:$C$500=Kanban!$C$7)*(Calc!$K$8:$K$500=Kanban!E$11)*(Calc!$Y$8:$Y$500&gt;0),Calc!$Y$8:$Y$500,99999),Kanban_Helper!$B284),Calc!$Y$8:$Y$500,0)),Calc!$D$8:$D$500,0))="Yes",CONCATENATE(INDEX(Calc!$D$8:$D$500,MATCH(SMALL(IF((Calc!$C$8:$C$500=Kanban!$C$7)*(Calc!$K$8:$K$500=Kanban!E$11)*(Calc!$Y$8:$Y$500&gt;0),Calc!$Y$8:$Y$500,99999),Kanban_Helper!$B284),Calc!$Y$8:$Y$500,0))," ",Calc!$V$7," ","!"),INDEX(Calc!$D$8:$D$500,MATCH(SMALL(IF((Calc!$C$8:$C$500=Kanban!$C$7)*(Calc!$K$8:$K$500=Kanban!E$11)*(Calc!$Y$8:$Y$500&gt;0),Calc!$Y$8:$Y$500,99999),Kanban_Helper!$B284),Calc!$Y$8:$Y$500,0))),IF(INDEX(Calc!$V$8:$V$500,MATCH(INDEX(Calc!$D$8:$D$500,MATCH(SMALL(IF((Calc!$K$8:$K$500=Kanban!E$11)*(Calc!$Y$8:$Y$500&gt;0),Calc!$Y$8:$Y$500,99999),Kanban_Helper!$B284),Calc!$Y$8:$Y$500,0)),Calc!$D$8:$D$500,0))="Yes",CONCATENATE(INDEX(Calc!$D$8:$D$500,MATCH(SMALL(IF((Calc!$K$8:$K$500=Kanban!E$11)*(Calc!$Y$8:$Y$500&gt;0),Calc!$Y$8:$Y$500,99999),Kanban_Helper!$B284),Calc!$Y$8:$Y$500,0))," ",Calc!$V$7," ","!"),INDEX(Calc!$D$8:$D$500,MATCH(SMALL(IF((Calc!$K$8:$K$500=Kanban!E$11)*(Calc!$Y$8:$Y$500&gt;0),Calc!$Y$8:$Y$500,99999),Kanban_Helper!$B284),Calc!$Y$8:$Y$500,0))))),"")</f>
        <v/>
      </c>
      <c r="F291" s="170" t="str">
        <f t="array" ref="F291">IFERROR(IF(LEN(F$11)=0,"",IF($C$7&lt;&gt;"All",IF(INDEX(Calc!$V$8:$V$500,MATCH(INDEX(Calc!$D$8:$D$500,MATCH(SMALL(IF((Calc!$C$8:$C$500=Kanban!$C$7)*(Calc!$K$8:$K$500=Kanban!F$11)*(Calc!$Y$8:$Y$500&gt;0),Calc!$Y$8:$Y$500,99999),Kanban_Helper!$B284),Calc!$Y$8:$Y$500,0)),Calc!$D$8:$D$500,0))="Yes",CONCATENATE(INDEX(Calc!$D$8:$D$500,MATCH(SMALL(IF((Calc!$C$8:$C$500=Kanban!$C$7)*(Calc!$K$8:$K$500=Kanban!F$11)*(Calc!$Y$8:$Y$500&gt;0),Calc!$Y$8:$Y$500,99999),Kanban_Helper!$B284),Calc!$Y$8:$Y$500,0))," ",Calc!$V$7," ","!"),INDEX(Calc!$D$8:$D$500,MATCH(SMALL(IF((Calc!$C$8:$C$500=Kanban!$C$7)*(Calc!$K$8:$K$500=Kanban!F$11)*(Calc!$Y$8:$Y$500&gt;0),Calc!$Y$8:$Y$500,99999),Kanban_Helper!$B284),Calc!$Y$8:$Y$500,0))),IF(INDEX(Calc!$V$8:$V$500,MATCH(INDEX(Calc!$D$8:$D$500,MATCH(SMALL(IF((Calc!$K$8:$K$500=Kanban!F$11)*(Calc!$Y$8:$Y$500&gt;0),Calc!$Y$8:$Y$500,99999),Kanban_Helper!$B284),Calc!$Y$8:$Y$500,0)),Calc!$D$8:$D$500,0))="Yes",CONCATENATE(INDEX(Calc!$D$8:$D$500,MATCH(SMALL(IF((Calc!$K$8:$K$500=Kanban!F$11)*(Calc!$Y$8:$Y$500&gt;0),Calc!$Y$8:$Y$500,99999),Kanban_Helper!$B284),Calc!$Y$8:$Y$500,0))," ",Calc!$V$7," ","!"),INDEX(Calc!$D$8:$D$500,MATCH(SMALL(IF((Calc!$K$8:$K$500=Kanban!F$11)*(Calc!$Y$8:$Y$500&gt;0),Calc!$Y$8:$Y$500,99999),Kanban_Helper!$B284),Calc!$Y$8:$Y$500,0))))),"")</f>
        <v/>
      </c>
      <c r="G291" s="170" t="str">
        <f t="array" ref="G291">IFERROR(IF(LEN(G$11)=0,"",IF($C$7&lt;&gt;"All",IF(INDEX(Calc!$V$8:$V$500,MATCH(INDEX(Calc!$D$8:$D$500,MATCH(SMALL(IF((Calc!$C$8:$C$500=Kanban!$C$7)*(Calc!$K$8:$K$500=Kanban!G$11)*(Calc!$Y$8:$Y$500&gt;0),Calc!$Y$8:$Y$500,99999),Kanban_Helper!$B284),Calc!$Y$8:$Y$500,0)),Calc!$D$8:$D$500,0))="Yes",CONCATENATE(INDEX(Calc!$D$8:$D$500,MATCH(SMALL(IF((Calc!$C$8:$C$500=Kanban!$C$7)*(Calc!$K$8:$K$500=Kanban!G$11)*(Calc!$Y$8:$Y$500&gt;0),Calc!$Y$8:$Y$500,99999),Kanban_Helper!$B284),Calc!$Y$8:$Y$500,0))," ",Calc!$V$7," ","!"),INDEX(Calc!$D$8:$D$500,MATCH(SMALL(IF((Calc!$C$8:$C$500=Kanban!$C$7)*(Calc!$K$8:$K$500=Kanban!G$11)*(Calc!$Y$8:$Y$500&gt;0),Calc!$Y$8:$Y$500,99999),Kanban_Helper!$B284),Calc!$Y$8:$Y$500,0))),IF(INDEX(Calc!$V$8:$V$500,MATCH(INDEX(Calc!$D$8:$D$500,MATCH(SMALL(IF((Calc!$K$8:$K$500=Kanban!G$11)*(Calc!$Y$8:$Y$500&gt;0),Calc!$Y$8:$Y$500,99999),Kanban_Helper!$B284),Calc!$Y$8:$Y$500,0)),Calc!$D$8:$D$500,0))="Yes",CONCATENATE(INDEX(Calc!$D$8:$D$500,MATCH(SMALL(IF((Calc!$K$8:$K$500=Kanban!G$11)*(Calc!$Y$8:$Y$500&gt;0),Calc!$Y$8:$Y$500,99999),Kanban_Helper!$B284),Calc!$Y$8:$Y$500,0))," ",Calc!$V$7," ","!"),INDEX(Calc!$D$8:$D$500,MATCH(SMALL(IF((Calc!$K$8:$K$500=Kanban!G$11)*(Calc!$Y$8:$Y$500&gt;0),Calc!$Y$8:$Y$500,99999),Kanban_Helper!$B284),Calc!$Y$8:$Y$500,0))))),"")</f>
        <v/>
      </c>
      <c r="H291" s="170" t="str">
        <f t="array" ref="H291">IFERROR(IF(LEN(H$11)=0,"",IF($C$7&lt;&gt;"All",IF(INDEX(Calc!$V$8:$V$500,MATCH(INDEX(Calc!$D$8:$D$500,MATCH(SMALL(IF((Calc!$C$8:$C$500=Kanban!$C$7)*(Calc!$K$8:$K$500=Kanban!H$11)*(Calc!$Y$8:$Y$500&gt;0),Calc!$Y$8:$Y$500,99999),Kanban_Helper!$B284),Calc!$Y$8:$Y$500,0)),Calc!$D$8:$D$500,0))="Yes",CONCATENATE(INDEX(Calc!$D$8:$D$500,MATCH(SMALL(IF((Calc!$C$8:$C$500=Kanban!$C$7)*(Calc!$K$8:$K$500=Kanban!H$11)*(Calc!$Y$8:$Y$500&gt;0),Calc!$Y$8:$Y$500,99999),Kanban_Helper!$B284),Calc!$Y$8:$Y$500,0))," ",Calc!$V$7," ","!"),INDEX(Calc!$D$8:$D$500,MATCH(SMALL(IF((Calc!$C$8:$C$500=Kanban!$C$7)*(Calc!$K$8:$K$500=Kanban!H$11)*(Calc!$Y$8:$Y$500&gt;0),Calc!$Y$8:$Y$500,99999),Kanban_Helper!$B284),Calc!$Y$8:$Y$500,0))),IF(INDEX(Calc!$V$8:$V$500,MATCH(INDEX(Calc!$D$8:$D$500,MATCH(SMALL(IF((Calc!$K$8:$K$500=Kanban!H$11)*(Calc!$Y$8:$Y$500&gt;0),Calc!$Y$8:$Y$500,99999),Kanban_Helper!$B284),Calc!$Y$8:$Y$500,0)),Calc!$D$8:$D$500,0))="Yes",CONCATENATE(INDEX(Calc!$D$8:$D$500,MATCH(SMALL(IF((Calc!$K$8:$K$500=Kanban!H$11)*(Calc!$Y$8:$Y$500&gt;0),Calc!$Y$8:$Y$500,99999),Kanban_Helper!$B284),Calc!$Y$8:$Y$500,0))," ",Calc!$V$7," ","!"),INDEX(Calc!$D$8:$D$500,MATCH(SMALL(IF((Calc!$K$8:$K$500=Kanban!H$11)*(Calc!$Y$8:$Y$500&gt;0),Calc!$Y$8:$Y$500,99999),Kanban_Helper!$B284),Calc!$Y$8:$Y$500,0))))),"")</f>
        <v/>
      </c>
      <c r="I291" s="39"/>
    </row>
    <row r="292" spans="2:9" x14ac:dyDescent="0.35">
      <c r="B292" s="81"/>
      <c r="C292" s="171" t="str">
        <f t="array" ref="C292">IFERROR(IF(LEN(C$11)=0,"",IF($C$7&lt;&gt;"All",INDEX(Calc!$E$8:$E$500,MATCH(SMALL(IF((Calc!$C$8:$C$500=Kanban!$C$7)*(Calc!$K$8:$K$500=Kanban!C$11)*(Calc!$Y$8:$Y$500&gt;0),Calc!$Y$8:$Y$500,99999),Kanban_Helper!$B285),Calc!$Y$8:$Y$500,0)),INDEX(Calc!$E$8:$E$500,MATCH(SMALL(IF((Calc!$K$8:$K$500=Kanban!C$11)*(Calc!$Y$8:$Y$500&gt;0),Calc!$Y$8:$Y$500,99999),Kanban_Helper!$B285),Calc!$Y$8:$Y$500,0)))),"")</f>
        <v/>
      </c>
      <c r="D292" s="171" t="str">
        <f t="array" ref="D292">IFERROR(IF(LEN(D$11)=0,"",IF($C$7&lt;&gt;"All",INDEX(Calc!$E$8:$E$500,MATCH(SMALL(IF((Calc!$C$8:$C$500=Kanban!$C$7)*(Calc!$K$8:$K$500=Kanban!D$11)*(Calc!$Y$8:$Y$500&gt;0),Calc!$Y$8:$Y$500,99999),Kanban_Helper!$B285),Calc!$Y$8:$Y$500,0)),INDEX(Calc!$E$8:$E$500,MATCH(SMALL(IF((Calc!$K$8:$K$500=Kanban!D$11)*(Calc!$Y$8:$Y$500&gt;0),Calc!$Y$8:$Y$500,99999),Kanban_Helper!$B285),Calc!$Y$8:$Y$500,0)))),"")</f>
        <v/>
      </c>
      <c r="E292" s="171" t="str">
        <f t="array" ref="E292">IFERROR(IF(LEN(E$11)=0,"",IF($C$7&lt;&gt;"All",INDEX(Calc!$E$8:$E$500,MATCH(SMALL(IF((Calc!$C$8:$C$500=Kanban!$C$7)*(Calc!$K$8:$K$500=Kanban!E$11)*(Calc!$Y$8:$Y$500&gt;0),Calc!$Y$8:$Y$500,99999),Kanban_Helper!$B285),Calc!$Y$8:$Y$500,0)),INDEX(Calc!$E$8:$E$500,MATCH(SMALL(IF((Calc!$K$8:$K$500=Kanban!E$11)*(Calc!$Y$8:$Y$500&gt;0),Calc!$Y$8:$Y$500,99999),Kanban_Helper!$B285),Calc!$Y$8:$Y$500,0)))),"")</f>
        <v/>
      </c>
      <c r="F292" s="171" t="str">
        <f t="array" ref="F292">IFERROR(IF(LEN(F$11)=0,"",IF($C$7&lt;&gt;"All",INDEX(Calc!$E$8:$E$500,MATCH(SMALL(IF((Calc!$C$8:$C$500=Kanban!$C$7)*(Calc!$K$8:$K$500=Kanban!F$11)*(Calc!$Y$8:$Y$500&gt;0),Calc!$Y$8:$Y$500,99999),Kanban_Helper!$B285),Calc!$Y$8:$Y$500,0)),INDEX(Calc!$E$8:$E$500,MATCH(SMALL(IF((Calc!$K$8:$K$500=Kanban!F$11)*(Calc!$Y$8:$Y$500&gt;0),Calc!$Y$8:$Y$500,99999),Kanban_Helper!$B285),Calc!$Y$8:$Y$500,0)))),"")</f>
        <v/>
      </c>
      <c r="G292" s="171" t="str">
        <f t="array" ref="G292">IFERROR(IF(LEN(G$11)=0,"",IF($C$7&lt;&gt;"All",INDEX(Calc!$E$8:$E$500,MATCH(SMALL(IF((Calc!$C$8:$C$500=Kanban!$C$7)*(Calc!$K$8:$K$500=Kanban!G$11)*(Calc!$Y$8:$Y$500&gt;0),Calc!$Y$8:$Y$500,99999),Kanban_Helper!$B285),Calc!$Y$8:$Y$500,0)),INDEX(Calc!$E$8:$E$500,MATCH(SMALL(IF((Calc!$K$8:$K$500=Kanban!G$11)*(Calc!$Y$8:$Y$500&gt;0),Calc!$Y$8:$Y$500,99999),Kanban_Helper!$B285),Calc!$Y$8:$Y$500,0)))),"")</f>
        <v/>
      </c>
      <c r="H292" s="171" t="str">
        <f t="array" ref="H292">IFERROR(IF(LEN(H$11)=0,"",IF($C$7&lt;&gt;"All",INDEX(Calc!$E$8:$E$500,MATCH(SMALL(IF((Calc!$C$8:$C$500=Kanban!$C$7)*(Calc!$K$8:$K$500=Kanban!H$11)*(Calc!$Y$8:$Y$500&gt;0),Calc!$Y$8:$Y$500,99999),Kanban_Helper!$B285),Calc!$Y$8:$Y$500,0)),INDEX(Calc!$E$8:$E$500,MATCH(SMALL(IF((Calc!$K$8:$K$500=Kanban!H$11)*(Calc!$Y$8:$Y$500&gt;0),Calc!$Y$8:$Y$500,99999),Kanban_Helper!$B285),Calc!$Y$8:$Y$500,0)))),"")</f>
        <v/>
      </c>
      <c r="I292" s="39"/>
    </row>
    <row r="293" spans="2:9" ht="15" thickBot="1" x14ac:dyDescent="0.4">
      <c r="B293" s="81"/>
      <c r="C293" s="172" t="str">
        <f t="array" ref="C293">IFERROR(IF(LEN(C$11)=0,"",IF($C$7&lt;&gt;"All",IF(LEN(INDEX(Calc!$J$8:$J$500,MATCH(SMALL(IF((Calc!$C$8:$C$500=Kanban!$C$7)*(Calc!$K$8:$K$500=Kanban!C$11)*(Calc!$Y$8:$Y$500&gt;0),Calc!$Y$8:$Y$500,99999),Kanban_Helper!$B286),Calc!$Y$8:$Y$500,0)))=0,"",CONCATENATE(Calc!$AD$6,INDEX(Calc!$J$8:$J$500,MATCH(SMALL(IF((Calc!$C$8:$C$500=Kanban!$C$7)*(Calc!$K$8:$K$500=Kanban!C$11)*(Calc!$Y$8:$Y$500&gt;0),Calc!$Y$8:$Y$500,99999),Kanban_Helper!$B286),Calc!$Y$8:$Y$500,0)))),IF(LEN(INDEX(Calc!$J$8:$J$500,MATCH(SMALL(IF((Calc!$K$8:$K$500=Kanban!C$11)*(Calc!$Y$8:$Y$500&gt;0),Calc!$Y$8:$Y$500,99999),Kanban_Helper!$B286),Calc!$Y$8:$Y$500,0)))=0,"",CONCATENATE(Calc!$AD$6,INDEX(Calc!$J$8:$J$500,MATCH(SMALL(IF((Calc!$K$8:$K$500=Kanban!C$11)*(Calc!$Y$8:$Y$500&gt;0),Calc!$Y$8:$Y$500,99999),Kanban_Helper!$B286),Calc!$Y$8:$Y$500,0)))))),"")</f>
        <v/>
      </c>
      <c r="D293" s="172" t="str">
        <f t="array" ref="D293">IFERROR(IF(LEN(D$11)=0,"",IF($C$7&lt;&gt;"All",IF(LEN(INDEX(Calc!$J$8:$J$500,MATCH(SMALL(IF((Calc!$C$8:$C$500=Kanban!$C$7)*(Calc!$K$8:$K$500=Kanban!D$11)*(Calc!$Y$8:$Y$500&gt;0),Calc!$Y$8:$Y$500,99999),Kanban_Helper!$B286),Calc!$Y$8:$Y$500,0)))=0,"",CONCATENATE(Calc!$AD$6,INDEX(Calc!$J$8:$J$500,MATCH(SMALL(IF((Calc!$C$8:$C$500=Kanban!$C$7)*(Calc!$K$8:$K$500=Kanban!D$11)*(Calc!$Y$8:$Y$500&gt;0),Calc!$Y$8:$Y$500,99999),Kanban_Helper!$B286),Calc!$Y$8:$Y$500,0)))),IF(LEN(INDEX(Calc!$J$8:$J$500,MATCH(SMALL(IF((Calc!$K$8:$K$500=Kanban!D$11)*(Calc!$Y$8:$Y$500&gt;0),Calc!$Y$8:$Y$500,99999),Kanban_Helper!$B286),Calc!$Y$8:$Y$500,0)))=0,"",CONCATENATE(Calc!$AD$6,INDEX(Calc!$J$8:$J$500,MATCH(SMALL(IF((Calc!$K$8:$K$500=Kanban!D$11)*(Calc!$Y$8:$Y$500&gt;0),Calc!$Y$8:$Y$500,99999),Kanban_Helper!$B286),Calc!$Y$8:$Y$500,0)))))),"")</f>
        <v/>
      </c>
      <c r="E293" s="172" t="str">
        <f t="array" ref="E293">IFERROR(IF(LEN(E$11)=0,"",IF($C$7&lt;&gt;"All",IF(LEN(INDEX(Calc!$J$8:$J$500,MATCH(SMALL(IF((Calc!$C$8:$C$500=Kanban!$C$7)*(Calc!$K$8:$K$500=Kanban!E$11)*(Calc!$Y$8:$Y$500&gt;0),Calc!$Y$8:$Y$500,99999),Kanban_Helper!$B286),Calc!$Y$8:$Y$500,0)))=0,"",CONCATENATE(Calc!$AD$6,INDEX(Calc!$J$8:$J$500,MATCH(SMALL(IF((Calc!$C$8:$C$500=Kanban!$C$7)*(Calc!$K$8:$K$500=Kanban!E$11)*(Calc!$Y$8:$Y$500&gt;0),Calc!$Y$8:$Y$500,99999),Kanban_Helper!$B286),Calc!$Y$8:$Y$500,0)))),IF(LEN(INDEX(Calc!$J$8:$J$500,MATCH(SMALL(IF((Calc!$K$8:$K$500=Kanban!E$11)*(Calc!$Y$8:$Y$500&gt;0),Calc!$Y$8:$Y$500,99999),Kanban_Helper!$B286),Calc!$Y$8:$Y$500,0)))=0,"",CONCATENATE(Calc!$AD$6,INDEX(Calc!$J$8:$J$500,MATCH(SMALL(IF((Calc!$K$8:$K$500=Kanban!E$11)*(Calc!$Y$8:$Y$500&gt;0),Calc!$Y$8:$Y$500,99999),Kanban_Helper!$B286),Calc!$Y$8:$Y$500,0)))))),"")</f>
        <v/>
      </c>
      <c r="F293" s="172" t="str">
        <f t="array" ref="F293">IFERROR(IF(LEN(F$11)=0,"",IF($C$7&lt;&gt;"All",IF(LEN(INDEX(Calc!$J$8:$J$500,MATCH(SMALL(IF((Calc!$C$8:$C$500=Kanban!$C$7)*(Calc!$K$8:$K$500=Kanban!F$11)*(Calc!$Y$8:$Y$500&gt;0),Calc!$Y$8:$Y$500,99999),Kanban_Helper!$B286),Calc!$Y$8:$Y$500,0)))=0,"",CONCATENATE(Calc!$AD$6,INDEX(Calc!$J$8:$J$500,MATCH(SMALL(IF((Calc!$C$8:$C$500=Kanban!$C$7)*(Calc!$K$8:$K$500=Kanban!F$11)*(Calc!$Y$8:$Y$500&gt;0),Calc!$Y$8:$Y$500,99999),Kanban_Helper!$B286),Calc!$Y$8:$Y$500,0)))),IF(LEN(INDEX(Calc!$J$8:$J$500,MATCH(SMALL(IF((Calc!$K$8:$K$500=Kanban!F$11)*(Calc!$Y$8:$Y$500&gt;0),Calc!$Y$8:$Y$500,99999),Kanban_Helper!$B286),Calc!$Y$8:$Y$500,0)))=0,"",CONCATENATE(Calc!$AD$6,INDEX(Calc!$J$8:$J$500,MATCH(SMALL(IF((Calc!$K$8:$K$500=Kanban!F$11)*(Calc!$Y$8:$Y$500&gt;0),Calc!$Y$8:$Y$500,99999),Kanban_Helper!$B286),Calc!$Y$8:$Y$500,0)))))),"")</f>
        <v/>
      </c>
      <c r="G293" s="172" t="str">
        <f t="array" ref="G293">IFERROR(IF(LEN(G$11)=0,"",IF($C$7&lt;&gt;"All",IF(LEN(INDEX(Calc!$J$8:$J$500,MATCH(SMALL(IF((Calc!$C$8:$C$500=Kanban!$C$7)*(Calc!$K$8:$K$500=Kanban!G$11)*(Calc!$Y$8:$Y$500&gt;0),Calc!$Y$8:$Y$500,99999),Kanban_Helper!$B286),Calc!$Y$8:$Y$500,0)))=0,"",CONCATENATE(Calc!$AD$6,INDEX(Calc!$J$8:$J$500,MATCH(SMALL(IF((Calc!$C$8:$C$500=Kanban!$C$7)*(Calc!$K$8:$K$500=Kanban!G$11)*(Calc!$Y$8:$Y$500&gt;0),Calc!$Y$8:$Y$500,99999),Kanban_Helper!$B286),Calc!$Y$8:$Y$500,0)))),IF(LEN(INDEX(Calc!$J$8:$J$500,MATCH(SMALL(IF((Calc!$K$8:$K$500=Kanban!G$11)*(Calc!$Y$8:$Y$500&gt;0),Calc!$Y$8:$Y$500,99999),Kanban_Helper!$B286),Calc!$Y$8:$Y$500,0)))=0,"",CONCATENATE(Calc!$AD$6,INDEX(Calc!$J$8:$J$500,MATCH(SMALL(IF((Calc!$K$8:$K$500=Kanban!G$11)*(Calc!$Y$8:$Y$500&gt;0),Calc!$Y$8:$Y$500,99999),Kanban_Helper!$B286),Calc!$Y$8:$Y$500,0)))))),"")</f>
        <v/>
      </c>
      <c r="H293" s="172" t="str">
        <f t="array" ref="H293">IFERROR(IF(LEN(H$11)=0,"",IF($C$7&lt;&gt;"All",IF(LEN(INDEX(Calc!$J$8:$J$500,MATCH(SMALL(IF((Calc!$C$8:$C$500=Kanban!$C$7)*(Calc!$K$8:$K$500=Kanban!H$11)*(Calc!$Y$8:$Y$500&gt;0),Calc!$Y$8:$Y$500,99999),Kanban_Helper!$B286),Calc!$Y$8:$Y$500,0)))=0,"",CONCATENATE(Calc!$AD$6,INDEX(Calc!$J$8:$J$500,MATCH(SMALL(IF((Calc!$C$8:$C$500=Kanban!$C$7)*(Calc!$K$8:$K$500=Kanban!H$11)*(Calc!$Y$8:$Y$500&gt;0),Calc!$Y$8:$Y$500,99999),Kanban_Helper!$B286),Calc!$Y$8:$Y$500,0)))),IF(LEN(INDEX(Calc!$J$8:$J$500,MATCH(SMALL(IF((Calc!$K$8:$K$500=Kanban!H$11)*(Calc!$Y$8:$Y$500&gt;0),Calc!$Y$8:$Y$500,99999),Kanban_Helper!$B286),Calc!$Y$8:$Y$500,0)))=0,"",CONCATENATE(Calc!$AD$6,INDEX(Calc!$J$8:$J$500,MATCH(SMALL(IF((Calc!$K$8:$K$500=Kanban!H$11)*(Calc!$Y$8:$Y$500&gt;0),Calc!$Y$8:$Y$500,99999),Kanban_Helper!$B286),Calc!$Y$8:$Y$500,0)))))),"")</f>
        <v/>
      </c>
      <c r="I293" s="39"/>
    </row>
    <row r="294" spans="2:9" ht="15" thickTop="1" x14ac:dyDescent="0.35">
      <c r="B294" s="81"/>
      <c r="C294" s="170" t="str">
        <f t="array" ref="C294">IFERROR(IF(LEN(C$11)=0,"",IF($C$7&lt;&gt;"All",IF(INDEX(Calc!$V$8:$V$500,MATCH(INDEX(Calc!$D$8:$D$500,MATCH(SMALL(IF((Calc!$C$8:$C$500=Kanban!$C$7)*(Calc!$K$8:$K$500=Kanban!C$11)*(Calc!$Y$8:$Y$500&gt;0),Calc!$Y$8:$Y$500,99999),Kanban_Helper!$B287),Calc!$Y$8:$Y$500,0)),Calc!$D$8:$D$500,0))="Yes",CONCATENATE(INDEX(Calc!$D$8:$D$500,MATCH(SMALL(IF((Calc!$C$8:$C$500=Kanban!$C$7)*(Calc!$K$8:$K$500=Kanban!C$11)*(Calc!$Y$8:$Y$500&gt;0),Calc!$Y$8:$Y$500,99999),Kanban_Helper!$B287),Calc!$Y$8:$Y$500,0))," ",Calc!$V$7," ","!"),INDEX(Calc!$D$8:$D$500,MATCH(SMALL(IF((Calc!$C$8:$C$500=Kanban!$C$7)*(Calc!$K$8:$K$500=Kanban!C$11)*(Calc!$Y$8:$Y$500&gt;0),Calc!$Y$8:$Y$500,99999),Kanban_Helper!$B287),Calc!$Y$8:$Y$500,0))),IF(INDEX(Calc!$V$8:$V$500,MATCH(INDEX(Calc!$D$8:$D$500,MATCH(SMALL(IF((Calc!$K$8:$K$500=Kanban!C$11)*(Calc!$Y$8:$Y$500&gt;0),Calc!$Y$8:$Y$500,99999),Kanban_Helper!$B287),Calc!$Y$8:$Y$500,0)),Calc!$D$8:$D$500,0))="Yes",CONCATENATE(INDEX(Calc!$D$8:$D$500,MATCH(SMALL(IF((Calc!$K$8:$K$500=Kanban!C$11)*(Calc!$Y$8:$Y$500&gt;0),Calc!$Y$8:$Y$500,99999),Kanban_Helper!$B287),Calc!$Y$8:$Y$500,0))," ",Calc!$V$7," ","!"),INDEX(Calc!$D$8:$D$500,MATCH(SMALL(IF((Calc!$K$8:$K$500=Kanban!C$11)*(Calc!$Y$8:$Y$500&gt;0),Calc!$Y$8:$Y$500,99999),Kanban_Helper!$B287),Calc!$Y$8:$Y$500,0))))),"")</f>
        <v/>
      </c>
      <c r="D294" s="170" t="str">
        <f t="array" ref="D294">IFERROR(IF(LEN(D$11)=0,"",IF($C$7&lt;&gt;"All",IF(INDEX(Calc!$V$8:$V$500,MATCH(INDEX(Calc!$D$8:$D$500,MATCH(SMALL(IF((Calc!$C$8:$C$500=Kanban!$C$7)*(Calc!$K$8:$K$500=Kanban!D$11)*(Calc!$Y$8:$Y$500&gt;0),Calc!$Y$8:$Y$500,99999),Kanban_Helper!$B287),Calc!$Y$8:$Y$500,0)),Calc!$D$8:$D$500,0))="Yes",CONCATENATE(INDEX(Calc!$D$8:$D$500,MATCH(SMALL(IF((Calc!$C$8:$C$500=Kanban!$C$7)*(Calc!$K$8:$K$500=Kanban!D$11)*(Calc!$Y$8:$Y$500&gt;0),Calc!$Y$8:$Y$500,99999),Kanban_Helper!$B287),Calc!$Y$8:$Y$500,0))," ",Calc!$V$7," ","!"),INDEX(Calc!$D$8:$D$500,MATCH(SMALL(IF((Calc!$C$8:$C$500=Kanban!$C$7)*(Calc!$K$8:$K$500=Kanban!D$11)*(Calc!$Y$8:$Y$500&gt;0),Calc!$Y$8:$Y$500,99999),Kanban_Helper!$B287),Calc!$Y$8:$Y$500,0))),IF(INDEX(Calc!$V$8:$V$500,MATCH(INDEX(Calc!$D$8:$D$500,MATCH(SMALL(IF((Calc!$K$8:$K$500=Kanban!D$11)*(Calc!$Y$8:$Y$500&gt;0),Calc!$Y$8:$Y$500,99999),Kanban_Helper!$B287),Calc!$Y$8:$Y$500,0)),Calc!$D$8:$D$500,0))="Yes",CONCATENATE(INDEX(Calc!$D$8:$D$500,MATCH(SMALL(IF((Calc!$K$8:$K$500=Kanban!D$11)*(Calc!$Y$8:$Y$500&gt;0),Calc!$Y$8:$Y$500,99999),Kanban_Helper!$B287),Calc!$Y$8:$Y$500,0))," ",Calc!$V$7," ","!"),INDEX(Calc!$D$8:$D$500,MATCH(SMALL(IF((Calc!$K$8:$K$500=Kanban!D$11)*(Calc!$Y$8:$Y$500&gt;0),Calc!$Y$8:$Y$500,99999),Kanban_Helper!$B287),Calc!$Y$8:$Y$500,0))))),"")</f>
        <v/>
      </c>
      <c r="E294" s="170" t="str">
        <f t="array" ref="E294">IFERROR(IF(LEN(E$11)=0,"",IF($C$7&lt;&gt;"All",IF(INDEX(Calc!$V$8:$V$500,MATCH(INDEX(Calc!$D$8:$D$500,MATCH(SMALL(IF((Calc!$C$8:$C$500=Kanban!$C$7)*(Calc!$K$8:$K$500=Kanban!E$11)*(Calc!$Y$8:$Y$500&gt;0),Calc!$Y$8:$Y$500,99999),Kanban_Helper!$B287),Calc!$Y$8:$Y$500,0)),Calc!$D$8:$D$500,0))="Yes",CONCATENATE(INDEX(Calc!$D$8:$D$500,MATCH(SMALL(IF((Calc!$C$8:$C$500=Kanban!$C$7)*(Calc!$K$8:$K$500=Kanban!E$11)*(Calc!$Y$8:$Y$500&gt;0),Calc!$Y$8:$Y$500,99999),Kanban_Helper!$B287),Calc!$Y$8:$Y$500,0))," ",Calc!$V$7," ","!"),INDEX(Calc!$D$8:$D$500,MATCH(SMALL(IF((Calc!$C$8:$C$500=Kanban!$C$7)*(Calc!$K$8:$K$500=Kanban!E$11)*(Calc!$Y$8:$Y$500&gt;0),Calc!$Y$8:$Y$500,99999),Kanban_Helper!$B287),Calc!$Y$8:$Y$500,0))),IF(INDEX(Calc!$V$8:$V$500,MATCH(INDEX(Calc!$D$8:$D$500,MATCH(SMALL(IF((Calc!$K$8:$K$500=Kanban!E$11)*(Calc!$Y$8:$Y$500&gt;0),Calc!$Y$8:$Y$500,99999),Kanban_Helper!$B287),Calc!$Y$8:$Y$500,0)),Calc!$D$8:$D$500,0))="Yes",CONCATENATE(INDEX(Calc!$D$8:$D$500,MATCH(SMALL(IF((Calc!$K$8:$K$500=Kanban!E$11)*(Calc!$Y$8:$Y$500&gt;0),Calc!$Y$8:$Y$500,99999),Kanban_Helper!$B287),Calc!$Y$8:$Y$500,0))," ",Calc!$V$7," ","!"),INDEX(Calc!$D$8:$D$500,MATCH(SMALL(IF((Calc!$K$8:$K$500=Kanban!E$11)*(Calc!$Y$8:$Y$500&gt;0),Calc!$Y$8:$Y$500,99999),Kanban_Helper!$B287),Calc!$Y$8:$Y$500,0))))),"")</f>
        <v/>
      </c>
      <c r="F294" s="170" t="str">
        <f t="array" ref="F294">IFERROR(IF(LEN(F$11)=0,"",IF($C$7&lt;&gt;"All",IF(INDEX(Calc!$V$8:$V$500,MATCH(INDEX(Calc!$D$8:$D$500,MATCH(SMALL(IF((Calc!$C$8:$C$500=Kanban!$C$7)*(Calc!$K$8:$K$500=Kanban!F$11)*(Calc!$Y$8:$Y$500&gt;0),Calc!$Y$8:$Y$500,99999),Kanban_Helper!$B287),Calc!$Y$8:$Y$500,0)),Calc!$D$8:$D$500,0))="Yes",CONCATENATE(INDEX(Calc!$D$8:$D$500,MATCH(SMALL(IF((Calc!$C$8:$C$500=Kanban!$C$7)*(Calc!$K$8:$K$500=Kanban!F$11)*(Calc!$Y$8:$Y$500&gt;0),Calc!$Y$8:$Y$500,99999),Kanban_Helper!$B287),Calc!$Y$8:$Y$500,0))," ",Calc!$V$7," ","!"),INDEX(Calc!$D$8:$D$500,MATCH(SMALL(IF((Calc!$C$8:$C$500=Kanban!$C$7)*(Calc!$K$8:$K$500=Kanban!F$11)*(Calc!$Y$8:$Y$500&gt;0),Calc!$Y$8:$Y$500,99999),Kanban_Helper!$B287),Calc!$Y$8:$Y$500,0))),IF(INDEX(Calc!$V$8:$V$500,MATCH(INDEX(Calc!$D$8:$D$500,MATCH(SMALL(IF((Calc!$K$8:$K$500=Kanban!F$11)*(Calc!$Y$8:$Y$500&gt;0),Calc!$Y$8:$Y$500,99999),Kanban_Helper!$B287),Calc!$Y$8:$Y$500,0)),Calc!$D$8:$D$500,0))="Yes",CONCATENATE(INDEX(Calc!$D$8:$D$500,MATCH(SMALL(IF((Calc!$K$8:$K$500=Kanban!F$11)*(Calc!$Y$8:$Y$500&gt;0),Calc!$Y$8:$Y$500,99999),Kanban_Helper!$B287),Calc!$Y$8:$Y$500,0))," ",Calc!$V$7," ","!"),INDEX(Calc!$D$8:$D$500,MATCH(SMALL(IF((Calc!$K$8:$K$500=Kanban!F$11)*(Calc!$Y$8:$Y$500&gt;0),Calc!$Y$8:$Y$500,99999),Kanban_Helper!$B287),Calc!$Y$8:$Y$500,0))))),"")</f>
        <v/>
      </c>
      <c r="G294" s="170" t="str">
        <f t="array" ref="G294">IFERROR(IF(LEN(G$11)=0,"",IF($C$7&lt;&gt;"All",IF(INDEX(Calc!$V$8:$V$500,MATCH(INDEX(Calc!$D$8:$D$500,MATCH(SMALL(IF((Calc!$C$8:$C$500=Kanban!$C$7)*(Calc!$K$8:$K$500=Kanban!G$11)*(Calc!$Y$8:$Y$500&gt;0),Calc!$Y$8:$Y$500,99999),Kanban_Helper!$B287),Calc!$Y$8:$Y$500,0)),Calc!$D$8:$D$500,0))="Yes",CONCATENATE(INDEX(Calc!$D$8:$D$500,MATCH(SMALL(IF((Calc!$C$8:$C$500=Kanban!$C$7)*(Calc!$K$8:$K$500=Kanban!G$11)*(Calc!$Y$8:$Y$500&gt;0),Calc!$Y$8:$Y$500,99999),Kanban_Helper!$B287),Calc!$Y$8:$Y$500,0))," ",Calc!$V$7," ","!"),INDEX(Calc!$D$8:$D$500,MATCH(SMALL(IF((Calc!$C$8:$C$500=Kanban!$C$7)*(Calc!$K$8:$K$500=Kanban!G$11)*(Calc!$Y$8:$Y$500&gt;0),Calc!$Y$8:$Y$500,99999),Kanban_Helper!$B287),Calc!$Y$8:$Y$500,0))),IF(INDEX(Calc!$V$8:$V$500,MATCH(INDEX(Calc!$D$8:$D$500,MATCH(SMALL(IF((Calc!$K$8:$K$500=Kanban!G$11)*(Calc!$Y$8:$Y$500&gt;0),Calc!$Y$8:$Y$500,99999),Kanban_Helper!$B287),Calc!$Y$8:$Y$500,0)),Calc!$D$8:$D$500,0))="Yes",CONCATENATE(INDEX(Calc!$D$8:$D$500,MATCH(SMALL(IF((Calc!$K$8:$K$500=Kanban!G$11)*(Calc!$Y$8:$Y$500&gt;0),Calc!$Y$8:$Y$500,99999),Kanban_Helper!$B287),Calc!$Y$8:$Y$500,0))," ",Calc!$V$7," ","!"),INDEX(Calc!$D$8:$D$500,MATCH(SMALL(IF((Calc!$K$8:$K$500=Kanban!G$11)*(Calc!$Y$8:$Y$500&gt;0),Calc!$Y$8:$Y$500,99999),Kanban_Helper!$B287),Calc!$Y$8:$Y$500,0))))),"")</f>
        <v/>
      </c>
      <c r="H294" s="170" t="str">
        <f t="array" ref="H294">IFERROR(IF(LEN(H$11)=0,"",IF($C$7&lt;&gt;"All",IF(INDEX(Calc!$V$8:$V$500,MATCH(INDEX(Calc!$D$8:$D$500,MATCH(SMALL(IF((Calc!$C$8:$C$500=Kanban!$C$7)*(Calc!$K$8:$K$500=Kanban!H$11)*(Calc!$Y$8:$Y$500&gt;0),Calc!$Y$8:$Y$500,99999),Kanban_Helper!$B287),Calc!$Y$8:$Y$500,0)),Calc!$D$8:$D$500,0))="Yes",CONCATENATE(INDEX(Calc!$D$8:$D$500,MATCH(SMALL(IF((Calc!$C$8:$C$500=Kanban!$C$7)*(Calc!$K$8:$K$500=Kanban!H$11)*(Calc!$Y$8:$Y$500&gt;0),Calc!$Y$8:$Y$500,99999),Kanban_Helper!$B287),Calc!$Y$8:$Y$500,0))," ",Calc!$V$7," ","!"),INDEX(Calc!$D$8:$D$500,MATCH(SMALL(IF((Calc!$C$8:$C$500=Kanban!$C$7)*(Calc!$K$8:$K$500=Kanban!H$11)*(Calc!$Y$8:$Y$500&gt;0),Calc!$Y$8:$Y$500,99999),Kanban_Helper!$B287),Calc!$Y$8:$Y$500,0))),IF(INDEX(Calc!$V$8:$V$500,MATCH(INDEX(Calc!$D$8:$D$500,MATCH(SMALL(IF((Calc!$K$8:$K$500=Kanban!H$11)*(Calc!$Y$8:$Y$500&gt;0),Calc!$Y$8:$Y$500,99999),Kanban_Helper!$B287),Calc!$Y$8:$Y$500,0)),Calc!$D$8:$D$500,0))="Yes",CONCATENATE(INDEX(Calc!$D$8:$D$500,MATCH(SMALL(IF((Calc!$K$8:$K$500=Kanban!H$11)*(Calc!$Y$8:$Y$500&gt;0),Calc!$Y$8:$Y$500,99999),Kanban_Helper!$B287),Calc!$Y$8:$Y$500,0))," ",Calc!$V$7," ","!"),INDEX(Calc!$D$8:$D$500,MATCH(SMALL(IF((Calc!$K$8:$K$500=Kanban!H$11)*(Calc!$Y$8:$Y$500&gt;0),Calc!$Y$8:$Y$500,99999),Kanban_Helper!$B287),Calc!$Y$8:$Y$500,0))))),"")</f>
        <v/>
      </c>
      <c r="I294" s="39"/>
    </row>
    <row r="295" spans="2:9" x14ac:dyDescent="0.35">
      <c r="B295" s="81"/>
      <c r="C295" s="171" t="str">
        <f t="array" ref="C295">IFERROR(IF(LEN(C$11)=0,"",IF($C$7&lt;&gt;"All",INDEX(Calc!$E$8:$E$500,MATCH(SMALL(IF((Calc!$C$8:$C$500=Kanban!$C$7)*(Calc!$K$8:$K$500=Kanban!C$11)*(Calc!$Y$8:$Y$500&gt;0),Calc!$Y$8:$Y$500,99999),Kanban_Helper!$B288),Calc!$Y$8:$Y$500,0)),INDEX(Calc!$E$8:$E$500,MATCH(SMALL(IF((Calc!$K$8:$K$500=Kanban!C$11)*(Calc!$Y$8:$Y$500&gt;0),Calc!$Y$8:$Y$500,99999),Kanban_Helper!$B288),Calc!$Y$8:$Y$500,0)))),"")</f>
        <v/>
      </c>
      <c r="D295" s="171" t="str">
        <f t="array" ref="D295">IFERROR(IF(LEN(D$11)=0,"",IF($C$7&lt;&gt;"All",INDEX(Calc!$E$8:$E$500,MATCH(SMALL(IF((Calc!$C$8:$C$500=Kanban!$C$7)*(Calc!$K$8:$K$500=Kanban!D$11)*(Calc!$Y$8:$Y$500&gt;0),Calc!$Y$8:$Y$500,99999),Kanban_Helper!$B288),Calc!$Y$8:$Y$500,0)),INDEX(Calc!$E$8:$E$500,MATCH(SMALL(IF((Calc!$K$8:$K$500=Kanban!D$11)*(Calc!$Y$8:$Y$500&gt;0),Calc!$Y$8:$Y$500,99999),Kanban_Helper!$B288),Calc!$Y$8:$Y$500,0)))),"")</f>
        <v/>
      </c>
      <c r="E295" s="171" t="str">
        <f t="array" ref="E295">IFERROR(IF(LEN(E$11)=0,"",IF($C$7&lt;&gt;"All",INDEX(Calc!$E$8:$E$500,MATCH(SMALL(IF((Calc!$C$8:$C$500=Kanban!$C$7)*(Calc!$K$8:$K$500=Kanban!E$11)*(Calc!$Y$8:$Y$500&gt;0),Calc!$Y$8:$Y$500,99999),Kanban_Helper!$B288),Calc!$Y$8:$Y$500,0)),INDEX(Calc!$E$8:$E$500,MATCH(SMALL(IF((Calc!$K$8:$K$500=Kanban!E$11)*(Calc!$Y$8:$Y$500&gt;0),Calc!$Y$8:$Y$500,99999),Kanban_Helper!$B288),Calc!$Y$8:$Y$500,0)))),"")</f>
        <v/>
      </c>
      <c r="F295" s="171" t="str">
        <f t="array" ref="F295">IFERROR(IF(LEN(F$11)=0,"",IF($C$7&lt;&gt;"All",INDEX(Calc!$E$8:$E$500,MATCH(SMALL(IF((Calc!$C$8:$C$500=Kanban!$C$7)*(Calc!$K$8:$K$500=Kanban!F$11)*(Calc!$Y$8:$Y$500&gt;0),Calc!$Y$8:$Y$500,99999),Kanban_Helper!$B288),Calc!$Y$8:$Y$500,0)),INDEX(Calc!$E$8:$E$500,MATCH(SMALL(IF((Calc!$K$8:$K$500=Kanban!F$11)*(Calc!$Y$8:$Y$500&gt;0),Calc!$Y$8:$Y$500,99999),Kanban_Helper!$B288),Calc!$Y$8:$Y$500,0)))),"")</f>
        <v/>
      </c>
      <c r="G295" s="171" t="str">
        <f t="array" ref="G295">IFERROR(IF(LEN(G$11)=0,"",IF($C$7&lt;&gt;"All",INDEX(Calc!$E$8:$E$500,MATCH(SMALL(IF((Calc!$C$8:$C$500=Kanban!$C$7)*(Calc!$K$8:$K$500=Kanban!G$11)*(Calc!$Y$8:$Y$500&gt;0),Calc!$Y$8:$Y$500,99999),Kanban_Helper!$B288),Calc!$Y$8:$Y$500,0)),INDEX(Calc!$E$8:$E$500,MATCH(SMALL(IF((Calc!$K$8:$K$500=Kanban!G$11)*(Calc!$Y$8:$Y$500&gt;0),Calc!$Y$8:$Y$500,99999),Kanban_Helper!$B288),Calc!$Y$8:$Y$500,0)))),"")</f>
        <v/>
      </c>
      <c r="H295" s="171" t="str">
        <f t="array" ref="H295">IFERROR(IF(LEN(H$11)=0,"",IF($C$7&lt;&gt;"All",INDEX(Calc!$E$8:$E$500,MATCH(SMALL(IF((Calc!$C$8:$C$500=Kanban!$C$7)*(Calc!$K$8:$K$500=Kanban!H$11)*(Calc!$Y$8:$Y$500&gt;0),Calc!$Y$8:$Y$500,99999),Kanban_Helper!$B288),Calc!$Y$8:$Y$500,0)),INDEX(Calc!$E$8:$E$500,MATCH(SMALL(IF((Calc!$K$8:$K$500=Kanban!H$11)*(Calc!$Y$8:$Y$500&gt;0),Calc!$Y$8:$Y$500,99999),Kanban_Helper!$B288),Calc!$Y$8:$Y$500,0)))),"")</f>
        <v/>
      </c>
      <c r="I295" s="39"/>
    </row>
    <row r="296" spans="2:9" x14ac:dyDescent="0.35">
      <c r="B296" s="81"/>
      <c r="C296" s="172" t="str">
        <f t="array" ref="C296">IFERROR(IF(LEN(C$11)=0,"",IF($C$7&lt;&gt;"All",IF(LEN(INDEX(Calc!$J$8:$J$500,MATCH(SMALL(IF((Calc!$C$8:$C$500=Kanban!$C$7)*(Calc!$K$8:$K$500=Kanban!C$11)*(Calc!$Y$8:$Y$500&gt;0),Calc!$Y$8:$Y$500,99999),Kanban_Helper!$B289),Calc!$Y$8:$Y$500,0)))=0,"",CONCATENATE(Calc!$AD$6,INDEX(Calc!$J$8:$J$500,MATCH(SMALL(IF((Calc!$C$8:$C$500=Kanban!$C$7)*(Calc!$K$8:$K$500=Kanban!C$11)*(Calc!$Y$8:$Y$500&gt;0),Calc!$Y$8:$Y$500,99999),Kanban_Helper!$B289),Calc!$Y$8:$Y$500,0)))),IF(LEN(INDEX(Calc!$J$8:$J$500,MATCH(SMALL(IF((Calc!$K$8:$K$500=Kanban!C$11)*(Calc!$Y$8:$Y$500&gt;0),Calc!$Y$8:$Y$500,99999),Kanban_Helper!$B289),Calc!$Y$8:$Y$500,0)))=0,"",CONCATENATE(Calc!$AD$6,INDEX(Calc!$J$8:$J$500,MATCH(SMALL(IF((Calc!$K$8:$K$500=Kanban!C$11)*(Calc!$Y$8:$Y$500&gt;0),Calc!$Y$8:$Y$500,99999),Kanban_Helper!$B289),Calc!$Y$8:$Y$500,0)))))),"")</f>
        <v/>
      </c>
      <c r="D296" s="172" t="str">
        <f t="array" ref="D296">IFERROR(IF(LEN(D$11)=0,"",IF($C$7&lt;&gt;"All",IF(LEN(INDEX(Calc!$J$8:$J$500,MATCH(SMALL(IF((Calc!$C$8:$C$500=Kanban!$C$7)*(Calc!$K$8:$K$500=Kanban!D$11)*(Calc!$Y$8:$Y$500&gt;0),Calc!$Y$8:$Y$500,99999),Kanban_Helper!$B289),Calc!$Y$8:$Y$500,0)))=0,"",CONCATENATE(Calc!$AD$6,INDEX(Calc!$J$8:$J$500,MATCH(SMALL(IF((Calc!$C$8:$C$500=Kanban!$C$7)*(Calc!$K$8:$K$500=Kanban!D$11)*(Calc!$Y$8:$Y$500&gt;0),Calc!$Y$8:$Y$500,99999),Kanban_Helper!$B289),Calc!$Y$8:$Y$500,0)))),IF(LEN(INDEX(Calc!$J$8:$J$500,MATCH(SMALL(IF((Calc!$K$8:$K$500=Kanban!D$11)*(Calc!$Y$8:$Y$500&gt;0),Calc!$Y$8:$Y$500,99999),Kanban_Helper!$B289),Calc!$Y$8:$Y$500,0)))=0,"",CONCATENATE(Calc!$AD$6,INDEX(Calc!$J$8:$J$500,MATCH(SMALL(IF((Calc!$K$8:$K$500=Kanban!D$11)*(Calc!$Y$8:$Y$500&gt;0),Calc!$Y$8:$Y$500,99999),Kanban_Helper!$B289),Calc!$Y$8:$Y$500,0)))))),"")</f>
        <v/>
      </c>
      <c r="E296" s="172" t="str">
        <f t="array" ref="E296">IFERROR(IF(LEN(E$11)=0,"",IF($C$7&lt;&gt;"All",IF(LEN(INDEX(Calc!$J$8:$J$500,MATCH(SMALL(IF((Calc!$C$8:$C$500=Kanban!$C$7)*(Calc!$K$8:$K$500=Kanban!E$11)*(Calc!$Y$8:$Y$500&gt;0),Calc!$Y$8:$Y$500,99999),Kanban_Helper!$B289),Calc!$Y$8:$Y$500,0)))=0,"",CONCATENATE(Calc!$AD$6,INDEX(Calc!$J$8:$J$500,MATCH(SMALL(IF((Calc!$C$8:$C$500=Kanban!$C$7)*(Calc!$K$8:$K$500=Kanban!E$11)*(Calc!$Y$8:$Y$500&gt;0),Calc!$Y$8:$Y$500,99999),Kanban_Helper!$B289),Calc!$Y$8:$Y$500,0)))),IF(LEN(INDEX(Calc!$J$8:$J$500,MATCH(SMALL(IF((Calc!$K$8:$K$500=Kanban!E$11)*(Calc!$Y$8:$Y$500&gt;0),Calc!$Y$8:$Y$500,99999),Kanban_Helper!$B289),Calc!$Y$8:$Y$500,0)))=0,"",CONCATENATE(Calc!$AD$6,INDEX(Calc!$J$8:$J$500,MATCH(SMALL(IF((Calc!$K$8:$K$500=Kanban!E$11)*(Calc!$Y$8:$Y$500&gt;0),Calc!$Y$8:$Y$500,99999),Kanban_Helper!$B289),Calc!$Y$8:$Y$500,0)))))),"")</f>
        <v/>
      </c>
      <c r="F296" s="172" t="str">
        <f t="array" ref="F296">IFERROR(IF(LEN(F$11)=0,"",IF($C$7&lt;&gt;"All",IF(LEN(INDEX(Calc!$J$8:$J$500,MATCH(SMALL(IF((Calc!$C$8:$C$500=Kanban!$C$7)*(Calc!$K$8:$K$500=Kanban!F$11)*(Calc!$Y$8:$Y$500&gt;0),Calc!$Y$8:$Y$500,99999),Kanban_Helper!$B289),Calc!$Y$8:$Y$500,0)))=0,"",CONCATENATE(Calc!$AD$6,INDEX(Calc!$J$8:$J$500,MATCH(SMALL(IF((Calc!$C$8:$C$500=Kanban!$C$7)*(Calc!$K$8:$K$500=Kanban!F$11)*(Calc!$Y$8:$Y$500&gt;0),Calc!$Y$8:$Y$500,99999),Kanban_Helper!$B289),Calc!$Y$8:$Y$500,0)))),IF(LEN(INDEX(Calc!$J$8:$J$500,MATCH(SMALL(IF((Calc!$K$8:$K$500=Kanban!F$11)*(Calc!$Y$8:$Y$500&gt;0),Calc!$Y$8:$Y$500,99999),Kanban_Helper!$B289),Calc!$Y$8:$Y$500,0)))=0,"",CONCATENATE(Calc!$AD$6,INDEX(Calc!$J$8:$J$500,MATCH(SMALL(IF((Calc!$K$8:$K$500=Kanban!F$11)*(Calc!$Y$8:$Y$500&gt;0),Calc!$Y$8:$Y$500,99999),Kanban_Helper!$B289),Calc!$Y$8:$Y$500,0)))))),"")</f>
        <v/>
      </c>
      <c r="G296" s="172" t="str">
        <f t="array" ref="G296">IFERROR(IF(LEN(G$11)=0,"",IF($C$7&lt;&gt;"All",IF(LEN(INDEX(Calc!$J$8:$J$500,MATCH(SMALL(IF((Calc!$C$8:$C$500=Kanban!$C$7)*(Calc!$K$8:$K$500=Kanban!G$11)*(Calc!$Y$8:$Y$500&gt;0),Calc!$Y$8:$Y$500,99999),Kanban_Helper!$B289),Calc!$Y$8:$Y$500,0)))=0,"",CONCATENATE(Calc!$AD$6,INDEX(Calc!$J$8:$J$500,MATCH(SMALL(IF((Calc!$C$8:$C$500=Kanban!$C$7)*(Calc!$K$8:$K$500=Kanban!G$11)*(Calc!$Y$8:$Y$500&gt;0),Calc!$Y$8:$Y$500,99999),Kanban_Helper!$B289),Calc!$Y$8:$Y$500,0)))),IF(LEN(INDEX(Calc!$J$8:$J$500,MATCH(SMALL(IF((Calc!$K$8:$K$500=Kanban!G$11)*(Calc!$Y$8:$Y$500&gt;0),Calc!$Y$8:$Y$500,99999),Kanban_Helper!$B289),Calc!$Y$8:$Y$500,0)))=0,"",CONCATENATE(Calc!$AD$6,INDEX(Calc!$J$8:$J$500,MATCH(SMALL(IF((Calc!$K$8:$K$500=Kanban!G$11)*(Calc!$Y$8:$Y$500&gt;0),Calc!$Y$8:$Y$500,99999),Kanban_Helper!$B289),Calc!$Y$8:$Y$500,0)))))),"")</f>
        <v/>
      </c>
      <c r="H296" s="172" t="str">
        <f t="array" ref="H296">IFERROR(IF(LEN(H$11)=0,"",IF($C$7&lt;&gt;"All",IF(LEN(INDEX(Calc!$J$8:$J$500,MATCH(SMALL(IF((Calc!$C$8:$C$500=Kanban!$C$7)*(Calc!$K$8:$K$500=Kanban!H$11)*(Calc!$Y$8:$Y$500&gt;0),Calc!$Y$8:$Y$500,99999),Kanban_Helper!$B289),Calc!$Y$8:$Y$500,0)))=0,"",CONCATENATE(Calc!$AD$6,INDEX(Calc!$J$8:$J$500,MATCH(SMALL(IF((Calc!$C$8:$C$500=Kanban!$C$7)*(Calc!$K$8:$K$500=Kanban!H$11)*(Calc!$Y$8:$Y$500&gt;0),Calc!$Y$8:$Y$500,99999),Kanban_Helper!$B289),Calc!$Y$8:$Y$500,0)))),IF(LEN(INDEX(Calc!$J$8:$J$500,MATCH(SMALL(IF((Calc!$K$8:$K$500=Kanban!H$11)*(Calc!$Y$8:$Y$500&gt;0),Calc!$Y$8:$Y$500,99999),Kanban_Helper!$B289),Calc!$Y$8:$Y$500,0)))=0,"",CONCATENATE(Calc!$AD$6,INDEX(Calc!$J$8:$J$500,MATCH(SMALL(IF((Calc!$K$8:$K$500=Kanban!H$11)*(Calc!$Y$8:$Y$500&gt;0),Calc!$Y$8:$Y$500,99999),Kanban_Helper!$B289),Calc!$Y$8:$Y$500,0)))))),"")</f>
        <v/>
      </c>
      <c r="I296" s="39"/>
    </row>
    <row r="297" spans="2:9" ht="9.75" customHeight="1" x14ac:dyDescent="0.35">
      <c r="B297" s="77"/>
      <c r="C297" s="82"/>
      <c r="D297" s="78"/>
      <c r="E297" s="78"/>
      <c r="F297" s="78"/>
      <c r="G297" s="78"/>
      <c r="H297" s="78"/>
      <c r="I297" s="79"/>
    </row>
    <row r="298" spans="2:9" ht="7.4" customHeight="1" x14ac:dyDescent="0.35">
      <c r="C298" s="76"/>
      <c r="D298" s="76"/>
      <c r="E298" s="76"/>
      <c r="F298" s="76"/>
      <c r="G298" s="76"/>
      <c r="H298" s="76"/>
      <c r="I298" s="76"/>
    </row>
    <row r="299" spans="2:9" ht="23.15" customHeight="1" x14ac:dyDescent="0.35">
      <c r="B299" s="23"/>
      <c r="C299" s="23"/>
      <c r="D299" s="24"/>
      <c r="E299" s="25"/>
      <c r="F299" s="25"/>
      <c r="G299" s="25"/>
      <c r="H299" s="23"/>
      <c r="I299" s="23"/>
    </row>
  </sheetData>
  <sheetProtection sheet="1" formatCells="0" formatColumns="0" formatRows="0" insertColumns="0" insertRows="0" insertHyperlinks="0" deleteColumns="0" deleteRows="0" sort="0" autoFilter="0" pivotTables="0"/>
  <phoneticPr fontId="17" type="noConversion"/>
  <conditionalFormatting sqref="C11:H11">
    <cfRule type="expression" dxfId="115" priority="1">
      <formula>LEN(C$11)=0</formula>
    </cfRule>
  </conditionalFormatting>
  <conditionalFormatting sqref="C12:H296">
    <cfRule type="containsText" dxfId="114" priority="16" operator="containsText" text="Overdue">
      <formula>NOT(ISERROR(SEARCH("Overdue",C12)))</formula>
    </cfRule>
  </conditionalFormatting>
  <printOptions horizontalCentered="1"/>
  <pageMargins left="0.31496062992125984" right="0.31496062992125984" top="0.31496062992125984" bottom="0.31496062992125984" header="0.31496062992125984" footer="0.31496062992125984"/>
  <pageSetup paperSize="9" scale="46"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15" id="{00000000-000E-0000-0000-000002000000}">
            <xm:f>LEN(Kanban_Helper!E317)=0</xm:f>
            <x14:dxf>
              <fill>
                <patternFill patternType="solid">
                  <bgColor theme="0"/>
                </patternFill>
              </fill>
            </x14:dxf>
          </x14:cfRule>
          <xm:sqref>C12:H296</xm:sqref>
        </x14:conditionalFormatting>
        <x14:conditionalFormatting xmlns:xm="http://schemas.microsoft.com/office/excel/2006/main">
          <x14:cfRule type="expression" priority="17" id="{057206A6-2F26-4DBD-A891-396ED8CF91EA}">
            <xm:f>Kanban_Helper!E5=Settings!$I$8</xm:f>
            <x14:dxf>
              <fill>
                <patternFill>
                  <bgColor rgb="FFD0E6A5"/>
                </patternFill>
              </fill>
            </x14:dxf>
          </x14:cfRule>
          <x14:cfRule type="expression" priority="18" id="{99DED164-3C53-48EE-8089-70481A2F30FA}">
            <xm:f>Kanban_Helper!E5=Settings!$I$9</xm:f>
            <x14:dxf>
              <fill>
                <patternFill>
                  <bgColor rgb="FFFFDD95"/>
                </patternFill>
              </fill>
            </x14:dxf>
          </x14:cfRule>
          <x14:cfRule type="expression" priority="19" id="{D0689D6C-2008-4C79-86F1-4F10EB614931}">
            <xm:f>Kanban_Helper!E5=Settings!$I$10</xm:f>
            <x14:dxf>
              <fill>
                <patternFill>
                  <bgColor rgb="FFFC887B"/>
                </patternFill>
              </fill>
            </x14:dxf>
          </x14:cfRule>
          <xm:sqref>C12:H296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A0549936-1EA9-47DB-B8AE-6D67E003B524}">
          <x14:formula1>
            <xm:f>OFFSET(Settings!$U$8,,,COUNTA(Settings!$C$8:$C$32)+1,1)</xm:f>
          </x14:formula1>
          <xm:sqref>C11:H11</xm:sqref>
        </x14:dataValidation>
        <x14:dataValidation type="list" allowBlank="1" showInputMessage="1" showErrorMessage="1" xr:uid="{DA867CA7-7692-4619-9860-FFC736EC4DA6}">
          <x14:formula1>
            <xm:f>OFFSET(Settings!$S$8,,,COUNTA(Settings!$G$8:$G$32)+1,1)</xm:f>
          </x14:formula1>
          <xm:sqref>C7</xm:sqref>
        </x14:dataValidation>
      </x14:dataValidations>
    </ext>
    <ext xmlns:x15="http://schemas.microsoft.com/office/spreadsheetml/2010/11/main" uri="{3A4CF648-6AED-40f4-86FF-DC5316D8AED3}">
      <x14:slicerList xmlns:x14="http://schemas.microsoft.com/office/spreadsheetml/2009/9/main">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90118A-9BF4-489E-9E03-DE08EACEE93E}">
  <sheetPr codeName="Sheet5">
    <pageSetUpPr autoPageBreaks="0" fitToPage="1"/>
  </sheetPr>
  <dimension ref="A1:AH41"/>
  <sheetViews>
    <sheetView showGridLines="0" showRowColHeaders="0" zoomScale="90" zoomScaleNormal="90" zoomScaleSheetLayoutView="85" workbookViewId="0">
      <pane ySplit="4" topLeftCell="A5" activePane="bottomLeft" state="frozen"/>
      <selection activeCell="P27" sqref="P27"/>
      <selection pane="bottomLeft" activeCell="A5" sqref="A5"/>
    </sheetView>
  </sheetViews>
  <sheetFormatPr defaultColWidth="8.81640625" defaultRowHeight="14.5" x14ac:dyDescent="0.35"/>
  <cols>
    <col min="1" max="1" width="3.7265625" style="18" customWidth="1"/>
    <col min="2" max="2" width="8.26953125" style="18" customWidth="1"/>
    <col min="3" max="14" width="13.26953125" style="18" customWidth="1"/>
    <col min="15" max="15" width="8.26953125" style="18" customWidth="1"/>
    <col min="16" max="16" width="1.7265625" style="18" customWidth="1"/>
    <col min="17" max="16384" width="8.81640625" style="18"/>
  </cols>
  <sheetData>
    <row r="1" spans="1:18" s="1" customFormat="1" ht="6.75" customHeight="1" x14ac:dyDescent="0.35">
      <c r="B1" s="2"/>
      <c r="E1" s="3"/>
      <c r="F1" s="3"/>
      <c r="G1" s="3"/>
    </row>
    <row r="2" spans="1:18" s="30" customFormat="1" ht="20.149999999999999" customHeight="1" x14ac:dyDescent="0.35">
      <c r="B2" s="46"/>
      <c r="C2" s="155" t="s">
        <v>75</v>
      </c>
      <c r="D2" s="31"/>
      <c r="E2" s="31"/>
      <c r="F2" s="31"/>
      <c r="G2" s="31"/>
      <c r="H2" s="31"/>
      <c r="I2" s="31"/>
      <c r="J2" s="31"/>
      <c r="K2" s="31"/>
      <c r="L2" s="31"/>
      <c r="M2" s="28"/>
      <c r="N2" s="28"/>
      <c r="O2" s="31"/>
      <c r="P2" s="32"/>
    </row>
    <row r="3" spans="1:18" s="4" customFormat="1" ht="24" customHeight="1" x14ac:dyDescent="0.35">
      <c r="B3" s="47"/>
      <c r="C3" s="156" t="s">
        <v>0</v>
      </c>
      <c r="D3" s="7"/>
      <c r="E3" s="7"/>
      <c r="F3" s="7"/>
      <c r="G3" s="7"/>
      <c r="H3" s="7"/>
      <c r="I3" s="7"/>
      <c r="J3" s="7"/>
      <c r="K3" s="7"/>
      <c r="L3" s="7"/>
      <c r="M3" s="29"/>
      <c r="N3" s="29"/>
      <c r="O3" s="7"/>
      <c r="P3" s="8"/>
    </row>
    <row r="4" spans="1:18" s="10" customFormat="1" ht="4.9000000000000004" customHeight="1" x14ac:dyDescent="0.35">
      <c r="A4" s="9"/>
      <c r="B4" s="9"/>
      <c r="C4" s="9"/>
      <c r="D4" s="9"/>
      <c r="E4" s="9"/>
      <c r="F4" s="9"/>
      <c r="G4" s="9"/>
      <c r="H4" s="9"/>
      <c r="I4" s="9"/>
      <c r="J4" s="9"/>
      <c r="K4" s="9"/>
      <c r="L4" s="9"/>
      <c r="M4" s="9"/>
      <c r="N4" s="9"/>
      <c r="O4" s="9"/>
      <c r="P4" s="9"/>
    </row>
    <row r="5" spans="1:18" s="10" customFormat="1" ht="4.9000000000000004" customHeight="1" x14ac:dyDescent="0.35">
      <c r="A5" s="11"/>
      <c r="B5" s="11"/>
      <c r="C5" s="11"/>
      <c r="D5" s="11"/>
      <c r="E5" s="11"/>
      <c r="F5" s="11"/>
      <c r="G5" s="11"/>
      <c r="H5" s="11"/>
      <c r="I5" s="11"/>
      <c r="J5" s="11"/>
      <c r="K5" s="11"/>
      <c r="L5" s="11"/>
      <c r="M5" s="11"/>
      <c r="N5" s="11"/>
      <c r="O5" s="11"/>
      <c r="P5" s="11"/>
    </row>
    <row r="6" spans="1:18" s="10" customFormat="1" x14ac:dyDescent="0.35">
      <c r="A6" s="9"/>
      <c r="B6" s="118"/>
      <c r="C6" s="119"/>
      <c r="D6" s="119"/>
      <c r="E6" s="119"/>
      <c r="F6" s="119"/>
      <c r="G6" s="119"/>
      <c r="H6" s="119"/>
      <c r="I6" s="119"/>
      <c r="J6" s="119"/>
      <c r="K6" s="119"/>
      <c r="L6" s="119"/>
      <c r="M6" s="119"/>
      <c r="N6" s="119"/>
      <c r="O6" s="120"/>
      <c r="P6" s="9"/>
      <c r="Q6" s="18"/>
      <c r="R6" s="18"/>
    </row>
    <row r="7" spans="1:18" s="10" customFormat="1" x14ac:dyDescent="0.35">
      <c r="A7" s="9"/>
      <c r="B7" s="121"/>
      <c r="C7" s="122"/>
      <c r="D7" s="122"/>
      <c r="E7" s="122"/>
      <c r="F7" s="122"/>
      <c r="G7" s="122"/>
      <c r="H7" s="122"/>
      <c r="I7" s="122"/>
      <c r="J7" s="122"/>
      <c r="K7" s="122"/>
      <c r="L7" s="122"/>
      <c r="M7" s="122"/>
      <c r="N7" s="122"/>
      <c r="O7" s="123"/>
      <c r="P7" s="9"/>
      <c r="Q7" s="18"/>
      <c r="R7" s="18"/>
    </row>
    <row r="8" spans="1:18" s="10" customFormat="1" x14ac:dyDescent="0.35">
      <c r="A8" s="9"/>
      <c r="B8" s="121"/>
      <c r="C8" s="122"/>
      <c r="D8" s="122"/>
      <c r="E8" s="122"/>
      <c r="F8" s="122"/>
      <c r="G8" s="122"/>
      <c r="H8" s="122"/>
      <c r="I8" s="122"/>
      <c r="J8" s="122"/>
      <c r="K8" s="122"/>
      <c r="L8" s="122"/>
      <c r="M8" s="122"/>
      <c r="N8" s="122"/>
      <c r="O8" s="123"/>
      <c r="P8" s="9"/>
      <c r="Q8" s="18"/>
      <c r="R8" s="18"/>
    </row>
    <row r="9" spans="1:18" s="10" customFormat="1" x14ac:dyDescent="0.35">
      <c r="B9" s="121"/>
      <c r="C9" s="122"/>
      <c r="D9" s="122"/>
      <c r="E9" s="122"/>
      <c r="F9" s="122"/>
      <c r="G9" s="122"/>
      <c r="H9" s="122"/>
      <c r="I9" s="122"/>
      <c r="J9" s="122"/>
      <c r="K9" s="122"/>
      <c r="L9" s="122"/>
      <c r="M9" s="122"/>
      <c r="N9" s="122"/>
      <c r="O9" s="123"/>
      <c r="Q9" s="18"/>
      <c r="R9" s="18"/>
    </row>
    <row r="10" spans="1:18" s="10" customFormat="1" ht="18" customHeight="1" x14ac:dyDescent="0.35">
      <c r="B10" s="121"/>
      <c r="C10" s="122"/>
      <c r="D10" s="122"/>
      <c r="E10" s="122"/>
      <c r="F10" s="122"/>
      <c r="G10" s="122"/>
      <c r="H10" s="122"/>
      <c r="I10" s="122"/>
      <c r="J10" s="122"/>
      <c r="K10" s="122"/>
      <c r="L10" s="122"/>
      <c r="M10" s="137"/>
      <c r="N10" s="137"/>
      <c r="O10" s="138"/>
      <c r="Q10" s="18"/>
      <c r="R10" s="18"/>
    </row>
    <row r="11" spans="1:18" s="10" customFormat="1" ht="7.5" customHeight="1" x14ac:dyDescent="0.35">
      <c r="B11" s="41"/>
      <c r="C11" s="41"/>
      <c r="D11" s="41"/>
      <c r="E11" s="41"/>
      <c r="F11" s="41"/>
      <c r="G11" s="41"/>
      <c r="H11" s="41"/>
      <c r="I11" s="41"/>
      <c r="J11" s="41"/>
      <c r="K11" s="41"/>
      <c r="L11" s="41"/>
      <c r="M11" s="139"/>
      <c r="N11" s="139"/>
      <c r="O11" s="139"/>
      <c r="Q11" s="18"/>
      <c r="R11" s="18"/>
    </row>
    <row r="12" spans="1:18" s="10" customFormat="1" ht="15.75" customHeight="1" x14ac:dyDescent="0.35">
      <c r="B12" s="12"/>
      <c r="C12" s="13"/>
      <c r="D12" s="13"/>
      <c r="E12" s="13"/>
      <c r="F12" s="13"/>
      <c r="G12" s="13"/>
      <c r="H12" s="13"/>
      <c r="I12" s="13"/>
      <c r="J12" s="13"/>
      <c r="K12" s="13"/>
      <c r="L12" s="13"/>
      <c r="M12" s="13"/>
      <c r="N12" s="13"/>
      <c r="O12" s="14"/>
      <c r="Q12" s="18"/>
      <c r="R12" s="18"/>
    </row>
    <row r="13" spans="1:18" s="10" customFormat="1" ht="15.75" customHeight="1" x14ac:dyDescent="0.35">
      <c r="B13" s="15"/>
      <c r="C13" s="16"/>
      <c r="D13" s="16"/>
      <c r="E13" s="16"/>
      <c r="F13" s="16"/>
      <c r="G13" s="16"/>
      <c r="H13" s="16"/>
      <c r="I13" s="16"/>
      <c r="J13" s="16"/>
      <c r="K13" s="16"/>
      <c r="L13" s="16"/>
      <c r="M13" s="16"/>
      <c r="N13" s="16"/>
      <c r="O13" s="17"/>
      <c r="Q13" s="18"/>
      <c r="R13" s="18"/>
    </row>
    <row r="14" spans="1:18" s="10" customFormat="1" ht="15.75" customHeight="1" x14ac:dyDescent="0.35">
      <c r="B14" s="15"/>
      <c r="C14" s="16"/>
      <c r="D14" s="16"/>
      <c r="E14" s="16"/>
      <c r="F14" s="16"/>
      <c r="G14" s="16"/>
      <c r="H14" s="16"/>
      <c r="I14" s="16"/>
      <c r="J14" s="16"/>
      <c r="K14" s="16"/>
      <c r="L14" s="16"/>
      <c r="M14" s="16"/>
      <c r="N14" s="16"/>
      <c r="O14" s="17"/>
      <c r="Q14" s="18"/>
      <c r="R14" s="18"/>
    </row>
    <row r="15" spans="1:18" s="10" customFormat="1" ht="15.75" customHeight="1" x14ac:dyDescent="0.35">
      <c r="B15" s="15"/>
      <c r="C15" s="16"/>
      <c r="D15" s="16"/>
      <c r="E15" s="16"/>
      <c r="F15" s="16"/>
      <c r="G15" s="16"/>
      <c r="H15" s="16"/>
      <c r="I15" s="16"/>
      <c r="J15" s="16"/>
      <c r="K15" s="16"/>
      <c r="L15" s="16"/>
      <c r="M15" s="16"/>
      <c r="N15" s="16"/>
      <c r="O15" s="17"/>
      <c r="Q15" s="18"/>
      <c r="R15" s="18"/>
    </row>
    <row r="16" spans="1:18" s="10" customFormat="1" ht="15.75" customHeight="1" x14ac:dyDescent="0.35">
      <c r="B16" s="15"/>
      <c r="C16" s="16"/>
      <c r="D16" s="16"/>
      <c r="E16" s="16"/>
      <c r="F16" s="16"/>
      <c r="G16" s="16"/>
      <c r="H16" s="16"/>
      <c r="I16" s="16"/>
      <c r="J16" s="16"/>
      <c r="K16" s="16"/>
      <c r="L16" s="16"/>
      <c r="M16" s="16"/>
      <c r="N16" s="16"/>
      <c r="O16" s="17"/>
      <c r="Q16" s="18"/>
      <c r="R16" s="18"/>
    </row>
    <row r="17" spans="2:18" s="10" customFormat="1" ht="15.75" customHeight="1" x14ac:dyDescent="0.35">
      <c r="B17" s="15"/>
      <c r="C17" s="16"/>
      <c r="D17" s="16"/>
      <c r="E17" s="16"/>
      <c r="F17" s="16"/>
      <c r="G17" s="16"/>
      <c r="H17" s="16"/>
      <c r="I17" s="16"/>
      <c r="J17" s="16"/>
      <c r="K17" s="16"/>
      <c r="L17" s="16"/>
      <c r="M17" s="16"/>
      <c r="N17" s="16"/>
      <c r="O17" s="17"/>
      <c r="Q17" s="18"/>
      <c r="R17" s="18"/>
    </row>
    <row r="18" spans="2:18" s="10" customFormat="1" ht="15.75" customHeight="1" x14ac:dyDescent="0.35">
      <c r="B18" s="15"/>
      <c r="C18" s="16"/>
      <c r="D18" s="16"/>
      <c r="E18" s="16"/>
      <c r="F18" s="16"/>
      <c r="G18" s="16"/>
      <c r="H18" s="16"/>
      <c r="I18" s="16"/>
      <c r="J18" s="16"/>
      <c r="K18" s="16"/>
      <c r="L18" s="16"/>
      <c r="M18" s="16"/>
      <c r="N18" s="16"/>
      <c r="O18" s="17"/>
      <c r="Q18" s="18"/>
      <c r="R18" s="18"/>
    </row>
    <row r="19" spans="2:18" s="10" customFormat="1" ht="15.75" customHeight="1" x14ac:dyDescent="0.35">
      <c r="B19" s="15"/>
      <c r="C19" s="16"/>
      <c r="D19" s="16"/>
      <c r="E19" s="16"/>
      <c r="F19" s="16"/>
      <c r="G19" s="16"/>
      <c r="H19" s="16"/>
      <c r="I19" s="16"/>
      <c r="J19" s="16"/>
      <c r="K19" s="16"/>
      <c r="L19" s="16"/>
      <c r="M19" s="16"/>
      <c r="N19" s="16"/>
      <c r="O19" s="17"/>
      <c r="Q19" s="18"/>
      <c r="R19" s="18"/>
    </row>
    <row r="20" spans="2:18" s="10" customFormat="1" ht="15.75" customHeight="1" x14ac:dyDescent="0.35">
      <c r="B20" s="15"/>
      <c r="C20" s="16"/>
      <c r="D20" s="16"/>
      <c r="E20" s="16"/>
      <c r="F20" s="16"/>
      <c r="G20" s="16"/>
      <c r="H20" s="16"/>
      <c r="I20" s="16"/>
      <c r="J20" s="16"/>
      <c r="K20" s="16"/>
      <c r="L20" s="16"/>
      <c r="M20" s="16"/>
      <c r="N20" s="16"/>
      <c r="O20" s="17"/>
      <c r="Q20" s="18"/>
      <c r="R20" s="18"/>
    </row>
    <row r="21" spans="2:18" s="10" customFormat="1" ht="15.75" customHeight="1" x14ac:dyDescent="0.35">
      <c r="B21" s="15"/>
      <c r="C21" s="16"/>
      <c r="D21" s="16"/>
      <c r="E21" s="16"/>
      <c r="F21" s="16"/>
      <c r="G21" s="16"/>
      <c r="H21" s="16"/>
      <c r="I21" s="16"/>
      <c r="J21" s="16"/>
      <c r="K21" s="16"/>
      <c r="L21" s="16"/>
      <c r="M21" s="16"/>
      <c r="N21" s="16"/>
      <c r="O21" s="17"/>
      <c r="Q21" s="18"/>
      <c r="R21" s="18"/>
    </row>
    <row r="22" spans="2:18" s="10" customFormat="1" ht="15.75" customHeight="1" x14ac:dyDescent="0.35">
      <c r="B22" s="15"/>
      <c r="C22" s="16"/>
      <c r="D22" s="16"/>
      <c r="E22" s="16"/>
      <c r="F22" s="16"/>
      <c r="G22" s="16"/>
      <c r="H22" s="16"/>
      <c r="I22" s="16"/>
      <c r="J22" s="16"/>
      <c r="K22" s="16"/>
      <c r="L22" s="16"/>
      <c r="M22" s="16"/>
      <c r="N22" s="16"/>
      <c r="O22" s="17"/>
      <c r="Q22" s="18"/>
      <c r="R22" s="18"/>
    </row>
    <row r="23" spans="2:18" s="10" customFormat="1" ht="15.75" customHeight="1" x14ac:dyDescent="0.35">
      <c r="B23" s="15"/>
      <c r="C23" s="16"/>
      <c r="D23" s="16"/>
      <c r="E23" s="16"/>
      <c r="F23" s="16"/>
      <c r="G23" s="16"/>
      <c r="H23" s="16"/>
      <c r="I23" s="16"/>
      <c r="J23" s="16"/>
      <c r="K23" s="16"/>
      <c r="L23" s="16"/>
      <c r="M23" s="16"/>
      <c r="N23" s="16"/>
      <c r="O23" s="17"/>
      <c r="Q23" s="18"/>
      <c r="R23" s="18"/>
    </row>
    <row r="24" spans="2:18" s="10" customFormat="1" ht="15.75" customHeight="1" x14ac:dyDescent="0.35">
      <c r="B24" s="15"/>
      <c r="C24" s="16"/>
      <c r="D24" s="16"/>
      <c r="E24" s="16"/>
      <c r="F24" s="16"/>
      <c r="G24" s="16"/>
      <c r="H24" s="16"/>
      <c r="I24" s="16"/>
      <c r="J24" s="16"/>
      <c r="K24" s="16"/>
      <c r="L24" s="16"/>
      <c r="M24" s="16"/>
      <c r="N24" s="16"/>
      <c r="O24" s="17"/>
      <c r="Q24" s="18"/>
      <c r="R24" s="18"/>
    </row>
    <row r="25" spans="2:18" s="10" customFormat="1" ht="15.75" customHeight="1" x14ac:dyDescent="0.35">
      <c r="B25" s="15"/>
      <c r="C25" s="16"/>
      <c r="D25" s="16"/>
      <c r="E25" s="16"/>
      <c r="F25" s="16"/>
      <c r="G25" s="16"/>
      <c r="H25" s="16"/>
      <c r="I25" s="16"/>
      <c r="J25" s="16"/>
      <c r="K25" s="16"/>
      <c r="L25" s="16"/>
      <c r="M25" s="16"/>
      <c r="N25" s="16"/>
      <c r="O25" s="17"/>
      <c r="Q25" s="18"/>
      <c r="R25" s="18"/>
    </row>
    <row r="26" spans="2:18" s="10" customFormat="1" ht="15.75" customHeight="1" x14ac:dyDescent="0.35">
      <c r="B26" s="15"/>
      <c r="C26" s="16"/>
      <c r="D26" s="16"/>
      <c r="E26" s="16"/>
      <c r="F26" s="16"/>
      <c r="G26" s="16"/>
      <c r="H26" s="16"/>
      <c r="I26" s="16"/>
      <c r="J26" s="16"/>
      <c r="K26" s="16"/>
      <c r="L26" s="16"/>
      <c r="M26" s="16"/>
      <c r="N26" s="16"/>
      <c r="O26" s="17"/>
      <c r="Q26" s="18"/>
      <c r="R26" s="18"/>
    </row>
    <row r="27" spans="2:18" s="10" customFormat="1" ht="15.75" customHeight="1" x14ac:dyDescent="0.35">
      <c r="B27" s="15"/>
      <c r="C27" s="16"/>
      <c r="D27" s="16"/>
      <c r="E27" s="16"/>
      <c r="F27" s="16"/>
      <c r="G27" s="16"/>
      <c r="H27" s="16"/>
      <c r="I27" s="16"/>
      <c r="J27" s="16"/>
      <c r="K27" s="16"/>
      <c r="L27" s="16"/>
      <c r="M27" s="16"/>
      <c r="N27" s="16"/>
      <c r="O27" s="17"/>
      <c r="Q27" s="18"/>
      <c r="R27" s="18"/>
    </row>
    <row r="28" spans="2:18" s="10" customFormat="1" ht="15.75" customHeight="1" x14ac:dyDescent="0.35">
      <c r="B28" s="15"/>
      <c r="C28" s="16"/>
      <c r="D28" s="16"/>
      <c r="E28" s="16"/>
      <c r="F28" s="16"/>
      <c r="G28" s="16"/>
      <c r="H28" s="16"/>
      <c r="I28" s="16"/>
      <c r="J28" s="16"/>
      <c r="K28" s="16"/>
      <c r="L28" s="16"/>
      <c r="M28" s="16"/>
      <c r="N28" s="16"/>
      <c r="O28" s="17"/>
      <c r="Q28" s="18"/>
      <c r="R28" s="18"/>
    </row>
    <row r="29" spans="2:18" s="10" customFormat="1" ht="15.75" customHeight="1" x14ac:dyDescent="0.35">
      <c r="B29" s="15"/>
      <c r="C29" s="16"/>
      <c r="D29" s="16"/>
      <c r="E29" s="16"/>
      <c r="F29" s="16"/>
      <c r="G29" s="16"/>
      <c r="H29" s="16"/>
      <c r="I29" s="16"/>
      <c r="J29" s="16"/>
      <c r="K29" s="16"/>
      <c r="L29" s="16"/>
      <c r="M29" s="16"/>
      <c r="N29" s="16"/>
      <c r="O29" s="17"/>
      <c r="Q29" s="18"/>
      <c r="R29" s="18"/>
    </row>
    <row r="30" spans="2:18" s="10" customFormat="1" ht="15.75" customHeight="1" x14ac:dyDescent="0.35">
      <c r="B30" s="15"/>
      <c r="C30" s="16"/>
      <c r="D30" s="16"/>
      <c r="E30" s="16"/>
      <c r="F30" s="16"/>
      <c r="G30" s="16"/>
      <c r="H30" s="16"/>
      <c r="I30" s="16"/>
      <c r="J30" s="16"/>
      <c r="K30" s="16"/>
      <c r="L30" s="16"/>
      <c r="M30" s="16"/>
      <c r="N30" s="16"/>
      <c r="O30" s="17"/>
      <c r="Q30" s="18"/>
      <c r="R30" s="18"/>
    </row>
    <row r="31" spans="2:18" s="10" customFormat="1" ht="15.75" customHeight="1" x14ac:dyDescent="0.35">
      <c r="B31" s="15"/>
      <c r="C31" s="16"/>
      <c r="D31" s="16"/>
      <c r="E31" s="16"/>
      <c r="F31" s="16"/>
      <c r="G31" s="16"/>
      <c r="H31" s="16"/>
      <c r="I31" s="16"/>
      <c r="J31" s="16"/>
      <c r="K31" s="16"/>
      <c r="L31" s="16"/>
      <c r="M31" s="16"/>
      <c r="N31" s="16"/>
      <c r="O31" s="17"/>
      <c r="Q31" s="18"/>
      <c r="R31" s="18"/>
    </row>
    <row r="32" spans="2:18" s="10" customFormat="1" ht="15.75" customHeight="1" x14ac:dyDescent="0.35">
      <c r="B32" s="15"/>
      <c r="C32" s="16"/>
      <c r="D32" s="16"/>
      <c r="E32" s="16"/>
      <c r="F32" s="16"/>
      <c r="G32" s="16"/>
      <c r="H32" s="16"/>
      <c r="I32" s="16"/>
      <c r="J32" s="16"/>
      <c r="K32" s="16"/>
      <c r="L32" s="16"/>
      <c r="M32" s="16"/>
      <c r="N32" s="16"/>
      <c r="O32" s="17"/>
      <c r="Q32" s="18"/>
      <c r="R32" s="18"/>
    </row>
    <row r="33" spans="2:34" s="10" customFormat="1" ht="15.75" customHeight="1" x14ac:dyDescent="0.35">
      <c r="B33" s="15"/>
      <c r="C33" s="16"/>
      <c r="D33" s="16"/>
      <c r="E33" s="16"/>
      <c r="F33" s="16"/>
      <c r="G33" s="16"/>
      <c r="H33" s="16"/>
      <c r="I33" s="16"/>
      <c r="J33" s="16"/>
      <c r="K33" s="16"/>
      <c r="L33" s="16"/>
      <c r="M33" s="16"/>
      <c r="N33" s="16"/>
      <c r="O33" s="17"/>
      <c r="Q33" s="18"/>
      <c r="R33" s="18"/>
    </row>
    <row r="34" spans="2:34" s="10" customFormat="1" ht="15.75" customHeight="1" x14ac:dyDescent="0.35">
      <c r="B34" s="15"/>
      <c r="C34" s="16"/>
      <c r="D34" s="16"/>
      <c r="E34" s="16"/>
      <c r="F34" s="16"/>
      <c r="G34" s="16"/>
      <c r="H34" s="16"/>
      <c r="I34" s="16"/>
      <c r="J34" s="16"/>
      <c r="K34" s="16"/>
      <c r="L34" s="16"/>
      <c r="M34" s="16"/>
      <c r="N34" s="16"/>
      <c r="O34" s="17"/>
      <c r="Q34" s="18"/>
      <c r="R34" s="18"/>
    </row>
    <row r="35" spans="2:34" s="10" customFormat="1" ht="15.75" customHeight="1" x14ac:dyDescent="0.35">
      <c r="B35" s="15"/>
      <c r="C35" s="16"/>
      <c r="D35" s="16"/>
      <c r="E35" s="16"/>
      <c r="F35" s="16"/>
      <c r="G35" s="16"/>
      <c r="H35" s="16"/>
      <c r="I35" s="16"/>
      <c r="J35" s="16"/>
      <c r="K35" s="16"/>
      <c r="L35" s="16"/>
      <c r="M35" s="16"/>
      <c r="N35" s="16"/>
      <c r="O35" s="17"/>
      <c r="Q35" s="18"/>
      <c r="R35" s="18"/>
    </row>
    <row r="36" spans="2:34" s="10" customFormat="1" ht="15.75" customHeight="1" x14ac:dyDescent="0.35">
      <c r="B36" s="15"/>
      <c r="C36" s="16"/>
      <c r="D36" s="16"/>
      <c r="E36" s="16"/>
      <c r="F36" s="16"/>
      <c r="G36" s="16"/>
      <c r="H36" s="16"/>
      <c r="I36" s="16"/>
      <c r="J36" s="16"/>
      <c r="K36" s="16"/>
      <c r="L36" s="16"/>
      <c r="M36" s="16"/>
      <c r="N36" s="16"/>
      <c r="O36" s="17"/>
      <c r="Q36" s="18"/>
      <c r="R36" s="18"/>
    </row>
    <row r="37" spans="2:34" s="10" customFormat="1" ht="15.75" customHeight="1" x14ac:dyDescent="0.35">
      <c r="B37" s="15"/>
      <c r="C37" s="16"/>
      <c r="D37" s="16"/>
      <c r="E37" s="16"/>
      <c r="F37" s="16"/>
      <c r="G37" s="16"/>
      <c r="H37" s="16"/>
      <c r="I37" s="16"/>
      <c r="J37" s="16"/>
      <c r="K37" s="16"/>
      <c r="L37" s="16"/>
      <c r="M37" s="16"/>
      <c r="N37" s="16"/>
      <c r="O37" s="17"/>
      <c r="Q37" s="18"/>
      <c r="R37" s="18"/>
    </row>
    <row r="38" spans="2:34" s="10" customFormat="1" ht="15.75" customHeight="1" x14ac:dyDescent="0.35">
      <c r="B38" s="15"/>
      <c r="C38" s="16"/>
      <c r="D38" s="16"/>
      <c r="E38" s="16"/>
      <c r="F38" s="16"/>
      <c r="G38" s="16"/>
      <c r="H38" s="16"/>
      <c r="I38" s="16"/>
      <c r="J38" s="16"/>
      <c r="K38" s="16"/>
      <c r="L38" s="16"/>
      <c r="M38" s="16"/>
      <c r="N38" s="16"/>
      <c r="O38" s="17"/>
      <c r="Q38" s="18"/>
      <c r="R38" s="18"/>
    </row>
    <row r="39" spans="2:34" ht="15.75" customHeight="1" x14ac:dyDescent="0.35">
      <c r="B39" s="19"/>
      <c r="C39" s="20"/>
      <c r="D39" s="20"/>
      <c r="E39" s="20"/>
      <c r="F39" s="20"/>
      <c r="G39" s="20"/>
      <c r="H39" s="20"/>
      <c r="I39" s="20"/>
      <c r="J39" s="20"/>
      <c r="K39" s="20"/>
      <c r="L39" s="20"/>
      <c r="M39" s="20"/>
      <c r="N39" s="20"/>
      <c r="O39" s="21"/>
      <c r="P39" s="10"/>
      <c r="S39" s="10"/>
      <c r="T39" s="10"/>
      <c r="U39" s="10"/>
      <c r="V39" s="10"/>
      <c r="W39" s="10"/>
      <c r="X39" s="10"/>
      <c r="Y39" s="10"/>
      <c r="Z39" s="10"/>
      <c r="AA39" s="10"/>
      <c r="AB39" s="10"/>
      <c r="AC39" s="10"/>
      <c r="AD39" s="10"/>
      <c r="AE39" s="10"/>
      <c r="AF39" s="10"/>
      <c r="AG39" s="10"/>
      <c r="AH39" s="10"/>
    </row>
    <row r="40" spans="2:34" ht="7.4" customHeight="1" x14ac:dyDescent="0.35"/>
    <row r="41" spans="2:34" s="22" customFormat="1" ht="23.15" customHeight="1" x14ac:dyDescent="0.35">
      <c r="B41" s="23"/>
      <c r="C41" s="23"/>
      <c r="D41" s="24"/>
      <c r="E41" s="25"/>
      <c r="F41" s="25"/>
      <c r="G41" s="25"/>
      <c r="H41" s="23"/>
      <c r="I41" s="23"/>
      <c r="J41" s="23"/>
      <c r="K41" s="23"/>
      <c r="L41" s="23"/>
      <c r="M41" s="23"/>
      <c r="N41" s="23"/>
      <c r="O41" s="23"/>
    </row>
  </sheetData>
  <printOptions horizontalCentered="1"/>
  <pageMargins left="0.31496062992125984" right="0.31496062992125984" top="0.31496062992125984" bottom="0.31496062992125984" header="0.31496062992125984" footer="0.31496062992125984"/>
  <pageSetup paperSize="9" scale="66" orientation="landscape" r:id="rId1"/>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925255-3A0E-4BD2-810A-00D4B6E35058}">
  <sheetPr codeName="Sheet7">
    <pageSetUpPr autoPageBreaks="0" fitToPage="1"/>
  </sheetPr>
  <dimension ref="A1:V506"/>
  <sheetViews>
    <sheetView showGridLines="0" showRowColHeaders="0" zoomScale="90" zoomScaleNormal="90" zoomScaleSheetLayoutView="85" workbookViewId="0">
      <pane ySplit="8" topLeftCell="A9" activePane="bottomLeft" state="frozen"/>
      <selection pane="bottomLeft" activeCell="G3" sqref="G3"/>
    </sheetView>
  </sheetViews>
  <sheetFormatPr defaultColWidth="8.81640625" defaultRowHeight="14.5" outlineLevelRow="1" x14ac:dyDescent="0.35"/>
  <cols>
    <col min="1" max="1" width="3.7265625" style="18" customWidth="1"/>
    <col min="2" max="2" width="4.1796875" style="18" customWidth="1"/>
    <col min="3" max="4" width="32.1796875" style="18" customWidth="1"/>
    <col min="5" max="5" width="12" style="18" customWidth="1"/>
    <col min="6" max="6" width="12.81640625" style="18" customWidth="1"/>
    <col min="7" max="7" width="24.54296875" style="18" customWidth="1"/>
    <col min="8" max="8" width="15" style="33" bestFit="1" customWidth="1"/>
    <col min="9" max="9" width="15.7265625" style="18" bestFit="1" customWidth="1"/>
    <col min="10" max="10" width="14.26953125" style="18" customWidth="1"/>
    <col min="11" max="11" width="18.81640625" style="18" customWidth="1"/>
    <col min="12" max="12" width="15.54296875" style="33" customWidth="1"/>
    <col min="13" max="13" width="44.54296875" style="18" customWidth="1"/>
    <col min="14" max="14" width="4.1796875" style="33" customWidth="1"/>
    <col min="15" max="15" width="8.81640625" style="33" customWidth="1"/>
    <col min="16" max="16" width="8.81640625" style="18" hidden="1" customWidth="1"/>
    <col min="17" max="19" width="8.81640625" style="18" customWidth="1"/>
    <col min="20" max="16384" width="8.81640625" style="18"/>
  </cols>
  <sheetData>
    <row r="1" spans="1:16" s="1" customFormat="1" ht="6.75" customHeight="1" x14ac:dyDescent="0.35">
      <c r="B1" s="2"/>
      <c r="E1" s="3"/>
      <c r="F1" s="3"/>
      <c r="H1" s="3"/>
      <c r="I1" s="3"/>
      <c r="J1" s="3"/>
      <c r="K1" s="3"/>
    </row>
    <row r="2" spans="1:16" s="30" customFormat="1" ht="20.149999999999999" customHeight="1" x14ac:dyDescent="0.35">
      <c r="B2" s="46"/>
      <c r="C2" s="151" t="s">
        <v>75</v>
      </c>
      <c r="D2" s="26"/>
      <c r="E2" s="31"/>
      <c r="F2" s="31"/>
      <c r="G2" s="31"/>
      <c r="H2" s="31"/>
      <c r="I2" s="31"/>
      <c r="J2" s="31"/>
      <c r="K2" s="31"/>
      <c r="L2" s="31"/>
      <c r="M2" s="28"/>
      <c r="N2" s="31"/>
      <c r="O2" s="32"/>
    </row>
    <row r="3" spans="1:16" s="4" customFormat="1" ht="24" customHeight="1" x14ac:dyDescent="0.35">
      <c r="B3" s="47"/>
      <c r="C3" s="152" t="s">
        <v>2</v>
      </c>
      <c r="D3" s="6"/>
      <c r="E3" s="7"/>
      <c r="F3" s="7"/>
      <c r="G3" s="7"/>
      <c r="H3" s="7"/>
      <c r="I3" s="7"/>
      <c r="J3" s="7"/>
      <c r="K3" s="7"/>
      <c r="L3" s="7"/>
      <c r="M3" s="29"/>
      <c r="N3" s="7"/>
      <c r="O3" s="8"/>
    </row>
    <row r="4" spans="1:16" s="10" customFormat="1" ht="5.15" customHeight="1" x14ac:dyDescent="0.35">
      <c r="A4" s="9"/>
      <c r="B4" s="9"/>
      <c r="C4" s="9"/>
      <c r="D4" s="9"/>
      <c r="E4" s="9"/>
      <c r="F4" s="9"/>
      <c r="G4" s="9"/>
      <c r="H4" s="9"/>
      <c r="I4" s="9"/>
      <c r="J4" s="9"/>
      <c r="K4" s="9"/>
      <c r="L4" s="9"/>
      <c r="M4" s="9"/>
      <c r="N4" s="9"/>
      <c r="O4" s="9"/>
    </row>
    <row r="5" spans="1:16" s="10" customFormat="1" ht="4.9000000000000004" customHeight="1" x14ac:dyDescent="0.35">
      <c r="A5" s="11"/>
      <c r="B5" s="11"/>
      <c r="C5" s="11"/>
      <c r="D5" s="11"/>
      <c r="E5" s="11"/>
      <c r="F5" s="11"/>
      <c r="G5" s="11"/>
      <c r="H5" s="11"/>
      <c r="I5" s="11"/>
      <c r="J5" s="11"/>
      <c r="K5" s="11"/>
      <c r="L5" s="11"/>
      <c r="M5" s="11"/>
      <c r="N5" s="11"/>
      <c r="O5" s="11"/>
    </row>
    <row r="6" spans="1:16" s="10" customFormat="1" x14ac:dyDescent="0.35">
      <c r="A6" s="9"/>
      <c r="B6" s="12"/>
      <c r="C6" s="13"/>
      <c r="D6" s="13"/>
      <c r="E6" s="13"/>
      <c r="F6" s="13"/>
      <c r="G6" s="13"/>
      <c r="H6" s="13"/>
      <c r="I6" s="13"/>
      <c r="J6" s="13"/>
      <c r="K6" s="58"/>
      <c r="L6" s="13"/>
      <c r="M6" s="13"/>
      <c r="N6" s="14"/>
      <c r="O6" s="9"/>
    </row>
    <row r="7" spans="1:16" s="10" customFormat="1" x14ac:dyDescent="0.35">
      <c r="A7" s="9"/>
      <c r="B7" s="15"/>
      <c r="C7" s="16"/>
      <c r="D7" s="20"/>
      <c r="E7" s="20"/>
      <c r="F7" s="20"/>
      <c r="G7" s="169"/>
      <c r="H7" s="166"/>
      <c r="I7" s="166"/>
      <c r="J7" s="166"/>
      <c r="K7" s="167"/>
      <c r="L7" s="166"/>
      <c r="M7" s="168"/>
      <c r="N7" s="17"/>
      <c r="O7" s="9"/>
    </row>
    <row r="8" spans="1:16" s="10" customFormat="1" ht="20.149999999999999" customHeight="1" x14ac:dyDescent="0.35">
      <c r="B8" s="15"/>
      <c r="C8" s="45" t="s">
        <v>74</v>
      </c>
      <c r="D8" s="69" t="s">
        <v>12</v>
      </c>
      <c r="E8" s="69" t="s">
        <v>43</v>
      </c>
      <c r="F8" s="69" t="s">
        <v>4</v>
      </c>
      <c r="G8" s="164" t="s">
        <v>13</v>
      </c>
      <c r="H8" s="164" t="s">
        <v>22</v>
      </c>
      <c r="I8" s="164" t="s">
        <v>23</v>
      </c>
      <c r="J8" s="164" t="s">
        <v>16</v>
      </c>
      <c r="K8" s="164" t="s">
        <v>11</v>
      </c>
      <c r="L8" s="164" t="s">
        <v>37</v>
      </c>
      <c r="M8" s="165" t="s">
        <v>38</v>
      </c>
      <c r="N8" s="17"/>
    </row>
    <row r="9" spans="1:16" s="10" customFormat="1" x14ac:dyDescent="0.35">
      <c r="B9" s="15"/>
      <c r="C9" s="48"/>
      <c r="D9" s="106"/>
      <c r="E9" s="106"/>
      <c r="F9" s="106"/>
      <c r="G9" s="106"/>
      <c r="H9" s="107"/>
      <c r="I9" s="107"/>
      <c r="J9" s="107"/>
      <c r="K9" s="108"/>
      <c r="L9" s="109"/>
      <c r="M9" s="110"/>
      <c r="N9" s="17"/>
      <c r="P9" s="157">
        <v>1</v>
      </c>
    </row>
    <row r="10" spans="1:16" s="10" customFormat="1" x14ac:dyDescent="0.35">
      <c r="B10" s="15"/>
      <c r="C10" s="48"/>
      <c r="D10" s="106"/>
      <c r="E10" s="106"/>
      <c r="F10" s="106"/>
      <c r="G10" s="106"/>
      <c r="H10" s="107"/>
      <c r="I10" s="107"/>
      <c r="J10" s="107"/>
      <c r="K10" s="108"/>
      <c r="L10" s="109"/>
      <c r="M10" s="110"/>
      <c r="N10" s="17"/>
    </row>
    <row r="11" spans="1:16" s="10" customFormat="1" x14ac:dyDescent="0.35">
      <c r="B11" s="15"/>
      <c r="C11" s="48"/>
      <c r="D11" s="106"/>
      <c r="E11" s="106"/>
      <c r="F11" s="106"/>
      <c r="G11" s="106"/>
      <c r="H11" s="107"/>
      <c r="I11" s="107"/>
      <c r="J11" s="107"/>
      <c r="K11" s="108"/>
      <c r="L11" s="109"/>
      <c r="M11" s="110"/>
      <c r="N11" s="17"/>
    </row>
    <row r="12" spans="1:16" s="10" customFormat="1" x14ac:dyDescent="0.35">
      <c r="B12" s="15"/>
      <c r="C12" s="48"/>
      <c r="D12" s="106"/>
      <c r="E12" s="106"/>
      <c r="F12" s="106"/>
      <c r="G12" s="106"/>
      <c r="H12" s="107"/>
      <c r="I12" s="107"/>
      <c r="J12" s="107"/>
      <c r="K12" s="108"/>
      <c r="L12" s="109"/>
      <c r="M12" s="110"/>
      <c r="N12" s="17"/>
    </row>
    <row r="13" spans="1:16" s="10" customFormat="1" x14ac:dyDescent="0.35">
      <c r="B13" s="15"/>
      <c r="C13" s="48"/>
      <c r="D13" s="106"/>
      <c r="E13" s="106"/>
      <c r="F13" s="106"/>
      <c r="G13" s="106"/>
      <c r="H13" s="107"/>
      <c r="I13" s="107"/>
      <c r="J13" s="107"/>
      <c r="K13" s="108"/>
      <c r="L13" s="109"/>
      <c r="M13" s="110"/>
      <c r="N13" s="17"/>
    </row>
    <row r="14" spans="1:16" s="10" customFormat="1" x14ac:dyDescent="0.35">
      <c r="B14" s="15"/>
      <c r="C14" s="48"/>
      <c r="D14" s="106"/>
      <c r="E14" s="106"/>
      <c r="F14" s="106"/>
      <c r="G14" s="106"/>
      <c r="H14" s="107"/>
      <c r="I14" s="107"/>
      <c r="J14" s="107"/>
      <c r="K14" s="108"/>
      <c r="L14" s="109"/>
      <c r="M14" s="110"/>
      <c r="N14" s="17"/>
    </row>
    <row r="15" spans="1:16" s="10" customFormat="1" x14ac:dyDescent="0.35">
      <c r="B15" s="15"/>
      <c r="C15" s="48"/>
      <c r="D15" s="106"/>
      <c r="E15" s="106"/>
      <c r="F15" s="106"/>
      <c r="G15" s="106"/>
      <c r="H15" s="107"/>
      <c r="I15" s="107"/>
      <c r="J15" s="107"/>
      <c r="K15" s="108"/>
      <c r="L15" s="109"/>
      <c r="M15" s="110"/>
      <c r="N15" s="17"/>
    </row>
    <row r="16" spans="1:16" s="10" customFormat="1" x14ac:dyDescent="0.35">
      <c r="B16" s="15"/>
      <c r="C16" s="48"/>
      <c r="D16" s="106"/>
      <c r="E16" s="106"/>
      <c r="F16" s="106"/>
      <c r="G16" s="106"/>
      <c r="H16" s="107"/>
      <c r="I16" s="107"/>
      <c r="J16" s="107"/>
      <c r="K16" s="108"/>
      <c r="L16" s="109"/>
      <c r="M16" s="110"/>
      <c r="N16" s="17"/>
    </row>
    <row r="17" spans="2:20" s="10" customFormat="1" x14ac:dyDescent="0.35">
      <c r="B17" s="15"/>
      <c r="C17" s="48"/>
      <c r="D17" s="106"/>
      <c r="E17" s="106"/>
      <c r="F17" s="106"/>
      <c r="G17" s="106"/>
      <c r="H17" s="107"/>
      <c r="I17" s="107"/>
      <c r="J17" s="107"/>
      <c r="K17" s="108"/>
      <c r="L17" s="109"/>
      <c r="M17" s="110"/>
      <c r="N17" s="17"/>
    </row>
    <row r="18" spans="2:20" s="10" customFormat="1" x14ac:dyDescent="0.35">
      <c r="B18" s="15"/>
      <c r="C18" s="48"/>
      <c r="D18" s="106"/>
      <c r="E18" s="106"/>
      <c r="F18" s="106"/>
      <c r="G18" s="106"/>
      <c r="H18" s="107"/>
      <c r="I18" s="107"/>
      <c r="J18" s="107"/>
      <c r="K18" s="108"/>
      <c r="L18" s="109"/>
      <c r="M18" s="110"/>
      <c r="N18" s="17"/>
    </row>
    <row r="19" spans="2:20" s="10" customFormat="1" x14ac:dyDescent="0.35">
      <c r="B19" s="15"/>
      <c r="C19" s="48"/>
      <c r="D19" s="106"/>
      <c r="E19" s="106"/>
      <c r="F19" s="106"/>
      <c r="G19" s="106"/>
      <c r="H19" s="107"/>
      <c r="I19" s="107"/>
      <c r="J19" s="107"/>
      <c r="K19" s="108"/>
      <c r="L19" s="109"/>
      <c r="M19" s="110"/>
      <c r="N19" s="17"/>
    </row>
    <row r="20" spans="2:20" x14ac:dyDescent="0.35">
      <c r="B20" s="15"/>
      <c r="C20" s="48"/>
      <c r="D20" s="106"/>
      <c r="E20" s="106"/>
      <c r="F20" s="106"/>
      <c r="G20" s="106"/>
      <c r="H20" s="107"/>
      <c r="I20" s="107"/>
      <c r="J20" s="107"/>
      <c r="K20" s="108"/>
      <c r="L20" s="109"/>
      <c r="M20" s="110"/>
      <c r="N20" s="17"/>
      <c r="O20" s="10"/>
      <c r="P20" s="10"/>
      <c r="Q20" s="10"/>
      <c r="R20" s="10"/>
      <c r="S20" s="10"/>
      <c r="T20" s="10"/>
    </row>
    <row r="21" spans="2:20" x14ac:dyDescent="0.35">
      <c r="B21" s="15"/>
      <c r="C21" s="48"/>
      <c r="D21" s="106"/>
      <c r="E21" s="106"/>
      <c r="F21" s="106"/>
      <c r="G21" s="106"/>
      <c r="H21" s="107"/>
      <c r="I21" s="107"/>
      <c r="J21" s="107"/>
      <c r="K21" s="108"/>
      <c r="L21" s="109"/>
      <c r="M21" s="110"/>
      <c r="N21" s="17"/>
      <c r="O21" s="10"/>
      <c r="P21" s="10"/>
      <c r="Q21" s="10"/>
      <c r="R21" s="10"/>
      <c r="S21" s="10"/>
      <c r="T21" s="10"/>
    </row>
    <row r="22" spans="2:20" x14ac:dyDescent="0.35">
      <c r="B22" s="15"/>
      <c r="C22" s="48"/>
      <c r="D22" s="106"/>
      <c r="E22" s="106"/>
      <c r="F22" s="106"/>
      <c r="G22" s="106"/>
      <c r="H22" s="107"/>
      <c r="I22" s="107"/>
      <c r="J22" s="107"/>
      <c r="K22" s="108"/>
      <c r="L22" s="109"/>
      <c r="M22" s="110"/>
      <c r="N22" s="17"/>
      <c r="O22" s="10"/>
      <c r="P22" s="10"/>
      <c r="Q22" s="10"/>
      <c r="R22" s="10"/>
      <c r="S22" s="10"/>
      <c r="T22" s="10"/>
    </row>
    <row r="23" spans="2:20" x14ac:dyDescent="0.35">
      <c r="B23" s="15"/>
      <c r="C23" s="48"/>
      <c r="D23" s="106"/>
      <c r="E23" s="106"/>
      <c r="F23" s="106"/>
      <c r="G23" s="106"/>
      <c r="H23" s="107"/>
      <c r="I23" s="107"/>
      <c r="J23" s="107"/>
      <c r="K23" s="108"/>
      <c r="L23" s="109"/>
      <c r="M23" s="110"/>
      <c r="N23" s="17"/>
      <c r="O23" s="10"/>
      <c r="P23" s="10"/>
      <c r="Q23" s="10"/>
      <c r="R23" s="10"/>
      <c r="S23" s="10"/>
      <c r="T23" s="10"/>
    </row>
    <row r="24" spans="2:20" x14ac:dyDescent="0.35">
      <c r="B24" s="15"/>
      <c r="C24" s="48"/>
      <c r="D24" s="106"/>
      <c r="E24" s="106"/>
      <c r="F24" s="106"/>
      <c r="G24" s="106"/>
      <c r="H24" s="107"/>
      <c r="I24" s="107"/>
      <c r="J24" s="107"/>
      <c r="K24" s="108"/>
      <c r="L24" s="109"/>
      <c r="M24" s="110"/>
      <c r="N24" s="17"/>
      <c r="O24" s="10"/>
      <c r="P24" s="10"/>
      <c r="Q24" s="10"/>
      <c r="R24" s="10"/>
      <c r="S24" s="10"/>
      <c r="T24" s="10"/>
    </row>
    <row r="25" spans="2:20" x14ac:dyDescent="0.35">
      <c r="B25" s="15"/>
      <c r="C25" s="48"/>
      <c r="D25" s="106"/>
      <c r="E25" s="106"/>
      <c r="F25" s="106"/>
      <c r="G25" s="106"/>
      <c r="H25" s="107"/>
      <c r="I25" s="107"/>
      <c r="J25" s="107"/>
      <c r="K25" s="108"/>
      <c r="L25" s="109"/>
      <c r="M25" s="110"/>
      <c r="N25" s="17"/>
      <c r="O25" s="10"/>
      <c r="P25" s="10"/>
      <c r="Q25" s="10"/>
      <c r="R25" s="10"/>
      <c r="S25" s="67"/>
      <c r="T25" s="10"/>
    </row>
    <row r="26" spans="2:20" x14ac:dyDescent="0.35">
      <c r="B26" s="15"/>
      <c r="C26" s="48"/>
      <c r="D26" s="106"/>
      <c r="E26" s="106"/>
      <c r="F26" s="106"/>
      <c r="G26" s="106"/>
      <c r="H26" s="107"/>
      <c r="I26" s="107"/>
      <c r="J26" s="107"/>
      <c r="K26" s="108"/>
      <c r="L26" s="109"/>
      <c r="M26" s="110"/>
      <c r="N26" s="17"/>
      <c r="O26" s="10"/>
      <c r="P26" s="10"/>
      <c r="Q26" s="10"/>
      <c r="R26" s="10"/>
      <c r="S26" s="10"/>
      <c r="T26" s="10"/>
    </row>
    <row r="27" spans="2:20" x14ac:dyDescent="0.35">
      <c r="B27" s="15"/>
      <c r="C27" s="48"/>
      <c r="D27" s="106"/>
      <c r="E27" s="106"/>
      <c r="F27" s="106"/>
      <c r="G27" s="106"/>
      <c r="H27" s="107"/>
      <c r="I27" s="107"/>
      <c r="J27" s="107"/>
      <c r="K27" s="108"/>
      <c r="L27" s="109"/>
      <c r="M27" s="110"/>
      <c r="N27" s="17"/>
      <c r="O27" s="10"/>
      <c r="P27" s="10"/>
      <c r="Q27" s="10"/>
      <c r="R27" s="10"/>
      <c r="S27" s="10"/>
      <c r="T27" s="10"/>
    </row>
    <row r="28" spans="2:20" x14ac:dyDescent="0.35">
      <c r="B28" s="15"/>
      <c r="C28" s="48"/>
      <c r="D28" s="106"/>
      <c r="E28" s="106"/>
      <c r="F28" s="106"/>
      <c r="G28" s="106"/>
      <c r="H28" s="107"/>
      <c r="I28" s="107"/>
      <c r="J28" s="107"/>
      <c r="K28" s="108"/>
      <c r="L28" s="109"/>
      <c r="M28" s="110"/>
      <c r="N28" s="17"/>
      <c r="O28" s="10"/>
      <c r="P28" s="10"/>
      <c r="Q28" s="10"/>
      <c r="R28" s="10"/>
      <c r="S28" s="10"/>
      <c r="T28" s="10"/>
    </row>
    <row r="29" spans="2:20" x14ac:dyDescent="0.35">
      <c r="B29" s="15"/>
      <c r="C29" s="48"/>
      <c r="D29" s="106"/>
      <c r="E29" s="106"/>
      <c r="F29" s="106"/>
      <c r="G29" s="106"/>
      <c r="H29" s="107"/>
      <c r="I29" s="107"/>
      <c r="J29" s="107"/>
      <c r="K29" s="108"/>
      <c r="L29" s="109"/>
      <c r="M29" s="110"/>
      <c r="N29" s="17"/>
      <c r="O29" s="10"/>
      <c r="P29" s="10"/>
      <c r="Q29" s="10"/>
      <c r="R29" s="10"/>
      <c r="S29" s="10"/>
      <c r="T29" s="10"/>
    </row>
    <row r="30" spans="2:20" x14ac:dyDescent="0.35">
      <c r="B30" s="15"/>
      <c r="C30" s="48"/>
      <c r="D30" s="106"/>
      <c r="E30" s="106"/>
      <c r="F30" s="106"/>
      <c r="G30" s="106"/>
      <c r="H30" s="107"/>
      <c r="I30" s="107"/>
      <c r="J30" s="107"/>
      <c r="K30" s="108"/>
      <c r="L30" s="109"/>
      <c r="M30" s="110"/>
      <c r="N30" s="17"/>
      <c r="O30" s="10"/>
      <c r="P30" s="10"/>
      <c r="Q30" s="10"/>
      <c r="R30" s="10"/>
      <c r="S30" s="10"/>
      <c r="T30" s="10"/>
    </row>
    <row r="31" spans="2:20" x14ac:dyDescent="0.35">
      <c r="B31" s="15"/>
      <c r="C31" s="48"/>
      <c r="D31" s="106"/>
      <c r="E31" s="106"/>
      <c r="F31" s="106"/>
      <c r="G31" s="106"/>
      <c r="H31" s="107"/>
      <c r="I31" s="107"/>
      <c r="J31" s="107"/>
      <c r="K31" s="108"/>
      <c r="L31" s="109"/>
      <c r="M31" s="110"/>
      <c r="N31" s="17"/>
      <c r="O31" s="10"/>
      <c r="P31" s="10"/>
      <c r="Q31" s="10"/>
      <c r="R31" s="10"/>
      <c r="S31" s="10"/>
      <c r="T31" s="10"/>
    </row>
    <row r="32" spans="2:20" x14ac:dyDescent="0.35">
      <c r="B32" s="15"/>
      <c r="C32" s="48"/>
      <c r="D32" s="106"/>
      <c r="E32" s="106"/>
      <c r="F32" s="106"/>
      <c r="G32" s="106"/>
      <c r="H32" s="107"/>
      <c r="I32" s="107"/>
      <c r="J32" s="107"/>
      <c r="K32" s="108"/>
      <c r="L32" s="109"/>
      <c r="M32" s="110"/>
      <c r="N32" s="17"/>
      <c r="O32" s="10"/>
      <c r="P32" s="10"/>
      <c r="Q32" s="10"/>
      <c r="R32" s="10"/>
      <c r="S32" s="10"/>
      <c r="T32" s="10"/>
    </row>
    <row r="33" spans="2:20" x14ac:dyDescent="0.35">
      <c r="B33" s="15"/>
      <c r="C33" s="48"/>
      <c r="D33" s="106"/>
      <c r="E33" s="106"/>
      <c r="F33" s="106"/>
      <c r="G33" s="106"/>
      <c r="H33" s="107"/>
      <c r="I33" s="107"/>
      <c r="J33" s="107"/>
      <c r="K33" s="108"/>
      <c r="L33" s="109"/>
      <c r="M33" s="110"/>
      <c r="N33" s="17"/>
      <c r="O33" s="10"/>
      <c r="P33" s="10"/>
      <c r="Q33" s="10"/>
      <c r="R33" s="10"/>
      <c r="S33" s="10"/>
      <c r="T33" s="10"/>
    </row>
    <row r="34" spans="2:20" x14ac:dyDescent="0.35">
      <c r="B34" s="15"/>
      <c r="C34" s="48"/>
      <c r="D34" s="106"/>
      <c r="E34" s="106"/>
      <c r="F34" s="106"/>
      <c r="G34" s="106"/>
      <c r="H34" s="107"/>
      <c r="I34" s="107"/>
      <c r="J34" s="107"/>
      <c r="K34" s="108"/>
      <c r="L34" s="109"/>
      <c r="M34" s="110"/>
      <c r="N34" s="17"/>
      <c r="O34" s="10"/>
      <c r="P34" s="10"/>
      <c r="Q34" s="10"/>
      <c r="R34" s="10"/>
      <c r="S34" s="10"/>
      <c r="T34" s="10"/>
    </row>
    <row r="35" spans="2:20" x14ac:dyDescent="0.35">
      <c r="B35" s="15"/>
      <c r="C35" s="48"/>
      <c r="D35" s="106"/>
      <c r="E35" s="106"/>
      <c r="F35" s="106"/>
      <c r="G35" s="106"/>
      <c r="H35" s="107"/>
      <c r="I35" s="107"/>
      <c r="J35" s="107"/>
      <c r="K35" s="108"/>
      <c r="L35" s="109"/>
      <c r="M35" s="110"/>
      <c r="N35" s="17"/>
      <c r="O35" s="10"/>
      <c r="P35" s="10"/>
      <c r="Q35" s="10"/>
      <c r="R35" s="10"/>
      <c r="S35" s="10"/>
      <c r="T35" s="10"/>
    </row>
    <row r="36" spans="2:20" x14ac:dyDescent="0.35">
      <c r="B36" s="15"/>
      <c r="C36" s="48"/>
      <c r="D36" s="106"/>
      <c r="E36" s="106"/>
      <c r="F36" s="106"/>
      <c r="G36" s="106"/>
      <c r="H36" s="107"/>
      <c r="I36" s="107"/>
      <c r="J36" s="107"/>
      <c r="K36" s="108"/>
      <c r="L36" s="109"/>
      <c r="M36" s="110"/>
      <c r="N36" s="17"/>
      <c r="O36" s="10"/>
      <c r="P36" s="10"/>
      <c r="Q36" s="10"/>
      <c r="R36" s="10"/>
      <c r="S36" s="10"/>
      <c r="T36" s="10"/>
    </row>
    <row r="37" spans="2:20" x14ac:dyDescent="0.35">
      <c r="B37" s="15"/>
      <c r="C37" s="48"/>
      <c r="D37" s="106"/>
      <c r="E37" s="106"/>
      <c r="F37" s="106"/>
      <c r="G37" s="106"/>
      <c r="H37" s="107"/>
      <c r="I37" s="107"/>
      <c r="J37" s="107"/>
      <c r="K37" s="108"/>
      <c r="L37" s="109"/>
      <c r="M37" s="110"/>
      <c r="N37" s="17"/>
      <c r="O37" s="10"/>
      <c r="P37" s="10"/>
      <c r="Q37" s="10"/>
      <c r="R37" s="10"/>
      <c r="S37" s="10"/>
      <c r="T37" s="10"/>
    </row>
    <row r="38" spans="2:20" x14ac:dyDescent="0.35">
      <c r="B38" s="15"/>
      <c r="C38" s="48"/>
      <c r="D38" s="106"/>
      <c r="E38" s="106"/>
      <c r="F38" s="106"/>
      <c r="G38" s="106"/>
      <c r="H38" s="107"/>
      <c r="I38" s="107"/>
      <c r="J38" s="107"/>
      <c r="K38" s="108"/>
      <c r="L38" s="109"/>
      <c r="M38" s="110"/>
      <c r="N38" s="17"/>
      <c r="O38" s="10"/>
      <c r="P38" s="10"/>
      <c r="Q38" s="10"/>
      <c r="R38" s="10"/>
      <c r="S38" s="10"/>
      <c r="T38" s="10"/>
    </row>
    <row r="39" spans="2:20" x14ac:dyDescent="0.35">
      <c r="B39" s="15"/>
      <c r="C39" s="48"/>
      <c r="D39" s="106"/>
      <c r="E39" s="106"/>
      <c r="F39" s="106"/>
      <c r="G39" s="106"/>
      <c r="H39" s="107"/>
      <c r="I39" s="107"/>
      <c r="J39" s="107"/>
      <c r="K39" s="108"/>
      <c r="L39" s="109"/>
      <c r="M39" s="110"/>
      <c r="N39" s="17"/>
      <c r="O39" s="10"/>
      <c r="P39" s="10"/>
      <c r="Q39" s="10"/>
      <c r="R39" s="10"/>
      <c r="S39" s="10"/>
      <c r="T39" s="10"/>
    </row>
    <row r="40" spans="2:20" outlineLevel="1" x14ac:dyDescent="0.35">
      <c r="B40" s="15"/>
      <c r="C40" s="48"/>
      <c r="D40" s="106"/>
      <c r="E40" s="106"/>
      <c r="F40" s="106"/>
      <c r="G40" s="106"/>
      <c r="H40" s="107"/>
      <c r="I40" s="107"/>
      <c r="J40" s="107"/>
      <c r="K40" s="108"/>
      <c r="L40" s="109"/>
      <c r="M40" s="110"/>
      <c r="N40" s="17"/>
      <c r="O40" s="10"/>
      <c r="P40" s="10"/>
      <c r="Q40" s="10"/>
      <c r="R40" s="10"/>
      <c r="S40" s="10"/>
      <c r="T40" s="10"/>
    </row>
    <row r="41" spans="2:20" outlineLevel="1" x14ac:dyDescent="0.35">
      <c r="B41" s="15"/>
      <c r="C41" s="48"/>
      <c r="D41" s="106"/>
      <c r="E41" s="106"/>
      <c r="F41" s="106"/>
      <c r="G41" s="106"/>
      <c r="H41" s="107"/>
      <c r="I41" s="107"/>
      <c r="J41" s="107"/>
      <c r="K41" s="108"/>
      <c r="L41" s="109"/>
      <c r="M41" s="110"/>
      <c r="N41" s="17"/>
      <c r="O41" s="10"/>
      <c r="P41" s="10"/>
      <c r="Q41" s="10"/>
      <c r="R41" s="10"/>
      <c r="S41" s="10"/>
      <c r="T41" s="10"/>
    </row>
    <row r="42" spans="2:20" outlineLevel="1" x14ac:dyDescent="0.35">
      <c r="B42" s="15"/>
      <c r="C42" s="48"/>
      <c r="D42" s="106"/>
      <c r="E42" s="106"/>
      <c r="F42" s="106"/>
      <c r="G42" s="106"/>
      <c r="H42" s="107"/>
      <c r="I42" s="107"/>
      <c r="J42" s="107"/>
      <c r="K42" s="108"/>
      <c r="L42" s="109"/>
      <c r="M42" s="110"/>
      <c r="N42" s="17"/>
      <c r="O42" s="10"/>
      <c r="P42" s="10"/>
      <c r="Q42" s="10"/>
      <c r="R42" s="10"/>
      <c r="S42" s="10"/>
      <c r="T42" s="10"/>
    </row>
    <row r="43" spans="2:20" outlineLevel="1" x14ac:dyDescent="0.35">
      <c r="B43" s="15"/>
      <c r="C43" s="48"/>
      <c r="D43" s="106"/>
      <c r="E43" s="106"/>
      <c r="F43" s="106"/>
      <c r="G43" s="106"/>
      <c r="H43" s="107"/>
      <c r="I43" s="107"/>
      <c r="J43" s="107"/>
      <c r="K43" s="108"/>
      <c r="L43" s="109"/>
      <c r="M43" s="110"/>
      <c r="N43" s="17"/>
      <c r="O43" s="10"/>
      <c r="P43" s="10"/>
      <c r="Q43" s="10"/>
      <c r="R43" s="10"/>
      <c r="S43" s="10"/>
      <c r="T43" s="10"/>
    </row>
    <row r="44" spans="2:20" outlineLevel="1" x14ac:dyDescent="0.35">
      <c r="B44" s="15"/>
      <c r="C44" s="48"/>
      <c r="D44" s="106"/>
      <c r="E44" s="106"/>
      <c r="F44" s="106"/>
      <c r="G44" s="106"/>
      <c r="H44" s="107"/>
      <c r="I44" s="107"/>
      <c r="J44" s="107"/>
      <c r="K44" s="108"/>
      <c r="L44" s="109"/>
      <c r="M44" s="110"/>
      <c r="N44" s="17"/>
      <c r="O44" s="10"/>
      <c r="P44" s="10"/>
      <c r="Q44" s="10"/>
      <c r="R44" s="10"/>
      <c r="S44" s="10"/>
      <c r="T44" s="10"/>
    </row>
    <row r="45" spans="2:20" outlineLevel="1" x14ac:dyDescent="0.35">
      <c r="B45" s="15"/>
      <c r="C45" s="48"/>
      <c r="D45" s="106"/>
      <c r="E45" s="106"/>
      <c r="F45" s="106"/>
      <c r="G45" s="106"/>
      <c r="H45" s="107"/>
      <c r="I45" s="107"/>
      <c r="J45" s="107"/>
      <c r="K45" s="108"/>
      <c r="L45" s="109"/>
      <c r="M45" s="110"/>
      <c r="N45" s="17"/>
      <c r="O45" s="10"/>
      <c r="P45" s="10"/>
      <c r="Q45" s="10"/>
      <c r="R45" s="10"/>
      <c r="S45" s="10"/>
      <c r="T45" s="10"/>
    </row>
    <row r="46" spans="2:20" outlineLevel="1" x14ac:dyDescent="0.35">
      <c r="B46" s="15"/>
      <c r="C46" s="48"/>
      <c r="D46" s="106"/>
      <c r="E46" s="106"/>
      <c r="F46" s="106"/>
      <c r="G46" s="106"/>
      <c r="H46" s="107"/>
      <c r="I46" s="107"/>
      <c r="J46" s="107"/>
      <c r="K46" s="108"/>
      <c r="L46" s="109"/>
      <c r="M46" s="110"/>
      <c r="N46" s="17"/>
      <c r="O46" s="10"/>
      <c r="P46" s="10"/>
      <c r="Q46" s="10"/>
      <c r="R46" s="10"/>
      <c r="S46" s="10"/>
      <c r="T46" s="10"/>
    </row>
    <row r="47" spans="2:20" outlineLevel="1" x14ac:dyDescent="0.35">
      <c r="B47" s="15"/>
      <c r="C47" s="48"/>
      <c r="D47" s="106"/>
      <c r="E47" s="106"/>
      <c r="F47" s="106"/>
      <c r="G47" s="106"/>
      <c r="H47" s="107"/>
      <c r="I47" s="107"/>
      <c r="J47" s="107"/>
      <c r="K47" s="108"/>
      <c r="L47" s="109"/>
      <c r="M47" s="110"/>
      <c r="N47" s="17"/>
      <c r="O47" s="10"/>
      <c r="P47" s="10"/>
      <c r="Q47" s="10"/>
      <c r="R47" s="10"/>
      <c r="S47" s="10"/>
      <c r="T47" s="10"/>
    </row>
    <row r="48" spans="2:20" outlineLevel="1" x14ac:dyDescent="0.35">
      <c r="B48" s="15"/>
      <c r="C48" s="48"/>
      <c r="D48" s="106"/>
      <c r="E48" s="106"/>
      <c r="F48" s="106"/>
      <c r="G48" s="106"/>
      <c r="H48" s="107"/>
      <c r="I48" s="107"/>
      <c r="J48" s="107"/>
      <c r="K48" s="108"/>
      <c r="L48" s="109"/>
      <c r="M48" s="110"/>
      <c r="N48" s="17"/>
      <c r="O48" s="10"/>
      <c r="P48" s="10"/>
      <c r="Q48" s="10"/>
      <c r="R48" s="10"/>
      <c r="S48" s="10"/>
      <c r="T48" s="10"/>
    </row>
    <row r="49" spans="2:20" outlineLevel="1" x14ac:dyDescent="0.35">
      <c r="B49" s="15"/>
      <c r="C49" s="48"/>
      <c r="D49" s="106"/>
      <c r="E49" s="106"/>
      <c r="F49" s="106"/>
      <c r="G49" s="106"/>
      <c r="H49" s="107"/>
      <c r="I49" s="107"/>
      <c r="J49" s="107"/>
      <c r="K49" s="108"/>
      <c r="L49" s="109"/>
      <c r="M49" s="110"/>
      <c r="N49" s="17"/>
      <c r="O49" s="10"/>
      <c r="P49" s="10"/>
      <c r="Q49" s="10"/>
      <c r="R49" s="10"/>
      <c r="S49" s="10"/>
      <c r="T49" s="10"/>
    </row>
    <row r="50" spans="2:20" outlineLevel="1" x14ac:dyDescent="0.35">
      <c r="B50" s="15"/>
      <c r="C50" s="48"/>
      <c r="D50" s="106"/>
      <c r="E50" s="106"/>
      <c r="F50" s="106"/>
      <c r="G50" s="106"/>
      <c r="H50" s="107"/>
      <c r="I50" s="107"/>
      <c r="J50" s="107"/>
      <c r="K50" s="108"/>
      <c r="L50" s="109"/>
      <c r="M50" s="110"/>
      <c r="N50" s="17"/>
      <c r="O50" s="10"/>
      <c r="P50" s="10"/>
      <c r="Q50" s="10"/>
      <c r="R50" s="10"/>
      <c r="S50" s="10"/>
      <c r="T50" s="10"/>
    </row>
    <row r="51" spans="2:20" outlineLevel="1" x14ac:dyDescent="0.35">
      <c r="B51" s="15"/>
      <c r="C51" s="48"/>
      <c r="D51" s="106"/>
      <c r="E51" s="106"/>
      <c r="F51" s="106"/>
      <c r="G51" s="106"/>
      <c r="H51" s="107"/>
      <c r="I51" s="107"/>
      <c r="J51" s="107"/>
      <c r="K51" s="108"/>
      <c r="L51" s="109"/>
      <c r="M51" s="110"/>
      <c r="N51" s="17"/>
      <c r="O51" s="10"/>
      <c r="P51" s="10"/>
      <c r="Q51" s="10"/>
      <c r="R51" s="10"/>
      <c r="S51" s="10"/>
      <c r="T51" s="10"/>
    </row>
    <row r="52" spans="2:20" outlineLevel="1" x14ac:dyDescent="0.35">
      <c r="B52" s="15"/>
      <c r="C52" s="48"/>
      <c r="D52" s="106"/>
      <c r="E52" s="106"/>
      <c r="F52" s="106"/>
      <c r="G52" s="106"/>
      <c r="H52" s="107"/>
      <c r="I52" s="107"/>
      <c r="J52" s="107"/>
      <c r="K52" s="108"/>
      <c r="L52" s="109"/>
      <c r="M52" s="110"/>
      <c r="N52" s="17"/>
      <c r="O52" s="10"/>
      <c r="P52" s="10"/>
      <c r="Q52" s="10"/>
      <c r="R52" s="10"/>
      <c r="S52" s="10"/>
      <c r="T52" s="10"/>
    </row>
    <row r="53" spans="2:20" outlineLevel="1" x14ac:dyDescent="0.35">
      <c r="B53" s="15"/>
      <c r="C53" s="48"/>
      <c r="D53" s="106"/>
      <c r="E53" s="106"/>
      <c r="F53" s="106"/>
      <c r="G53" s="106"/>
      <c r="H53" s="107"/>
      <c r="I53" s="107"/>
      <c r="J53" s="107"/>
      <c r="K53" s="108"/>
      <c r="L53" s="109"/>
      <c r="M53" s="110"/>
      <c r="N53" s="17"/>
      <c r="O53" s="10"/>
      <c r="P53" s="10"/>
      <c r="Q53" s="10"/>
      <c r="R53" s="10"/>
      <c r="S53" s="10"/>
      <c r="T53" s="10"/>
    </row>
    <row r="54" spans="2:20" outlineLevel="1" x14ac:dyDescent="0.35">
      <c r="B54" s="15"/>
      <c r="C54" s="48"/>
      <c r="D54" s="106"/>
      <c r="E54" s="106"/>
      <c r="F54" s="106"/>
      <c r="G54" s="106"/>
      <c r="H54" s="107"/>
      <c r="I54" s="107"/>
      <c r="J54" s="107"/>
      <c r="K54" s="108"/>
      <c r="L54" s="109"/>
      <c r="M54" s="110"/>
      <c r="N54" s="17"/>
      <c r="O54" s="10"/>
      <c r="P54" s="10"/>
      <c r="Q54" s="10"/>
      <c r="R54" s="10"/>
      <c r="S54" s="10"/>
      <c r="T54" s="10"/>
    </row>
    <row r="55" spans="2:20" outlineLevel="1" x14ac:dyDescent="0.35">
      <c r="B55" s="15"/>
      <c r="C55" s="48"/>
      <c r="D55" s="106"/>
      <c r="E55" s="106"/>
      <c r="F55" s="106"/>
      <c r="G55" s="106"/>
      <c r="H55" s="107"/>
      <c r="I55" s="107"/>
      <c r="J55" s="107"/>
      <c r="K55" s="108"/>
      <c r="L55" s="109"/>
      <c r="M55" s="110"/>
      <c r="N55" s="17"/>
      <c r="O55" s="10"/>
      <c r="P55" s="10"/>
      <c r="Q55" s="10"/>
      <c r="R55" s="10"/>
      <c r="S55" s="10"/>
      <c r="T55" s="10"/>
    </row>
    <row r="56" spans="2:20" outlineLevel="1" x14ac:dyDescent="0.35">
      <c r="B56" s="15"/>
      <c r="C56" s="48"/>
      <c r="D56" s="106"/>
      <c r="E56" s="106"/>
      <c r="F56" s="106"/>
      <c r="G56" s="106"/>
      <c r="H56" s="107"/>
      <c r="I56" s="107"/>
      <c r="J56" s="107"/>
      <c r="K56" s="108"/>
      <c r="L56" s="109"/>
      <c r="M56" s="110"/>
      <c r="N56" s="17"/>
      <c r="O56" s="10"/>
      <c r="P56" s="10"/>
      <c r="Q56" s="10"/>
      <c r="R56" s="10"/>
      <c r="S56" s="10"/>
      <c r="T56" s="10"/>
    </row>
    <row r="57" spans="2:20" outlineLevel="1" x14ac:dyDescent="0.35">
      <c r="B57" s="15"/>
      <c r="C57" s="48"/>
      <c r="D57" s="106"/>
      <c r="E57" s="106"/>
      <c r="F57" s="106"/>
      <c r="G57" s="106"/>
      <c r="H57" s="107"/>
      <c r="I57" s="107"/>
      <c r="J57" s="107"/>
      <c r="K57" s="108"/>
      <c r="L57" s="109"/>
      <c r="M57" s="110"/>
      <c r="N57" s="17"/>
      <c r="O57" s="10"/>
      <c r="P57" s="10"/>
      <c r="Q57" s="10"/>
      <c r="R57" s="10"/>
      <c r="S57" s="10"/>
      <c r="T57" s="10"/>
    </row>
    <row r="58" spans="2:20" outlineLevel="1" x14ac:dyDescent="0.35">
      <c r="B58" s="15"/>
      <c r="C58" s="48"/>
      <c r="D58" s="106"/>
      <c r="E58" s="106"/>
      <c r="F58" s="106"/>
      <c r="G58" s="106"/>
      <c r="H58" s="107"/>
      <c r="I58" s="107"/>
      <c r="J58" s="107"/>
      <c r="K58" s="108"/>
      <c r="L58" s="109"/>
      <c r="M58" s="110"/>
      <c r="N58" s="17"/>
      <c r="O58" s="10"/>
      <c r="P58" s="10"/>
      <c r="Q58" s="10"/>
      <c r="R58" s="10"/>
      <c r="S58" s="10"/>
      <c r="T58" s="10"/>
    </row>
    <row r="59" spans="2:20" outlineLevel="1" x14ac:dyDescent="0.35">
      <c r="B59" s="15"/>
      <c r="C59" s="48"/>
      <c r="D59" s="106"/>
      <c r="E59" s="106"/>
      <c r="F59" s="106"/>
      <c r="G59" s="106"/>
      <c r="H59" s="107"/>
      <c r="I59" s="107"/>
      <c r="J59" s="107"/>
      <c r="K59" s="108"/>
      <c r="L59" s="109"/>
      <c r="M59" s="110"/>
      <c r="N59" s="17"/>
      <c r="O59" s="10"/>
      <c r="P59" s="10"/>
      <c r="Q59" s="10"/>
      <c r="R59" s="10"/>
      <c r="S59" s="10"/>
      <c r="T59" s="10"/>
    </row>
    <row r="60" spans="2:20" outlineLevel="1" x14ac:dyDescent="0.35">
      <c r="B60" s="15"/>
      <c r="C60" s="48"/>
      <c r="D60" s="106"/>
      <c r="E60" s="106"/>
      <c r="F60" s="106"/>
      <c r="G60" s="106"/>
      <c r="H60" s="107"/>
      <c r="I60" s="107"/>
      <c r="J60" s="107"/>
      <c r="K60" s="108"/>
      <c r="L60" s="109"/>
      <c r="M60" s="110"/>
      <c r="N60" s="17"/>
      <c r="O60" s="10"/>
      <c r="P60" s="10"/>
      <c r="Q60" s="10"/>
      <c r="R60" s="10"/>
      <c r="S60" s="10"/>
      <c r="T60" s="10"/>
    </row>
    <row r="61" spans="2:20" outlineLevel="1" x14ac:dyDescent="0.35">
      <c r="B61" s="15"/>
      <c r="C61" s="48"/>
      <c r="D61" s="106"/>
      <c r="E61" s="106"/>
      <c r="F61" s="106"/>
      <c r="G61" s="106"/>
      <c r="H61" s="107"/>
      <c r="I61" s="107"/>
      <c r="J61" s="107"/>
      <c r="K61" s="108"/>
      <c r="L61" s="109"/>
      <c r="M61" s="110"/>
      <c r="N61" s="17"/>
      <c r="O61" s="10"/>
      <c r="P61" s="10"/>
      <c r="Q61" s="10"/>
      <c r="R61" s="10"/>
      <c r="S61" s="10"/>
      <c r="T61" s="10"/>
    </row>
    <row r="62" spans="2:20" outlineLevel="1" x14ac:dyDescent="0.35">
      <c r="B62" s="15"/>
      <c r="C62" s="48"/>
      <c r="D62" s="106"/>
      <c r="E62" s="106"/>
      <c r="F62" s="106"/>
      <c r="G62" s="106"/>
      <c r="H62" s="107"/>
      <c r="I62" s="107"/>
      <c r="J62" s="107"/>
      <c r="K62" s="108"/>
      <c r="L62" s="109"/>
      <c r="M62" s="110"/>
      <c r="N62" s="17"/>
      <c r="O62" s="10"/>
      <c r="P62" s="10"/>
      <c r="Q62" s="10"/>
      <c r="R62" s="10"/>
      <c r="S62" s="10"/>
      <c r="T62" s="10"/>
    </row>
    <row r="63" spans="2:20" outlineLevel="1" x14ac:dyDescent="0.35">
      <c r="B63" s="15"/>
      <c r="C63" s="48"/>
      <c r="D63" s="106"/>
      <c r="E63" s="106"/>
      <c r="F63" s="106"/>
      <c r="G63" s="106"/>
      <c r="H63" s="107"/>
      <c r="I63" s="107"/>
      <c r="J63" s="107"/>
      <c r="K63" s="108"/>
      <c r="L63" s="109"/>
      <c r="M63" s="110"/>
      <c r="N63" s="17"/>
      <c r="O63" s="10"/>
      <c r="P63" s="10"/>
      <c r="Q63" s="10"/>
      <c r="R63" s="10"/>
      <c r="S63" s="10"/>
      <c r="T63" s="10"/>
    </row>
    <row r="64" spans="2:20" outlineLevel="1" x14ac:dyDescent="0.35">
      <c r="B64" s="15"/>
      <c r="C64" s="48"/>
      <c r="D64" s="106"/>
      <c r="E64" s="106"/>
      <c r="F64" s="106"/>
      <c r="G64" s="106"/>
      <c r="H64" s="107"/>
      <c r="I64" s="107"/>
      <c r="J64" s="107"/>
      <c r="K64" s="108"/>
      <c r="L64" s="109"/>
      <c r="M64" s="110"/>
      <c r="N64" s="17"/>
      <c r="O64" s="10"/>
      <c r="P64" s="10"/>
      <c r="Q64" s="10"/>
      <c r="R64" s="10"/>
      <c r="S64" s="10"/>
      <c r="T64" s="10"/>
    </row>
    <row r="65" spans="2:20" outlineLevel="1" x14ac:dyDescent="0.35">
      <c r="B65" s="15"/>
      <c r="C65" s="48"/>
      <c r="D65" s="106"/>
      <c r="E65" s="106"/>
      <c r="F65" s="106"/>
      <c r="G65" s="106"/>
      <c r="H65" s="107"/>
      <c r="I65" s="107"/>
      <c r="J65" s="107"/>
      <c r="K65" s="108"/>
      <c r="L65" s="109"/>
      <c r="M65" s="110"/>
      <c r="N65" s="17"/>
      <c r="O65" s="10"/>
      <c r="P65" s="10"/>
      <c r="Q65" s="10"/>
      <c r="R65" s="10"/>
      <c r="S65" s="10"/>
      <c r="T65" s="10"/>
    </row>
    <row r="66" spans="2:20" outlineLevel="1" x14ac:dyDescent="0.35">
      <c r="B66" s="15"/>
      <c r="C66" s="48"/>
      <c r="D66" s="106"/>
      <c r="E66" s="106"/>
      <c r="F66" s="106"/>
      <c r="G66" s="106"/>
      <c r="H66" s="107"/>
      <c r="I66" s="107"/>
      <c r="J66" s="107"/>
      <c r="K66" s="108"/>
      <c r="L66" s="109"/>
      <c r="M66" s="110"/>
      <c r="N66" s="17"/>
      <c r="O66" s="10"/>
      <c r="P66" s="10"/>
      <c r="Q66" s="10"/>
      <c r="R66" s="10"/>
      <c r="S66" s="10"/>
      <c r="T66" s="10"/>
    </row>
    <row r="67" spans="2:20" outlineLevel="1" x14ac:dyDescent="0.35">
      <c r="B67" s="15"/>
      <c r="C67" s="48"/>
      <c r="D67" s="106"/>
      <c r="E67" s="106"/>
      <c r="F67" s="106"/>
      <c r="G67" s="106"/>
      <c r="H67" s="107"/>
      <c r="I67" s="107"/>
      <c r="J67" s="107"/>
      <c r="K67" s="108"/>
      <c r="L67" s="109"/>
      <c r="M67" s="110"/>
      <c r="N67" s="17"/>
      <c r="O67" s="10"/>
      <c r="P67" s="10"/>
      <c r="Q67" s="10"/>
      <c r="R67" s="10"/>
      <c r="S67" s="10"/>
      <c r="T67" s="10"/>
    </row>
    <row r="68" spans="2:20" outlineLevel="1" x14ac:dyDescent="0.35">
      <c r="B68" s="15"/>
      <c r="C68" s="48"/>
      <c r="D68" s="106"/>
      <c r="E68" s="106"/>
      <c r="F68" s="106"/>
      <c r="G68" s="106"/>
      <c r="H68" s="107"/>
      <c r="I68" s="107"/>
      <c r="J68" s="107"/>
      <c r="K68" s="108"/>
      <c r="L68" s="109"/>
      <c r="M68" s="110"/>
      <c r="N68" s="17"/>
      <c r="O68" s="10"/>
      <c r="P68" s="10"/>
      <c r="Q68" s="10"/>
      <c r="R68" s="10"/>
      <c r="S68" s="10"/>
      <c r="T68" s="10"/>
    </row>
    <row r="69" spans="2:20" outlineLevel="1" x14ac:dyDescent="0.35">
      <c r="B69" s="15"/>
      <c r="C69" s="48"/>
      <c r="D69" s="106"/>
      <c r="E69" s="106"/>
      <c r="F69" s="106"/>
      <c r="G69" s="106"/>
      <c r="H69" s="107"/>
      <c r="I69" s="107"/>
      <c r="J69" s="107"/>
      <c r="K69" s="108"/>
      <c r="L69" s="109"/>
      <c r="M69" s="110"/>
      <c r="N69" s="17"/>
      <c r="O69" s="10"/>
      <c r="P69" s="10"/>
      <c r="Q69" s="10"/>
      <c r="R69" s="10"/>
      <c r="S69" s="10"/>
      <c r="T69" s="10"/>
    </row>
    <row r="70" spans="2:20" outlineLevel="1" x14ac:dyDescent="0.35">
      <c r="B70" s="15"/>
      <c r="C70" s="48"/>
      <c r="D70" s="106"/>
      <c r="E70" s="106"/>
      <c r="F70" s="106"/>
      <c r="G70" s="106"/>
      <c r="H70" s="107"/>
      <c r="I70" s="107"/>
      <c r="J70" s="107"/>
      <c r="K70" s="108"/>
      <c r="L70" s="109"/>
      <c r="M70" s="110"/>
      <c r="N70" s="17"/>
      <c r="O70" s="10"/>
      <c r="P70" s="10"/>
      <c r="Q70" s="10"/>
      <c r="R70" s="10"/>
      <c r="S70" s="10"/>
      <c r="T70" s="10"/>
    </row>
    <row r="71" spans="2:20" outlineLevel="1" x14ac:dyDescent="0.35">
      <c r="B71" s="15"/>
      <c r="C71" s="48"/>
      <c r="D71" s="106"/>
      <c r="E71" s="106"/>
      <c r="F71" s="106"/>
      <c r="G71" s="106"/>
      <c r="H71" s="107"/>
      <c r="I71" s="107"/>
      <c r="J71" s="107"/>
      <c r="K71" s="108"/>
      <c r="L71" s="109"/>
      <c r="M71" s="110"/>
      <c r="N71" s="17"/>
      <c r="O71" s="10"/>
      <c r="P71" s="10"/>
      <c r="Q71" s="10"/>
      <c r="R71" s="10"/>
      <c r="S71" s="10"/>
      <c r="T71" s="10"/>
    </row>
    <row r="72" spans="2:20" outlineLevel="1" x14ac:dyDescent="0.35">
      <c r="B72" s="15"/>
      <c r="C72" s="48"/>
      <c r="D72" s="106"/>
      <c r="E72" s="106"/>
      <c r="F72" s="106"/>
      <c r="G72" s="106"/>
      <c r="H72" s="107"/>
      <c r="I72" s="107"/>
      <c r="J72" s="107"/>
      <c r="K72" s="108"/>
      <c r="L72" s="109"/>
      <c r="M72" s="110"/>
      <c r="N72" s="17"/>
      <c r="O72" s="10"/>
      <c r="P72" s="10"/>
      <c r="Q72" s="10"/>
      <c r="R72" s="10"/>
      <c r="S72" s="10"/>
      <c r="T72" s="10"/>
    </row>
    <row r="73" spans="2:20" outlineLevel="1" x14ac:dyDescent="0.35">
      <c r="B73" s="15"/>
      <c r="C73" s="48"/>
      <c r="D73" s="106"/>
      <c r="E73" s="106"/>
      <c r="F73" s="106"/>
      <c r="G73" s="106"/>
      <c r="H73" s="107"/>
      <c r="I73" s="107"/>
      <c r="J73" s="107"/>
      <c r="K73" s="108"/>
      <c r="L73" s="109"/>
      <c r="M73" s="110"/>
      <c r="N73" s="17"/>
      <c r="O73" s="10"/>
      <c r="P73" s="10"/>
      <c r="Q73" s="10"/>
      <c r="R73" s="10"/>
      <c r="S73" s="10"/>
      <c r="T73" s="10"/>
    </row>
    <row r="74" spans="2:20" outlineLevel="1" x14ac:dyDescent="0.35">
      <c r="B74" s="15"/>
      <c r="C74" s="48"/>
      <c r="D74" s="106"/>
      <c r="E74" s="106"/>
      <c r="F74" s="106"/>
      <c r="G74" s="106"/>
      <c r="H74" s="107"/>
      <c r="I74" s="107"/>
      <c r="J74" s="107"/>
      <c r="K74" s="108"/>
      <c r="L74" s="109"/>
      <c r="M74" s="110"/>
      <c r="N74" s="17"/>
      <c r="O74" s="10"/>
      <c r="P74" s="10"/>
      <c r="Q74" s="10"/>
      <c r="R74" s="10"/>
      <c r="S74" s="10"/>
      <c r="T74" s="10"/>
    </row>
    <row r="75" spans="2:20" outlineLevel="1" x14ac:dyDescent="0.35">
      <c r="B75" s="15"/>
      <c r="C75" s="48"/>
      <c r="D75" s="106"/>
      <c r="E75" s="106"/>
      <c r="F75" s="106"/>
      <c r="G75" s="106"/>
      <c r="H75" s="107"/>
      <c r="I75" s="107"/>
      <c r="J75" s="107"/>
      <c r="K75" s="108"/>
      <c r="L75" s="109"/>
      <c r="M75" s="110"/>
      <c r="N75" s="17"/>
      <c r="O75" s="10"/>
      <c r="P75" s="10"/>
      <c r="Q75" s="10"/>
      <c r="R75" s="10"/>
      <c r="S75" s="10"/>
      <c r="T75" s="10"/>
    </row>
    <row r="76" spans="2:20" outlineLevel="1" x14ac:dyDescent="0.35">
      <c r="B76" s="15"/>
      <c r="C76" s="48"/>
      <c r="D76" s="106"/>
      <c r="E76" s="106"/>
      <c r="F76" s="106"/>
      <c r="G76" s="106"/>
      <c r="H76" s="107"/>
      <c r="I76" s="107"/>
      <c r="J76" s="107"/>
      <c r="K76" s="108"/>
      <c r="L76" s="109"/>
      <c r="M76" s="110"/>
      <c r="N76" s="17"/>
      <c r="O76" s="10"/>
      <c r="P76" s="10"/>
      <c r="Q76" s="10"/>
      <c r="R76" s="10"/>
      <c r="S76" s="10"/>
      <c r="T76" s="10"/>
    </row>
    <row r="77" spans="2:20" outlineLevel="1" x14ac:dyDescent="0.35">
      <c r="B77" s="15"/>
      <c r="C77" s="48"/>
      <c r="D77" s="106"/>
      <c r="E77" s="106"/>
      <c r="F77" s="106"/>
      <c r="G77" s="106"/>
      <c r="H77" s="107"/>
      <c r="I77" s="107"/>
      <c r="J77" s="107"/>
      <c r="K77" s="108"/>
      <c r="L77" s="109"/>
      <c r="M77" s="110"/>
      <c r="N77" s="17"/>
      <c r="O77" s="10"/>
      <c r="P77" s="10"/>
      <c r="Q77" s="10"/>
      <c r="R77" s="10"/>
      <c r="S77" s="10"/>
      <c r="T77" s="10"/>
    </row>
    <row r="78" spans="2:20" outlineLevel="1" x14ac:dyDescent="0.35">
      <c r="B78" s="15"/>
      <c r="C78" s="48"/>
      <c r="D78" s="106"/>
      <c r="E78" s="106"/>
      <c r="F78" s="106"/>
      <c r="G78" s="106"/>
      <c r="H78" s="107"/>
      <c r="I78" s="107"/>
      <c r="J78" s="107"/>
      <c r="K78" s="108"/>
      <c r="L78" s="109"/>
      <c r="M78" s="110"/>
      <c r="N78" s="17"/>
      <c r="O78" s="10"/>
      <c r="P78" s="10"/>
      <c r="Q78" s="10"/>
      <c r="R78" s="10"/>
      <c r="S78" s="10"/>
      <c r="T78" s="10"/>
    </row>
    <row r="79" spans="2:20" outlineLevel="1" x14ac:dyDescent="0.35">
      <c r="B79" s="15"/>
      <c r="C79" s="48"/>
      <c r="D79" s="106"/>
      <c r="E79" s="106"/>
      <c r="F79" s="106"/>
      <c r="G79" s="106"/>
      <c r="H79" s="107"/>
      <c r="I79" s="107"/>
      <c r="J79" s="107"/>
      <c r="K79" s="108"/>
      <c r="L79" s="109"/>
      <c r="M79" s="110"/>
      <c r="N79" s="17"/>
      <c r="O79" s="10"/>
      <c r="P79" s="10"/>
      <c r="Q79" s="10"/>
      <c r="R79" s="10"/>
      <c r="S79" s="10"/>
      <c r="T79" s="10"/>
    </row>
    <row r="80" spans="2:20" outlineLevel="1" x14ac:dyDescent="0.35">
      <c r="B80" s="15"/>
      <c r="C80" s="48"/>
      <c r="D80" s="106"/>
      <c r="E80" s="106"/>
      <c r="F80" s="106"/>
      <c r="G80" s="106"/>
      <c r="H80" s="107"/>
      <c r="I80" s="107"/>
      <c r="J80" s="107"/>
      <c r="K80" s="108"/>
      <c r="L80" s="109"/>
      <c r="M80" s="110"/>
      <c r="N80" s="17"/>
      <c r="O80" s="10"/>
      <c r="P80" s="10"/>
      <c r="Q80" s="10"/>
      <c r="R80" s="10"/>
      <c r="S80" s="10"/>
      <c r="T80" s="10"/>
    </row>
    <row r="81" spans="2:20" outlineLevel="1" x14ac:dyDescent="0.35">
      <c r="B81" s="15"/>
      <c r="C81" s="48"/>
      <c r="D81" s="106"/>
      <c r="E81" s="106"/>
      <c r="F81" s="106"/>
      <c r="G81" s="106"/>
      <c r="H81" s="107"/>
      <c r="I81" s="107"/>
      <c r="J81" s="107"/>
      <c r="K81" s="108"/>
      <c r="L81" s="109"/>
      <c r="M81" s="110"/>
      <c r="N81" s="17"/>
      <c r="O81" s="10"/>
      <c r="P81" s="10"/>
      <c r="Q81" s="10"/>
      <c r="R81" s="10"/>
      <c r="S81" s="10"/>
      <c r="T81" s="10"/>
    </row>
    <row r="82" spans="2:20" outlineLevel="1" x14ac:dyDescent="0.35">
      <c r="B82" s="15"/>
      <c r="C82" s="48"/>
      <c r="D82" s="106"/>
      <c r="E82" s="106"/>
      <c r="F82" s="106"/>
      <c r="G82" s="106"/>
      <c r="H82" s="107"/>
      <c r="I82" s="107"/>
      <c r="J82" s="107"/>
      <c r="K82" s="108"/>
      <c r="L82" s="109"/>
      <c r="M82" s="110"/>
      <c r="N82" s="17"/>
      <c r="O82" s="10"/>
      <c r="P82" s="10"/>
      <c r="Q82" s="10"/>
      <c r="R82" s="10"/>
      <c r="S82" s="10"/>
      <c r="T82" s="10"/>
    </row>
    <row r="83" spans="2:20" outlineLevel="1" x14ac:dyDescent="0.35">
      <c r="B83" s="15"/>
      <c r="C83" s="48"/>
      <c r="D83" s="106"/>
      <c r="E83" s="106"/>
      <c r="F83" s="106"/>
      <c r="G83" s="106"/>
      <c r="H83" s="107"/>
      <c r="I83" s="107"/>
      <c r="J83" s="107"/>
      <c r="K83" s="108"/>
      <c r="L83" s="109"/>
      <c r="M83" s="110"/>
      <c r="N83" s="17"/>
      <c r="O83" s="10"/>
      <c r="P83" s="10"/>
      <c r="Q83" s="10"/>
      <c r="R83" s="10"/>
      <c r="S83" s="10"/>
      <c r="T83" s="10"/>
    </row>
    <row r="84" spans="2:20" outlineLevel="1" x14ac:dyDescent="0.35">
      <c r="B84" s="15"/>
      <c r="C84" s="48"/>
      <c r="D84" s="106"/>
      <c r="E84" s="106"/>
      <c r="F84" s="106"/>
      <c r="G84" s="106"/>
      <c r="H84" s="107"/>
      <c r="I84" s="107"/>
      <c r="J84" s="107"/>
      <c r="K84" s="108"/>
      <c r="L84" s="109"/>
      <c r="M84" s="110"/>
      <c r="N84" s="17"/>
      <c r="O84" s="10"/>
      <c r="P84" s="10"/>
      <c r="Q84" s="10"/>
      <c r="R84" s="10"/>
      <c r="S84" s="10"/>
      <c r="T84" s="10"/>
    </row>
    <row r="85" spans="2:20" outlineLevel="1" x14ac:dyDescent="0.35">
      <c r="B85" s="15"/>
      <c r="C85" s="48"/>
      <c r="D85" s="106"/>
      <c r="E85" s="106"/>
      <c r="F85" s="106"/>
      <c r="G85" s="106"/>
      <c r="H85" s="107"/>
      <c r="I85" s="107"/>
      <c r="J85" s="107"/>
      <c r="K85" s="108"/>
      <c r="L85" s="109"/>
      <c r="M85" s="110"/>
      <c r="N85" s="17"/>
      <c r="O85" s="10"/>
      <c r="P85" s="10"/>
      <c r="Q85" s="10"/>
      <c r="R85" s="10"/>
      <c r="S85" s="10"/>
      <c r="T85" s="10"/>
    </row>
    <row r="86" spans="2:20" outlineLevel="1" x14ac:dyDescent="0.35">
      <c r="B86" s="15"/>
      <c r="C86" s="48"/>
      <c r="D86" s="106"/>
      <c r="E86" s="106"/>
      <c r="F86" s="106"/>
      <c r="G86" s="106"/>
      <c r="H86" s="107"/>
      <c r="I86" s="107"/>
      <c r="J86" s="107"/>
      <c r="K86" s="108"/>
      <c r="L86" s="109"/>
      <c r="M86" s="110"/>
      <c r="N86" s="17"/>
      <c r="O86" s="10"/>
      <c r="P86" s="10"/>
      <c r="Q86" s="10"/>
      <c r="R86" s="10"/>
      <c r="S86" s="10"/>
      <c r="T86" s="10"/>
    </row>
    <row r="87" spans="2:20" outlineLevel="1" x14ac:dyDescent="0.35">
      <c r="B87" s="15"/>
      <c r="C87" s="48"/>
      <c r="D87" s="106"/>
      <c r="E87" s="106"/>
      <c r="F87" s="106"/>
      <c r="G87" s="106"/>
      <c r="H87" s="107"/>
      <c r="I87" s="107"/>
      <c r="J87" s="107"/>
      <c r="K87" s="108"/>
      <c r="L87" s="109"/>
      <c r="M87" s="110"/>
      <c r="N87" s="17"/>
      <c r="O87" s="10"/>
      <c r="P87" s="10"/>
      <c r="Q87" s="10"/>
      <c r="R87" s="10"/>
      <c r="S87" s="10"/>
      <c r="T87" s="10"/>
    </row>
    <row r="88" spans="2:20" outlineLevel="1" x14ac:dyDescent="0.35">
      <c r="B88" s="15"/>
      <c r="C88" s="48"/>
      <c r="D88" s="106"/>
      <c r="E88" s="106"/>
      <c r="F88" s="106"/>
      <c r="G88" s="106"/>
      <c r="H88" s="107"/>
      <c r="I88" s="107"/>
      <c r="J88" s="107"/>
      <c r="K88" s="108"/>
      <c r="L88" s="109"/>
      <c r="M88" s="110"/>
      <c r="N88" s="17"/>
      <c r="O88" s="10"/>
      <c r="P88" s="10"/>
      <c r="Q88" s="10"/>
      <c r="R88" s="10"/>
      <c r="S88" s="10"/>
      <c r="T88" s="10"/>
    </row>
    <row r="89" spans="2:20" outlineLevel="1" x14ac:dyDescent="0.35">
      <c r="B89" s="15"/>
      <c r="C89" s="48"/>
      <c r="D89" s="106"/>
      <c r="E89" s="106"/>
      <c r="F89" s="106"/>
      <c r="G89" s="106"/>
      <c r="H89" s="107"/>
      <c r="I89" s="107"/>
      <c r="J89" s="107"/>
      <c r="K89" s="108"/>
      <c r="L89" s="109"/>
      <c r="M89" s="110"/>
      <c r="N89" s="17"/>
      <c r="O89" s="10"/>
      <c r="P89" s="10"/>
      <c r="Q89" s="10"/>
      <c r="R89" s="10"/>
      <c r="S89" s="10"/>
      <c r="T89" s="10"/>
    </row>
    <row r="90" spans="2:20" outlineLevel="1" x14ac:dyDescent="0.35">
      <c r="B90" s="15"/>
      <c r="C90" s="48"/>
      <c r="D90" s="106"/>
      <c r="E90" s="106"/>
      <c r="F90" s="106"/>
      <c r="G90" s="106"/>
      <c r="H90" s="107"/>
      <c r="I90" s="107"/>
      <c r="J90" s="107"/>
      <c r="K90" s="108"/>
      <c r="L90" s="109"/>
      <c r="M90" s="110"/>
      <c r="N90" s="17"/>
      <c r="O90" s="10"/>
      <c r="P90" s="10"/>
      <c r="Q90" s="10"/>
      <c r="R90" s="10"/>
      <c r="S90" s="10"/>
      <c r="T90" s="10"/>
    </row>
    <row r="91" spans="2:20" outlineLevel="1" x14ac:dyDescent="0.35">
      <c r="B91" s="15"/>
      <c r="C91" s="48"/>
      <c r="D91" s="106"/>
      <c r="E91" s="106"/>
      <c r="F91" s="106"/>
      <c r="G91" s="106"/>
      <c r="H91" s="107"/>
      <c r="I91" s="107"/>
      <c r="J91" s="107"/>
      <c r="K91" s="108"/>
      <c r="L91" s="109"/>
      <c r="M91" s="110"/>
      <c r="N91" s="17"/>
      <c r="O91" s="10"/>
      <c r="P91" s="10"/>
      <c r="Q91" s="10"/>
      <c r="R91" s="10"/>
      <c r="S91" s="10"/>
      <c r="T91" s="10"/>
    </row>
    <row r="92" spans="2:20" outlineLevel="1" x14ac:dyDescent="0.35">
      <c r="B92" s="15"/>
      <c r="C92" s="48"/>
      <c r="D92" s="106"/>
      <c r="E92" s="106"/>
      <c r="F92" s="106"/>
      <c r="G92" s="106"/>
      <c r="H92" s="107"/>
      <c r="I92" s="107"/>
      <c r="J92" s="107"/>
      <c r="K92" s="108"/>
      <c r="L92" s="109"/>
      <c r="M92" s="110"/>
      <c r="N92" s="17"/>
      <c r="O92" s="10"/>
      <c r="P92" s="10"/>
      <c r="Q92" s="10"/>
      <c r="R92" s="10"/>
      <c r="S92" s="10"/>
      <c r="T92" s="10"/>
    </row>
    <row r="93" spans="2:20" outlineLevel="1" x14ac:dyDescent="0.35">
      <c r="B93" s="15"/>
      <c r="C93" s="48"/>
      <c r="D93" s="106"/>
      <c r="E93" s="106"/>
      <c r="F93" s="106"/>
      <c r="G93" s="106"/>
      <c r="H93" s="107"/>
      <c r="I93" s="107"/>
      <c r="J93" s="107"/>
      <c r="K93" s="108"/>
      <c r="L93" s="109"/>
      <c r="M93" s="110"/>
      <c r="N93" s="17"/>
      <c r="O93" s="10"/>
      <c r="P93" s="10"/>
      <c r="Q93" s="10"/>
      <c r="R93" s="10"/>
      <c r="S93" s="10"/>
      <c r="T93" s="10"/>
    </row>
    <row r="94" spans="2:20" outlineLevel="1" x14ac:dyDescent="0.35">
      <c r="B94" s="15"/>
      <c r="C94" s="48"/>
      <c r="D94" s="106"/>
      <c r="E94" s="106"/>
      <c r="F94" s="106"/>
      <c r="G94" s="106"/>
      <c r="H94" s="107"/>
      <c r="I94" s="107"/>
      <c r="J94" s="107"/>
      <c r="K94" s="108"/>
      <c r="L94" s="109"/>
      <c r="M94" s="110"/>
      <c r="N94" s="17"/>
      <c r="O94" s="10"/>
      <c r="P94" s="10"/>
      <c r="Q94" s="10"/>
      <c r="R94" s="10"/>
      <c r="S94" s="10"/>
      <c r="T94" s="10"/>
    </row>
    <row r="95" spans="2:20" outlineLevel="1" x14ac:dyDescent="0.35">
      <c r="B95" s="15"/>
      <c r="C95" s="48"/>
      <c r="D95" s="106"/>
      <c r="E95" s="106"/>
      <c r="F95" s="106"/>
      <c r="G95" s="106"/>
      <c r="H95" s="107"/>
      <c r="I95" s="107"/>
      <c r="J95" s="107"/>
      <c r="K95" s="108"/>
      <c r="L95" s="109"/>
      <c r="M95" s="110"/>
      <c r="N95" s="17"/>
      <c r="O95" s="10"/>
      <c r="P95" s="10"/>
      <c r="Q95" s="10"/>
      <c r="R95" s="10"/>
      <c r="S95" s="10"/>
      <c r="T95" s="10"/>
    </row>
    <row r="96" spans="2:20" outlineLevel="1" x14ac:dyDescent="0.35">
      <c r="B96" s="15"/>
      <c r="C96" s="48"/>
      <c r="D96" s="106"/>
      <c r="E96" s="106"/>
      <c r="F96" s="106"/>
      <c r="G96" s="106"/>
      <c r="H96" s="107"/>
      <c r="I96" s="107"/>
      <c r="J96" s="107"/>
      <c r="K96" s="108"/>
      <c r="L96" s="109"/>
      <c r="M96" s="110"/>
      <c r="N96" s="17"/>
      <c r="O96" s="10"/>
      <c r="P96" s="10"/>
      <c r="Q96" s="10"/>
      <c r="R96" s="10"/>
      <c r="S96" s="10"/>
      <c r="T96" s="10"/>
    </row>
    <row r="97" spans="2:20" outlineLevel="1" x14ac:dyDescent="0.35">
      <c r="B97" s="15"/>
      <c r="C97" s="48"/>
      <c r="D97" s="106"/>
      <c r="E97" s="106"/>
      <c r="F97" s="106"/>
      <c r="G97" s="106"/>
      <c r="H97" s="107"/>
      <c r="I97" s="107"/>
      <c r="J97" s="107"/>
      <c r="K97" s="108"/>
      <c r="L97" s="109"/>
      <c r="M97" s="110"/>
      <c r="N97" s="17"/>
      <c r="O97" s="10"/>
      <c r="P97" s="10"/>
      <c r="Q97" s="10"/>
      <c r="R97" s="10"/>
      <c r="S97" s="10"/>
      <c r="T97" s="10"/>
    </row>
    <row r="98" spans="2:20" outlineLevel="1" x14ac:dyDescent="0.35">
      <c r="B98" s="15"/>
      <c r="C98" s="48"/>
      <c r="D98" s="106"/>
      <c r="E98" s="106"/>
      <c r="F98" s="106"/>
      <c r="G98" s="106"/>
      <c r="H98" s="107"/>
      <c r="I98" s="107"/>
      <c r="J98" s="107"/>
      <c r="K98" s="108"/>
      <c r="L98" s="109"/>
      <c r="M98" s="110"/>
      <c r="N98" s="17"/>
      <c r="O98" s="10"/>
      <c r="P98" s="10"/>
      <c r="Q98" s="10"/>
      <c r="R98" s="10"/>
      <c r="S98" s="10"/>
      <c r="T98" s="10"/>
    </row>
    <row r="99" spans="2:20" outlineLevel="1" x14ac:dyDescent="0.35">
      <c r="B99" s="15"/>
      <c r="C99" s="48"/>
      <c r="D99" s="106"/>
      <c r="E99" s="106"/>
      <c r="F99" s="106"/>
      <c r="G99" s="106"/>
      <c r="H99" s="107"/>
      <c r="I99" s="107"/>
      <c r="J99" s="107"/>
      <c r="K99" s="108"/>
      <c r="L99" s="109"/>
      <c r="M99" s="110"/>
      <c r="N99" s="17"/>
      <c r="O99" s="10"/>
      <c r="P99" s="10"/>
      <c r="Q99" s="10"/>
      <c r="R99" s="10"/>
      <c r="S99" s="10"/>
      <c r="T99" s="10"/>
    </row>
    <row r="100" spans="2:20" outlineLevel="1" x14ac:dyDescent="0.35">
      <c r="B100" s="15"/>
      <c r="C100" s="48"/>
      <c r="D100" s="106"/>
      <c r="E100" s="106"/>
      <c r="F100" s="106"/>
      <c r="G100" s="106"/>
      <c r="H100" s="107"/>
      <c r="I100" s="107"/>
      <c r="J100" s="107"/>
      <c r="K100" s="108"/>
      <c r="L100" s="109"/>
      <c r="M100" s="110"/>
      <c r="N100" s="17"/>
      <c r="O100" s="10"/>
      <c r="P100" s="10"/>
      <c r="Q100" s="10"/>
      <c r="R100" s="10"/>
      <c r="S100" s="10"/>
      <c r="T100" s="10"/>
    </row>
    <row r="101" spans="2:20" outlineLevel="1" x14ac:dyDescent="0.35">
      <c r="B101" s="15"/>
      <c r="C101" s="48"/>
      <c r="D101" s="106"/>
      <c r="E101" s="106"/>
      <c r="F101" s="106"/>
      <c r="G101" s="106"/>
      <c r="H101" s="107"/>
      <c r="I101" s="107"/>
      <c r="J101" s="107"/>
      <c r="K101" s="108"/>
      <c r="L101" s="111"/>
      <c r="M101" s="110"/>
      <c r="N101" s="17"/>
      <c r="O101" s="10"/>
      <c r="P101" s="10"/>
      <c r="Q101" s="10"/>
      <c r="R101" s="10"/>
      <c r="S101" s="10"/>
      <c r="T101" s="10"/>
    </row>
    <row r="102" spans="2:20" outlineLevel="1" x14ac:dyDescent="0.35">
      <c r="B102" s="15"/>
      <c r="C102" s="48"/>
      <c r="D102" s="106"/>
      <c r="E102" s="106"/>
      <c r="F102" s="106"/>
      <c r="G102" s="106"/>
      <c r="H102" s="107"/>
      <c r="I102" s="107"/>
      <c r="J102" s="107"/>
      <c r="K102" s="108"/>
      <c r="L102" s="111"/>
      <c r="M102" s="110"/>
      <c r="N102" s="17"/>
      <c r="O102" s="10"/>
      <c r="P102" s="10"/>
      <c r="Q102" s="10"/>
      <c r="R102" s="10"/>
      <c r="S102" s="10"/>
      <c r="T102" s="10"/>
    </row>
    <row r="103" spans="2:20" outlineLevel="1" x14ac:dyDescent="0.35">
      <c r="B103" s="15"/>
      <c r="C103" s="48"/>
      <c r="D103" s="106"/>
      <c r="E103" s="106"/>
      <c r="F103" s="106"/>
      <c r="G103" s="106"/>
      <c r="H103" s="107"/>
      <c r="I103" s="107"/>
      <c r="J103" s="107"/>
      <c r="K103" s="108"/>
      <c r="L103" s="111"/>
      <c r="M103" s="110"/>
      <c r="N103" s="17"/>
      <c r="O103" s="10"/>
      <c r="P103" s="10"/>
      <c r="Q103" s="10"/>
      <c r="R103" s="10"/>
      <c r="S103" s="10"/>
      <c r="T103" s="10"/>
    </row>
    <row r="104" spans="2:20" outlineLevel="1" x14ac:dyDescent="0.35">
      <c r="B104" s="15"/>
      <c r="C104" s="48"/>
      <c r="D104" s="106"/>
      <c r="E104" s="106"/>
      <c r="F104" s="106"/>
      <c r="G104" s="106"/>
      <c r="H104" s="107"/>
      <c r="I104" s="107"/>
      <c r="J104" s="107"/>
      <c r="K104" s="108"/>
      <c r="L104" s="111"/>
      <c r="M104" s="110"/>
      <c r="N104" s="17"/>
      <c r="O104" s="10"/>
      <c r="P104" s="10"/>
      <c r="Q104" s="10"/>
      <c r="R104" s="10"/>
      <c r="S104" s="10"/>
      <c r="T104" s="10"/>
    </row>
    <row r="105" spans="2:20" outlineLevel="1" x14ac:dyDescent="0.35">
      <c r="B105" s="15"/>
      <c r="C105" s="48"/>
      <c r="D105" s="106"/>
      <c r="E105" s="106"/>
      <c r="F105" s="106"/>
      <c r="G105" s="106"/>
      <c r="H105" s="107"/>
      <c r="I105" s="107"/>
      <c r="J105" s="107"/>
      <c r="K105" s="108"/>
      <c r="L105" s="111"/>
      <c r="M105" s="110"/>
      <c r="N105" s="17"/>
      <c r="O105" s="10"/>
      <c r="P105" s="10"/>
      <c r="Q105" s="10"/>
      <c r="R105" s="10"/>
      <c r="S105" s="10"/>
      <c r="T105" s="10"/>
    </row>
    <row r="106" spans="2:20" outlineLevel="1" x14ac:dyDescent="0.35">
      <c r="B106" s="15"/>
      <c r="C106" s="48"/>
      <c r="D106" s="106"/>
      <c r="E106" s="106"/>
      <c r="F106" s="106"/>
      <c r="G106" s="106"/>
      <c r="H106" s="107"/>
      <c r="I106" s="107"/>
      <c r="J106" s="107"/>
      <c r="K106" s="108"/>
      <c r="L106" s="111"/>
      <c r="M106" s="110"/>
      <c r="N106" s="17"/>
      <c r="O106" s="10"/>
      <c r="P106" s="10"/>
      <c r="Q106" s="10"/>
      <c r="R106" s="10"/>
      <c r="S106" s="10"/>
      <c r="T106" s="10"/>
    </row>
    <row r="107" spans="2:20" outlineLevel="1" x14ac:dyDescent="0.35">
      <c r="B107" s="15"/>
      <c r="C107" s="48"/>
      <c r="D107" s="106"/>
      <c r="E107" s="106"/>
      <c r="F107" s="106"/>
      <c r="G107" s="106"/>
      <c r="H107" s="107"/>
      <c r="I107" s="107"/>
      <c r="J107" s="107"/>
      <c r="K107" s="108"/>
      <c r="L107" s="111"/>
      <c r="M107" s="110"/>
      <c r="N107" s="17"/>
      <c r="O107" s="10"/>
      <c r="P107" s="10"/>
      <c r="Q107" s="10"/>
      <c r="R107" s="10"/>
      <c r="S107" s="10"/>
      <c r="T107" s="10"/>
    </row>
    <row r="108" spans="2:20" outlineLevel="1" x14ac:dyDescent="0.35">
      <c r="B108" s="15"/>
      <c r="C108" s="48"/>
      <c r="D108" s="106"/>
      <c r="E108" s="106"/>
      <c r="F108" s="106"/>
      <c r="G108" s="106"/>
      <c r="H108" s="107"/>
      <c r="I108" s="107"/>
      <c r="J108" s="107"/>
      <c r="K108" s="108"/>
      <c r="L108" s="111"/>
      <c r="M108" s="110"/>
      <c r="N108" s="17"/>
      <c r="O108" s="10"/>
      <c r="P108" s="10"/>
      <c r="Q108" s="10"/>
      <c r="R108" s="10"/>
      <c r="S108" s="10"/>
      <c r="T108" s="10"/>
    </row>
    <row r="109" spans="2:20" outlineLevel="1" x14ac:dyDescent="0.35">
      <c r="B109" s="15"/>
      <c r="C109" s="48"/>
      <c r="D109" s="106"/>
      <c r="E109" s="106"/>
      <c r="F109" s="106"/>
      <c r="G109" s="106"/>
      <c r="H109" s="107"/>
      <c r="I109" s="107"/>
      <c r="J109" s="107"/>
      <c r="K109" s="108"/>
      <c r="L109" s="111"/>
      <c r="M109" s="110"/>
      <c r="N109" s="17"/>
      <c r="O109" s="10"/>
      <c r="P109" s="10"/>
      <c r="Q109" s="10"/>
      <c r="R109" s="10"/>
      <c r="S109" s="10"/>
      <c r="T109" s="10"/>
    </row>
    <row r="110" spans="2:20" outlineLevel="1" x14ac:dyDescent="0.35">
      <c r="B110" s="15"/>
      <c r="C110" s="48"/>
      <c r="D110" s="106"/>
      <c r="E110" s="106"/>
      <c r="F110" s="106"/>
      <c r="G110" s="106"/>
      <c r="H110" s="107"/>
      <c r="I110" s="107"/>
      <c r="J110" s="107"/>
      <c r="K110" s="108"/>
      <c r="L110" s="111"/>
      <c r="M110" s="110"/>
      <c r="N110" s="17"/>
      <c r="O110" s="10"/>
      <c r="P110" s="10"/>
      <c r="Q110" s="10"/>
      <c r="R110" s="10"/>
      <c r="S110" s="10"/>
      <c r="T110" s="10"/>
    </row>
    <row r="111" spans="2:20" outlineLevel="1" x14ac:dyDescent="0.35">
      <c r="B111" s="15"/>
      <c r="C111" s="48"/>
      <c r="D111" s="106"/>
      <c r="E111" s="106"/>
      <c r="F111" s="106"/>
      <c r="G111" s="106"/>
      <c r="H111" s="107"/>
      <c r="I111" s="107"/>
      <c r="J111" s="107"/>
      <c r="K111" s="108"/>
      <c r="L111" s="111"/>
      <c r="M111" s="110"/>
      <c r="N111" s="17"/>
      <c r="O111" s="10"/>
      <c r="P111" s="10"/>
      <c r="Q111" s="10"/>
      <c r="R111" s="10"/>
      <c r="S111" s="10"/>
      <c r="T111" s="10"/>
    </row>
    <row r="112" spans="2:20" outlineLevel="1" x14ac:dyDescent="0.35">
      <c r="B112" s="15"/>
      <c r="C112" s="48"/>
      <c r="D112" s="106"/>
      <c r="E112" s="106"/>
      <c r="F112" s="106"/>
      <c r="G112" s="106"/>
      <c r="H112" s="107"/>
      <c r="I112" s="107"/>
      <c r="J112" s="107"/>
      <c r="K112" s="108"/>
      <c r="L112" s="111"/>
      <c r="M112" s="110"/>
      <c r="N112" s="17"/>
      <c r="O112" s="10"/>
      <c r="P112" s="10"/>
      <c r="Q112" s="10"/>
      <c r="R112" s="10"/>
      <c r="S112" s="10"/>
      <c r="T112" s="10"/>
    </row>
    <row r="113" spans="2:20" outlineLevel="1" x14ac:dyDescent="0.35">
      <c r="B113" s="15"/>
      <c r="C113" s="48"/>
      <c r="D113" s="106"/>
      <c r="E113" s="106"/>
      <c r="F113" s="106"/>
      <c r="G113" s="106"/>
      <c r="H113" s="107"/>
      <c r="I113" s="107"/>
      <c r="J113" s="107"/>
      <c r="K113" s="108"/>
      <c r="L113" s="111"/>
      <c r="M113" s="110"/>
      <c r="N113" s="17"/>
      <c r="O113" s="10"/>
      <c r="P113" s="10"/>
      <c r="Q113" s="10"/>
      <c r="R113" s="10"/>
      <c r="S113" s="10"/>
      <c r="T113" s="10"/>
    </row>
    <row r="114" spans="2:20" outlineLevel="1" x14ac:dyDescent="0.35">
      <c r="B114" s="15"/>
      <c r="C114" s="48"/>
      <c r="D114" s="106"/>
      <c r="E114" s="106"/>
      <c r="F114" s="106"/>
      <c r="G114" s="106"/>
      <c r="H114" s="107"/>
      <c r="I114" s="107"/>
      <c r="J114" s="107"/>
      <c r="K114" s="108"/>
      <c r="L114" s="111"/>
      <c r="M114" s="110"/>
      <c r="N114" s="17"/>
      <c r="O114" s="10"/>
      <c r="P114" s="10"/>
      <c r="Q114" s="10"/>
      <c r="R114" s="10"/>
      <c r="S114" s="10"/>
      <c r="T114" s="10"/>
    </row>
    <row r="115" spans="2:20" outlineLevel="1" x14ac:dyDescent="0.35">
      <c r="B115" s="15"/>
      <c r="C115" s="48"/>
      <c r="D115" s="106"/>
      <c r="E115" s="106"/>
      <c r="F115" s="106"/>
      <c r="G115" s="106"/>
      <c r="H115" s="107"/>
      <c r="I115" s="107"/>
      <c r="J115" s="107"/>
      <c r="K115" s="108"/>
      <c r="L115" s="111"/>
      <c r="M115" s="110"/>
      <c r="N115" s="17"/>
      <c r="O115" s="10"/>
      <c r="P115" s="10"/>
      <c r="Q115" s="10"/>
      <c r="R115" s="10"/>
      <c r="S115" s="10"/>
      <c r="T115" s="10"/>
    </row>
    <row r="116" spans="2:20" outlineLevel="1" x14ac:dyDescent="0.35">
      <c r="B116" s="15"/>
      <c r="C116" s="48"/>
      <c r="D116" s="106"/>
      <c r="E116" s="106"/>
      <c r="F116" s="106"/>
      <c r="G116" s="106"/>
      <c r="H116" s="107"/>
      <c r="I116" s="107"/>
      <c r="J116" s="107"/>
      <c r="K116" s="108"/>
      <c r="L116" s="111"/>
      <c r="M116" s="110"/>
      <c r="N116" s="17"/>
      <c r="O116" s="10"/>
      <c r="P116" s="10"/>
      <c r="Q116" s="10"/>
      <c r="R116" s="10"/>
      <c r="S116" s="10"/>
      <c r="T116" s="10"/>
    </row>
    <row r="117" spans="2:20" outlineLevel="1" x14ac:dyDescent="0.35">
      <c r="B117" s="15"/>
      <c r="C117" s="48"/>
      <c r="D117" s="106"/>
      <c r="E117" s="106"/>
      <c r="F117" s="106"/>
      <c r="G117" s="106"/>
      <c r="H117" s="107"/>
      <c r="I117" s="107"/>
      <c r="J117" s="107"/>
      <c r="K117" s="108"/>
      <c r="L117" s="111"/>
      <c r="M117" s="110"/>
      <c r="N117" s="17"/>
      <c r="O117" s="10"/>
      <c r="P117" s="10"/>
      <c r="Q117" s="10"/>
      <c r="R117" s="10"/>
      <c r="S117" s="10"/>
      <c r="T117" s="10"/>
    </row>
    <row r="118" spans="2:20" outlineLevel="1" x14ac:dyDescent="0.35">
      <c r="B118" s="15"/>
      <c r="C118" s="48"/>
      <c r="D118" s="106"/>
      <c r="E118" s="106"/>
      <c r="F118" s="106"/>
      <c r="G118" s="106"/>
      <c r="H118" s="107"/>
      <c r="I118" s="107"/>
      <c r="J118" s="107"/>
      <c r="K118" s="108"/>
      <c r="L118" s="111"/>
      <c r="M118" s="110"/>
      <c r="N118" s="17"/>
      <c r="O118" s="10"/>
      <c r="P118" s="10"/>
      <c r="Q118" s="10"/>
      <c r="R118" s="10"/>
      <c r="S118" s="10"/>
      <c r="T118" s="10"/>
    </row>
    <row r="119" spans="2:20" outlineLevel="1" x14ac:dyDescent="0.35">
      <c r="B119" s="15"/>
      <c r="C119" s="48"/>
      <c r="D119" s="106"/>
      <c r="E119" s="106"/>
      <c r="F119" s="106"/>
      <c r="G119" s="106"/>
      <c r="H119" s="107"/>
      <c r="I119" s="107"/>
      <c r="J119" s="107"/>
      <c r="K119" s="108"/>
      <c r="L119" s="111"/>
      <c r="M119" s="110"/>
      <c r="N119" s="17"/>
      <c r="O119" s="10"/>
      <c r="P119" s="10"/>
      <c r="Q119" s="10"/>
      <c r="R119" s="10"/>
      <c r="S119" s="10"/>
      <c r="T119" s="10"/>
    </row>
    <row r="120" spans="2:20" outlineLevel="1" x14ac:dyDescent="0.35">
      <c r="B120" s="15"/>
      <c r="C120" s="48"/>
      <c r="D120" s="106"/>
      <c r="E120" s="106"/>
      <c r="F120" s="106"/>
      <c r="G120" s="106"/>
      <c r="H120" s="107"/>
      <c r="I120" s="107"/>
      <c r="J120" s="107"/>
      <c r="K120" s="108"/>
      <c r="L120" s="111"/>
      <c r="M120" s="110"/>
      <c r="N120" s="17"/>
      <c r="O120" s="10"/>
      <c r="P120" s="10"/>
      <c r="Q120" s="10"/>
      <c r="R120" s="10"/>
      <c r="S120" s="10"/>
      <c r="T120" s="10"/>
    </row>
    <row r="121" spans="2:20" outlineLevel="1" x14ac:dyDescent="0.35">
      <c r="B121" s="15"/>
      <c r="C121" s="48"/>
      <c r="D121" s="106"/>
      <c r="E121" s="106"/>
      <c r="F121" s="106"/>
      <c r="G121" s="106"/>
      <c r="H121" s="107"/>
      <c r="I121" s="107"/>
      <c r="J121" s="107"/>
      <c r="K121" s="108"/>
      <c r="L121" s="111"/>
      <c r="M121" s="110"/>
      <c r="N121" s="17"/>
      <c r="O121" s="10"/>
      <c r="P121" s="10"/>
      <c r="Q121" s="10"/>
      <c r="R121" s="10"/>
      <c r="S121" s="10"/>
      <c r="T121" s="10"/>
    </row>
    <row r="122" spans="2:20" outlineLevel="1" x14ac:dyDescent="0.35">
      <c r="B122" s="15"/>
      <c r="C122" s="48"/>
      <c r="D122" s="106"/>
      <c r="E122" s="106"/>
      <c r="F122" s="106"/>
      <c r="G122" s="106"/>
      <c r="H122" s="107"/>
      <c r="I122" s="107"/>
      <c r="J122" s="107"/>
      <c r="K122" s="108"/>
      <c r="L122" s="111"/>
      <c r="M122" s="110"/>
      <c r="N122" s="17"/>
      <c r="O122" s="10"/>
      <c r="P122" s="10"/>
      <c r="Q122" s="10"/>
      <c r="R122" s="10"/>
      <c r="S122" s="10"/>
      <c r="T122" s="10"/>
    </row>
    <row r="123" spans="2:20" outlineLevel="1" x14ac:dyDescent="0.35">
      <c r="B123" s="15"/>
      <c r="C123" s="48"/>
      <c r="D123" s="106"/>
      <c r="E123" s="106"/>
      <c r="F123" s="106"/>
      <c r="G123" s="106"/>
      <c r="H123" s="107"/>
      <c r="I123" s="107"/>
      <c r="J123" s="107"/>
      <c r="K123" s="108"/>
      <c r="L123" s="111"/>
      <c r="M123" s="110"/>
      <c r="N123" s="17"/>
      <c r="O123" s="10"/>
      <c r="P123" s="10"/>
      <c r="Q123" s="10"/>
      <c r="R123" s="10"/>
      <c r="S123" s="10"/>
      <c r="T123" s="10"/>
    </row>
    <row r="124" spans="2:20" outlineLevel="1" x14ac:dyDescent="0.35">
      <c r="B124" s="15"/>
      <c r="C124" s="48"/>
      <c r="D124" s="106"/>
      <c r="E124" s="106"/>
      <c r="F124" s="106"/>
      <c r="G124" s="106"/>
      <c r="H124" s="107"/>
      <c r="I124" s="107"/>
      <c r="J124" s="107"/>
      <c r="K124" s="108"/>
      <c r="L124" s="111"/>
      <c r="M124" s="110"/>
      <c r="N124" s="17"/>
      <c r="O124" s="10"/>
      <c r="P124" s="10"/>
      <c r="Q124" s="10"/>
      <c r="R124" s="10"/>
      <c r="S124" s="10"/>
      <c r="T124" s="10"/>
    </row>
    <row r="125" spans="2:20" outlineLevel="1" x14ac:dyDescent="0.35">
      <c r="B125" s="15"/>
      <c r="C125" s="48"/>
      <c r="D125" s="106"/>
      <c r="E125" s="106"/>
      <c r="F125" s="106"/>
      <c r="G125" s="106"/>
      <c r="H125" s="107"/>
      <c r="I125" s="107"/>
      <c r="J125" s="107"/>
      <c r="K125" s="108"/>
      <c r="L125" s="111"/>
      <c r="M125" s="110"/>
      <c r="N125" s="17"/>
      <c r="O125" s="10"/>
      <c r="P125" s="10"/>
      <c r="Q125" s="10"/>
      <c r="R125" s="10"/>
      <c r="S125" s="10"/>
      <c r="T125" s="10"/>
    </row>
    <row r="126" spans="2:20" outlineLevel="1" x14ac:dyDescent="0.35">
      <c r="B126" s="15"/>
      <c r="C126" s="48"/>
      <c r="D126" s="106"/>
      <c r="E126" s="106"/>
      <c r="F126" s="106"/>
      <c r="G126" s="106"/>
      <c r="H126" s="107"/>
      <c r="I126" s="107"/>
      <c r="J126" s="107"/>
      <c r="K126" s="108"/>
      <c r="L126" s="111"/>
      <c r="M126" s="110"/>
      <c r="N126" s="17"/>
      <c r="O126" s="10"/>
      <c r="P126" s="10"/>
      <c r="Q126" s="10"/>
      <c r="R126" s="10"/>
      <c r="S126" s="10"/>
      <c r="T126" s="10"/>
    </row>
    <row r="127" spans="2:20" outlineLevel="1" x14ac:dyDescent="0.35">
      <c r="B127" s="15"/>
      <c r="C127" s="48"/>
      <c r="D127" s="106"/>
      <c r="E127" s="106"/>
      <c r="F127" s="106"/>
      <c r="G127" s="106"/>
      <c r="H127" s="107"/>
      <c r="I127" s="107"/>
      <c r="J127" s="107"/>
      <c r="K127" s="108"/>
      <c r="L127" s="111"/>
      <c r="M127" s="110"/>
      <c r="N127" s="17"/>
      <c r="O127" s="10"/>
      <c r="P127" s="10"/>
      <c r="Q127" s="10"/>
      <c r="R127" s="10"/>
      <c r="S127" s="10"/>
      <c r="T127" s="10"/>
    </row>
    <row r="128" spans="2:20" outlineLevel="1" x14ac:dyDescent="0.35">
      <c r="B128" s="15"/>
      <c r="C128" s="48"/>
      <c r="D128" s="106"/>
      <c r="E128" s="106"/>
      <c r="F128" s="106"/>
      <c r="G128" s="106"/>
      <c r="H128" s="107"/>
      <c r="I128" s="107"/>
      <c r="J128" s="107"/>
      <c r="K128" s="108"/>
      <c r="L128" s="111"/>
      <c r="M128" s="110"/>
      <c r="N128" s="17"/>
      <c r="O128" s="10"/>
      <c r="P128" s="10"/>
      <c r="Q128" s="10"/>
      <c r="R128" s="10"/>
      <c r="S128" s="10"/>
      <c r="T128" s="10"/>
    </row>
    <row r="129" spans="2:20" outlineLevel="1" x14ac:dyDescent="0.35">
      <c r="B129" s="15"/>
      <c r="C129" s="48"/>
      <c r="D129" s="106"/>
      <c r="E129" s="106"/>
      <c r="F129" s="106"/>
      <c r="G129" s="106"/>
      <c r="H129" s="107"/>
      <c r="I129" s="107"/>
      <c r="J129" s="107"/>
      <c r="K129" s="108"/>
      <c r="L129" s="111"/>
      <c r="M129" s="110"/>
      <c r="N129" s="17"/>
      <c r="O129" s="10"/>
      <c r="P129" s="10"/>
      <c r="Q129" s="10"/>
      <c r="R129" s="10"/>
      <c r="S129" s="10"/>
      <c r="T129" s="10"/>
    </row>
    <row r="130" spans="2:20" outlineLevel="1" x14ac:dyDescent="0.35">
      <c r="B130" s="15"/>
      <c r="C130" s="48"/>
      <c r="D130" s="106"/>
      <c r="E130" s="106"/>
      <c r="F130" s="106"/>
      <c r="G130" s="106"/>
      <c r="H130" s="107"/>
      <c r="I130" s="107"/>
      <c r="J130" s="107"/>
      <c r="K130" s="108"/>
      <c r="L130" s="111"/>
      <c r="M130" s="110"/>
      <c r="N130" s="17"/>
      <c r="O130" s="10"/>
      <c r="P130" s="10"/>
      <c r="Q130" s="10"/>
      <c r="R130" s="10"/>
      <c r="S130" s="10"/>
      <c r="T130" s="10"/>
    </row>
    <row r="131" spans="2:20" outlineLevel="1" x14ac:dyDescent="0.35">
      <c r="B131" s="15"/>
      <c r="C131" s="48"/>
      <c r="D131" s="106"/>
      <c r="E131" s="106"/>
      <c r="F131" s="106"/>
      <c r="G131" s="106"/>
      <c r="H131" s="107"/>
      <c r="I131" s="107"/>
      <c r="J131" s="107"/>
      <c r="K131" s="108"/>
      <c r="L131" s="111"/>
      <c r="M131" s="110"/>
      <c r="N131" s="17"/>
      <c r="O131" s="10"/>
      <c r="P131" s="10"/>
      <c r="Q131" s="10"/>
      <c r="R131" s="10"/>
      <c r="S131" s="10"/>
      <c r="T131" s="10"/>
    </row>
    <row r="132" spans="2:20" outlineLevel="1" x14ac:dyDescent="0.35">
      <c r="B132" s="15"/>
      <c r="C132" s="48"/>
      <c r="D132" s="106"/>
      <c r="E132" s="106"/>
      <c r="F132" s="106"/>
      <c r="G132" s="106"/>
      <c r="H132" s="107"/>
      <c r="I132" s="107"/>
      <c r="J132" s="107"/>
      <c r="K132" s="108"/>
      <c r="L132" s="111"/>
      <c r="M132" s="110"/>
      <c r="N132" s="17"/>
      <c r="O132" s="10"/>
      <c r="P132" s="10"/>
      <c r="Q132" s="10"/>
      <c r="R132" s="10"/>
      <c r="S132" s="10"/>
      <c r="T132" s="10"/>
    </row>
    <row r="133" spans="2:20" outlineLevel="1" x14ac:dyDescent="0.35">
      <c r="B133" s="15"/>
      <c r="C133" s="48"/>
      <c r="D133" s="106"/>
      <c r="E133" s="106"/>
      <c r="F133" s="106"/>
      <c r="G133" s="106"/>
      <c r="H133" s="107"/>
      <c r="I133" s="107"/>
      <c r="J133" s="107"/>
      <c r="K133" s="108"/>
      <c r="L133" s="111"/>
      <c r="M133" s="110"/>
      <c r="N133" s="17"/>
      <c r="O133" s="10"/>
      <c r="P133" s="10"/>
      <c r="Q133" s="10"/>
      <c r="R133" s="10"/>
      <c r="S133" s="10"/>
      <c r="T133" s="10"/>
    </row>
    <row r="134" spans="2:20" outlineLevel="1" x14ac:dyDescent="0.35">
      <c r="B134" s="15"/>
      <c r="C134" s="48"/>
      <c r="D134" s="106"/>
      <c r="E134" s="106"/>
      <c r="F134" s="106"/>
      <c r="G134" s="106"/>
      <c r="H134" s="107"/>
      <c r="I134" s="107"/>
      <c r="J134" s="107"/>
      <c r="K134" s="108"/>
      <c r="L134" s="111"/>
      <c r="M134" s="110"/>
      <c r="N134" s="17"/>
      <c r="O134" s="10"/>
      <c r="P134" s="10"/>
      <c r="Q134" s="10"/>
      <c r="R134" s="10"/>
      <c r="S134" s="10"/>
      <c r="T134" s="10"/>
    </row>
    <row r="135" spans="2:20" outlineLevel="1" x14ac:dyDescent="0.35">
      <c r="B135" s="15"/>
      <c r="C135" s="48"/>
      <c r="D135" s="106"/>
      <c r="E135" s="106"/>
      <c r="F135" s="106"/>
      <c r="G135" s="106"/>
      <c r="H135" s="107"/>
      <c r="I135" s="107"/>
      <c r="J135" s="107"/>
      <c r="K135" s="108"/>
      <c r="L135" s="111"/>
      <c r="M135" s="110"/>
      <c r="N135" s="17"/>
      <c r="O135" s="10"/>
      <c r="P135" s="10"/>
      <c r="Q135" s="10"/>
      <c r="R135" s="10"/>
      <c r="S135" s="10"/>
      <c r="T135" s="10"/>
    </row>
    <row r="136" spans="2:20" outlineLevel="1" x14ac:dyDescent="0.35">
      <c r="B136" s="15"/>
      <c r="C136" s="48"/>
      <c r="D136" s="106"/>
      <c r="E136" s="106"/>
      <c r="F136" s="106"/>
      <c r="G136" s="106"/>
      <c r="H136" s="107"/>
      <c r="I136" s="107"/>
      <c r="J136" s="107"/>
      <c r="K136" s="108"/>
      <c r="L136" s="111"/>
      <c r="M136" s="110"/>
      <c r="N136" s="17"/>
      <c r="O136" s="10"/>
      <c r="P136" s="10"/>
      <c r="Q136" s="10"/>
      <c r="R136" s="10"/>
      <c r="S136" s="10"/>
      <c r="T136" s="10"/>
    </row>
    <row r="137" spans="2:20" outlineLevel="1" x14ac:dyDescent="0.35">
      <c r="B137" s="15"/>
      <c r="C137" s="48"/>
      <c r="D137" s="106"/>
      <c r="E137" s="106"/>
      <c r="F137" s="106"/>
      <c r="G137" s="106"/>
      <c r="H137" s="107"/>
      <c r="I137" s="107"/>
      <c r="J137" s="107"/>
      <c r="K137" s="108"/>
      <c r="L137" s="111"/>
      <c r="M137" s="110"/>
      <c r="N137" s="17"/>
      <c r="O137" s="10"/>
      <c r="P137" s="10"/>
      <c r="Q137" s="10"/>
      <c r="R137" s="10"/>
      <c r="S137" s="10"/>
      <c r="T137" s="10"/>
    </row>
    <row r="138" spans="2:20" outlineLevel="1" x14ac:dyDescent="0.35">
      <c r="B138" s="15"/>
      <c r="C138" s="48"/>
      <c r="D138" s="106"/>
      <c r="E138" s="106"/>
      <c r="F138" s="106"/>
      <c r="G138" s="106"/>
      <c r="H138" s="107"/>
      <c r="I138" s="107"/>
      <c r="J138" s="107"/>
      <c r="K138" s="108"/>
      <c r="L138" s="111"/>
      <c r="M138" s="110"/>
      <c r="N138" s="17"/>
      <c r="O138" s="10"/>
      <c r="P138" s="10"/>
      <c r="Q138" s="10"/>
      <c r="R138" s="10"/>
      <c r="S138" s="10"/>
      <c r="T138" s="10"/>
    </row>
    <row r="139" spans="2:20" outlineLevel="1" x14ac:dyDescent="0.35">
      <c r="B139" s="15"/>
      <c r="C139" s="48"/>
      <c r="D139" s="106"/>
      <c r="E139" s="106"/>
      <c r="F139" s="106"/>
      <c r="G139" s="106"/>
      <c r="H139" s="107"/>
      <c r="I139" s="107"/>
      <c r="J139" s="107"/>
      <c r="K139" s="108"/>
      <c r="L139" s="111"/>
      <c r="M139" s="110"/>
      <c r="N139" s="17"/>
      <c r="O139" s="10"/>
      <c r="P139" s="10"/>
      <c r="Q139" s="10"/>
      <c r="R139" s="10"/>
      <c r="S139" s="10"/>
      <c r="T139" s="10"/>
    </row>
    <row r="140" spans="2:20" outlineLevel="1" x14ac:dyDescent="0.35">
      <c r="B140" s="15"/>
      <c r="C140" s="48"/>
      <c r="D140" s="106"/>
      <c r="E140" s="106"/>
      <c r="F140" s="106"/>
      <c r="G140" s="106"/>
      <c r="H140" s="107"/>
      <c r="I140" s="107"/>
      <c r="J140" s="107"/>
      <c r="K140" s="108"/>
      <c r="L140" s="111"/>
      <c r="M140" s="110"/>
      <c r="N140" s="17"/>
      <c r="O140" s="10"/>
      <c r="P140" s="10"/>
      <c r="Q140" s="10"/>
      <c r="R140" s="10"/>
      <c r="S140" s="10"/>
      <c r="T140" s="10"/>
    </row>
    <row r="141" spans="2:20" outlineLevel="1" x14ac:dyDescent="0.35">
      <c r="B141" s="15"/>
      <c r="C141" s="48"/>
      <c r="D141" s="106"/>
      <c r="E141" s="106"/>
      <c r="F141" s="106"/>
      <c r="G141" s="106"/>
      <c r="H141" s="107"/>
      <c r="I141" s="107"/>
      <c r="J141" s="107"/>
      <c r="K141" s="108"/>
      <c r="L141" s="111"/>
      <c r="M141" s="110"/>
      <c r="N141" s="17"/>
      <c r="O141" s="10"/>
      <c r="P141" s="10"/>
      <c r="Q141" s="10"/>
      <c r="R141" s="10"/>
      <c r="S141" s="10"/>
      <c r="T141" s="10"/>
    </row>
    <row r="142" spans="2:20" outlineLevel="1" x14ac:dyDescent="0.35">
      <c r="B142" s="15"/>
      <c r="C142" s="48"/>
      <c r="D142" s="106"/>
      <c r="E142" s="106"/>
      <c r="F142" s="106"/>
      <c r="G142" s="106"/>
      <c r="H142" s="107"/>
      <c r="I142" s="107"/>
      <c r="J142" s="107"/>
      <c r="K142" s="108"/>
      <c r="L142" s="111"/>
      <c r="M142" s="110"/>
      <c r="N142" s="17"/>
      <c r="O142" s="10"/>
      <c r="P142" s="10"/>
      <c r="Q142" s="10"/>
      <c r="R142" s="10"/>
      <c r="S142" s="10"/>
      <c r="T142" s="10"/>
    </row>
    <row r="143" spans="2:20" outlineLevel="1" x14ac:dyDescent="0.35">
      <c r="B143" s="15"/>
      <c r="C143" s="48"/>
      <c r="D143" s="106"/>
      <c r="E143" s="106"/>
      <c r="F143" s="106"/>
      <c r="G143" s="106"/>
      <c r="H143" s="107"/>
      <c r="I143" s="107"/>
      <c r="J143" s="107"/>
      <c r="K143" s="108"/>
      <c r="L143" s="111"/>
      <c r="M143" s="110"/>
      <c r="N143" s="17"/>
      <c r="O143" s="10"/>
      <c r="P143" s="10"/>
      <c r="Q143" s="10"/>
      <c r="R143" s="10"/>
      <c r="S143" s="10"/>
      <c r="T143" s="10"/>
    </row>
    <row r="144" spans="2:20" outlineLevel="1" x14ac:dyDescent="0.35">
      <c r="B144" s="15"/>
      <c r="C144" s="48"/>
      <c r="D144" s="106"/>
      <c r="E144" s="106"/>
      <c r="F144" s="106"/>
      <c r="G144" s="106"/>
      <c r="H144" s="107"/>
      <c r="I144" s="107"/>
      <c r="J144" s="107"/>
      <c r="K144" s="108"/>
      <c r="L144" s="111"/>
      <c r="M144" s="110"/>
      <c r="N144" s="17"/>
      <c r="O144" s="10"/>
      <c r="P144" s="10"/>
      <c r="Q144" s="10"/>
      <c r="R144" s="10"/>
      <c r="S144" s="10"/>
      <c r="T144" s="10"/>
    </row>
    <row r="145" spans="2:20" outlineLevel="1" x14ac:dyDescent="0.35">
      <c r="B145" s="15"/>
      <c r="C145" s="48"/>
      <c r="D145" s="106"/>
      <c r="E145" s="106"/>
      <c r="F145" s="106"/>
      <c r="G145" s="106"/>
      <c r="H145" s="107"/>
      <c r="I145" s="107"/>
      <c r="J145" s="107"/>
      <c r="K145" s="108"/>
      <c r="L145" s="111"/>
      <c r="M145" s="110"/>
      <c r="N145" s="17"/>
      <c r="O145" s="10"/>
      <c r="P145" s="10"/>
      <c r="Q145" s="10"/>
      <c r="R145" s="10"/>
      <c r="S145" s="10"/>
      <c r="T145" s="10"/>
    </row>
    <row r="146" spans="2:20" outlineLevel="1" x14ac:dyDescent="0.35">
      <c r="B146" s="15"/>
      <c r="C146" s="48"/>
      <c r="D146" s="106"/>
      <c r="E146" s="106"/>
      <c r="F146" s="106"/>
      <c r="G146" s="106"/>
      <c r="H146" s="107"/>
      <c r="I146" s="107"/>
      <c r="J146" s="107"/>
      <c r="K146" s="108"/>
      <c r="L146" s="111"/>
      <c r="M146" s="110"/>
      <c r="N146" s="17"/>
      <c r="O146" s="10"/>
      <c r="P146" s="10"/>
      <c r="Q146" s="10"/>
      <c r="R146" s="10"/>
      <c r="S146" s="10"/>
      <c r="T146" s="10"/>
    </row>
    <row r="147" spans="2:20" outlineLevel="1" x14ac:dyDescent="0.35">
      <c r="B147" s="15"/>
      <c r="C147" s="48"/>
      <c r="D147" s="106"/>
      <c r="E147" s="106"/>
      <c r="F147" s="106"/>
      <c r="G147" s="106"/>
      <c r="H147" s="107"/>
      <c r="I147" s="107"/>
      <c r="J147" s="107"/>
      <c r="K147" s="108"/>
      <c r="L147" s="111"/>
      <c r="M147" s="110"/>
      <c r="N147" s="17"/>
      <c r="O147" s="10"/>
      <c r="P147" s="10"/>
      <c r="Q147" s="10"/>
      <c r="R147" s="10"/>
      <c r="S147" s="10"/>
      <c r="T147" s="10"/>
    </row>
    <row r="148" spans="2:20" outlineLevel="1" x14ac:dyDescent="0.35">
      <c r="B148" s="15"/>
      <c r="C148" s="48"/>
      <c r="D148" s="106"/>
      <c r="E148" s="106"/>
      <c r="F148" s="106"/>
      <c r="G148" s="106"/>
      <c r="H148" s="107"/>
      <c r="I148" s="107"/>
      <c r="J148" s="107"/>
      <c r="K148" s="108"/>
      <c r="L148" s="111"/>
      <c r="M148" s="110"/>
      <c r="N148" s="17"/>
      <c r="O148" s="10"/>
      <c r="P148" s="10"/>
      <c r="Q148" s="10"/>
      <c r="R148" s="10"/>
      <c r="S148" s="10"/>
      <c r="T148" s="10"/>
    </row>
    <row r="149" spans="2:20" outlineLevel="1" x14ac:dyDescent="0.35">
      <c r="B149" s="15"/>
      <c r="C149" s="48"/>
      <c r="D149" s="106"/>
      <c r="E149" s="106"/>
      <c r="F149" s="106"/>
      <c r="G149" s="106"/>
      <c r="H149" s="107"/>
      <c r="I149" s="107"/>
      <c r="J149" s="107"/>
      <c r="K149" s="108"/>
      <c r="L149" s="111"/>
      <c r="M149" s="110"/>
      <c r="N149" s="17"/>
      <c r="O149" s="10"/>
      <c r="P149" s="10"/>
      <c r="Q149" s="10"/>
      <c r="R149" s="10"/>
      <c r="S149" s="10"/>
      <c r="T149" s="10"/>
    </row>
    <row r="150" spans="2:20" outlineLevel="1" x14ac:dyDescent="0.35">
      <c r="B150" s="15"/>
      <c r="C150" s="48"/>
      <c r="D150" s="106"/>
      <c r="E150" s="106"/>
      <c r="F150" s="106"/>
      <c r="G150" s="106"/>
      <c r="H150" s="107"/>
      <c r="I150" s="107"/>
      <c r="J150" s="107"/>
      <c r="K150" s="108"/>
      <c r="L150" s="111"/>
      <c r="M150" s="110"/>
      <c r="N150" s="17"/>
      <c r="O150" s="10"/>
      <c r="P150" s="10"/>
      <c r="Q150" s="10"/>
      <c r="R150" s="10"/>
      <c r="S150" s="10"/>
      <c r="T150" s="10"/>
    </row>
    <row r="151" spans="2:20" outlineLevel="1" x14ac:dyDescent="0.35">
      <c r="B151" s="15"/>
      <c r="C151" s="48"/>
      <c r="D151" s="106"/>
      <c r="E151" s="106"/>
      <c r="F151" s="106"/>
      <c r="G151" s="106"/>
      <c r="H151" s="107"/>
      <c r="I151" s="107"/>
      <c r="J151" s="107"/>
      <c r="K151" s="108"/>
      <c r="L151" s="111"/>
      <c r="M151" s="110"/>
      <c r="N151" s="17"/>
      <c r="O151" s="10"/>
      <c r="P151" s="10"/>
      <c r="Q151" s="10"/>
      <c r="R151" s="10"/>
      <c r="S151" s="10"/>
      <c r="T151" s="10"/>
    </row>
    <row r="152" spans="2:20" outlineLevel="1" x14ac:dyDescent="0.35">
      <c r="B152" s="15"/>
      <c r="C152" s="48"/>
      <c r="D152" s="106"/>
      <c r="E152" s="106"/>
      <c r="F152" s="106"/>
      <c r="G152" s="106"/>
      <c r="H152" s="107"/>
      <c r="I152" s="107"/>
      <c r="J152" s="107"/>
      <c r="K152" s="108"/>
      <c r="L152" s="111"/>
      <c r="M152" s="110"/>
      <c r="N152" s="17"/>
      <c r="O152" s="10"/>
      <c r="P152" s="10"/>
      <c r="Q152" s="10"/>
      <c r="R152" s="10"/>
      <c r="S152" s="10"/>
      <c r="T152" s="10"/>
    </row>
    <row r="153" spans="2:20" outlineLevel="1" x14ac:dyDescent="0.35">
      <c r="B153" s="15"/>
      <c r="C153" s="48"/>
      <c r="D153" s="106"/>
      <c r="E153" s="106"/>
      <c r="F153" s="106"/>
      <c r="G153" s="106"/>
      <c r="H153" s="107"/>
      <c r="I153" s="107"/>
      <c r="J153" s="107"/>
      <c r="K153" s="108"/>
      <c r="L153" s="111"/>
      <c r="M153" s="110"/>
      <c r="N153" s="17"/>
      <c r="O153" s="10"/>
      <c r="P153" s="10"/>
      <c r="Q153" s="10"/>
      <c r="R153" s="10"/>
      <c r="S153" s="10"/>
      <c r="T153" s="10"/>
    </row>
    <row r="154" spans="2:20" outlineLevel="1" x14ac:dyDescent="0.35">
      <c r="B154" s="15"/>
      <c r="C154" s="48"/>
      <c r="D154" s="106"/>
      <c r="E154" s="106"/>
      <c r="F154" s="106"/>
      <c r="G154" s="106"/>
      <c r="H154" s="107"/>
      <c r="I154" s="107"/>
      <c r="J154" s="107"/>
      <c r="K154" s="108"/>
      <c r="L154" s="111"/>
      <c r="M154" s="110"/>
      <c r="N154" s="17"/>
      <c r="O154" s="10"/>
      <c r="P154" s="10"/>
      <c r="Q154" s="10"/>
      <c r="R154" s="10"/>
      <c r="S154" s="10"/>
      <c r="T154" s="10"/>
    </row>
    <row r="155" spans="2:20" outlineLevel="1" x14ac:dyDescent="0.35">
      <c r="B155" s="15"/>
      <c r="C155" s="48"/>
      <c r="D155" s="106"/>
      <c r="E155" s="106"/>
      <c r="F155" s="106"/>
      <c r="G155" s="106"/>
      <c r="H155" s="107"/>
      <c r="I155" s="107"/>
      <c r="J155" s="107"/>
      <c r="K155" s="108"/>
      <c r="L155" s="111"/>
      <c r="M155" s="110"/>
      <c r="N155" s="17"/>
      <c r="O155" s="10"/>
      <c r="P155" s="10"/>
      <c r="Q155" s="10"/>
      <c r="R155" s="10"/>
      <c r="S155" s="10"/>
      <c r="T155" s="10"/>
    </row>
    <row r="156" spans="2:20" outlineLevel="1" x14ac:dyDescent="0.35">
      <c r="B156" s="15"/>
      <c r="C156" s="48"/>
      <c r="D156" s="106"/>
      <c r="E156" s="106"/>
      <c r="F156" s="106"/>
      <c r="G156" s="106"/>
      <c r="H156" s="107"/>
      <c r="I156" s="107"/>
      <c r="J156" s="107"/>
      <c r="K156" s="108"/>
      <c r="L156" s="111"/>
      <c r="M156" s="110"/>
      <c r="N156" s="17"/>
      <c r="O156" s="10"/>
      <c r="P156" s="10"/>
      <c r="Q156" s="10"/>
      <c r="R156" s="10"/>
      <c r="S156" s="10"/>
      <c r="T156" s="10"/>
    </row>
    <row r="157" spans="2:20" outlineLevel="1" x14ac:dyDescent="0.35">
      <c r="B157" s="15"/>
      <c r="C157" s="48"/>
      <c r="D157" s="106"/>
      <c r="E157" s="106"/>
      <c r="F157" s="106"/>
      <c r="G157" s="106"/>
      <c r="H157" s="107"/>
      <c r="I157" s="107"/>
      <c r="J157" s="107"/>
      <c r="K157" s="108"/>
      <c r="L157" s="111"/>
      <c r="M157" s="110"/>
      <c r="N157" s="17"/>
      <c r="O157" s="10"/>
      <c r="P157" s="10"/>
      <c r="Q157" s="10"/>
      <c r="R157" s="10"/>
      <c r="S157" s="10"/>
      <c r="T157" s="10"/>
    </row>
    <row r="158" spans="2:20" outlineLevel="1" x14ac:dyDescent="0.35">
      <c r="B158" s="15"/>
      <c r="C158" s="48"/>
      <c r="D158" s="106"/>
      <c r="E158" s="106"/>
      <c r="F158" s="106"/>
      <c r="G158" s="106"/>
      <c r="H158" s="107"/>
      <c r="I158" s="107"/>
      <c r="J158" s="107"/>
      <c r="K158" s="108"/>
      <c r="L158" s="111"/>
      <c r="M158" s="110"/>
      <c r="N158" s="17"/>
      <c r="O158" s="10"/>
      <c r="P158" s="10"/>
      <c r="Q158" s="10"/>
      <c r="R158" s="10"/>
      <c r="S158" s="10"/>
      <c r="T158" s="10"/>
    </row>
    <row r="159" spans="2:20" outlineLevel="1" x14ac:dyDescent="0.35">
      <c r="B159" s="15"/>
      <c r="C159" s="48"/>
      <c r="D159" s="106"/>
      <c r="E159" s="106"/>
      <c r="F159" s="106"/>
      <c r="G159" s="106"/>
      <c r="H159" s="107"/>
      <c r="I159" s="107"/>
      <c r="J159" s="107"/>
      <c r="K159" s="108"/>
      <c r="L159" s="111"/>
      <c r="M159" s="110"/>
      <c r="N159" s="17"/>
      <c r="O159" s="10"/>
      <c r="P159" s="10"/>
      <c r="Q159" s="10"/>
      <c r="R159" s="10"/>
      <c r="S159" s="10"/>
      <c r="T159" s="10"/>
    </row>
    <row r="160" spans="2:20" outlineLevel="1" x14ac:dyDescent="0.35">
      <c r="B160" s="15"/>
      <c r="C160" s="48"/>
      <c r="D160" s="106"/>
      <c r="E160" s="106"/>
      <c r="F160" s="106"/>
      <c r="G160" s="106"/>
      <c r="H160" s="107"/>
      <c r="I160" s="107"/>
      <c r="J160" s="107"/>
      <c r="K160" s="108"/>
      <c r="L160" s="111"/>
      <c r="M160" s="110"/>
      <c r="N160" s="17"/>
      <c r="O160" s="10"/>
      <c r="P160" s="10"/>
      <c r="Q160" s="10"/>
      <c r="R160" s="10"/>
      <c r="S160" s="10"/>
      <c r="T160" s="10"/>
    </row>
    <row r="161" spans="2:20" outlineLevel="1" x14ac:dyDescent="0.35">
      <c r="B161" s="15"/>
      <c r="C161" s="48"/>
      <c r="D161" s="106"/>
      <c r="E161" s="106"/>
      <c r="F161" s="106"/>
      <c r="G161" s="106"/>
      <c r="H161" s="107"/>
      <c r="I161" s="107"/>
      <c r="J161" s="107"/>
      <c r="K161" s="108"/>
      <c r="L161" s="111"/>
      <c r="M161" s="110"/>
      <c r="N161" s="17"/>
      <c r="O161" s="10"/>
      <c r="P161" s="10"/>
      <c r="Q161" s="10"/>
      <c r="R161" s="10"/>
      <c r="S161" s="10"/>
      <c r="T161" s="10"/>
    </row>
    <row r="162" spans="2:20" outlineLevel="1" x14ac:dyDescent="0.35">
      <c r="B162" s="15"/>
      <c r="C162" s="48"/>
      <c r="D162" s="106"/>
      <c r="E162" s="106"/>
      <c r="F162" s="106"/>
      <c r="G162" s="106"/>
      <c r="H162" s="107"/>
      <c r="I162" s="107"/>
      <c r="J162" s="107"/>
      <c r="K162" s="108"/>
      <c r="L162" s="111"/>
      <c r="M162" s="110"/>
      <c r="N162" s="17"/>
      <c r="O162" s="10"/>
      <c r="P162" s="10"/>
      <c r="Q162" s="10"/>
      <c r="R162" s="10"/>
      <c r="S162" s="10"/>
      <c r="T162" s="10"/>
    </row>
    <row r="163" spans="2:20" outlineLevel="1" x14ac:dyDescent="0.35">
      <c r="B163" s="15"/>
      <c r="C163" s="48"/>
      <c r="D163" s="106"/>
      <c r="E163" s="106"/>
      <c r="F163" s="106"/>
      <c r="G163" s="106"/>
      <c r="H163" s="107"/>
      <c r="I163" s="107"/>
      <c r="J163" s="107"/>
      <c r="K163" s="108"/>
      <c r="L163" s="111"/>
      <c r="M163" s="110"/>
      <c r="N163" s="17"/>
      <c r="O163" s="10"/>
      <c r="P163" s="10"/>
      <c r="Q163" s="10"/>
      <c r="R163" s="10"/>
      <c r="S163" s="10"/>
      <c r="T163" s="10"/>
    </row>
    <row r="164" spans="2:20" outlineLevel="1" x14ac:dyDescent="0.35">
      <c r="B164" s="15"/>
      <c r="C164" s="48"/>
      <c r="D164" s="106"/>
      <c r="E164" s="106"/>
      <c r="F164" s="106"/>
      <c r="G164" s="106"/>
      <c r="H164" s="107"/>
      <c r="I164" s="107"/>
      <c r="J164" s="107"/>
      <c r="K164" s="108"/>
      <c r="L164" s="111"/>
      <c r="M164" s="110"/>
      <c r="N164" s="17"/>
      <c r="O164" s="10"/>
      <c r="P164" s="10"/>
      <c r="Q164" s="10"/>
      <c r="R164" s="10"/>
      <c r="S164" s="10"/>
      <c r="T164" s="10"/>
    </row>
    <row r="165" spans="2:20" outlineLevel="1" x14ac:dyDescent="0.35">
      <c r="B165" s="15"/>
      <c r="C165" s="48"/>
      <c r="D165" s="106"/>
      <c r="E165" s="106"/>
      <c r="F165" s="106"/>
      <c r="G165" s="106"/>
      <c r="H165" s="107"/>
      <c r="I165" s="107"/>
      <c r="J165" s="107"/>
      <c r="K165" s="108"/>
      <c r="L165" s="111"/>
      <c r="M165" s="110"/>
      <c r="N165" s="17"/>
      <c r="O165" s="10"/>
      <c r="P165" s="10"/>
      <c r="Q165" s="10"/>
      <c r="R165" s="10"/>
      <c r="S165" s="10"/>
      <c r="T165" s="10"/>
    </row>
    <row r="166" spans="2:20" outlineLevel="1" x14ac:dyDescent="0.35">
      <c r="B166" s="15"/>
      <c r="C166" s="48"/>
      <c r="D166" s="106"/>
      <c r="E166" s="106"/>
      <c r="F166" s="106"/>
      <c r="G166" s="106"/>
      <c r="H166" s="107"/>
      <c r="I166" s="107"/>
      <c r="J166" s="107"/>
      <c r="K166" s="108"/>
      <c r="L166" s="111"/>
      <c r="M166" s="110"/>
      <c r="N166" s="17"/>
      <c r="O166" s="10"/>
      <c r="P166" s="10"/>
      <c r="Q166" s="10"/>
      <c r="R166" s="10"/>
      <c r="S166" s="10"/>
      <c r="T166" s="10"/>
    </row>
    <row r="167" spans="2:20" outlineLevel="1" x14ac:dyDescent="0.35">
      <c r="B167" s="15"/>
      <c r="C167" s="48"/>
      <c r="D167" s="106"/>
      <c r="E167" s="106"/>
      <c r="F167" s="106"/>
      <c r="G167" s="106"/>
      <c r="H167" s="107"/>
      <c r="I167" s="107"/>
      <c r="J167" s="107"/>
      <c r="K167" s="108"/>
      <c r="L167" s="111"/>
      <c r="M167" s="110"/>
      <c r="N167" s="17"/>
      <c r="O167" s="10"/>
      <c r="P167" s="10"/>
      <c r="Q167" s="10"/>
      <c r="R167" s="10"/>
      <c r="S167" s="10"/>
      <c r="T167" s="10"/>
    </row>
    <row r="168" spans="2:20" outlineLevel="1" x14ac:dyDescent="0.35">
      <c r="B168" s="15"/>
      <c r="C168" s="48"/>
      <c r="D168" s="106"/>
      <c r="E168" s="106"/>
      <c r="F168" s="106"/>
      <c r="G168" s="106"/>
      <c r="H168" s="107"/>
      <c r="I168" s="107"/>
      <c r="J168" s="107"/>
      <c r="K168" s="108"/>
      <c r="L168" s="111"/>
      <c r="M168" s="110"/>
      <c r="N168" s="17"/>
      <c r="O168" s="10"/>
      <c r="P168" s="10"/>
      <c r="Q168" s="10"/>
      <c r="R168" s="10"/>
      <c r="S168" s="10"/>
      <c r="T168" s="10"/>
    </row>
    <row r="169" spans="2:20" outlineLevel="1" x14ac:dyDescent="0.35">
      <c r="B169" s="15"/>
      <c r="C169" s="48"/>
      <c r="D169" s="106"/>
      <c r="E169" s="106"/>
      <c r="F169" s="106"/>
      <c r="G169" s="106"/>
      <c r="H169" s="107"/>
      <c r="I169" s="107"/>
      <c r="J169" s="107"/>
      <c r="K169" s="108"/>
      <c r="L169" s="111"/>
      <c r="M169" s="110"/>
      <c r="N169" s="17"/>
      <c r="O169" s="10"/>
      <c r="P169" s="10"/>
      <c r="Q169" s="10"/>
      <c r="R169" s="10"/>
      <c r="S169" s="10"/>
      <c r="T169" s="10"/>
    </row>
    <row r="170" spans="2:20" outlineLevel="1" x14ac:dyDescent="0.35">
      <c r="B170" s="15"/>
      <c r="C170" s="48"/>
      <c r="D170" s="106"/>
      <c r="E170" s="106"/>
      <c r="F170" s="106"/>
      <c r="G170" s="106"/>
      <c r="H170" s="107"/>
      <c r="I170" s="107"/>
      <c r="J170" s="107"/>
      <c r="K170" s="108"/>
      <c r="L170" s="111"/>
      <c r="M170" s="110"/>
      <c r="N170" s="17"/>
      <c r="O170" s="10"/>
      <c r="P170" s="10"/>
      <c r="Q170" s="10"/>
      <c r="R170" s="10"/>
      <c r="S170" s="10"/>
      <c r="T170" s="10"/>
    </row>
    <row r="171" spans="2:20" outlineLevel="1" x14ac:dyDescent="0.35">
      <c r="B171" s="15"/>
      <c r="C171" s="48"/>
      <c r="D171" s="106"/>
      <c r="E171" s="106"/>
      <c r="F171" s="106"/>
      <c r="G171" s="106"/>
      <c r="H171" s="107"/>
      <c r="I171" s="107"/>
      <c r="J171" s="107"/>
      <c r="K171" s="108"/>
      <c r="L171" s="111"/>
      <c r="M171" s="110"/>
      <c r="N171" s="17"/>
      <c r="O171" s="10"/>
      <c r="P171" s="10"/>
      <c r="Q171" s="10"/>
      <c r="R171" s="10"/>
      <c r="S171" s="10"/>
      <c r="T171" s="10"/>
    </row>
    <row r="172" spans="2:20" outlineLevel="1" x14ac:dyDescent="0.35">
      <c r="B172" s="15"/>
      <c r="C172" s="48"/>
      <c r="D172" s="106"/>
      <c r="E172" s="106"/>
      <c r="F172" s="106"/>
      <c r="G172" s="106"/>
      <c r="H172" s="107"/>
      <c r="I172" s="107"/>
      <c r="J172" s="107"/>
      <c r="K172" s="108"/>
      <c r="L172" s="111"/>
      <c r="M172" s="110"/>
      <c r="N172" s="17"/>
      <c r="O172" s="10"/>
      <c r="P172" s="10"/>
      <c r="Q172" s="10"/>
      <c r="R172" s="10"/>
      <c r="S172" s="10"/>
      <c r="T172" s="10"/>
    </row>
    <row r="173" spans="2:20" outlineLevel="1" x14ac:dyDescent="0.35">
      <c r="B173" s="15"/>
      <c r="C173" s="48"/>
      <c r="D173" s="106"/>
      <c r="E173" s="106"/>
      <c r="F173" s="106"/>
      <c r="G173" s="106"/>
      <c r="H173" s="107"/>
      <c r="I173" s="107"/>
      <c r="J173" s="107"/>
      <c r="K173" s="108"/>
      <c r="L173" s="111"/>
      <c r="M173" s="110"/>
      <c r="N173" s="17"/>
      <c r="O173" s="10"/>
      <c r="P173" s="10"/>
      <c r="Q173" s="10"/>
      <c r="R173" s="10"/>
      <c r="S173" s="10"/>
      <c r="T173" s="10"/>
    </row>
    <row r="174" spans="2:20" outlineLevel="1" x14ac:dyDescent="0.35">
      <c r="B174" s="15"/>
      <c r="C174" s="48"/>
      <c r="D174" s="106"/>
      <c r="E174" s="106"/>
      <c r="F174" s="106"/>
      <c r="G174" s="106"/>
      <c r="H174" s="107"/>
      <c r="I174" s="107"/>
      <c r="J174" s="107"/>
      <c r="K174" s="108"/>
      <c r="L174" s="111"/>
      <c r="M174" s="110"/>
      <c r="N174" s="17"/>
      <c r="O174" s="10"/>
      <c r="P174" s="10"/>
      <c r="Q174" s="10"/>
      <c r="R174" s="10"/>
      <c r="S174" s="10"/>
      <c r="T174" s="10"/>
    </row>
    <row r="175" spans="2:20" outlineLevel="1" x14ac:dyDescent="0.35">
      <c r="B175" s="15"/>
      <c r="C175" s="48"/>
      <c r="D175" s="106"/>
      <c r="E175" s="106"/>
      <c r="F175" s="106"/>
      <c r="G175" s="106"/>
      <c r="H175" s="107"/>
      <c r="I175" s="107"/>
      <c r="J175" s="107"/>
      <c r="K175" s="108"/>
      <c r="L175" s="111"/>
      <c r="M175" s="110"/>
      <c r="N175" s="17"/>
      <c r="O175" s="10"/>
      <c r="P175" s="10"/>
      <c r="Q175" s="10"/>
      <c r="R175" s="10"/>
      <c r="S175" s="10"/>
      <c r="T175" s="10"/>
    </row>
    <row r="176" spans="2:20" outlineLevel="1" x14ac:dyDescent="0.35">
      <c r="B176" s="15"/>
      <c r="C176" s="48"/>
      <c r="D176" s="106"/>
      <c r="E176" s="106"/>
      <c r="F176" s="106"/>
      <c r="G176" s="106"/>
      <c r="H176" s="107"/>
      <c r="I176" s="107"/>
      <c r="J176" s="107"/>
      <c r="K176" s="108"/>
      <c r="L176" s="111"/>
      <c r="M176" s="110"/>
      <c r="N176" s="17"/>
      <c r="O176" s="10"/>
      <c r="P176" s="10"/>
      <c r="Q176" s="10"/>
      <c r="R176" s="10"/>
      <c r="S176" s="10"/>
      <c r="T176" s="10"/>
    </row>
    <row r="177" spans="2:20" outlineLevel="1" x14ac:dyDescent="0.35">
      <c r="B177" s="15"/>
      <c r="C177" s="48"/>
      <c r="D177" s="106"/>
      <c r="E177" s="106"/>
      <c r="F177" s="106"/>
      <c r="G177" s="106"/>
      <c r="H177" s="107"/>
      <c r="I177" s="107"/>
      <c r="J177" s="107"/>
      <c r="K177" s="108"/>
      <c r="L177" s="111"/>
      <c r="M177" s="110"/>
      <c r="N177" s="17"/>
      <c r="O177" s="10"/>
      <c r="P177" s="10"/>
      <c r="Q177" s="10"/>
      <c r="R177" s="10"/>
      <c r="S177" s="10"/>
      <c r="T177" s="10"/>
    </row>
    <row r="178" spans="2:20" outlineLevel="1" x14ac:dyDescent="0.35">
      <c r="B178" s="15"/>
      <c r="C178" s="48"/>
      <c r="D178" s="106"/>
      <c r="E178" s="106"/>
      <c r="F178" s="106"/>
      <c r="G178" s="106"/>
      <c r="H178" s="107"/>
      <c r="I178" s="107"/>
      <c r="J178" s="107"/>
      <c r="K178" s="108"/>
      <c r="L178" s="111"/>
      <c r="M178" s="110"/>
      <c r="N178" s="17"/>
      <c r="O178" s="10"/>
      <c r="P178" s="10"/>
      <c r="Q178" s="10"/>
      <c r="R178" s="10"/>
      <c r="S178" s="10"/>
      <c r="T178" s="10"/>
    </row>
    <row r="179" spans="2:20" outlineLevel="1" x14ac:dyDescent="0.35">
      <c r="B179" s="15"/>
      <c r="C179" s="48"/>
      <c r="D179" s="106"/>
      <c r="E179" s="106"/>
      <c r="F179" s="106"/>
      <c r="G179" s="106"/>
      <c r="H179" s="107"/>
      <c r="I179" s="107"/>
      <c r="J179" s="107"/>
      <c r="K179" s="108"/>
      <c r="L179" s="111"/>
      <c r="M179" s="110"/>
      <c r="N179" s="17"/>
      <c r="O179" s="10"/>
      <c r="P179" s="10"/>
      <c r="Q179" s="10"/>
      <c r="R179" s="10"/>
      <c r="S179" s="10"/>
      <c r="T179" s="10"/>
    </row>
    <row r="180" spans="2:20" outlineLevel="1" x14ac:dyDescent="0.35">
      <c r="B180" s="15"/>
      <c r="C180" s="48"/>
      <c r="D180" s="106"/>
      <c r="E180" s="106"/>
      <c r="F180" s="106"/>
      <c r="G180" s="106"/>
      <c r="H180" s="107"/>
      <c r="I180" s="107"/>
      <c r="J180" s="107"/>
      <c r="K180" s="108"/>
      <c r="L180" s="111"/>
      <c r="M180" s="110"/>
      <c r="N180" s="17"/>
      <c r="O180" s="10"/>
      <c r="P180" s="10"/>
      <c r="Q180" s="10"/>
      <c r="R180" s="10"/>
      <c r="S180" s="10"/>
      <c r="T180" s="10"/>
    </row>
    <row r="181" spans="2:20" outlineLevel="1" x14ac:dyDescent="0.35">
      <c r="B181" s="15"/>
      <c r="C181" s="48"/>
      <c r="D181" s="106"/>
      <c r="E181" s="106"/>
      <c r="F181" s="106"/>
      <c r="G181" s="106"/>
      <c r="H181" s="107"/>
      <c r="I181" s="107"/>
      <c r="J181" s="107"/>
      <c r="K181" s="108"/>
      <c r="L181" s="111"/>
      <c r="M181" s="110"/>
      <c r="N181" s="17"/>
      <c r="O181" s="10"/>
      <c r="P181" s="10"/>
      <c r="Q181" s="10"/>
      <c r="R181" s="10"/>
      <c r="S181" s="10"/>
      <c r="T181" s="10"/>
    </row>
    <row r="182" spans="2:20" outlineLevel="1" x14ac:dyDescent="0.35">
      <c r="B182" s="15"/>
      <c r="C182" s="48"/>
      <c r="D182" s="106"/>
      <c r="E182" s="106"/>
      <c r="F182" s="106"/>
      <c r="G182" s="106"/>
      <c r="H182" s="107"/>
      <c r="I182" s="107"/>
      <c r="J182" s="107"/>
      <c r="K182" s="108"/>
      <c r="L182" s="111"/>
      <c r="M182" s="110"/>
      <c r="N182" s="17"/>
      <c r="O182" s="10"/>
      <c r="P182" s="10"/>
      <c r="Q182" s="10"/>
      <c r="R182" s="10"/>
      <c r="S182" s="10"/>
      <c r="T182" s="10"/>
    </row>
    <row r="183" spans="2:20" outlineLevel="1" x14ac:dyDescent="0.35">
      <c r="B183" s="15"/>
      <c r="C183" s="48"/>
      <c r="D183" s="106"/>
      <c r="E183" s="106"/>
      <c r="F183" s="106"/>
      <c r="G183" s="106"/>
      <c r="H183" s="107"/>
      <c r="I183" s="107"/>
      <c r="J183" s="107"/>
      <c r="K183" s="108"/>
      <c r="L183" s="111"/>
      <c r="M183" s="110"/>
      <c r="N183" s="17"/>
      <c r="O183" s="10"/>
      <c r="P183" s="10"/>
      <c r="Q183" s="10"/>
      <c r="R183" s="10"/>
      <c r="S183" s="10"/>
      <c r="T183" s="10"/>
    </row>
    <row r="184" spans="2:20" outlineLevel="1" x14ac:dyDescent="0.35">
      <c r="B184" s="15"/>
      <c r="C184" s="48"/>
      <c r="D184" s="106"/>
      <c r="E184" s="106"/>
      <c r="F184" s="106"/>
      <c r="G184" s="106"/>
      <c r="H184" s="107"/>
      <c r="I184" s="107"/>
      <c r="J184" s="107"/>
      <c r="K184" s="108"/>
      <c r="L184" s="111"/>
      <c r="M184" s="110"/>
      <c r="N184" s="17"/>
      <c r="O184" s="10"/>
      <c r="P184" s="10"/>
      <c r="Q184" s="10"/>
      <c r="R184" s="10"/>
      <c r="S184" s="10"/>
      <c r="T184" s="10"/>
    </row>
    <row r="185" spans="2:20" outlineLevel="1" x14ac:dyDescent="0.35">
      <c r="B185" s="15"/>
      <c r="C185" s="48"/>
      <c r="D185" s="106"/>
      <c r="E185" s="106"/>
      <c r="F185" s="106"/>
      <c r="G185" s="106"/>
      <c r="H185" s="107"/>
      <c r="I185" s="107"/>
      <c r="J185" s="107"/>
      <c r="K185" s="108"/>
      <c r="L185" s="111"/>
      <c r="M185" s="110"/>
      <c r="N185" s="17"/>
      <c r="O185" s="10"/>
      <c r="P185" s="10"/>
      <c r="Q185" s="10"/>
      <c r="R185" s="10"/>
      <c r="S185" s="10"/>
      <c r="T185" s="10"/>
    </row>
    <row r="186" spans="2:20" outlineLevel="1" x14ac:dyDescent="0.35">
      <c r="B186" s="15"/>
      <c r="C186" s="48"/>
      <c r="D186" s="106"/>
      <c r="E186" s="106"/>
      <c r="F186" s="106"/>
      <c r="G186" s="106"/>
      <c r="H186" s="107"/>
      <c r="I186" s="107"/>
      <c r="J186" s="107"/>
      <c r="K186" s="108"/>
      <c r="L186" s="111"/>
      <c r="M186" s="110"/>
      <c r="N186" s="17"/>
      <c r="O186" s="10"/>
      <c r="P186" s="10"/>
      <c r="Q186" s="10"/>
      <c r="R186" s="10"/>
      <c r="S186" s="10"/>
      <c r="T186" s="10"/>
    </row>
    <row r="187" spans="2:20" outlineLevel="1" x14ac:dyDescent="0.35">
      <c r="B187" s="15"/>
      <c r="C187" s="48"/>
      <c r="D187" s="106"/>
      <c r="E187" s="106"/>
      <c r="F187" s="106"/>
      <c r="G187" s="106"/>
      <c r="H187" s="107"/>
      <c r="I187" s="107"/>
      <c r="J187" s="107"/>
      <c r="K187" s="108"/>
      <c r="L187" s="111"/>
      <c r="M187" s="110"/>
      <c r="N187" s="17"/>
      <c r="O187" s="10"/>
      <c r="P187" s="10"/>
      <c r="Q187" s="10"/>
      <c r="R187" s="10"/>
      <c r="S187" s="10"/>
      <c r="T187" s="10"/>
    </row>
    <row r="188" spans="2:20" outlineLevel="1" x14ac:dyDescent="0.35">
      <c r="B188" s="15"/>
      <c r="C188" s="48"/>
      <c r="D188" s="106"/>
      <c r="E188" s="106"/>
      <c r="F188" s="106"/>
      <c r="G188" s="106"/>
      <c r="H188" s="107"/>
      <c r="I188" s="107"/>
      <c r="J188" s="107"/>
      <c r="K188" s="108"/>
      <c r="L188" s="111"/>
      <c r="M188" s="110"/>
      <c r="N188" s="17"/>
      <c r="O188" s="10"/>
      <c r="P188" s="10"/>
      <c r="Q188" s="10"/>
      <c r="R188" s="10"/>
      <c r="S188" s="10"/>
      <c r="T188" s="10"/>
    </row>
    <row r="189" spans="2:20" outlineLevel="1" x14ac:dyDescent="0.35">
      <c r="B189" s="15"/>
      <c r="C189" s="48"/>
      <c r="D189" s="106"/>
      <c r="E189" s="106"/>
      <c r="F189" s="106"/>
      <c r="G189" s="106"/>
      <c r="H189" s="107"/>
      <c r="I189" s="107"/>
      <c r="J189" s="107"/>
      <c r="K189" s="108"/>
      <c r="L189" s="111"/>
      <c r="M189" s="110"/>
      <c r="N189" s="17"/>
      <c r="O189" s="10"/>
      <c r="P189" s="10"/>
      <c r="Q189" s="10"/>
      <c r="R189" s="10"/>
      <c r="S189" s="10"/>
      <c r="T189" s="10"/>
    </row>
    <row r="190" spans="2:20" outlineLevel="1" x14ac:dyDescent="0.35">
      <c r="B190" s="15"/>
      <c r="C190" s="48"/>
      <c r="D190" s="106"/>
      <c r="E190" s="106"/>
      <c r="F190" s="106"/>
      <c r="G190" s="106"/>
      <c r="H190" s="107"/>
      <c r="I190" s="107"/>
      <c r="J190" s="107"/>
      <c r="K190" s="108"/>
      <c r="L190" s="111"/>
      <c r="M190" s="110"/>
      <c r="N190" s="17"/>
      <c r="O190" s="10"/>
      <c r="P190" s="10"/>
      <c r="Q190" s="10"/>
      <c r="R190" s="10"/>
      <c r="S190" s="10"/>
      <c r="T190" s="10"/>
    </row>
    <row r="191" spans="2:20" outlineLevel="1" x14ac:dyDescent="0.35">
      <c r="B191" s="15"/>
      <c r="C191" s="48"/>
      <c r="D191" s="106"/>
      <c r="E191" s="106"/>
      <c r="F191" s="106"/>
      <c r="G191" s="106"/>
      <c r="H191" s="107"/>
      <c r="I191" s="107"/>
      <c r="J191" s="107"/>
      <c r="K191" s="108"/>
      <c r="L191" s="111"/>
      <c r="M191" s="110"/>
      <c r="N191" s="17"/>
      <c r="O191" s="10"/>
      <c r="P191" s="10"/>
      <c r="Q191" s="10"/>
      <c r="R191" s="10"/>
      <c r="S191" s="10"/>
      <c r="T191" s="10"/>
    </row>
    <row r="192" spans="2:20" outlineLevel="1" x14ac:dyDescent="0.35">
      <c r="B192" s="15"/>
      <c r="C192" s="48"/>
      <c r="D192" s="106"/>
      <c r="E192" s="106"/>
      <c r="F192" s="106"/>
      <c r="G192" s="106"/>
      <c r="H192" s="107"/>
      <c r="I192" s="107"/>
      <c r="J192" s="107"/>
      <c r="K192" s="108"/>
      <c r="L192" s="111"/>
      <c r="M192" s="110"/>
      <c r="N192" s="17"/>
      <c r="O192" s="10"/>
      <c r="P192" s="10"/>
      <c r="Q192" s="10"/>
      <c r="R192" s="10"/>
      <c r="S192" s="10"/>
      <c r="T192" s="10"/>
    </row>
    <row r="193" spans="2:20" outlineLevel="1" x14ac:dyDescent="0.35">
      <c r="B193" s="15"/>
      <c r="C193" s="48"/>
      <c r="D193" s="106"/>
      <c r="E193" s="106"/>
      <c r="F193" s="106"/>
      <c r="G193" s="106"/>
      <c r="H193" s="107"/>
      <c r="I193" s="107"/>
      <c r="J193" s="107"/>
      <c r="K193" s="108"/>
      <c r="L193" s="111"/>
      <c r="M193" s="110"/>
      <c r="N193" s="17"/>
      <c r="O193" s="10"/>
      <c r="P193" s="10"/>
      <c r="Q193" s="10"/>
      <c r="R193" s="10"/>
      <c r="S193" s="10"/>
      <c r="T193" s="10"/>
    </row>
    <row r="194" spans="2:20" outlineLevel="1" x14ac:dyDescent="0.35">
      <c r="B194" s="15"/>
      <c r="C194" s="48"/>
      <c r="D194" s="106"/>
      <c r="E194" s="106"/>
      <c r="F194" s="106"/>
      <c r="G194" s="106"/>
      <c r="H194" s="107"/>
      <c r="I194" s="107"/>
      <c r="J194" s="107"/>
      <c r="K194" s="108"/>
      <c r="L194" s="111"/>
      <c r="M194" s="110"/>
      <c r="N194" s="17"/>
      <c r="O194" s="10"/>
      <c r="P194" s="10"/>
      <c r="Q194" s="10"/>
      <c r="R194" s="10"/>
      <c r="S194" s="10"/>
      <c r="T194" s="10"/>
    </row>
    <row r="195" spans="2:20" outlineLevel="1" x14ac:dyDescent="0.35">
      <c r="B195" s="15"/>
      <c r="C195" s="48"/>
      <c r="D195" s="106"/>
      <c r="E195" s="106"/>
      <c r="F195" s="106"/>
      <c r="G195" s="106"/>
      <c r="H195" s="107"/>
      <c r="I195" s="107"/>
      <c r="J195" s="107"/>
      <c r="K195" s="108"/>
      <c r="L195" s="111"/>
      <c r="M195" s="110"/>
      <c r="N195" s="17"/>
      <c r="O195" s="10"/>
      <c r="P195" s="10"/>
      <c r="Q195" s="10"/>
      <c r="R195" s="10"/>
      <c r="S195" s="10"/>
      <c r="T195" s="10"/>
    </row>
    <row r="196" spans="2:20" outlineLevel="1" x14ac:dyDescent="0.35">
      <c r="B196" s="15"/>
      <c r="C196" s="48"/>
      <c r="D196" s="106"/>
      <c r="E196" s="106"/>
      <c r="F196" s="106"/>
      <c r="G196" s="106"/>
      <c r="H196" s="107"/>
      <c r="I196" s="107"/>
      <c r="J196" s="107"/>
      <c r="K196" s="108"/>
      <c r="L196" s="111"/>
      <c r="M196" s="110"/>
      <c r="N196" s="17"/>
      <c r="O196" s="10"/>
      <c r="P196" s="10"/>
      <c r="Q196" s="10"/>
      <c r="R196" s="10"/>
      <c r="S196" s="10"/>
      <c r="T196" s="10"/>
    </row>
    <row r="197" spans="2:20" outlineLevel="1" x14ac:dyDescent="0.35">
      <c r="B197" s="15"/>
      <c r="C197" s="48"/>
      <c r="D197" s="106"/>
      <c r="E197" s="106"/>
      <c r="F197" s="106"/>
      <c r="G197" s="106"/>
      <c r="H197" s="107"/>
      <c r="I197" s="107"/>
      <c r="J197" s="107"/>
      <c r="K197" s="108"/>
      <c r="L197" s="111"/>
      <c r="M197" s="110"/>
      <c r="N197" s="17"/>
      <c r="O197" s="10"/>
      <c r="P197" s="10"/>
      <c r="Q197" s="10"/>
      <c r="R197" s="10"/>
      <c r="S197" s="10"/>
      <c r="T197" s="10"/>
    </row>
    <row r="198" spans="2:20" outlineLevel="1" x14ac:dyDescent="0.35">
      <c r="B198" s="15"/>
      <c r="C198" s="48"/>
      <c r="D198" s="106"/>
      <c r="E198" s="106"/>
      <c r="F198" s="106"/>
      <c r="G198" s="106"/>
      <c r="H198" s="107"/>
      <c r="I198" s="107"/>
      <c r="J198" s="107"/>
      <c r="K198" s="108"/>
      <c r="L198" s="111"/>
      <c r="M198" s="110"/>
      <c r="N198" s="17"/>
      <c r="O198" s="10"/>
      <c r="P198" s="10"/>
      <c r="Q198" s="10"/>
      <c r="R198" s="10"/>
      <c r="S198" s="10"/>
      <c r="T198" s="10"/>
    </row>
    <row r="199" spans="2:20" outlineLevel="1" x14ac:dyDescent="0.35">
      <c r="B199" s="15"/>
      <c r="C199" s="48"/>
      <c r="D199" s="106"/>
      <c r="E199" s="106"/>
      <c r="F199" s="106"/>
      <c r="G199" s="106"/>
      <c r="H199" s="107"/>
      <c r="I199" s="107"/>
      <c r="J199" s="107"/>
      <c r="K199" s="108"/>
      <c r="L199" s="111"/>
      <c r="M199" s="110"/>
      <c r="N199" s="17"/>
      <c r="O199" s="10"/>
      <c r="P199" s="10"/>
      <c r="Q199" s="10"/>
      <c r="R199" s="10"/>
      <c r="S199" s="10"/>
      <c r="T199" s="10"/>
    </row>
    <row r="200" spans="2:20" outlineLevel="1" x14ac:dyDescent="0.35">
      <c r="B200" s="15"/>
      <c r="C200" s="48"/>
      <c r="D200" s="106"/>
      <c r="E200" s="106"/>
      <c r="F200" s="106"/>
      <c r="G200" s="106"/>
      <c r="H200" s="107"/>
      <c r="I200" s="107"/>
      <c r="J200" s="107"/>
      <c r="K200" s="108"/>
      <c r="L200" s="111"/>
      <c r="M200" s="110"/>
      <c r="N200" s="17"/>
      <c r="O200" s="10"/>
      <c r="P200" s="10"/>
      <c r="Q200" s="10"/>
      <c r="R200" s="10"/>
      <c r="S200" s="10"/>
      <c r="T200" s="10"/>
    </row>
    <row r="201" spans="2:20" outlineLevel="1" x14ac:dyDescent="0.35">
      <c r="B201" s="15"/>
      <c r="C201" s="48"/>
      <c r="D201" s="106"/>
      <c r="E201" s="106"/>
      <c r="F201" s="106"/>
      <c r="G201" s="106"/>
      <c r="H201" s="107"/>
      <c r="I201" s="107"/>
      <c r="J201" s="107"/>
      <c r="K201" s="108"/>
      <c r="L201" s="111"/>
      <c r="M201" s="110"/>
      <c r="N201" s="17"/>
      <c r="O201" s="10"/>
      <c r="P201" s="10"/>
      <c r="Q201" s="10"/>
      <c r="R201" s="10"/>
      <c r="S201" s="10"/>
      <c r="T201" s="10"/>
    </row>
    <row r="202" spans="2:20" outlineLevel="1" x14ac:dyDescent="0.35">
      <c r="B202" s="15"/>
      <c r="C202" s="48"/>
      <c r="D202" s="106"/>
      <c r="E202" s="106"/>
      <c r="F202" s="106"/>
      <c r="G202" s="106"/>
      <c r="H202" s="107"/>
      <c r="I202" s="107"/>
      <c r="J202" s="107"/>
      <c r="K202" s="108"/>
      <c r="L202" s="111"/>
      <c r="M202" s="110"/>
      <c r="N202" s="17"/>
      <c r="O202" s="10"/>
      <c r="P202" s="10"/>
      <c r="Q202" s="10"/>
      <c r="R202" s="10"/>
      <c r="S202" s="10"/>
      <c r="T202" s="10"/>
    </row>
    <row r="203" spans="2:20" outlineLevel="1" x14ac:dyDescent="0.35">
      <c r="B203" s="15"/>
      <c r="C203" s="48"/>
      <c r="D203" s="106"/>
      <c r="E203" s="106"/>
      <c r="F203" s="106"/>
      <c r="G203" s="106"/>
      <c r="H203" s="107"/>
      <c r="I203" s="107"/>
      <c r="J203" s="107"/>
      <c r="K203" s="108"/>
      <c r="L203" s="111"/>
      <c r="M203" s="110"/>
      <c r="N203" s="17"/>
      <c r="O203" s="10"/>
      <c r="P203" s="10"/>
      <c r="Q203" s="10"/>
      <c r="R203" s="10"/>
      <c r="S203" s="10"/>
      <c r="T203" s="10"/>
    </row>
    <row r="204" spans="2:20" outlineLevel="1" x14ac:dyDescent="0.35">
      <c r="B204" s="15"/>
      <c r="C204" s="48"/>
      <c r="D204" s="106"/>
      <c r="E204" s="106"/>
      <c r="F204" s="106"/>
      <c r="G204" s="106"/>
      <c r="H204" s="107"/>
      <c r="I204" s="107"/>
      <c r="J204" s="107"/>
      <c r="K204" s="108"/>
      <c r="L204" s="111"/>
      <c r="M204" s="110"/>
      <c r="N204" s="17"/>
      <c r="O204" s="10"/>
      <c r="P204" s="10"/>
      <c r="Q204" s="10"/>
      <c r="R204" s="10"/>
      <c r="S204" s="10"/>
      <c r="T204" s="10"/>
    </row>
    <row r="205" spans="2:20" outlineLevel="1" x14ac:dyDescent="0.35">
      <c r="B205" s="15"/>
      <c r="C205" s="48"/>
      <c r="D205" s="106"/>
      <c r="E205" s="106"/>
      <c r="F205" s="106"/>
      <c r="G205" s="106"/>
      <c r="H205" s="107"/>
      <c r="I205" s="107"/>
      <c r="J205" s="107"/>
      <c r="K205" s="108"/>
      <c r="L205" s="111"/>
      <c r="M205" s="110"/>
      <c r="N205" s="17"/>
      <c r="O205" s="10"/>
      <c r="P205" s="10"/>
      <c r="Q205" s="10"/>
      <c r="R205" s="10"/>
      <c r="S205" s="10"/>
      <c r="T205" s="10"/>
    </row>
    <row r="206" spans="2:20" outlineLevel="1" x14ac:dyDescent="0.35">
      <c r="B206" s="15"/>
      <c r="C206" s="48"/>
      <c r="D206" s="106"/>
      <c r="E206" s="106"/>
      <c r="F206" s="106"/>
      <c r="G206" s="106"/>
      <c r="H206" s="107"/>
      <c r="I206" s="107"/>
      <c r="J206" s="107"/>
      <c r="K206" s="108"/>
      <c r="L206" s="111"/>
      <c r="M206" s="110"/>
      <c r="N206" s="17"/>
      <c r="O206" s="10"/>
      <c r="P206" s="10"/>
      <c r="Q206" s="10"/>
      <c r="R206" s="10"/>
      <c r="S206" s="10"/>
      <c r="T206" s="10"/>
    </row>
    <row r="207" spans="2:20" outlineLevel="1" x14ac:dyDescent="0.35">
      <c r="B207" s="15"/>
      <c r="C207" s="48"/>
      <c r="D207" s="106"/>
      <c r="E207" s="106"/>
      <c r="F207" s="106"/>
      <c r="G207" s="106"/>
      <c r="H207" s="107"/>
      <c r="I207" s="107"/>
      <c r="J207" s="107"/>
      <c r="K207" s="108"/>
      <c r="L207" s="111"/>
      <c r="M207" s="110"/>
      <c r="N207" s="17"/>
      <c r="O207" s="10"/>
      <c r="P207" s="10"/>
      <c r="Q207" s="10"/>
      <c r="R207" s="10"/>
      <c r="S207" s="10"/>
      <c r="T207" s="10"/>
    </row>
    <row r="208" spans="2:20" outlineLevel="1" x14ac:dyDescent="0.35">
      <c r="B208" s="15"/>
      <c r="C208" s="48"/>
      <c r="D208" s="106"/>
      <c r="E208" s="106"/>
      <c r="F208" s="106"/>
      <c r="G208" s="106"/>
      <c r="H208" s="107"/>
      <c r="I208" s="107"/>
      <c r="J208" s="107"/>
      <c r="K208" s="108"/>
      <c r="L208" s="111"/>
      <c r="M208" s="110"/>
      <c r="N208" s="17"/>
      <c r="O208" s="10"/>
      <c r="P208" s="10"/>
      <c r="Q208" s="10"/>
      <c r="R208" s="10"/>
      <c r="S208" s="10"/>
      <c r="T208" s="10"/>
    </row>
    <row r="209" spans="2:20" outlineLevel="1" x14ac:dyDescent="0.35">
      <c r="B209" s="15"/>
      <c r="C209" s="48"/>
      <c r="D209" s="106"/>
      <c r="E209" s="106"/>
      <c r="F209" s="106"/>
      <c r="G209" s="106"/>
      <c r="H209" s="107"/>
      <c r="I209" s="107"/>
      <c r="J209" s="107"/>
      <c r="K209" s="108"/>
      <c r="L209" s="111"/>
      <c r="M209" s="110"/>
      <c r="N209" s="17"/>
      <c r="O209" s="10"/>
      <c r="P209" s="10"/>
      <c r="Q209" s="10"/>
      <c r="R209" s="10"/>
      <c r="S209" s="10"/>
      <c r="T209" s="10"/>
    </row>
    <row r="210" spans="2:20" outlineLevel="1" x14ac:dyDescent="0.35">
      <c r="B210" s="15"/>
      <c r="C210" s="48"/>
      <c r="D210" s="106"/>
      <c r="E210" s="106"/>
      <c r="F210" s="106"/>
      <c r="G210" s="106"/>
      <c r="H210" s="107"/>
      <c r="I210" s="107"/>
      <c r="J210" s="107"/>
      <c r="K210" s="108"/>
      <c r="L210" s="111"/>
      <c r="M210" s="110"/>
      <c r="N210" s="17"/>
      <c r="O210" s="10"/>
      <c r="P210" s="10"/>
      <c r="Q210" s="10"/>
      <c r="R210" s="10"/>
      <c r="S210" s="10"/>
      <c r="T210" s="10"/>
    </row>
    <row r="211" spans="2:20" outlineLevel="1" x14ac:dyDescent="0.35">
      <c r="B211" s="15"/>
      <c r="C211" s="48"/>
      <c r="D211" s="106"/>
      <c r="E211" s="106"/>
      <c r="F211" s="106"/>
      <c r="G211" s="106"/>
      <c r="H211" s="107"/>
      <c r="I211" s="107"/>
      <c r="J211" s="107"/>
      <c r="K211" s="108"/>
      <c r="L211" s="111"/>
      <c r="M211" s="110"/>
      <c r="N211" s="17"/>
      <c r="O211" s="10"/>
      <c r="P211" s="10"/>
      <c r="Q211" s="10"/>
      <c r="R211" s="10"/>
      <c r="S211" s="10"/>
      <c r="T211" s="10"/>
    </row>
    <row r="212" spans="2:20" outlineLevel="1" x14ac:dyDescent="0.35">
      <c r="B212" s="15"/>
      <c r="C212" s="48"/>
      <c r="D212" s="106"/>
      <c r="E212" s="106"/>
      <c r="F212" s="106"/>
      <c r="G212" s="106"/>
      <c r="H212" s="107"/>
      <c r="I212" s="107"/>
      <c r="J212" s="107"/>
      <c r="K212" s="108"/>
      <c r="L212" s="111"/>
      <c r="M212" s="110"/>
      <c r="N212" s="17"/>
      <c r="O212" s="10"/>
      <c r="P212" s="10"/>
      <c r="Q212" s="10"/>
      <c r="R212" s="10"/>
      <c r="S212" s="10"/>
      <c r="T212" s="10"/>
    </row>
    <row r="213" spans="2:20" outlineLevel="1" x14ac:dyDescent="0.35">
      <c r="B213" s="15"/>
      <c r="C213" s="48"/>
      <c r="D213" s="106"/>
      <c r="E213" s="106"/>
      <c r="F213" s="106"/>
      <c r="G213" s="106"/>
      <c r="H213" s="107"/>
      <c r="I213" s="107"/>
      <c r="J213" s="107"/>
      <c r="K213" s="108"/>
      <c r="L213" s="111"/>
      <c r="M213" s="110"/>
      <c r="N213" s="17"/>
      <c r="O213" s="10"/>
      <c r="P213" s="10"/>
      <c r="Q213" s="10"/>
      <c r="R213" s="10"/>
      <c r="S213" s="10"/>
      <c r="T213" s="10"/>
    </row>
    <row r="214" spans="2:20" outlineLevel="1" x14ac:dyDescent="0.35">
      <c r="B214" s="15"/>
      <c r="C214" s="48"/>
      <c r="D214" s="106"/>
      <c r="E214" s="106"/>
      <c r="F214" s="106"/>
      <c r="G214" s="106"/>
      <c r="H214" s="107"/>
      <c r="I214" s="107"/>
      <c r="J214" s="107"/>
      <c r="K214" s="108"/>
      <c r="L214" s="111"/>
      <c r="M214" s="110"/>
      <c r="N214" s="17"/>
      <c r="O214" s="10"/>
      <c r="P214" s="10"/>
      <c r="Q214" s="10"/>
      <c r="R214" s="10"/>
      <c r="S214" s="10"/>
      <c r="T214" s="10"/>
    </row>
    <row r="215" spans="2:20" outlineLevel="1" x14ac:dyDescent="0.35">
      <c r="B215" s="15"/>
      <c r="C215" s="48"/>
      <c r="D215" s="106"/>
      <c r="E215" s="106"/>
      <c r="F215" s="106"/>
      <c r="G215" s="106"/>
      <c r="H215" s="107"/>
      <c r="I215" s="107"/>
      <c r="J215" s="107"/>
      <c r="K215" s="108"/>
      <c r="L215" s="111"/>
      <c r="M215" s="110"/>
      <c r="N215" s="17"/>
      <c r="O215" s="10"/>
      <c r="P215" s="10"/>
      <c r="Q215" s="10"/>
      <c r="R215" s="10"/>
      <c r="S215" s="10"/>
      <c r="T215" s="10"/>
    </row>
    <row r="216" spans="2:20" outlineLevel="1" x14ac:dyDescent="0.35">
      <c r="B216" s="15"/>
      <c r="C216" s="48"/>
      <c r="D216" s="106"/>
      <c r="E216" s="106"/>
      <c r="F216" s="106"/>
      <c r="G216" s="106"/>
      <c r="H216" s="107"/>
      <c r="I216" s="107"/>
      <c r="J216" s="107"/>
      <c r="K216" s="108"/>
      <c r="L216" s="111"/>
      <c r="M216" s="110"/>
      <c r="N216" s="17"/>
      <c r="O216" s="10"/>
      <c r="P216" s="10"/>
      <c r="Q216" s="10"/>
      <c r="R216" s="10"/>
      <c r="S216" s="10"/>
      <c r="T216" s="10"/>
    </row>
    <row r="217" spans="2:20" outlineLevel="1" x14ac:dyDescent="0.35">
      <c r="B217" s="15"/>
      <c r="C217" s="48"/>
      <c r="D217" s="106"/>
      <c r="E217" s="106"/>
      <c r="F217" s="106"/>
      <c r="G217" s="106"/>
      <c r="H217" s="107"/>
      <c r="I217" s="107"/>
      <c r="J217" s="107"/>
      <c r="K217" s="108"/>
      <c r="L217" s="111"/>
      <c r="M217" s="110"/>
      <c r="N217" s="17"/>
      <c r="O217" s="10"/>
      <c r="P217" s="10"/>
      <c r="Q217" s="10"/>
      <c r="R217" s="10"/>
      <c r="S217" s="10"/>
      <c r="T217" s="10"/>
    </row>
    <row r="218" spans="2:20" outlineLevel="1" x14ac:dyDescent="0.35">
      <c r="B218" s="15"/>
      <c r="C218" s="48"/>
      <c r="D218" s="106"/>
      <c r="E218" s="106"/>
      <c r="F218" s="106"/>
      <c r="G218" s="106"/>
      <c r="H218" s="107"/>
      <c r="I218" s="107"/>
      <c r="J218" s="107"/>
      <c r="K218" s="108"/>
      <c r="L218" s="111"/>
      <c r="M218" s="110"/>
      <c r="N218" s="17"/>
      <c r="O218" s="10"/>
      <c r="P218" s="10"/>
      <c r="Q218" s="10"/>
      <c r="R218" s="10"/>
      <c r="S218" s="10"/>
      <c r="T218" s="10"/>
    </row>
    <row r="219" spans="2:20" outlineLevel="1" x14ac:dyDescent="0.35">
      <c r="B219" s="15"/>
      <c r="C219" s="48"/>
      <c r="D219" s="106"/>
      <c r="E219" s="106"/>
      <c r="F219" s="106"/>
      <c r="G219" s="106"/>
      <c r="H219" s="107"/>
      <c r="I219" s="107"/>
      <c r="J219" s="107"/>
      <c r="K219" s="108"/>
      <c r="L219" s="111"/>
      <c r="M219" s="110"/>
      <c r="N219" s="17"/>
      <c r="O219" s="10"/>
      <c r="P219" s="10"/>
      <c r="Q219" s="10"/>
      <c r="R219" s="10"/>
      <c r="S219" s="10"/>
      <c r="T219" s="10"/>
    </row>
    <row r="220" spans="2:20" outlineLevel="1" x14ac:dyDescent="0.35">
      <c r="B220" s="15"/>
      <c r="C220" s="48"/>
      <c r="D220" s="106"/>
      <c r="E220" s="106"/>
      <c r="F220" s="106"/>
      <c r="G220" s="106"/>
      <c r="H220" s="107"/>
      <c r="I220" s="107"/>
      <c r="J220" s="107"/>
      <c r="K220" s="108"/>
      <c r="L220" s="111"/>
      <c r="M220" s="110"/>
      <c r="N220" s="17"/>
      <c r="O220" s="10"/>
      <c r="P220" s="10"/>
      <c r="Q220" s="10"/>
      <c r="R220" s="10"/>
      <c r="S220" s="10"/>
      <c r="T220" s="10"/>
    </row>
    <row r="221" spans="2:20" outlineLevel="1" x14ac:dyDescent="0.35">
      <c r="B221" s="15"/>
      <c r="C221" s="48"/>
      <c r="D221" s="106"/>
      <c r="E221" s="106"/>
      <c r="F221" s="106"/>
      <c r="G221" s="106"/>
      <c r="H221" s="107"/>
      <c r="I221" s="107"/>
      <c r="J221" s="107"/>
      <c r="K221" s="108"/>
      <c r="L221" s="111"/>
      <c r="M221" s="110"/>
      <c r="N221" s="17"/>
      <c r="O221" s="10"/>
      <c r="P221" s="10"/>
      <c r="Q221" s="10"/>
      <c r="R221" s="10"/>
      <c r="S221" s="10"/>
      <c r="T221" s="10"/>
    </row>
    <row r="222" spans="2:20" outlineLevel="1" x14ac:dyDescent="0.35">
      <c r="B222" s="15"/>
      <c r="C222" s="48"/>
      <c r="D222" s="106"/>
      <c r="E222" s="106"/>
      <c r="F222" s="106"/>
      <c r="G222" s="106"/>
      <c r="H222" s="107"/>
      <c r="I222" s="107"/>
      <c r="J222" s="107"/>
      <c r="K222" s="108"/>
      <c r="L222" s="111"/>
      <c r="M222" s="110"/>
      <c r="N222" s="17"/>
      <c r="O222" s="10"/>
      <c r="P222" s="10"/>
      <c r="Q222" s="10"/>
      <c r="R222" s="10"/>
      <c r="S222" s="10"/>
      <c r="T222" s="10"/>
    </row>
    <row r="223" spans="2:20" outlineLevel="1" x14ac:dyDescent="0.35">
      <c r="B223" s="15"/>
      <c r="C223" s="48"/>
      <c r="D223" s="106"/>
      <c r="E223" s="106"/>
      <c r="F223" s="106"/>
      <c r="G223" s="106"/>
      <c r="H223" s="107"/>
      <c r="I223" s="107"/>
      <c r="J223" s="107"/>
      <c r="K223" s="108"/>
      <c r="L223" s="111"/>
      <c r="M223" s="110"/>
      <c r="N223" s="17"/>
      <c r="O223" s="10"/>
      <c r="P223" s="10"/>
      <c r="Q223" s="10"/>
      <c r="R223" s="10"/>
      <c r="S223" s="10"/>
      <c r="T223" s="10"/>
    </row>
    <row r="224" spans="2:20" outlineLevel="1" x14ac:dyDescent="0.35">
      <c r="B224" s="15"/>
      <c r="C224" s="48"/>
      <c r="D224" s="106"/>
      <c r="E224" s="106"/>
      <c r="F224" s="106"/>
      <c r="G224" s="106"/>
      <c r="H224" s="107"/>
      <c r="I224" s="107"/>
      <c r="J224" s="107"/>
      <c r="K224" s="108"/>
      <c r="L224" s="111"/>
      <c r="M224" s="110"/>
      <c r="N224" s="17"/>
      <c r="O224" s="10"/>
      <c r="P224" s="10"/>
      <c r="Q224" s="10"/>
      <c r="R224" s="10"/>
      <c r="S224" s="10"/>
      <c r="T224" s="10"/>
    </row>
    <row r="225" spans="2:20" outlineLevel="1" x14ac:dyDescent="0.35">
      <c r="B225" s="15"/>
      <c r="C225" s="48"/>
      <c r="D225" s="106"/>
      <c r="E225" s="106"/>
      <c r="F225" s="106"/>
      <c r="G225" s="106"/>
      <c r="H225" s="107"/>
      <c r="I225" s="107"/>
      <c r="J225" s="107"/>
      <c r="K225" s="108"/>
      <c r="L225" s="111"/>
      <c r="M225" s="110"/>
      <c r="N225" s="17"/>
      <c r="O225" s="10"/>
      <c r="P225" s="10"/>
      <c r="Q225" s="10"/>
      <c r="R225" s="10"/>
      <c r="S225" s="10"/>
      <c r="T225" s="10"/>
    </row>
    <row r="226" spans="2:20" outlineLevel="1" x14ac:dyDescent="0.35">
      <c r="B226" s="15"/>
      <c r="C226" s="48"/>
      <c r="D226" s="106"/>
      <c r="E226" s="106"/>
      <c r="F226" s="106"/>
      <c r="G226" s="106"/>
      <c r="H226" s="107"/>
      <c r="I226" s="107"/>
      <c r="J226" s="107"/>
      <c r="K226" s="108"/>
      <c r="L226" s="111"/>
      <c r="M226" s="110"/>
      <c r="N226" s="17"/>
      <c r="O226" s="10"/>
      <c r="P226" s="10"/>
      <c r="Q226" s="10"/>
      <c r="R226" s="10"/>
      <c r="S226" s="10"/>
      <c r="T226" s="10"/>
    </row>
    <row r="227" spans="2:20" outlineLevel="1" x14ac:dyDescent="0.35">
      <c r="B227" s="15"/>
      <c r="C227" s="48"/>
      <c r="D227" s="106"/>
      <c r="E227" s="106"/>
      <c r="F227" s="106"/>
      <c r="G227" s="106"/>
      <c r="H227" s="107"/>
      <c r="I227" s="107"/>
      <c r="J227" s="107"/>
      <c r="K227" s="108"/>
      <c r="L227" s="111"/>
      <c r="M227" s="110"/>
      <c r="N227" s="17"/>
      <c r="O227" s="10"/>
      <c r="P227" s="10"/>
      <c r="Q227" s="10"/>
      <c r="R227" s="10"/>
      <c r="S227" s="10"/>
      <c r="T227" s="10"/>
    </row>
    <row r="228" spans="2:20" outlineLevel="1" x14ac:dyDescent="0.35">
      <c r="B228" s="15"/>
      <c r="C228" s="48"/>
      <c r="D228" s="106"/>
      <c r="E228" s="106"/>
      <c r="F228" s="106"/>
      <c r="G228" s="106"/>
      <c r="H228" s="107"/>
      <c r="I228" s="107"/>
      <c r="J228" s="107"/>
      <c r="K228" s="108"/>
      <c r="L228" s="111"/>
      <c r="M228" s="110"/>
      <c r="N228" s="17"/>
      <c r="O228" s="10"/>
      <c r="P228" s="10"/>
      <c r="Q228" s="10"/>
      <c r="R228" s="10"/>
      <c r="S228" s="10"/>
      <c r="T228" s="10"/>
    </row>
    <row r="229" spans="2:20" outlineLevel="1" x14ac:dyDescent="0.35">
      <c r="B229" s="15"/>
      <c r="C229" s="48"/>
      <c r="D229" s="106"/>
      <c r="E229" s="106"/>
      <c r="F229" s="106"/>
      <c r="G229" s="106"/>
      <c r="H229" s="107"/>
      <c r="I229" s="107"/>
      <c r="J229" s="107"/>
      <c r="K229" s="108"/>
      <c r="L229" s="111"/>
      <c r="M229" s="110"/>
      <c r="N229" s="17"/>
      <c r="O229" s="10"/>
      <c r="P229" s="10"/>
      <c r="Q229" s="10"/>
      <c r="R229" s="10"/>
      <c r="S229" s="10"/>
      <c r="T229" s="10"/>
    </row>
    <row r="230" spans="2:20" outlineLevel="1" x14ac:dyDescent="0.35">
      <c r="B230" s="15"/>
      <c r="C230" s="48"/>
      <c r="D230" s="106"/>
      <c r="E230" s="106"/>
      <c r="F230" s="106"/>
      <c r="G230" s="106"/>
      <c r="H230" s="107"/>
      <c r="I230" s="107"/>
      <c r="J230" s="107"/>
      <c r="K230" s="108"/>
      <c r="L230" s="111"/>
      <c r="M230" s="110"/>
      <c r="N230" s="17"/>
      <c r="O230" s="10"/>
      <c r="P230" s="10"/>
      <c r="Q230" s="10"/>
      <c r="R230" s="10"/>
      <c r="S230" s="10"/>
      <c r="T230" s="10"/>
    </row>
    <row r="231" spans="2:20" outlineLevel="1" x14ac:dyDescent="0.35">
      <c r="B231" s="15"/>
      <c r="C231" s="48"/>
      <c r="D231" s="106"/>
      <c r="E231" s="106"/>
      <c r="F231" s="106"/>
      <c r="G231" s="106"/>
      <c r="H231" s="107"/>
      <c r="I231" s="107"/>
      <c r="J231" s="107"/>
      <c r="K231" s="108"/>
      <c r="L231" s="111"/>
      <c r="M231" s="110"/>
      <c r="N231" s="17"/>
      <c r="O231" s="10"/>
      <c r="P231" s="10"/>
      <c r="Q231" s="10"/>
      <c r="R231" s="10"/>
      <c r="S231" s="10"/>
      <c r="T231" s="10"/>
    </row>
    <row r="232" spans="2:20" outlineLevel="1" x14ac:dyDescent="0.35">
      <c r="B232" s="15"/>
      <c r="C232" s="48"/>
      <c r="D232" s="106"/>
      <c r="E232" s="106"/>
      <c r="F232" s="106"/>
      <c r="G232" s="106"/>
      <c r="H232" s="107"/>
      <c r="I232" s="107"/>
      <c r="J232" s="107"/>
      <c r="K232" s="108"/>
      <c r="L232" s="111"/>
      <c r="M232" s="110"/>
      <c r="N232" s="17"/>
      <c r="O232" s="10"/>
      <c r="P232" s="10"/>
      <c r="Q232" s="10"/>
      <c r="R232" s="10"/>
      <c r="S232" s="10"/>
      <c r="T232" s="10"/>
    </row>
    <row r="233" spans="2:20" outlineLevel="1" x14ac:dyDescent="0.35">
      <c r="B233" s="15"/>
      <c r="C233" s="48"/>
      <c r="D233" s="106"/>
      <c r="E233" s="106"/>
      <c r="F233" s="106"/>
      <c r="G233" s="106"/>
      <c r="H233" s="107"/>
      <c r="I233" s="107"/>
      <c r="J233" s="107"/>
      <c r="K233" s="108"/>
      <c r="L233" s="111"/>
      <c r="M233" s="110"/>
      <c r="N233" s="17"/>
      <c r="O233" s="10"/>
      <c r="P233" s="10"/>
      <c r="Q233" s="10"/>
      <c r="R233" s="10"/>
      <c r="S233" s="10"/>
      <c r="T233" s="10"/>
    </row>
    <row r="234" spans="2:20" outlineLevel="1" x14ac:dyDescent="0.35">
      <c r="B234" s="15"/>
      <c r="C234" s="48"/>
      <c r="D234" s="106"/>
      <c r="E234" s="106"/>
      <c r="F234" s="106"/>
      <c r="G234" s="106"/>
      <c r="H234" s="107"/>
      <c r="I234" s="107"/>
      <c r="J234" s="107"/>
      <c r="K234" s="108"/>
      <c r="L234" s="111"/>
      <c r="M234" s="110"/>
      <c r="N234" s="17"/>
      <c r="O234" s="10"/>
      <c r="P234" s="10"/>
      <c r="Q234" s="10"/>
      <c r="R234" s="10"/>
      <c r="S234" s="10"/>
      <c r="T234" s="10"/>
    </row>
    <row r="235" spans="2:20" outlineLevel="1" x14ac:dyDescent="0.35">
      <c r="B235" s="15"/>
      <c r="C235" s="48"/>
      <c r="D235" s="106"/>
      <c r="E235" s="106"/>
      <c r="F235" s="106"/>
      <c r="G235" s="106"/>
      <c r="H235" s="107"/>
      <c r="I235" s="107"/>
      <c r="J235" s="107"/>
      <c r="K235" s="108"/>
      <c r="L235" s="111"/>
      <c r="M235" s="110"/>
      <c r="N235" s="17"/>
      <c r="O235" s="10"/>
      <c r="P235" s="10"/>
      <c r="Q235" s="10"/>
      <c r="R235" s="10"/>
      <c r="S235" s="10"/>
      <c r="T235" s="10"/>
    </row>
    <row r="236" spans="2:20" outlineLevel="1" x14ac:dyDescent="0.35">
      <c r="B236" s="15"/>
      <c r="C236" s="48"/>
      <c r="D236" s="106"/>
      <c r="E236" s="106"/>
      <c r="F236" s="106"/>
      <c r="G236" s="106"/>
      <c r="H236" s="107"/>
      <c r="I236" s="107"/>
      <c r="J236" s="107"/>
      <c r="K236" s="108"/>
      <c r="L236" s="111"/>
      <c r="M236" s="110"/>
      <c r="N236" s="17"/>
      <c r="O236" s="10"/>
      <c r="P236" s="10"/>
      <c r="Q236" s="10"/>
      <c r="R236" s="10"/>
      <c r="S236" s="10"/>
      <c r="T236" s="10"/>
    </row>
    <row r="237" spans="2:20" outlineLevel="1" x14ac:dyDescent="0.35">
      <c r="B237" s="15"/>
      <c r="C237" s="48"/>
      <c r="D237" s="106"/>
      <c r="E237" s="106"/>
      <c r="F237" s="106"/>
      <c r="G237" s="106"/>
      <c r="H237" s="107"/>
      <c r="I237" s="107"/>
      <c r="J237" s="107"/>
      <c r="K237" s="108"/>
      <c r="L237" s="111"/>
      <c r="M237" s="110"/>
      <c r="N237" s="17"/>
      <c r="O237" s="10"/>
      <c r="P237" s="10"/>
      <c r="Q237" s="10"/>
      <c r="R237" s="10"/>
      <c r="S237" s="10"/>
      <c r="T237" s="10"/>
    </row>
    <row r="238" spans="2:20" outlineLevel="1" x14ac:dyDescent="0.35">
      <c r="B238" s="15"/>
      <c r="C238" s="48"/>
      <c r="D238" s="106"/>
      <c r="E238" s="106"/>
      <c r="F238" s="106"/>
      <c r="G238" s="106"/>
      <c r="H238" s="107"/>
      <c r="I238" s="107"/>
      <c r="J238" s="107"/>
      <c r="K238" s="108"/>
      <c r="L238" s="111"/>
      <c r="M238" s="110"/>
      <c r="N238" s="17"/>
      <c r="O238" s="10"/>
      <c r="P238" s="10"/>
      <c r="Q238" s="10"/>
      <c r="R238" s="10"/>
      <c r="S238" s="10"/>
      <c r="T238" s="10"/>
    </row>
    <row r="239" spans="2:20" outlineLevel="1" x14ac:dyDescent="0.35">
      <c r="B239" s="15"/>
      <c r="C239" s="48"/>
      <c r="D239" s="106"/>
      <c r="E239" s="106"/>
      <c r="F239" s="106"/>
      <c r="G239" s="106"/>
      <c r="H239" s="107"/>
      <c r="I239" s="107"/>
      <c r="J239" s="107"/>
      <c r="K239" s="108"/>
      <c r="L239" s="111"/>
      <c r="M239" s="110"/>
      <c r="N239" s="17"/>
      <c r="O239" s="10"/>
      <c r="P239" s="10"/>
      <c r="Q239" s="10"/>
      <c r="R239" s="10"/>
      <c r="S239" s="10"/>
      <c r="T239" s="10"/>
    </row>
    <row r="240" spans="2:20" outlineLevel="1" x14ac:dyDescent="0.35">
      <c r="B240" s="15"/>
      <c r="C240" s="48"/>
      <c r="D240" s="106"/>
      <c r="E240" s="106"/>
      <c r="F240" s="106"/>
      <c r="G240" s="106"/>
      <c r="H240" s="107"/>
      <c r="I240" s="107"/>
      <c r="J240" s="107"/>
      <c r="K240" s="108"/>
      <c r="L240" s="111"/>
      <c r="M240" s="110"/>
      <c r="N240" s="17"/>
      <c r="O240" s="10"/>
      <c r="P240" s="10"/>
      <c r="Q240" s="10"/>
      <c r="R240" s="10"/>
      <c r="S240" s="10"/>
      <c r="T240" s="10"/>
    </row>
    <row r="241" spans="2:20" outlineLevel="1" x14ac:dyDescent="0.35">
      <c r="B241" s="15"/>
      <c r="C241" s="48"/>
      <c r="D241" s="106"/>
      <c r="E241" s="106"/>
      <c r="F241" s="106"/>
      <c r="G241" s="106"/>
      <c r="H241" s="107"/>
      <c r="I241" s="107"/>
      <c r="J241" s="107"/>
      <c r="K241" s="108"/>
      <c r="L241" s="111"/>
      <c r="M241" s="110"/>
      <c r="N241" s="17"/>
      <c r="O241" s="10"/>
      <c r="P241" s="10"/>
      <c r="Q241" s="10"/>
      <c r="R241" s="10"/>
      <c r="S241" s="10"/>
      <c r="T241" s="10"/>
    </row>
    <row r="242" spans="2:20" outlineLevel="1" x14ac:dyDescent="0.35">
      <c r="B242" s="15"/>
      <c r="C242" s="48"/>
      <c r="D242" s="106"/>
      <c r="E242" s="106"/>
      <c r="F242" s="106"/>
      <c r="G242" s="106"/>
      <c r="H242" s="107"/>
      <c r="I242" s="107"/>
      <c r="J242" s="107"/>
      <c r="K242" s="108"/>
      <c r="L242" s="111"/>
      <c r="M242" s="110"/>
      <c r="N242" s="17"/>
      <c r="O242" s="10"/>
      <c r="P242" s="10"/>
      <c r="Q242" s="10"/>
      <c r="R242" s="10"/>
      <c r="S242" s="10"/>
      <c r="T242" s="10"/>
    </row>
    <row r="243" spans="2:20" outlineLevel="1" x14ac:dyDescent="0.35">
      <c r="B243" s="15"/>
      <c r="C243" s="48"/>
      <c r="D243" s="106"/>
      <c r="E243" s="106"/>
      <c r="F243" s="106"/>
      <c r="G243" s="106"/>
      <c r="H243" s="107"/>
      <c r="I243" s="107"/>
      <c r="J243" s="107"/>
      <c r="K243" s="108"/>
      <c r="L243" s="111"/>
      <c r="M243" s="110"/>
      <c r="N243" s="17"/>
      <c r="O243" s="10"/>
      <c r="P243" s="10"/>
      <c r="Q243" s="10"/>
      <c r="R243" s="10"/>
      <c r="S243" s="10"/>
      <c r="T243" s="10"/>
    </row>
    <row r="244" spans="2:20" outlineLevel="1" x14ac:dyDescent="0.35">
      <c r="B244" s="15"/>
      <c r="C244" s="48"/>
      <c r="D244" s="106"/>
      <c r="E244" s="106"/>
      <c r="F244" s="106"/>
      <c r="G244" s="106"/>
      <c r="H244" s="107"/>
      <c r="I244" s="107"/>
      <c r="J244" s="107"/>
      <c r="K244" s="108"/>
      <c r="L244" s="111"/>
      <c r="M244" s="110"/>
      <c r="N244" s="17"/>
      <c r="O244" s="10"/>
      <c r="P244" s="10"/>
      <c r="Q244" s="10"/>
      <c r="R244" s="10"/>
      <c r="S244" s="10"/>
      <c r="T244" s="10"/>
    </row>
    <row r="245" spans="2:20" outlineLevel="1" x14ac:dyDescent="0.35">
      <c r="B245" s="15"/>
      <c r="C245" s="48"/>
      <c r="D245" s="106"/>
      <c r="E245" s="106"/>
      <c r="F245" s="106"/>
      <c r="G245" s="106"/>
      <c r="H245" s="107"/>
      <c r="I245" s="107"/>
      <c r="J245" s="107"/>
      <c r="K245" s="108"/>
      <c r="L245" s="111"/>
      <c r="M245" s="110"/>
      <c r="N245" s="17"/>
      <c r="O245" s="10"/>
      <c r="P245" s="10"/>
      <c r="Q245" s="10"/>
      <c r="R245" s="10"/>
      <c r="S245" s="10"/>
      <c r="T245" s="10"/>
    </row>
    <row r="246" spans="2:20" outlineLevel="1" x14ac:dyDescent="0.35">
      <c r="B246" s="15"/>
      <c r="C246" s="48"/>
      <c r="D246" s="106"/>
      <c r="E246" s="106"/>
      <c r="F246" s="106"/>
      <c r="G246" s="106"/>
      <c r="H246" s="107"/>
      <c r="I246" s="107"/>
      <c r="J246" s="107"/>
      <c r="K246" s="108"/>
      <c r="L246" s="111"/>
      <c r="M246" s="110"/>
      <c r="N246" s="17"/>
      <c r="O246" s="10"/>
      <c r="P246" s="10"/>
      <c r="Q246" s="10"/>
      <c r="R246" s="10"/>
      <c r="S246" s="10"/>
      <c r="T246" s="10"/>
    </row>
    <row r="247" spans="2:20" outlineLevel="1" x14ac:dyDescent="0.35">
      <c r="B247" s="15"/>
      <c r="C247" s="48"/>
      <c r="D247" s="106"/>
      <c r="E247" s="106"/>
      <c r="F247" s="106"/>
      <c r="G247" s="106"/>
      <c r="H247" s="107"/>
      <c r="I247" s="107"/>
      <c r="J247" s="107"/>
      <c r="K247" s="108"/>
      <c r="L247" s="111"/>
      <c r="M247" s="110"/>
      <c r="N247" s="17"/>
      <c r="O247" s="10"/>
      <c r="P247" s="10"/>
      <c r="Q247" s="10"/>
      <c r="R247" s="10"/>
      <c r="S247" s="10"/>
      <c r="T247" s="10"/>
    </row>
    <row r="248" spans="2:20" outlineLevel="1" x14ac:dyDescent="0.35">
      <c r="B248" s="15"/>
      <c r="C248" s="48"/>
      <c r="D248" s="106"/>
      <c r="E248" s="106"/>
      <c r="F248" s="106"/>
      <c r="G248" s="106"/>
      <c r="H248" s="107"/>
      <c r="I248" s="107"/>
      <c r="J248" s="107"/>
      <c r="K248" s="108"/>
      <c r="L248" s="111"/>
      <c r="M248" s="110"/>
      <c r="N248" s="17"/>
      <c r="O248" s="10"/>
      <c r="P248" s="10"/>
      <c r="Q248" s="10"/>
      <c r="R248" s="10"/>
      <c r="S248" s="10"/>
      <c r="T248" s="10"/>
    </row>
    <row r="249" spans="2:20" outlineLevel="1" x14ac:dyDescent="0.35">
      <c r="B249" s="15"/>
      <c r="C249" s="48"/>
      <c r="D249" s="106"/>
      <c r="E249" s="106"/>
      <c r="F249" s="106"/>
      <c r="G249" s="106"/>
      <c r="H249" s="107"/>
      <c r="I249" s="107"/>
      <c r="J249" s="107"/>
      <c r="K249" s="108"/>
      <c r="L249" s="111"/>
      <c r="M249" s="110"/>
      <c r="N249" s="17"/>
      <c r="O249" s="10"/>
      <c r="P249" s="10"/>
      <c r="Q249" s="10"/>
      <c r="R249" s="10"/>
      <c r="S249" s="10"/>
      <c r="T249" s="10"/>
    </row>
    <row r="250" spans="2:20" outlineLevel="1" x14ac:dyDescent="0.35">
      <c r="B250" s="15"/>
      <c r="C250" s="48"/>
      <c r="D250" s="106"/>
      <c r="E250" s="106"/>
      <c r="F250" s="106"/>
      <c r="G250" s="106"/>
      <c r="H250" s="107"/>
      <c r="I250" s="107"/>
      <c r="J250" s="107"/>
      <c r="K250" s="108"/>
      <c r="L250" s="111"/>
      <c r="M250" s="110"/>
      <c r="N250" s="17"/>
      <c r="O250" s="10"/>
      <c r="P250" s="10"/>
      <c r="Q250" s="10"/>
      <c r="R250" s="10"/>
      <c r="S250" s="10"/>
      <c r="T250" s="10"/>
    </row>
    <row r="251" spans="2:20" outlineLevel="1" x14ac:dyDescent="0.35">
      <c r="B251" s="15"/>
      <c r="C251" s="48"/>
      <c r="D251" s="106"/>
      <c r="E251" s="106"/>
      <c r="F251" s="106"/>
      <c r="G251" s="106"/>
      <c r="H251" s="107"/>
      <c r="I251" s="107"/>
      <c r="J251" s="107"/>
      <c r="K251" s="108"/>
      <c r="L251" s="111"/>
      <c r="M251" s="110"/>
      <c r="N251" s="17"/>
      <c r="O251" s="10"/>
      <c r="P251" s="10"/>
      <c r="Q251" s="10"/>
      <c r="R251" s="10"/>
      <c r="S251" s="10"/>
      <c r="T251" s="10"/>
    </row>
    <row r="252" spans="2:20" outlineLevel="1" x14ac:dyDescent="0.35">
      <c r="B252" s="15"/>
      <c r="C252" s="48"/>
      <c r="D252" s="106"/>
      <c r="E252" s="106"/>
      <c r="F252" s="106"/>
      <c r="G252" s="106"/>
      <c r="H252" s="107"/>
      <c r="I252" s="107"/>
      <c r="J252" s="107"/>
      <c r="K252" s="108"/>
      <c r="L252" s="111"/>
      <c r="M252" s="110"/>
      <c r="N252" s="17"/>
      <c r="O252" s="10"/>
      <c r="P252" s="10"/>
      <c r="Q252" s="10"/>
      <c r="R252" s="10"/>
      <c r="S252" s="10"/>
      <c r="T252" s="10"/>
    </row>
    <row r="253" spans="2:20" outlineLevel="1" x14ac:dyDescent="0.35">
      <c r="B253" s="15"/>
      <c r="C253" s="48"/>
      <c r="D253" s="106"/>
      <c r="E253" s="106"/>
      <c r="F253" s="106"/>
      <c r="G253" s="106"/>
      <c r="H253" s="107"/>
      <c r="I253" s="107"/>
      <c r="J253" s="107"/>
      <c r="K253" s="108"/>
      <c r="L253" s="111"/>
      <c r="M253" s="110"/>
      <c r="N253" s="17"/>
      <c r="O253" s="10"/>
      <c r="P253" s="10"/>
      <c r="Q253" s="10"/>
      <c r="R253" s="10"/>
      <c r="S253" s="10"/>
      <c r="T253" s="10"/>
    </row>
    <row r="254" spans="2:20" outlineLevel="1" x14ac:dyDescent="0.35">
      <c r="B254" s="15"/>
      <c r="C254" s="48"/>
      <c r="D254" s="106"/>
      <c r="E254" s="106"/>
      <c r="F254" s="106"/>
      <c r="G254" s="106"/>
      <c r="H254" s="107"/>
      <c r="I254" s="107"/>
      <c r="J254" s="107"/>
      <c r="K254" s="108"/>
      <c r="L254" s="111"/>
      <c r="M254" s="110"/>
      <c r="N254" s="17"/>
      <c r="O254" s="10"/>
      <c r="P254" s="10"/>
      <c r="Q254" s="10"/>
      <c r="R254" s="10"/>
      <c r="S254" s="10"/>
      <c r="T254" s="10"/>
    </row>
    <row r="255" spans="2:20" outlineLevel="1" x14ac:dyDescent="0.35">
      <c r="B255" s="15"/>
      <c r="C255" s="48"/>
      <c r="D255" s="106"/>
      <c r="E255" s="106"/>
      <c r="F255" s="106"/>
      <c r="G255" s="106"/>
      <c r="H255" s="107"/>
      <c r="I255" s="107"/>
      <c r="J255" s="107"/>
      <c r="K255" s="108"/>
      <c r="L255" s="111"/>
      <c r="M255" s="110"/>
      <c r="N255" s="17"/>
      <c r="O255" s="10"/>
      <c r="P255" s="10"/>
      <c r="Q255" s="10"/>
      <c r="R255" s="10"/>
      <c r="S255" s="10"/>
      <c r="T255" s="10"/>
    </row>
    <row r="256" spans="2:20" outlineLevel="1" x14ac:dyDescent="0.35">
      <c r="B256" s="15"/>
      <c r="C256" s="48"/>
      <c r="D256" s="106"/>
      <c r="E256" s="106"/>
      <c r="F256" s="106"/>
      <c r="G256" s="106"/>
      <c r="H256" s="107"/>
      <c r="I256" s="107"/>
      <c r="J256" s="107"/>
      <c r="K256" s="108"/>
      <c r="L256" s="111"/>
      <c r="M256" s="110"/>
      <c r="N256" s="17"/>
      <c r="O256" s="10"/>
      <c r="P256" s="10"/>
      <c r="Q256" s="10"/>
      <c r="R256" s="10"/>
      <c r="S256" s="10"/>
      <c r="T256" s="10"/>
    </row>
    <row r="257" spans="2:20" outlineLevel="1" x14ac:dyDescent="0.35">
      <c r="B257" s="15"/>
      <c r="C257" s="48"/>
      <c r="D257" s="106"/>
      <c r="E257" s="106"/>
      <c r="F257" s="106"/>
      <c r="G257" s="106"/>
      <c r="H257" s="107"/>
      <c r="I257" s="107"/>
      <c r="J257" s="107"/>
      <c r="K257" s="108"/>
      <c r="L257" s="111"/>
      <c r="M257" s="110"/>
      <c r="N257" s="17"/>
      <c r="O257" s="10"/>
      <c r="P257" s="10"/>
      <c r="Q257" s="10"/>
      <c r="R257" s="10"/>
      <c r="S257" s="10"/>
      <c r="T257" s="10"/>
    </row>
    <row r="258" spans="2:20" outlineLevel="1" x14ac:dyDescent="0.35">
      <c r="B258" s="15"/>
      <c r="C258" s="48"/>
      <c r="D258" s="106"/>
      <c r="E258" s="106"/>
      <c r="F258" s="106"/>
      <c r="G258" s="106"/>
      <c r="H258" s="107"/>
      <c r="I258" s="107"/>
      <c r="J258" s="107"/>
      <c r="K258" s="108"/>
      <c r="L258" s="111"/>
      <c r="M258" s="110"/>
      <c r="N258" s="17"/>
      <c r="O258" s="10"/>
      <c r="P258" s="10"/>
      <c r="Q258" s="10"/>
      <c r="R258" s="10"/>
      <c r="S258" s="10"/>
      <c r="T258" s="10"/>
    </row>
    <row r="259" spans="2:20" outlineLevel="1" x14ac:dyDescent="0.35">
      <c r="B259" s="15"/>
      <c r="C259" s="48"/>
      <c r="D259" s="106"/>
      <c r="E259" s="106"/>
      <c r="F259" s="106"/>
      <c r="G259" s="106"/>
      <c r="H259" s="107"/>
      <c r="I259" s="107"/>
      <c r="J259" s="107"/>
      <c r="K259" s="108"/>
      <c r="L259" s="111"/>
      <c r="M259" s="110"/>
      <c r="N259" s="17"/>
      <c r="O259" s="10"/>
      <c r="P259" s="10"/>
      <c r="Q259" s="10"/>
      <c r="R259" s="10"/>
      <c r="S259" s="10"/>
      <c r="T259" s="10"/>
    </row>
    <row r="260" spans="2:20" outlineLevel="1" x14ac:dyDescent="0.35">
      <c r="B260" s="15"/>
      <c r="C260" s="48"/>
      <c r="D260" s="106"/>
      <c r="E260" s="106"/>
      <c r="F260" s="106"/>
      <c r="G260" s="106"/>
      <c r="H260" s="107"/>
      <c r="I260" s="107"/>
      <c r="J260" s="107"/>
      <c r="K260" s="108"/>
      <c r="L260" s="111"/>
      <c r="M260" s="110"/>
      <c r="N260" s="17"/>
      <c r="O260" s="10"/>
      <c r="P260" s="10"/>
      <c r="Q260" s="10"/>
      <c r="R260" s="10"/>
      <c r="S260" s="10"/>
      <c r="T260" s="10"/>
    </row>
    <row r="261" spans="2:20" outlineLevel="1" x14ac:dyDescent="0.35">
      <c r="B261" s="15"/>
      <c r="C261" s="48"/>
      <c r="D261" s="106"/>
      <c r="E261" s="106"/>
      <c r="F261" s="106"/>
      <c r="G261" s="106"/>
      <c r="H261" s="107"/>
      <c r="I261" s="107"/>
      <c r="J261" s="107"/>
      <c r="K261" s="108"/>
      <c r="L261" s="111"/>
      <c r="M261" s="110"/>
      <c r="N261" s="17"/>
      <c r="O261" s="10"/>
      <c r="P261" s="10"/>
      <c r="Q261" s="10"/>
      <c r="R261" s="10"/>
      <c r="S261" s="10"/>
      <c r="T261" s="10"/>
    </row>
    <row r="262" spans="2:20" outlineLevel="1" x14ac:dyDescent="0.35">
      <c r="B262" s="15"/>
      <c r="C262" s="48"/>
      <c r="D262" s="106"/>
      <c r="E262" s="106"/>
      <c r="F262" s="106"/>
      <c r="G262" s="106"/>
      <c r="H262" s="107"/>
      <c r="I262" s="107"/>
      <c r="J262" s="107"/>
      <c r="K262" s="108"/>
      <c r="L262" s="111"/>
      <c r="M262" s="110"/>
      <c r="N262" s="17"/>
      <c r="O262" s="10"/>
      <c r="P262" s="10"/>
      <c r="Q262" s="10"/>
      <c r="R262" s="10"/>
      <c r="S262" s="10"/>
      <c r="T262" s="10"/>
    </row>
    <row r="263" spans="2:20" outlineLevel="1" x14ac:dyDescent="0.35">
      <c r="B263" s="15"/>
      <c r="C263" s="48"/>
      <c r="D263" s="106"/>
      <c r="E263" s="106"/>
      <c r="F263" s="106"/>
      <c r="G263" s="106"/>
      <c r="H263" s="107"/>
      <c r="I263" s="107"/>
      <c r="J263" s="107"/>
      <c r="K263" s="108"/>
      <c r="L263" s="111"/>
      <c r="M263" s="110"/>
      <c r="N263" s="17"/>
      <c r="O263" s="10"/>
      <c r="P263" s="10"/>
      <c r="Q263" s="10"/>
      <c r="R263" s="10"/>
      <c r="S263" s="10"/>
      <c r="T263" s="10"/>
    </row>
    <row r="264" spans="2:20" outlineLevel="1" x14ac:dyDescent="0.35">
      <c r="B264" s="15"/>
      <c r="C264" s="48"/>
      <c r="D264" s="106"/>
      <c r="E264" s="106"/>
      <c r="F264" s="106"/>
      <c r="G264" s="106"/>
      <c r="H264" s="107"/>
      <c r="I264" s="107"/>
      <c r="J264" s="107"/>
      <c r="K264" s="108"/>
      <c r="L264" s="111"/>
      <c r="M264" s="110"/>
      <c r="N264" s="17"/>
      <c r="O264" s="10"/>
      <c r="P264" s="10"/>
      <c r="Q264" s="10"/>
      <c r="R264" s="10"/>
      <c r="S264" s="10"/>
      <c r="T264" s="10"/>
    </row>
    <row r="265" spans="2:20" outlineLevel="1" x14ac:dyDescent="0.35">
      <c r="B265" s="15"/>
      <c r="C265" s="48"/>
      <c r="D265" s="106"/>
      <c r="E265" s="106"/>
      <c r="F265" s="106"/>
      <c r="G265" s="106"/>
      <c r="H265" s="107"/>
      <c r="I265" s="107"/>
      <c r="J265" s="107"/>
      <c r="K265" s="108"/>
      <c r="L265" s="111"/>
      <c r="M265" s="110"/>
      <c r="N265" s="17"/>
      <c r="O265" s="10"/>
      <c r="P265" s="10"/>
      <c r="Q265" s="10"/>
      <c r="R265" s="10"/>
      <c r="S265" s="10"/>
      <c r="T265" s="10"/>
    </row>
    <row r="266" spans="2:20" outlineLevel="1" x14ac:dyDescent="0.35">
      <c r="B266" s="15"/>
      <c r="C266" s="48"/>
      <c r="D266" s="106"/>
      <c r="E266" s="106"/>
      <c r="F266" s="106"/>
      <c r="G266" s="106"/>
      <c r="H266" s="107"/>
      <c r="I266" s="107"/>
      <c r="J266" s="107"/>
      <c r="K266" s="108"/>
      <c r="L266" s="111"/>
      <c r="M266" s="110"/>
      <c r="N266" s="17"/>
      <c r="O266" s="10"/>
      <c r="P266" s="10"/>
      <c r="Q266" s="10"/>
      <c r="R266" s="10"/>
      <c r="S266" s="10"/>
      <c r="T266" s="10"/>
    </row>
    <row r="267" spans="2:20" outlineLevel="1" x14ac:dyDescent="0.35">
      <c r="B267" s="15"/>
      <c r="C267" s="48"/>
      <c r="D267" s="106"/>
      <c r="E267" s="106"/>
      <c r="F267" s="106"/>
      <c r="G267" s="106"/>
      <c r="H267" s="107"/>
      <c r="I267" s="107"/>
      <c r="J267" s="107"/>
      <c r="K267" s="108"/>
      <c r="L267" s="111"/>
      <c r="M267" s="110"/>
      <c r="N267" s="17"/>
      <c r="O267" s="10"/>
      <c r="P267" s="10"/>
      <c r="Q267" s="10"/>
      <c r="R267" s="10"/>
      <c r="S267" s="10"/>
      <c r="T267" s="10"/>
    </row>
    <row r="268" spans="2:20" outlineLevel="1" x14ac:dyDescent="0.35">
      <c r="B268" s="15"/>
      <c r="C268" s="48"/>
      <c r="D268" s="106"/>
      <c r="E268" s="106"/>
      <c r="F268" s="106"/>
      <c r="G268" s="106"/>
      <c r="H268" s="107"/>
      <c r="I268" s="107"/>
      <c r="J268" s="107"/>
      <c r="K268" s="108"/>
      <c r="L268" s="111"/>
      <c r="M268" s="110"/>
      <c r="N268" s="17"/>
      <c r="O268" s="10"/>
      <c r="P268" s="10"/>
      <c r="Q268" s="10"/>
      <c r="R268" s="10"/>
      <c r="S268" s="10"/>
      <c r="T268" s="10"/>
    </row>
    <row r="269" spans="2:20" outlineLevel="1" x14ac:dyDescent="0.35">
      <c r="B269" s="15"/>
      <c r="C269" s="48"/>
      <c r="D269" s="106"/>
      <c r="E269" s="106"/>
      <c r="F269" s="106"/>
      <c r="G269" s="106"/>
      <c r="H269" s="107"/>
      <c r="I269" s="107"/>
      <c r="J269" s="107"/>
      <c r="K269" s="108"/>
      <c r="L269" s="111"/>
      <c r="M269" s="110"/>
      <c r="N269" s="17"/>
      <c r="O269" s="10"/>
      <c r="P269" s="10"/>
      <c r="Q269" s="10"/>
      <c r="R269" s="10"/>
      <c r="S269" s="10"/>
      <c r="T269" s="10"/>
    </row>
    <row r="270" spans="2:20" outlineLevel="1" x14ac:dyDescent="0.35">
      <c r="B270" s="15"/>
      <c r="C270" s="48"/>
      <c r="D270" s="106"/>
      <c r="E270" s="106"/>
      <c r="F270" s="106"/>
      <c r="G270" s="106"/>
      <c r="H270" s="107"/>
      <c r="I270" s="107"/>
      <c r="J270" s="107"/>
      <c r="K270" s="108"/>
      <c r="L270" s="111"/>
      <c r="M270" s="110"/>
      <c r="N270" s="17"/>
      <c r="O270" s="10"/>
      <c r="P270" s="10"/>
      <c r="Q270" s="10"/>
      <c r="R270" s="10"/>
      <c r="S270" s="10"/>
      <c r="T270" s="10"/>
    </row>
    <row r="271" spans="2:20" outlineLevel="1" x14ac:dyDescent="0.35">
      <c r="B271" s="15"/>
      <c r="C271" s="48"/>
      <c r="D271" s="106"/>
      <c r="E271" s="106"/>
      <c r="F271" s="106"/>
      <c r="G271" s="106"/>
      <c r="H271" s="107"/>
      <c r="I271" s="107"/>
      <c r="J271" s="107"/>
      <c r="K271" s="108"/>
      <c r="L271" s="111"/>
      <c r="M271" s="110"/>
      <c r="N271" s="17"/>
      <c r="O271" s="10"/>
      <c r="P271" s="10"/>
      <c r="Q271" s="10"/>
      <c r="R271" s="10"/>
      <c r="S271" s="10"/>
      <c r="T271" s="10"/>
    </row>
    <row r="272" spans="2:20" outlineLevel="1" x14ac:dyDescent="0.35">
      <c r="B272" s="15"/>
      <c r="C272" s="48"/>
      <c r="D272" s="106"/>
      <c r="E272" s="106"/>
      <c r="F272" s="106"/>
      <c r="G272" s="106"/>
      <c r="H272" s="107"/>
      <c r="I272" s="107"/>
      <c r="J272" s="107"/>
      <c r="K272" s="108"/>
      <c r="L272" s="111"/>
      <c r="M272" s="110"/>
      <c r="N272" s="17"/>
      <c r="O272" s="10"/>
      <c r="P272" s="10"/>
      <c r="Q272" s="10"/>
      <c r="R272" s="10"/>
      <c r="S272" s="10"/>
      <c r="T272" s="10"/>
    </row>
    <row r="273" spans="2:20" outlineLevel="1" x14ac:dyDescent="0.35">
      <c r="B273" s="15"/>
      <c r="C273" s="48"/>
      <c r="D273" s="106"/>
      <c r="E273" s="106"/>
      <c r="F273" s="106"/>
      <c r="G273" s="106"/>
      <c r="H273" s="107"/>
      <c r="I273" s="107"/>
      <c r="J273" s="107"/>
      <c r="K273" s="108"/>
      <c r="L273" s="111"/>
      <c r="M273" s="110"/>
      <c r="N273" s="17"/>
      <c r="O273" s="10"/>
      <c r="P273" s="10"/>
      <c r="Q273" s="10"/>
      <c r="R273" s="10"/>
      <c r="S273" s="10"/>
      <c r="T273" s="10"/>
    </row>
    <row r="274" spans="2:20" outlineLevel="1" x14ac:dyDescent="0.35">
      <c r="B274" s="15"/>
      <c r="C274" s="48"/>
      <c r="D274" s="106"/>
      <c r="E274" s="106"/>
      <c r="F274" s="106"/>
      <c r="G274" s="106"/>
      <c r="H274" s="107"/>
      <c r="I274" s="107"/>
      <c r="J274" s="107"/>
      <c r="K274" s="108"/>
      <c r="L274" s="111"/>
      <c r="M274" s="110"/>
      <c r="N274" s="17"/>
      <c r="O274" s="10"/>
      <c r="P274" s="10"/>
      <c r="Q274" s="10"/>
      <c r="R274" s="10"/>
      <c r="S274" s="10"/>
      <c r="T274" s="10"/>
    </row>
    <row r="275" spans="2:20" outlineLevel="1" x14ac:dyDescent="0.35">
      <c r="B275" s="15"/>
      <c r="C275" s="48"/>
      <c r="D275" s="106"/>
      <c r="E275" s="106"/>
      <c r="F275" s="106"/>
      <c r="G275" s="106"/>
      <c r="H275" s="107"/>
      <c r="I275" s="107"/>
      <c r="J275" s="107"/>
      <c r="K275" s="108"/>
      <c r="L275" s="111"/>
      <c r="M275" s="110"/>
      <c r="N275" s="17"/>
      <c r="O275" s="10"/>
      <c r="P275" s="10"/>
      <c r="Q275" s="10"/>
      <c r="R275" s="10"/>
      <c r="S275" s="10"/>
      <c r="T275" s="10"/>
    </row>
    <row r="276" spans="2:20" outlineLevel="1" x14ac:dyDescent="0.35">
      <c r="B276" s="15"/>
      <c r="C276" s="48"/>
      <c r="D276" s="106"/>
      <c r="E276" s="106"/>
      <c r="F276" s="106"/>
      <c r="G276" s="106"/>
      <c r="H276" s="107"/>
      <c r="I276" s="107"/>
      <c r="J276" s="107"/>
      <c r="K276" s="108"/>
      <c r="L276" s="111"/>
      <c r="M276" s="110"/>
      <c r="N276" s="17"/>
      <c r="O276" s="10"/>
      <c r="P276" s="10"/>
      <c r="Q276" s="10"/>
      <c r="R276" s="10"/>
      <c r="S276" s="10"/>
      <c r="T276" s="10"/>
    </row>
    <row r="277" spans="2:20" outlineLevel="1" x14ac:dyDescent="0.35">
      <c r="B277" s="15"/>
      <c r="C277" s="48"/>
      <c r="D277" s="106"/>
      <c r="E277" s="106"/>
      <c r="F277" s="106"/>
      <c r="G277" s="106"/>
      <c r="H277" s="107"/>
      <c r="I277" s="107"/>
      <c r="J277" s="107"/>
      <c r="K277" s="108"/>
      <c r="L277" s="111"/>
      <c r="M277" s="110"/>
      <c r="N277" s="17"/>
      <c r="O277" s="10"/>
      <c r="P277" s="10"/>
      <c r="Q277" s="10"/>
      <c r="R277" s="10"/>
      <c r="S277" s="10"/>
      <c r="T277" s="10"/>
    </row>
    <row r="278" spans="2:20" outlineLevel="1" x14ac:dyDescent="0.35">
      <c r="B278" s="15"/>
      <c r="C278" s="48"/>
      <c r="D278" s="106"/>
      <c r="E278" s="106"/>
      <c r="F278" s="106"/>
      <c r="G278" s="106"/>
      <c r="H278" s="107"/>
      <c r="I278" s="107"/>
      <c r="J278" s="107"/>
      <c r="K278" s="108"/>
      <c r="L278" s="111"/>
      <c r="M278" s="110"/>
      <c r="N278" s="17"/>
      <c r="O278" s="10"/>
      <c r="P278" s="10"/>
      <c r="Q278" s="10"/>
      <c r="R278" s="10"/>
      <c r="S278" s="10"/>
      <c r="T278" s="10"/>
    </row>
    <row r="279" spans="2:20" outlineLevel="1" x14ac:dyDescent="0.35">
      <c r="B279" s="15"/>
      <c r="C279" s="48"/>
      <c r="D279" s="106"/>
      <c r="E279" s="106"/>
      <c r="F279" s="106"/>
      <c r="G279" s="106"/>
      <c r="H279" s="107"/>
      <c r="I279" s="107"/>
      <c r="J279" s="107"/>
      <c r="K279" s="108"/>
      <c r="L279" s="111"/>
      <c r="M279" s="110"/>
      <c r="N279" s="17"/>
      <c r="O279" s="10"/>
      <c r="P279" s="10"/>
      <c r="Q279" s="10"/>
      <c r="R279" s="10"/>
      <c r="S279" s="10"/>
      <c r="T279" s="10"/>
    </row>
    <row r="280" spans="2:20" outlineLevel="1" x14ac:dyDescent="0.35">
      <c r="B280" s="15"/>
      <c r="C280" s="48"/>
      <c r="D280" s="106"/>
      <c r="E280" s="106"/>
      <c r="F280" s="106"/>
      <c r="G280" s="106"/>
      <c r="H280" s="107"/>
      <c r="I280" s="107"/>
      <c r="J280" s="107"/>
      <c r="K280" s="108"/>
      <c r="L280" s="111"/>
      <c r="M280" s="110"/>
      <c r="N280" s="17"/>
      <c r="O280" s="10"/>
      <c r="P280" s="10"/>
      <c r="Q280" s="10"/>
      <c r="R280" s="10"/>
      <c r="S280" s="10"/>
      <c r="T280" s="10"/>
    </row>
    <row r="281" spans="2:20" outlineLevel="1" x14ac:dyDescent="0.35">
      <c r="B281" s="15"/>
      <c r="C281" s="48"/>
      <c r="D281" s="106"/>
      <c r="E281" s="106"/>
      <c r="F281" s="106"/>
      <c r="G281" s="106"/>
      <c r="H281" s="107"/>
      <c r="I281" s="107"/>
      <c r="J281" s="107"/>
      <c r="K281" s="108"/>
      <c r="L281" s="111"/>
      <c r="M281" s="110"/>
      <c r="N281" s="17"/>
      <c r="O281" s="10"/>
      <c r="P281" s="10"/>
      <c r="Q281" s="10"/>
      <c r="R281" s="10"/>
      <c r="S281" s="10"/>
      <c r="T281" s="10"/>
    </row>
    <row r="282" spans="2:20" outlineLevel="1" x14ac:dyDescent="0.35">
      <c r="B282" s="15"/>
      <c r="C282" s="48"/>
      <c r="D282" s="106"/>
      <c r="E282" s="106"/>
      <c r="F282" s="106"/>
      <c r="G282" s="106"/>
      <c r="H282" s="107"/>
      <c r="I282" s="107"/>
      <c r="J282" s="107"/>
      <c r="K282" s="108"/>
      <c r="L282" s="111"/>
      <c r="M282" s="110"/>
      <c r="N282" s="17"/>
      <c r="O282" s="10"/>
      <c r="P282" s="10"/>
      <c r="Q282" s="10"/>
      <c r="R282" s="10"/>
      <c r="S282" s="10"/>
      <c r="T282" s="10"/>
    </row>
    <row r="283" spans="2:20" outlineLevel="1" x14ac:dyDescent="0.35">
      <c r="B283" s="15"/>
      <c r="C283" s="48"/>
      <c r="D283" s="106"/>
      <c r="E283" s="106"/>
      <c r="F283" s="106"/>
      <c r="G283" s="106"/>
      <c r="H283" s="107"/>
      <c r="I283" s="107"/>
      <c r="J283" s="107"/>
      <c r="K283" s="108"/>
      <c r="L283" s="111"/>
      <c r="M283" s="110"/>
      <c r="N283" s="17"/>
      <c r="O283" s="10"/>
      <c r="P283" s="10"/>
      <c r="Q283" s="10"/>
      <c r="R283" s="10"/>
      <c r="S283" s="10"/>
      <c r="T283" s="10"/>
    </row>
    <row r="284" spans="2:20" outlineLevel="1" x14ac:dyDescent="0.35">
      <c r="B284" s="15"/>
      <c r="C284" s="48"/>
      <c r="D284" s="106"/>
      <c r="E284" s="106"/>
      <c r="F284" s="106"/>
      <c r="G284" s="106"/>
      <c r="H284" s="107"/>
      <c r="I284" s="107"/>
      <c r="J284" s="107"/>
      <c r="K284" s="108"/>
      <c r="L284" s="111"/>
      <c r="M284" s="110"/>
      <c r="N284" s="17"/>
      <c r="O284" s="10"/>
      <c r="P284" s="10"/>
      <c r="Q284" s="10"/>
      <c r="R284" s="10"/>
      <c r="S284" s="10"/>
      <c r="T284" s="10"/>
    </row>
    <row r="285" spans="2:20" outlineLevel="1" x14ac:dyDescent="0.35">
      <c r="B285" s="15"/>
      <c r="C285" s="48"/>
      <c r="D285" s="106"/>
      <c r="E285" s="106"/>
      <c r="F285" s="106"/>
      <c r="G285" s="106"/>
      <c r="H285" s="107"/>
      <c r="I285" s="107"/>
      <c r="J285" s="107"/>
      <c r="K285" s="108"/>
      <c r="L285" s="111"/>
      <c r="M285" s="110"/>
      <c r="N285" s="17"/>
      <c r="O285" s="10"/>
      <c r="P285" s="10"/>
      <c r="Q285" s="10"/>
      <c r="R285" s="10"/>
      <c r="S285" s="10"/>
      <c r="T285" s="10"/>
    </row>
    <row r="286" spans="2:20" outlineLevel="1" x14ac:dyDescent="0.35">
      <c r="B286" s="15"/>
      <c r="C286" s="48"/>
      <c r="D286" s="106"/>
      <c r="E286" s="106"/>
      <c r="F286" s="106"/>
      <c r="G286" s="106"/>
      <c r="H286" s="107"/>
      <c r="I286" s="107"/>
      <c r="J286" s="107"/>
      <c r="K286" s="108"/>
      <c r="L286" s="111"/>
      <c r="M286" s="110"/>
      <c r="N286" s="17"/>
      <c r="O286" s="10"/>
      <c r="P286" s="10"/>
      <c r="Q286" s="10"/>
      <c r="R286" s="10"/>
      <c r="S286" s="10"/>
      <c r="T286" s="10"/>
    </row>
    <row r="287" spans="2:20" outlineLevel="1" x14ac:dyDescent="0.35">
      <c r="B287" s="15"/>
      <c r="C287" s="48"/>
      <c r="D287" s="106"/>
      <c r="E287" s="106"/>
      <c r="F287" s="106"/>
      <c r="G287" s="106"/>
      <c r="H287" s="107"/>
      <c r="I287" s="107"/>
      <c r="J287" s="107"/>
      <c r="K287" s="108"/>
      <c r="L287" s="111"/>
      <c r="M287" s="110"/>
      <c r="N287" s="17"/>
      <c r="O287" s="10"/>
      <c r="P287" s="10"/>
      <c r="Q287" s="10"/>
      <c r="R287" s="10"/>
      <c r="S287" s="10"/>
      <c r="T287" s="10"/>
    </row>
    <row r="288" spans="2:20" outlineLevel="1" x14ac:dyDescent="0.35">
      <c r="B288" s="15"/>
      <c r="C288" s="48"/>
      <c r="D288" s="106"/>
      <c r="E288" s="106"/>
      <c r="F288" s="106"/>
      <c r="G288" s="106"/>
      <c r="H288" s="107"/>
      <c r="I288" s="107"/>
      <c r="J288" s="107"/>
      <c r="K288" s="108"/>
      <c r="L288" s="111"/>
      <c r="M288" s="110"/>
      <c r="N288" s="17"/>
      <c r="O288" s="10"/>
      <c r="P288" s="10"/>
      <c r="Q288" s="10"/>
      <c r="R288" s="10"/>
      <c r="S288" s="10"/>
      <c r="T288" s="10"/>
    </row>
    <row r="289" spans="2:20" outlineLevel="1" x14ac:dyDescent="0.35">
      <c r="B289" s="15"/>
      <c r="C289" s="48"/>
      <c r="D289" s="106"/>
      <c r="E289" s="106"/>
      <c r="F289" s="106"/>
      <c r="G289" s="106"/>
      <c r="H289" s="107"/>
      <c r="I289" s="107"/>
      <c r="J289" s="107"/>
      <c r="K289" s="108"/>
      <c r="L289" s="111"/>
      <c r="M289" s="110"/>
      <c r="N289" s="17"/>
      <c r="O289" s="10"/>
      <c r="P289" s="10"/>
      <c r="Q289" s="10"/>
      <c r="R289" s="10"/>
      <c r="S289" s="10"/>
      <c r="T289" s="10"/>
    </row>
    <row r="290" spans="2:20" outlineLevel="1" x14ac:dyDescent="0.35">
      <c r="B290" s="15"/>
      <c r="C290" s="48"/>
      <c r="D290" s="106"/>
      <c r="E290" s="106"/>
      <c r="F290" s="106"/>
      <c r="G290" s="106"/>
      <c r="H290" s="107"/>
      <c r="I290" s="107"/>
      <c r="J290" s="107"/>
      <c r="K290" s="108"/>
      <c r="L290" s="111"/>
      <c r="M290" s="110"/>
      <c r="N290" s="17"/>
      <c r="O290" s="10"/>
      <c r="P290" s="10"/>
      <c r="Q290" s="10"/>
      <c r="R290" s="10"/>
      <c r="S290" s="10"/>
      <c r="T290" s="10"/>
    </row>
    <row r="291" spans="2:20" outlineLevel="1" x14ac:dyDescent="0.35">
      <c r="B291" s="15"/>
      <c r="C291" s="48"/>
      <c r="D291" s="106"/>
      <c r="E291" s="106"/>
      <c r="F291" s="106"/>
      <c r="G291" s="106"/>
      <c r="H291" s="107"/>
      <c r="I291" s="107"/>
      <c r="J291" s="107"/>
      <c r="K291" s="108"/>
      <c r="L291" s="111"/>
      <c r="M291" s="110"/>
      <c r="N291" s="17"/>
      <c r="O291" s="10"/>
      <c r="P291" s="10"/>
      <c r="Q291" s="10"/>
      <c r="R291" s="10"/>
      <c r="S291" s="10"/>
      <c r="T291" s="10"/>
    </row>
    <row r="292" spans="2:20" outlineLevel="1" x14ac:dyDescent="0.35">
      <c r="B292" s="15"/>
      <c r="C292" s="48"/>
      <c r="D292" s="106"/>
      <c r="E292" s="106"/>
      <c r="F292" s="106"/>
      <c r="G292" s="106"/>
      <c r="H292" s="107"/>
      <c r="I292" s="107"/>
      <c r="J292" s="107"/>
      <c r="K292" s="108"/>
      <c r="L292" s="111"/>
      <c r="M292" s="110"/>
      <c r="N292" s="17"/>
      <c r="O292" s="10"/>
      <c r="P292" s="10"/>
      <c r="Q292" s="10"/>
      <c r="R292" s="10"/>
      <c r="S292" s="10"/>
      <c r="T292" s="10"/>
    </row>
    <row r="293" spans="2:20" outlineLevel="1" x14ac:dyDescent="0.35">
      <c r="B293" s="15"/>
      <c r="C293" s="48"/>
      <c r="D293" s="106"/>
      <c r="E293" s="106"/>
      <c r="F293" s="106"/>
      <c r="G293" s="106"/>
      <c r="H293" s="107"/>
      <c r="I293" s="107"/>
      <c r="J293" s="107"/>
      <c r="K293" s="108"/>
      <c r="L293" s="111"/>
      <c r="M293" s="110"/>
      <c r="N293" s="17"/>
      <c r="O293" s="10"/>
      <c r="P293" s="10"/>
      <c r="Q293" s="10"/>
      <c r="R293" s="10"/>
      <c r="S293" s="10"/>
      <c r="T293" s="10"/>
    </row>
    <row r="294" spans="2:20" outlineLevel="1" x14ac:dyDescent="0.35">
      <c r="B294" s="15"/>
      <c r="C294" s="48"/>
      <c r="D294" s="106"/>
      <c r="E294" s="106"/>
      <c r="F294" s="106"/>
      <c r="G294" s="106"/>
      <c r="H294" s="107"/>
      <c r="I294" s="107"/>
      <c r="J294" s="107"/>
      <c r="K294" s="108"/>
      <c r="L294" s="111"/>
      <c r="M294" s="110"/>
      <c r="N294" s="17"/>
      <c r="O294" s="10"/>
      <c r="P294" s="10"/>
      <c r="Q294" s="10"/>
      <c r="R294" s="10"/>
      <c r="S294" s="10"/>
      <c r="T294" s="10"/>
    </row>
    <row r="295" spans="2:20" outlineLevel="1" x14ac:dyDescent="0.35">
      <c r="B295" s="15"/>
      <c r="C295" s="48"/>
      <c r="D295" s="106"/>
      <c r="E295" s="106"/>
      <c r="F295" s="106"/>
      <c r="G295" s="106"/>
      <c r="H295" s="107"/>
      <c r="I295" s="107"/>
      <c r="J295" s="107"/>
      <c r="K295" s="108"/>
      <c r="L295" s="111"/>
      <c r="M295" s="110"/>
      <c r="N295" s="17"/>
      <c r="O295" s="10"/>
      <c r="P295" s="10"/>
      <c r="Q295" s="10"/>
      <c r="R295" s="10"/>
      <c r="S295" s="10"/>
      <c r="T295" s="10"/>
    </row>
    <row r="296" spans="2:20" outlineLevel="1" x14ac:dyDescent="0.35">
      <c r="B296" s="15"/>
      <c r="C296" s="48"/>
      <c r="D296" s="106"/>
      <c r="E296" s="106"/>
      <c r="F296" s="106"/>
      <c r="G296" s="106"/>
      <c r="H296" s="107"/>
      <c r="I296" s="107"/>
      <c r="J296" s="107"/>
      <c r="K296" s="108"/>
      <c r="L296" s="111"/>
      <c r="M296" s="110"/>
      <c r="N296" s="17"/>
      <c r="O296" s="10"/>
      <c r="P296" s="10"/>
      <c r="Q296" s="10"/>
      <c r="R296" s="10"/>
      <c r="S296" s="10"/>
      <c r="T296" s="10"/>
    </row>
    <row r="297" spans="2:20" outlineLevel="1" x14ac:dyDescent="0.35">
      <c r="B297" s="15"/>
      <c r="C297" s="48"/>
      <c r="D297" s="106"/>
      <c r="E297" s="106"/>
      <c r="F297" s="106"/>
      <c r="G297" s="106"/>
      <c r="H297" s="107"/>
      <c r="I297" s="107"/>
      <c r="J297" s="107"/>
      <c r="K297" s="108"/>
      <c r="L297" s="111"/>
      <c r="M297" s="110"/>
      <c r="N297" s="17"/>
      <c r="O297" s="10"/>
      <c r="P297" s="10"/>
      <c r="Q297" s="10"/>
      <c r="R297" s="10"/>
      <c r="S297" s="10"/>
      <c r="T297" s="10"/>
    </row>
    <row r="298" spans="2:20" outlineLevel="1" x14ac:dyDescent="0.35">
      <c r="B298" s="15"/>
      <c r="C298" s="48"/>
      <c r="D298" s="106"/>
      <c r="E298" s="106"/>
      <c r="F298" s="106"/>
      <c r="G298" s="106"/>
      <c r="H298" s="107"/>
      <c r="I298" s="107"/>
      <c r="J298" s="107"/>
      <c r="K298" s="108"/>
      <c r="L298" s="111"/>
      <c r="M298" s="110"/>
      <c r="N298" s="17"/>
      <c r="O298" s="10"/>
      <c r="P298" s="10"/>
      <c r="Q298" s="10"/>
      <c r="R298" s="10"/>
      <c r="S298" s="10"/>
      <c r="T298" s="10"/>
    </row>
    <row r="299" spans="2:20" outlineLevel="1" x14ac:dyDescent="0.35">
      <c r="B299" s="15"/>
      <c r="C299" s="48"/>
      <c r="D299" s="106"/>
      <c r="E299" s="106"/>
      <c r="F299" s="106"/>
      <c r="G299" s="106"/>
      <c r="H299" s="107"/>
      <c r="I299" s="107"/>
      <c r="J299" s="107"/>
      <c r="K299" s="108"/>
      <c r="L299" s="111"/>
      <c r="M299" s="110"/>
      <c r="N299" s="17"/>
      <c r="O299" s="10"/>
      <c r="P299" s="10"/>
      <c r="Q299" s="10"/>
      <c r="R299" s="10"/>
      <c r="S299" s="10"/>
      <c r="T299" s="10"/>
    </row>
    <row r="300" spans="2:20" outlineLevel="1" x14ac:dyDescent="0.35">
      <c r="B300" s="15"/>
      <c r="C300" s="48"/>
      <c r="D300" s="106"/>
      <c r="E300" s="106"/>
      <c r="F300" s="106"/>
      <c r="G300" s="106"/>
      <c r="H300" s="107"/>
      <c r="I300" s="107"/>
      <c r="J300" s="107"/>
      <c r="K300" s="108"/>
      <c r="L300" s="111"/>
      <c r="M300" s="110"/>
      <c r="N300" s="17"/>
      <c r="O300" s="10"/>
      <c r="P300" s="10"/>
      <c r="Q300" s="10"/>
      <c r="R300" s="10"/>
      <c r="S300" s="10"/>
      <c r="T300" s="10"/>
    </row>
    <row r="301" spans="2:20" outlineLevel="1" x14ac:dyDescent="0.35">
      <c r="B301" s="15"/>
      <c r="C301" s="48"/>
      <c r="D301" s="106"/>
      <c r="E301" s="106"/>
      <c r="F301" s="106"/>
      <c r="G301" s="106"/>
      <c r="H301" s="107"/>
      <c r="I301" s="107"/>
      <c r="J301" s="107"/>
      <c r="K301" s="108"/>
      <c r="L301" s="111"/>
      <c r="M301" s="110"/>
      <c r="N301" s="17"/>
      <c r="O301" s="10"/>
      <c r="P301" s="10"/>
      <c r="Q301" s="10"/>
      <c r="R301" s="10"/>
      <c r="S301" s="10"/>
      <c r="T301" s="10"/>
    </row>
    <row r="302" spans="2:20" outlineLevel="1" x14ac:dyDescent="0.35">
      <c r="B302" s="15"/>
      <c r="C302" s="48"/>
      <c r="D302" s="106"/>
      <c r="E302" s="106"/>
      <c r="F302" s="106"/>
      <c r="G302" s="106"/>
      <c r="H302" s="107"/>
      <c r="I302" s="107"/>
      <c r="J302" s="107"/>
      <c r="K302" s="108"/>
      <c r="L302" s="111"/>
      <c r="M302" s="110"/>
      <c r="N302" s="17"/>
      <c r="O302" s="10"/>
      <c r="P302" s="10"/>
      <c r="Q302" s="10"/>
      <c r="R302" s="10"/>
      <c r="S302" s="10"/>
      <c r="T302" s="10"/>
    </row>
    <row r="303" spans="2:20" outlineLevel="1" x14ac:dyDescent="0.35">
      <c r="B303" s="15"/>
      <c r="C303" s="48"/>
      <c r="D303" s="106"/>
      <c r="E303" s="106"/>
      <c r="F303" s="106"/>
      <c r="G303" s="106"/>
      <c r="H303" s="107"/>
      <c r="I303" s="107"/>
      <c r="J303" s="107"/>
      <c r="K303" s="108"/>
      <c r="L303" s="111"/>
      <c r="M303" s="110"/>
      <c r="N303" s="17"/>
      <c r="O303" s="10"/>
      <c r="P303" s="10"/>
      <c r="Q303" s="10"/>
      <c r="R303" s="10"/>
      <c r="S303" s="10"/>
      <c r="T303" s="10"/>
    </row>
    <row r="304" spans="2:20" outlineLevel="1" x14ac:dyDescent="0.35">
      <c r="B304" s="15"/>
      <c r="C304" s="48"/>
      <c r="D304" s="106"/>
      <c r="E304" s="106"/>
      <c r="F304" s="106"/>
      <c r="G304" s="106"/>
      <c r="H304" s="107"/>
      <c r="I304" s="107"/>
      <c r="J304" s="107"/>
      <c r="K304" s="108"/>
      <c r="L304" s="111"/>
      <c r="M304" s="110"/>
      <c r="N304" s="17"/>
      <c r="O304" s="10"/>
      <c r="P304" s="10"/>
      <c r="Q304" s="10"/>
      <c r="R304" s="10"/>
      <c r="S304" s="10"/>
      <c r="T304" s="10"/>
    </row>
    <row r="305" spans="2:20" outlineLevel="1" x14ac:dyDescent="0.35">
      <c r="B305" s="15"/>
      <c r="C305" s="48"/>
      <c r="D305" s="106"/>
      <c r="E305" s="106"/>
      <c r="F305" s="106"/>
      <c r="G305" s="106"/>
      <c r="H305" s="107"/>
      <c r="I305" s="107"/>
      <c r="J305" s="107"/>
      <c r="K305" s="108"/>
      <c r="L305" s="111"/>
      <c r="M305" s="110"/>
      <c r="N305" s="17"/>
      <c r="O305" s="10"/>
      <c r="P305" s="10"/>
      <c r="Q305" s="10"/>
      <c r="R305" s="10"/>
      <c r="S305" s="10"/>
      <c r="T305" s="10"/>
    </row>
    <row r="306" spans="2:20" outlineLevel="1" x14ac:dyDescent="0.35">
      <c r="B306" s="15"/>
      <c r="C306" s="48"/>
      <c r="D306" s="106"/>
      <c r="E306" s="106"/>
      <c r="F306" s="106"/>
      <c r="G306" s="106"/>
      <c r="H306" s="107"/>
      <c r="I306" s="107"/>
      <c r="J306" s="107"/>
      <c r="K306" s="108"/>
      <c r="L306" s="111"/>
      <c r="M306" s="110"/>
      <c r="N306" s="17"/>
      <c r="O306" s="10"/>
      <c r="P306" s="10"/>
      <c r="Q306" s="10"/>
      <c r="R306" s="10"/>
      <c r="S306" s="10"/>
      <c r="T306" s="10"/>
    </row>
    <row r="307" spans="2:20" outlineLevel="1" x14ac:dyDescent="0.35">
      <c r="B307" s="15"/>
      <c r="C307" s="48"/>
      <c r="D307" s="106"/>
      <c r="E307" s="106"/>
      <c r="F307" s="106"/>
      <c r="G307" s="106"/>
      <c r="H307" s="107"/>
      <c r="I307" s="107"/>
      <c r="J307" s="107"/>
      <c r="K307" s="108"/>
      <c r="L307" s="111"/>
      <c r="M307" s="110"/>
      <c r="N307" s="17"/>
      <c r="O307" s="10"/>
      <c r="P307" s="10"/>
      <c r="Q307" s="10"/>
      <c r="R307" s="10"/>
      <c r="S307" s="10"/>
      <c r="T307" s="10"/>
    </row>
    <row r="308" spans="2:20" outlineLevel="1" x14ac:dyDescent="0.35">
      <c r="B308" s="15"/>
      <c r="C308" s="48"/>
      <c r="D308" s="106"/>
      <c r="E308" s="106"/>
      <c r="F308" s="106"/>
      <c r="G308" s="106"/>
      <c r="H308" s="107"/>
      <c r="I308" s="107"/>
      <c r="J308" s="107"/>
      <c r="K308" s="108"/>
      <c r="L308" s="111"/>
      <c r="M308" s="110"/>
      <c r="N308" s="17"/>
      <c r="O308" s="10"/>
      <c r="P308" s="10"/>
      <c r="Q308" s="10"/>
      <c r="R308" s="10"/>
      <c r="S308" s="10"/>
      <c r="T308" s="10"/>
    </row>
    <row r="309" spans="2:20" outlineLevel="1" x14ac:dyDescent="0.35">
      <c r="B309" s="15"/>
      <c r="C309" s="48"/>
      <c r="D309" s="106"/>
      <c r="E309" s="106"/>
      <c r="F309" s="106"/>
      <c r="G309" s="106"/>
      <c r="H309" s="107"/>
      <c r="I309" s="107"/>
      <c r="J309" s="107"/>
      <c r="K309" s="108"/>
      <c r="L309" s="111"/>
      <c r="M309" s="110"/>
      <c r="N309" s="17"/>
      <c r="O309" s="10"/>
      <c r="P309" s="10"/>
      <c r="Q309" s="10"/>
      <c r="R309" s="10"/>
      <c r="S309" s="10"/>
      <c r="T309" s="10"/>
    </row>
    <row r="310" spans="2:20" outlineLevel="1" x14ac:dyDescent="0.35">
      <c r="B310" s="15"/>
      <c r="C310" s="48"/>
      <c r="D310" s="106"/>
      <c r="E310" s="106"/>
      <c r="F310" s="106"/>
      <c r="G310" s="106"/>
      <c r="H310" s="107"/>
      <c r="I310" s="107"/>
      <c r="J310" s="107"/>
      <c r="K310" s="108"/>
      <c r="L310" s="111"/>
      <c r="M310" s="110"/>
      <c r="N310" s="17"/>
      <c r="O310" s="10"/>
      <c r="P310" s="10"/>
      <c r="Q310" s="10"/>
      <c r="R310" s="10"/>
      <c r="S310" s="10"/>
      <c r="T310" s="10"/>
    </row>
    <row r="311" spans="2:20" outlineLevel="1" x14ac:dyDescent="0.35">
      <c r="B311" s="15"/>
      <c r="C311" s="48"/>
      <c r="D311" s="106"/>
      <c r="E311" s="106"/>
      <c r="F311" s="106"/>
      <c r="G311" s="106"/>
      <c r="H311" s="107"/>
      <c r="I311" s="107"/>
      <c r="J311" s="107"/>
      <c r="K311" s="108"/>
      <c r="L311" s="111"/>
      <c r="M311" s="110"/>
      <c r="N311" s="17"/>
      <c r="O311" s="10"/>
      <c r="P311" s="10"/>
      <c r="Q311" s="10"/>
      <c r="R311" s="10"/>
      <c r="S311" s="10"/>
      <c r="T311" s="10"/>
    </row>
    <row r="312" spans="2:20" outlineLevel="1" x14ac:dyDescent="0.35">
      <c r="B312" s="15"/>
      <c r="C312" s="48"/>
      <c r="D312" s="106"/>
      <c r="E312" s="106"/>
      <c r="F312" s="106"/>
      <c r="G312" s="106"/>
      <c r="H312" s="107"/>
      <c r="I312" s="107"/>
      <c r="J312" s="107"/>
      <c r="K312" s="108"/>
      <c r="L312" s="111"/>
      <c r="M312" s="110"/>
      <c r="N312" s="17"/>
      <c r="O312" s="10"/>
      <c r="P312" s="10"/>
      <c r="Q312" s="10"/>
      <c r="R312" s="10"/>
      <c r="S312" s="10"/>
      <c r="T312" s="10"/>
    </row>
    <row r="313" spans="2:20" outlineLevel="1" x14ac:dyDescent="0.35">
      <c r="B313" s="15"/>
      <c r="C313" s="48"/>
      <c r="D313" s="106"/>
      <c r="E313" s="106"/>
      <c r="F313" s="106"/>
      <c r="G313" s="106"/>
      <c r="H313" s="107"/>
      <c r="I313" s="107"/>
      <c r="J313" s="107"/>
      <c r="K313" s="108"/>
      <c r="L313" s="111"/>
      <c r="M313" s="110"/>
      <c r="N313" s="17"/>
      <c r="O313" s="10"/>
      <c r="P313" s="10"/>
      <c r="Q313" s="10"/>
      <c r="R313" s="10"/>
      <c r="S313" s="10"/>
      <c r="T313" s="10"/>
    </row>
    <row r="314" spans="2:20" outlineLevel="1" x14ac:dyDescent="0.35">
      <c r="B314" s="15"/>
      <c r="C314" s="48"/>
      <c r="D314" s="106"/>
      <c r="E314" s="106"/>
      <c r="F314" s="106"/>
      <c r="G314" s="106"/>
      <c r="H314" s="107"/>
      <c r="I314" s="107"/>
      <c r="J314" s="107"/>
      <c r="K314" s="108"/>
      <c r="L314" s="111"/>
      <c r="M314" s="110"/>
      <c r="N314" s="17"/>
      <c r="O314" s="10"/>
      <c r="P314" s="10"/>
      <c r="Q314" s="10"/>
      <c r="R314" s="10"/>
      <c r="S314" s="10"/>
      <c r="T314" s="10"/>
    </row>
    <row r="315" spans="2:20" outlineLevel="1" x14ac:dyDescent="0.35">
      <c r="B315" s="15"/>
      <c r="C315" s="48"/>
      <c r="D315" s="106"/>
      <c r="E315" s="106"/>
      <c r="F315" s="106"/>
      <c r="G315" s="106"/>
      <c r="H315" s="107"/>
      <c r="I315" s="107"/>
      <c r="J315" s="107"/>
      <c r="K315" s="108"/>
      <c r="L315" s="111"/>
      <c r="M315" s="110"/>
      <c r="N315" s="17"/>
      <c r="O315" s="10"/>
      <c r="P315" s="10"/>
      <c r="Q315" s="10"/>
      <c r="R315" s="10"/>
      <c r="S315" s="10"/>
      <c r="T315" s="10"/>
    </row>
    <row r="316" spans="2:20" outlineLevel="1" x14ac:dyDescent="0.35">
      <c r="B316" s="15"/>
      <c r="C316" s="48"/>
      <c r="D316" s="106"/>
      <c r="E316" s="106"/>
      <c r="F316" s="106"/>
      <c r="G316" s="106"/>
      <c r="H316" s="107"/>
      <c r="I316" s="107"/>
      <c r="J316" s="107"/>
      <c r="K316" s="108"/>
      <c r="L316" s="111"/>
      <c r="M316" s="110"/>
      <c r="N316" s="17"/>
      <c r="O316" s="10"/>
      <c r="P316" s="10"/>
      <c r="Q316" s="10"/>
      <c r="R316" s="10"/>
      <c r="S316" s="10"/>
      <c r="T316" s="10"/>
    </row>
    <row r="317" spans="2:20" outlineLevel="1" x14ac:dyDescent="0.35">
      <c r="B317" s="15"/>
      <c r="C317" s="48"/>
      <c r="D317" s="106"/>
      <c r="E317" s="106"/>
      <c r="F317" s="106"/>
      <c r="G317" s="106"/>
      <c r="H317" s="107"/>
      <c r="I317" s="107"/>
      <c r="J317" s="107"/>
      <c r="K317" s="108"/>
      <c r="L317" s="111"/>
      <c r="M317" s="110"/>
      <c r="N317" s="17"/>
      <c r="O317" s="10"/>
      <c r="P317" s="10"/>
      <c r="Q317" s="10"/>
      <c r="R317" s="10"/>
      <c r="S317" s="10"/>
      <c r="T317" s="10"/>
    </row>
    <row r="318" spans="2:20" outlineLevel="1" x14ac:dyDescent="0.35">
      <c r="B318" s="15"/>
      <c r="C318" s="48"/>
      <c r="D318" s="106"/>
      <c r="E318" s="106"/>
      <c r="F318" s="106"/>
      <c r="G318" s="106"/>
      <c r="H318" s="107"/>
      <c r="I318" s="107"/>
      <c r="J318" s="107"/>
      <c r="K318" s="108"/>
      <c r="L318" s="111"/>
      <c r="M318" s="110"/>
      <c r="N318" s="17"/>
      <c r="O318" s="10"/>
      <c r="P318" s="10"/>
      <c r="Q318" s="10"/>
      <c r="R318" s="10"/>
      <c r="S318" s="10"/>
      <c r="T318" s="10"/>
    </row>
    <row r="319" spans="2:20" outlineLevel="1" x14ac:dyDescent="0.35">
      <c r="B319" s="15"/>
      <c r="C319" s="48"/>
      <c r="D319" s="106"/>
      <c r="E319" s="106"/>
      <c r="F319" s="106"/>
      <c r="G319" s="106"/>
      <c r="H319" s="107"/>
      <c r="I319" s="107"/>
      <c r="J319" s="107"/>
      <c r="K319" s="108"/>
      <c r="L319" s="111"/>
      <c r="M319" s="110"/>
      <c r="N319" s="17"/>
      <c r="O319" s="10"/>
      <c r="P319" s="10"/>
      <c r="Q319" s="10"/>
      <c r="R319" s="10"/>
      <c r="S319" s="10"/>
      <c r="T319" s="10"/>
    </row>
    <row r="320" spans="2:20" outlineLevel="1" x14ac:dyDescent="0.35">
      <c r="B320" s="15"/>
      <c r="C320" s="48"/>
      <c r="D320" s="106"/>
      <c r="E320" s="106"/>
      <c r="F320" s="106"/>
      <c r="G320" s="106"/>
      <c r="H320" s="107"/>
      <c r="I320" s="107"/>
      <c r="J320" s="107"/>
      <c r="K320" s="108"/>
      <c r="L320" s="111"/>
      <c r="M320" s="110"/>
      <c r="N320" s="17"/>
      <c r="O320" s="10"/>
      <c r="P320" s="10"/>
      <c r="Q320" s="10"/>
      <c r="R320" s="10"/>
      <c r="S320" s="10"/>
      <c r="T320" s="10"/>
    </row>
    <row r="321" spans="2:20" outlineLevel="1" x14ac:dyDescent="0.35">
      <c r="B321" s="15"/>
      <c r="C321" s="48"/>
      <c r="D321" s="106"/>
      <c r="E321" s="106"/>
      <c r="F321" s="106"/>
      <c r="G321" s="106"/>
      <c r="H321" s="107"/>
      <c r="I321" s="107"/>
      <c r="J321" s="107"/>
      <c r="K321" s="108"/>
      <c r="L321" s="111"/>
      <c r="M321" s="110"/>
      <c r="N321" s="17"/>
      <c r="O321" s="10"/>
      <c r="P321" s="10"/>
      <c r="Q321" s="10"/>
      <c r="R321" s="10"/>
      <c r="S321" s="10"/>
      <c r="T321" s="10"/>
    </row>
    <row r="322" spans="2:20" outlineLevel="1" x14ac:dyDescent="0.35">
      <c r="B322" s="15"/>
      <c r="C322" s="48"/>
      <c r="D322" s="106"/>
      <c r="E322" s="106"/>
      <c r="F322" s="106"/>
      <c r="G322" s="106"/>
      <c r="H322" s="107"/>
      <c r="I322" s="107"/>
      <c r="J322" s="107"/>
      <c r="K322" s="108"/>
      <c r="L322" s="111"/>
      <c r="M322" s="110"/>
      <c r="N322" s="17"/>
      <c r="O322" s="10"/>
      <c r="P322" s="10"/>
      <c r="Q322" s="10"/>
      <c r="R322" s="10"/>
      <c r="S322" s="10"/>
      <c r="T322" s="10"/>
    </row>
    <row r="323" spans="2:20" outlineLevel="1" x14ac:dyDescent="0.35">
      <c r="B323" s="15"/>
      <c r="C323" s="48"/>
      <c r="D323" s="106"/>
      <c r="E323" s="106"/>
      <c r="F323" s="106"/>
      <c r="G323" s="106"/>
      <c r="H323" s="107"/>
      <c r="I323" s="107"/>
      <c r="J323" s="107"/>
      <c r="K323" s="108"/>
      <c r="L323" s="111"/>
      <c r="M323" s="110"/>
      <c r="N323" s="17"/>
      <c r="O323" s="10"/>
      <c r="P323" s="10"/>
      <c r="Q323" s="10"/>
      <c r="R323" s="10"/>
      <c r="S323" s="10"/>
      <c r="T323" s="10"/>
    </row>
    <row r="324" spans="2:20" outlineLevel="1" x14ac:dyDescent="0.35">
      <c r="B324" s="15"/>
      <c r="C324" s="48"/>
      <c r="D324" s="106"/>
      <c r="E324" s="106"/>
      <c r="F324" s="106"/>
      <c r="G324" s="106"/>
      <c r="H324" s="107"/>
      <c r="I324" s="107"/>
      <c r="J324" s="107"/>
      <c r="K324" s="108"/>
      <c r="L324" s="111"/>
      <c r="M324" s="110"/>
      <c r="N324" s="17"/>
      <c r="O324" s="10"/>
      <c r="P324" s="10"/>
      <c r="Q324" s="10"/>
      <c r="R324" s="10"/>
      <c r="S324" s="10"/>
      <c r="T324" s="10"/>
    </row>
    <row r="325" spans="2:20" outlineLevel="1" x14ac:dyDescent="0.35">
      <c r="B325" s="15"/>
      <c r="C325" s="48"/>
      <c r="D325" s="106"/>
      <c r="E325" s="106"/>
      <c r="F325" s="106"/>
      <c r="G325" s="106"/>
      <c r="H325" s="107"/>
      <c r="I325" s="107"/>
      <c r="J325" s="107"/>
      <c r="K325" s="108"/>
      <c r="L325" s="111"/>
      <c r="M325" s="110"/>
      <c r="N325" s="17"/>
      <c r="O325" s="10"/>
      <c r="P325" s="10"/>
      <c r="Q325" s="10"/>
      <c r="R325" s="10"/>
      <c r="S325" s="10"/>
      <c r="T325" s="10"/>
    </row>
    <row r="326" spans="2:20" outlineLevel="1" x14ac:dyDescent="0.35">
      <c r="B326" s="15"/>
      <c r="C326" s="48"/>
      <c r="D326" s="106"/>
      <c r="E326" s="106"/>
      <c r="F326" s="106"/>
      <c r="G326" s="106"/>
      <c r="H326" s="107"/>
      <c r="I326" s="107"/>
      <c r="J326" s="107"/>
      <c r="K326" s="108"/>
      <c r="L326" s="111"/>
      <c r="M326" s="110"/>
      <c r="N326" s="17"/>
      <c r="O326" s="10"/>
      <c r="P326" s="10"/>
      <c r="Q326" s="10"/>
      <c r="R326" s="10"/>
      <c r="S326" s="10"/>
      <c r="T326" s="10"/>
    </row>
    <row r="327" spans="2:20" outlineLevel="1" x14ac:dyDescent="0.35">
      <c r="B327" s="15"/>
      <c r="C327" s="48"/>
      <c r="D327" s="106"/>
      <c r="E327" s="106"/>
      <c r="F327" s="106"/>
      <c r="G327" s="106"/>
      <c r="H327" s="107"/>
      <c r="I327" s="107"/>
      <c r="J327" s="107"/>
      <c r="K327" s="108"/>
      <c r="L327" s="111"/>
      <c r="M327" s="110"/>
      <c r="N327" s="17"/>
      <c r="O327" s="10"/>
      <c r="P327" s="10"/>
      <c r="Q327" s="10"/>
      <c r="R327" s="10"/>
      <c r="S327" s="10"/>
      <c r="T327" s="10"/>
    </row>
    <row r="328" spans="2:20" outlineLevel="1" x14ac:dyDescent="0.35">
      <c r="B328" s="15"/>
      <c r="C328" s="48"/>
      <c r="D328" s="106"/>
      <c r="E328" s="106"/>
      <c r="F328" s="106"/>
      <c r="G328" s="106"/>
      <c r="H328" s="107"/>
      <c r="I328" s="107"/>
      <c r="J328" s="107"/>
      <c r="K328" s="108"/>
      <c r="L328" s="111"/>
      <c r="M328" s="110"/>
      <c r="N328" s="17"/>
      <c r="O328" s="10"/>
      <c r="P328" s="10"/>
      <c r="Q328" s="10"/>
      <c r="R328" s="10"/>
      <c r="S328" s="10"/>
      <c r="T328" s="10"/>
    </row>
    <row r="329" spans="2:20" outlineLevel="1" x14ac:dyDescent="0.35">
      <c r="B329" s="15"/>
      <c r="C329" s="48"/>
      <c r="D329" s="106"/>
      <c r="E329" s="106"/>
      <c r="F329" s="106"/>
      <c r="G329" s="106"/>
      <c r="H329" s="107"/>
      <c r="I329" s="107"/>
      <c r="J329" s="107"/>
      <c r="K329" s="108"/>
      <c r="L329" s="111"/>
      <c r="M329" s="110"/>
      <c r="N329" s="17"/>
      <c r="O329" s="10"/>
      <c r="P329" s="10"/>
      <c r="Q329" s="10"/>
      <c r="R329" s="10"/>
      <c r="S329" s="10"/>
      <c r="T329" s="10"/>
    </row>
    <row r="330" spans="2:20" outlineLevel="1" x14ac:dyDescent="0.35">
      <c r="B330" s="15"/>
      <c r="C330" s="48"/>
      <c r="D330" s="106"/>
      <c r="E330" s="106"/>
      <c r="F330" s="106"/>
      <c r="G330" s="106"/>
      <c r="H330" s="107"/>
      <c r="I330" s="107"/>
      <c r="J330" s="107"/>
      <c r="K330" s="108"/>
      <c r="L330" s="111"/>
      <c r="M330" s="110"/>
      <c r="N330" s="17"/>
      <c r="O330" s="10"/>
      <c r="P330" s="10"/>
      <c r="Q330" s="10"/>
      <c r="R330" s="10"/>
      <c r="S330" s="10"/>
      <c r="T330" s="10"/>
    </row>
    <row r="331" spans="2:20" outlineLevel="1" x14ac:dyDescent="0.35">
      <c r="B331" s="15"/>
      <c r="C331" s="48"/>
      <c r="D331" s="106"/>
      <c r="E331" s="106"/>
      <c r="F331" s="106"/>
      <c r="G331" s="106"/>
      <c r="H331" s="107"/>
      <c r="I331" s="107"/>
      <c r="J331" s="107"/>
      <c r="K331" s="108"/>
      <c r="L331" s="111"/>
      <c r="M331" s="110"/>
      <c r="N331" s="17"/>
      <c r="O331" s="10"/>
      <c r="P331" s="10"/>
      <c r="Q331" s="10"/>
      <c r="R331" s="10"/>
      <c r="S331" s="10"/>
      <c r="T331" s="10"/>
    </row>
    <row r="332" spans="2:20" outlineLevel="1" x14ac:dyDescent="0.35">
      <c r="B332" s="15"/>
      <c r="C332" s="48"/>
      <c r="D332" s="106"/>
      <c r="E332" s="106"/>
      <c r="F332" s="106"/>
      <c r="G332" s="106"/>
      <c r="H332" s="107"/>
      <c r="I332" s="107"/>
      <c r="J332" s="107"/>
      <c r="K332" s="108"/>
      <c r="L332" s="111"/>
      <c r="M332" s="110"/>
      <c r="N332" s="17"/>
      <c r="O332" s="10"/>
      <c r="P332" s="10"/>
      <c r="Q332" s="10"/>
      <c r="R332" s="10"/>
      <c r="S332" s="10"/>
      <c r="T332" s="10"/>
    </row>
    <row r="333" spans="2:20" outlineLevel="1" x14ac:dyDescent="0.35">
      <c r="B333" s="15"/>
      <c r="C333" s="48"/>
      <c r="D333" s="106"/>
      <c r="E333" s="106"/>
      <c r="F333" s="106"/>
      <c r="G333" s="106"/>
      <c r="H333" s="107"/>
      <c r="I333" s="107"/>
      <c r="J333" s="107"/>
      <c r="K333" s="108"/>
      <c r="L333" s="111"/>
      <c r="M333" s="110"/>
      <c r="N333" s="17"/>
      <c r="O333" s="10"/>
      <c r="P333" s="10"/>
      <c r="Q333" s="10"/>
      <c r="R333" s="10"/>
      <c r="S333" s="10"/>
      <c r="T333" s="10"/>
    </row>
    <row r="334" spans="2:20" outlineLevel="1" x14ac:dyDescent="0.35">
      <c r="B334" s="15"/>
      <c r="C334" s="48"/>
      <c r="D334" s="106"/>
      <c r="E334" s="106"/>
      <c r="F334" s="106"/>
      <c r="G334" s="106"/>
      <c r="H334" s="107"/>
      <c r="I334" s="107"/>
      <c r="J334" s="107"/>
      <c r="K334" s="108"/>
      <c r="L334" s="111"/>
      <c r="M334" s="110"/>
      <c r="N334" s="17"/>
      <c r="O334" s="10"/>
      <c r="P334" s="10"/>
      <c r="Q334" s="10"/>
      <c r="R334" s="10"/>
      <c r="S334" s="10"/>
      <c r="T334" s="10"/>
    </row>
    <row r="335" spans="2:20" outlineLevel="1" x14ac:dyDescent="0.35">
      <c r="B335" s="15"/>
      <c r="C335" s="48"/>
      <c r="D335" s="106"/>
      <c r="E335" s="106"/>
      <c r="F335" s="106"/>
      <c r="G335" s="106"/>
      <c r="H335" s="107"/>
      <c r="I335" s="107"/>
      <c r="J335" s="107"/>
      <c r="K335" s="108"/>
      <c r="L335" s="111"/>
      <c r="M335" s="110"/>
      <c r="N335" s="17"/>
      <c r="O335" s="10"/>
      <c r="P335" s="10"/>
      <c r="Q335" s="10"/>
      <c r="R335" s="10"/>
      <c r="S335" s="10"/>
      <c r="T335" s="10"/>
    </row>
    <row r="336" spans="2:20" outlineLevel="1" x14ac:dyDescent="0.35">
      <c r="B336" s="15"/>
      <c r="C336" s="48"/>
      <c r="D336" s="106"/>
      <c r="E336" s="106"/>
      <c r="F336" s="106"/>
      <c r="G336" s="106"/>
      <c r="H336" s="107"/>
      <c r="I336" s="107"/>
      <c r="J336" s="107"/>
      <c r="K336" s="108"/>
      <c r="L336" s="111"/>
      <c r="M336" s="110"/>
      <c r="N336" s="17"/>
      <c r="O336" s="10"/>
      <c r="P336" s="10"/>
      <c r="Q336" s="10"/>
      <c r="R336" s="10"/>
      <c r="S336" s="10"/>
      <c r="T336" s="10"/>
    </row>
    <row r="337" spans="2:20" outlineLevel="1" x14ac:dyDescent="0.35">
      <c r="B337" s="15"/>
      <c r="C337" s="48"/>
      <c r="D337" s="106"/>
      <c r="E337" s="106"/>
      <c r="F337" s="106"/>
      <c r="G337" s="106"/>
      <c r="H337" s="107"/>
      <c r="I337" s="107"/>
      <c r="J337" s="107"/>
      <c r="K337" s="108"/>
      <c r="L337" s="111"/>
      <c r="M337" s="110"/>
      <c r="N337" s="17"/>
      <c r="O337" s="10"/>
      <c r="P337" s="10"/>
      <c r="Q337" s="10"/>
      <c r="R337" s="10"/>
      <c r="S337" s="10"/>
      <c r="T337" s="10"/>
    </row>
    <row r="338" spans="2:20" outlineLevel="1" x14ac:dyDescent="0.35">
      <c r="B338" s="15"/>
      <c r="C338" s="48"/>
      <c r="D338" s="106"/>
      <c r="E338" s="106"/>
      <c r="F338" s="106"/>
      <c r="G338" s="106"/>
      <c r="H338" s="107"/>
      <c r="I338" s="107"/>
      <c r="J338" s="107"/>
      <c r="K338" s="108"/>
      <c r="L338" s="111"/>
      <c r="M338" s="110"/>
      <c r="N338" s="17"/>
      <c r="O338" s="10"/>
      <c r="P338" s="10"/>
      <c r="Q338" s="10"/>
      <c r="R338" s="10"/>
      <c r="S338" s="10"/>
      <c r="T338" s="10"/>
    </row>
    <row r="339" spans="2:20" outlineLevel="1" x14ac:dyDescent="0.35">
      <c r="B339" s="15"/>
      <c r="C339" s="48"/>
      <c r="D339" s="106"/>
      <c r="E339" s="106"/>
      <c r="F339" s="106"/>
      <c r="G339" s="106"/>
      <c r="H339" s="107"/>
      <c r="I339" s="107"/>
      <c r="J339" s="107"/>
      <c r="K339" s="108"/>
      <c r="L339" s="111"/>
      <c r="M339" s="110"/>
      <c r="N339" s="17"/>
      <c r="O339" s="10"/>
      <c r="P339" s="10"/>
      <c r="Q339" s="10"/>
      <c r="R339" s="10"/>
      <c r="S339" s="10"/>
      <c r="T339" s="10"/>
    </row>
    <row r="340" spans="2:20" outlineLevel="1" x14ac:dyDescent="0.35">
      <c r="B340" s="15"/>
      <c r="C340" s="48"/>
      <c r="D340" s="106"/>
      <c r="E340" s="106"/>
      <c r="F340" s="106"/>
      <c r="G340" s="106"/>
      <c r="H340" s="107"/>
      <c r="I340" s="107"/>
      <c r="J340" s="107"/>
      <c r="K340" s="108"/>
      <c r="L340" s="111"/>
      <c r="M340" s="110"/>
      <c r="N340" s="17"/>
      <c r="O340" s="10"/>
      <c r="P340" s="10"/>
      <c r="Q340" s="10"/>
      <c r="R340" s="10"/>
      <c r="S340" s="10"/>
      <c r="T340" s="10"/>
    </row>
    <row r="341" spans="2:20" outlineLevel="1" x14ac:dyDescent="0.35">
      <c r="B341" s="15"/>
      <c r="C341" s="48"/>
      <c r="D341" s="106"/>
      <c r="E341" s="106"/>
      <c r="F341" s="106"/>
      <c r="G341" s="106"/>
      <c r="H341" s="107"/>
      <c r="I341" s="107"/>
      <c r="J341" s="107"/>
      <c r="K341" s="108"/>
      <c r="L341" s="111"/>
      <c r="M341" s="110"/>
      <c r="N341" s="17"/>
      <c r="O341" s="10"/>
      <c r="P341" s="10"/>
      <c r="Q341" s="10"/>
      <c r="R341" s="10"/>
      <c r="S341" s="10"/>
      <c r="T341" s="10"/>
    </row>
    <row r="342" spans="2:20" outlineLevel="1" x14ac:dyDescent="0.35">
      <c r="B342" s="15"/>
      <c r="C342" s="48"/>
      <c r="D342" s="106"/>
      <c r="E342" s="106"/>
      <c r="F342" s="106"/>
      <c r="G342" s="106"/>
      <c r="H342" s="107"/>
      <c r="I342" s="107"/>
      <c r="J342" s="107"/>
      <c r="K342" s="108"/>
      <c r="L342" s="111"/>
      <c r="M342" s="110"/>
      <c r="N342" s="17"/>
      <c r="O342" s="10"/>
      <c r="P342" s="10"/>
      <c r="Q342" s="10"/>
      <c r="R342" s="10"/>
      <c r="S342" s="10"/>
      <c r="T342" s="10"/>
    </row>
    <row r="343" spans="2:20" outlineLevel="1" x14ac:dyDescent="0.35">
      <c r="B343" s="15"/>
      <c r="C343" s="48"/>
      <c r="D343" s="106"/>
      <c r="E343" s="106"/>
      <c r="F343" s="106"/>
      <c r="G343" s="106"/>
      <c r="H343" s="107"/>
      <c r="I343" s="107"/>
      <c r="J343" s="107"/>
      <c r="K343" s="108"/>
      <c r="L343" s="111"/>
      <c r="M343" s="110"/>
      <c r="N343" s="17"/>
      <c r="O343" s="10"/>
      <c r="P343" s="10"/>
      <c r="Q343" s="10"/>
      <c r="R343" s="10"/>
      <c r="S343" s="10"/>
      <c r="T343" s="10"/>
    </row>
    <row r="344" spans="2:20" outlineLevel="1" x14ac:dyDescent="0.35">
      <c r="B344" s="15"/>
      <c r="C344" s="48"/>
      <c r="D344" s="106"/>
      <c r="E344" s="106"/>
      <c r="F344" s="106"/>
      <c r="G344" s="106"/>
      <c r="H344" s="107"/>
      <c r="I344" s="107"/>
      <c r="J344" s="107"/>
      <c r="K344" s="108"/>
      <c r="L344" s="111"/>
      <c r="M344" s="110"/>
      <c r="N344" s="17"/>
      <c r="O344" s="10"/>
      <c r="P344" s="10"/>
      <c r="Q344" s="10"/>
      <c r="R344" s="10"/>
      <c r="S344" s="10"/>
      <c r="T344" s="10"/>
    </row>
    <row r="345" spans="2:20" outlineLevel="1" x14ac:dyDescent="0.35">
      <c r="B345" s="15"/>
      <c r="C345" s="48"/>
      <c r="D345" s="106"/>
      <c r="E345" s="106"/>
      <c r="F345" s="106"/>
      <c r="G345" s="106"/>
      <c r="H345" s="107"/>
      <c r="I345" s="107"/>
      <c r="J345" s="107"/>
      <c r="K345" s="108"/>
      <c r="L345" s="111"/>
      <c r="M345" s="110"/>
      <c r="N345" s="17"/>
      <c r="O345" s="10"/>
      <c r="P345" s="10"/>
      <c r="Q345" s="10"/>
      <c r="R345" s="10"/>
      <c r="S345" s="10"/>
      <c r="T345" s="10"/>
    </row>
    <row r="346" spans="2:20" outlineLevel="1" x14ac:dyDescent="0.35">
      <c r="B346" s="15"/>
      <c r="C346" s="48"/>
      <c r="D346" s="106"/>
      <c r="E346" s="106"/>
      <c r="F346" s="106"/>
      <c r="G346" s="106"/>
      <c r="H346" s="107"/>
      <c r="I346" s="107"/>
      <c r="J346" s="107"/>
      <c r="K346" s="108"/>
      <c r="L346" s="111"/>
      <c r="M346" s="110"/>
      <c r="N346" s="17"/>
      <c r="O346" s="10"/>
      <c r="P346" s="10"/>
      <c r="Q346" s="10"/>
      <c r="R346" s="10"/>
      <c r="S346" s="10"/>
      <c r="T346" s="10"/>
    </row>
    <row r="347" spans="2:20" outlineLevel="1" x14ac:dyDescent="0.35">
      <c r="B347" s="15"/>
      <c r="C347" s="48"/>
      <c r="D347" s="106"/>
      <c r="E347" s="106"/>
      <c r="F347" s="106"/>
      <c r="G347" s="106"/>
      <c r="H347" s="107"/>
      <c r="I347" s="107"/>
      <c r="J347" s="107"/>
      <c r="K347" s="108"/>
      <c r="L347" s="111"/>
      <c r="M347" s="110"/>
      <c r="N347" s="17"/>
      <c r="O347" s="10"/>
      <c r="P347" s="10"/>
      <c r="Q347" s="10"/>
      <c r="R347" s="10"/>
      <c r="S347" s="10"/>
      <c r="T347" s="10"/>
    </row>
    <row r="348" spans="2:20" outlineLevel="1" x14ac:dyDescent="0.35">
      <c r="B348" s="15"/>
      <c r="C348" s="48"/>
      <c r="D348" s="106"/>
      <c r="E348" s="106"/>
      <c r="F348" s="106"/>
      <c r="G348" s="106"/>
      <c r="H348" s="107"/>
      <c r="I348" s="107"/>
      <c r="J348" s="107"/>
      <c r="K348" s="108"/>
      <c r="L348" s="111"/>
      <c r="M348" s="110"/>
      <c r="N348" s="17"/>
      <c r="O348" s="10"/>
      <c r="P348" s="10"/>
      <c r="Q348" s="10"/>
      <c r="R348" s="10"/>
      <c r="S348" s="10"/>
      <c r="T348" s="10"/>
    </row>
    <row r="349" spans="2:20" outlineLevel="1" x14ac:dyDescent="0.35">
      <c r="B349" s="15"/>
      <c r="C349" s="48"/>
      <c r="D349" s="106"/>
      <c r="E349" s="106"/>
      <c r="F349" s="106"/>
      <c r="G349" s="106"/>
      <c r="H349" s="107"/>
      <c r="I349" s="107"/>
      <c r="J349" s="107"/>
      <c r="K349" s="108"/>
      <c r="L349" s="111"/>
      <c r="M349" s="110"/>
      <c r="N349" s="17"/>
      <c r="O349" s="10"/>
      <c r="P349" s="10"/>
      <c r="Q349" s="10"/>
      <c r="R349" s="10"/>
      <c r="S349" s="10"/>
      <c r="T349" s="10"/>
    </row>
    <row r="350" spans="2:20" outlineLevel="1" x14ac:dyDescent="0.35">
      <c r="B350" s="15"/>
      <c r="C350" s="48"/>
      <c r="D350" s="106"/>
      <c r="E350" s="106"/>
      <c r="F350" s="106"/>
      <c r="G350" s="106"/>
      <c r="H350" s="107"/>
      <c r="I350" s="107"/>
      <c r="J350" s="107"/>
      <c r="K350" s="108"/>
      <c r="L350" s="111"/>
      <c r="M350" s="110"/>
      <c r="N350" s="17"/>
      <c r="O350" s="10"/>
      <c r="P350" s="10"/>
      <c r="Q350" s="10"/>
      <c r="R350" s="10"/>
      <c r="S350" s="10"/>
      <c r="T350" s="10"/>
    </row>
    <row r="351" spans="2:20" outlineLevel="1" x14ac:dyDescent="0.35">
      <c r="B351" s="15"/>
      <c r="C351" s="48"/>
      <c r="D351" s="106"/>
      <c r="E351" s="106"/>
      <c r="F351" s="106"/>
      <c r="G351" s="106"/>
      <c r="H351" s="107"/>
      <c r="I351" s="107"/>
      <c r="J351" s="107"/>
      <c r="K351" s="108"/>
      <c r="L351" s="111"/>
      <c r="M351" s="110"/>
      <c r="N351" s="17"/>
      <c r="O351" s="10"/>
      <c r="P351" s="10"/>
      <c r="Q351" s="10"/>
      <c r="R351" s="10"/>
      <c r="S351" s="10"/>
      <c r="T351" s="10"/>
    </row>
    <row r="352" spans="2:20" outlineLevel="1" x14ac:dyDescent="0.35">
      <c r="B352" s="15"/>
      <c r="C352" s="48"/>
      <c r="D352" s="106"/>
      <c r="E352" s="106"/>
      <c r="F352" s="106"/>
      <c r="G352" s="106"/>
      <c r="H352" s="107"/>
      <c r="I352" s="107"/>
      <c r="J352" s="107"/>
      <c r="K352" s="108"/>
      <c r="L352" s="111"/>
      <c r="M352" s="110"/>
      <c r="N352" s="17"/>
      <c r="O352" s="10"/>
      <c r="P352" s="10"/>
      <c r="Q352" s="10"/>
      <c r="R352" s="10"/>
      <c r="S352" s="10"/>
      <c r="T352" s="10"/>
    </row>
    <row r="353" spans="2:20" outlineLevel="1" x14ac:dyDescent="0.35">
      <c r="B353" s="15"/>
      <c r="C353" s="48"/>
      <c r="D353" s="106"/>
      <c r="E353" s="106"/>
      <c r="F353" s="106"/>
      <c r="G353" s="106"/>
      <c r="H353" s="107"/>
      <c r="I353" s="107"/>
      <c r="J353" s="107"/>
      <c r="K353" s="108"/>
      <c r="L353" s="111"/>
      <c r="M353" s="110"/>
      <c r="N353" s="17"/>
      <c r="O353" s="10"/>
      <c r="P353" s="10"/>
      <c r="Q353" s="10"/>
      <c r="R353" s="10"/>
      <c r="S353" s="10"/>
      <c r="T353" s="10"/>
    </row>
    <row r="354" spans="2:20" outlineLevel="1" x14ac:dyDescent="0.35">
      <c r="B354" s="15"/>
      <c r="C354" s="48"/>
      <c r="D354" s="106"/>
      <c r="E354" s="106"/>
      <c r="F354" s="106"/>
      <c r="G354" s="106"/>
      <c r="H354" s="107"/>
      <c r="I354" s="107"/>
      <c r="J354" s="107"/>
      <c r="K354" s="108"/>
      <c r="L354" s="111"/>
      <c r="M354" s="110"/>
      <c r="N354" s="17"/>
      <c r="O354" s="10"/>
      <c r="P354" s="10"/>
      <c r="Q354" s="10"/>
      <c r="R354" s="10"/>
      <c r="S354" s="10"/>
      <c r="T354" s="10"/>
    </row>
    <row r="355" spans="2:20" outlineLevel="1" x14ac:dyDescent="0.35">
      <c r="B355" s="15"/>
      <c r="C355" s="48"/>
      <c r="D355" s="106"/>
      <c r="E355" s="106"/>
      <c r="F355" s="106"/>
      <c r="G355" s="106"/>
      <c r="H355" s="107"/>
      <c r="I355" s="107"/>
      <c r="J355" s="107"/>
      <c r="K355" s="108"/>
      <c r="L355" s="111"/>
      <c r="M355" s="110"/>
      <c r="N355" s="17"/>
      <c r="O355" s="10"/>
      <c r="P355" s="10"/>
      <c r="Q355" s="10"/>
      <c r="R355" s="10"/>
      <c r="S355" s="10"/>
      <c r="T355" s="10"/>
    </row>
    <row r="356" spans="2:20" outlineLevel="1" x14ac:dyDescent="0.35">
      <c r="B356" s="15"/>
      <c r="C356" s="48"/>
      <c r="D356" s="106"/>
      <c r="E356" s="106"/>
      <c r="F356" s="106"/>
      <c r="G356" s="106"/>
      <c r="H356" s="107"/>
      <c r="I356" s="107"/>
      <c r="J356" s="107"/>
      <c r="K356" s="108"/>
      <c r="L356" s="111"/>
      <c r="M356" s="110"/>
      <c r="N356" s="17"/>
      <c r="O356" s="10"/>
      <c r="P356" s="10"/>
      <c r="Q356" s="10"/>
      <c r="R356" s="10"/>
      <c r="S356" s="10"/>
      <c r="T356" s="10"/>
    </row>
    <row r="357" spans="2:20" outlineLevel="1" x14ac:dyDescent="0.35">
      <c r="B357" s="15"/>
      <c r="C357" s="48"/>
      <c r="D357" s="106"/>
      <c r="E357" s="106"/>
      <c r="F357" s="106"/>
      <c r="G357" s="106"/>
      <c r="H357" s="107"/>
      <c r="I357" s="107"/>
      <c r="J357" s="107"/>
      <c r="K357" s="108"/>
      <c r="L357" s="111"/>
      <c r="M357" s="110"/>
      <c r="N357" s="17"/>
      <c r="O357" s="10"/>
      <c r="P357" s="10"/>
      <c r="Q357" s="10"/>
      <c r="R357" s="10"/>
      <c r="S357" s="10"/>
      <c r="T357" s="10"/>
    </row>
    <row r="358" spans="2:20" outlineLevel="1" x14ac:dyDescent="0.35">
      <c r="B358" s="15"/>
      <c r="C358" s="48"/>
      <c r="D358" s="106"/>
      <c r="E358" s="106"/>
      <c r="F358" s="106"/>
      <c r="G358" s="106"/>
      <c r="H358" s="107"/>
      <c r="I358" s="107"/>
      <c r="J358" s="107"/>
      <c r="K358" s="108"/>
      <c r="L358" s="111"/>
      <c r="M358" s="110"/>
      <c r="N358" s="17"/>
      <c r="O358" s="10"/>
      <c r="P358" s="10"/>
      <c r="Q358" s="10"/>
      <c r="R358" s="10"/>
      <c r="S358" s="10"/>
      <c r="T358" s="10"/>
    </row>
    <row r="359" spans="2:20" outlineLevel="1" x14ac:dyDescent="0.35">
      <c r="B359" s="15"/>
      <c r="C359" s="48"/>
      <c r="D359" s="106"/>
      <c r="E359" s="106"/>
      <c r="F359" s="106"/>
      <c r="G359" s="106"/>
      <c r="H359" s="107"/>
      <c r="I359" s="107"/>
      <c r="J359" s="107"/>
      <c r="K359" s="108"/>
      <c r="L359" s="111"/>
      <c r="M359" s="110"/>
      <c r="N359" s="17"/>
      <c r="O359" s="10"/>
      <c r="P359" s="10"/>
      <c r="Q359" s="10"/>
      <c r="R359" s="10"/>
      <c r="S359" s="10"/>
      <c r="T359" s="10"/>
    </row>
    <row r="360" spans="2:20" outlineLevel="1" x14ac:dyDescent="0.35">
      <c r="B360" s="15"/>
      <c r="C360" s="48"/>
      <c r="D360" s="106"/>
      <c r="E360" s="106"/>
      <c r="F360" s="106"/>
      <c r="G360" s="106"/>
      <c r="H360" s="107"/>
      <c r="I360" s="107"/>
      <c r="J360" s="107"/>
      <c r="K360" s="108"/>
      <c r="L360" s="111"/>
      <c r="M360" s="110"/>
      <c r="N360" s="17"/>
      <c r="O360" s="10"/>
      <c r="P360" s="10"/>
      <c r="Q360" s="10"/>
      <c r="R360" s="10"/>
      <c r="S360" s="10"/>
      <c r="T360" s="10"/>
    </row>
    <row r="361" spans="2:20" outlineLevel="1" x14ac:dyDescent="0.35">
      <c r="B361" s="15"/>
      <c r="C361" s="48"/>
      <c r="D361" s="106"/>
      <c r="E361" s="106"/>
      <c r="F361" s="106"/>
      <c r="G361" s="106"/>
      <c r="H361" s="107"/>
      <c r="I361" s="107"/>
      <c r="J361" s="107"/>
      <c r="K361" s="108"/>
      <c r="L361" s="111"/>
      <c r="M361" s="110"/>
      <c r="N361" s="17"/>
      <c r="O361" s="10"/>
      <c r="P361" s="10"/>
      <c r="Q361" s="10"/>
      <c r="R361" s="10"/>
      <c r="S361" s="10"/>
      <c r="T361" s="10"/>
    </row>
    <row r="362" spans="2:20" outlineLevel="1" x14ac:dyDescent="0.35">
      <c r="B362" s="15"/>
      <c r="C362" s="48"/>
      <c r="D362" s="106"/>
      <c r="E362" s="106"/>
      <c r="F362" s="106"/>
      <c r="G362" s="106"/>
      <c r="H362" s="107"/>
      <c r="I362" s="107"/>
      <c r="J362" s="107"/>
      <c r="K362" s="108"/>
      <c r="L362" s="111"/>
      <c r="M362" s="110"/>
      <c r="N362" s="17"/>
      <c r="O362" s="10"/>
      <c r="P362" s="10"/>
      <c r="Q362" s="10"/>
      <c r="R362" s="10"/>
      <c r="S362" s="10"/>
      <c r="T362" s="10"/>
    </row>
    <row r="363" spans="2:20" outlineLevel="1" x14ac:dyDescent="0.35">
      <c r="B363" s="15"/>
      <c r="C363" s="48"/>
      <c r="D363" s="106"/>
      <c r="E363" s="106"/>
      <c r="F363" s="106"/>
      <c r="G363" s="106"/>
      <c r="H363" s="107"/>
      <c r="I363" s="107"/>
      <c r="J363" s="107"/>
      <c r="K363" s="108"/>
      <c r="L363" s="111"/>
      <c r="M363" s="110"/>
      <c r="N363" s="17"/>
      <c r="O363" s="10"/>
      <c r="P363" s="10"/>
      <c r="Q363" s="10"/>
      <c r="R363" s="10"/>
      <c r="S363" s="10"/>
      <c r="T363" s="10"/>
    </row>
    <row r="364" spans="2:20" outlineLevel="1" x14ac:dyDescent="0.35">
      <c r="B364" s="15"/>
      <c r="C364" s="48"/>
      <c r="D364" s="106"/>
      <c r="E364" s="106"/>
      <c r="F364" s="106"/>
      <c r="G364" s="106"/>
      <c r="H364" s="107"/>
      <c r="I364" s="107"/>
      <c r="J364" s="107"/>
      <c r="K364" s="108"/>
      <c r="L364" s="111"/>
      <c r="M364" s="110"/>
      <c r="N364" s="17"/>
      <c r="O364" s="10"/>
      <c r="P364" s="10"/>
      <c r="Q364" s="10"/>
      <c r="R364" s="10"/>
      <c r="S364" s="10"/>
      <c r="T364" s="10"/>
    </row>
    <row r="365" spans="2:20" outlineLevel="1" x14ac:dyDescent="0.35">
      <c r="B365" s="15"/>
      <c r="C365" s="48"/>
      <c r="D365" s="106"/>
      <c r="E365" s="106"/>
      <c r="F365" s="106"/>
      <c r="G365" s="106"/>
      <c r="H365" s="107"/>
      <c r="I365" s="107"/>
      <c r="J365" s="107"/>
      <c r="K365" s="108"/>
      <c r="L365" s="111"/>
      <c r="M365" s="110"/>
      <c r="N365" s="17"/>
      <c r="O365" s="10"/>
      <c r="P365" s="10"/>
      <c r="Q365" s="10"/>
      <c r="R365" s="10"/>
      <c r="S365" s="10"/>
      <c r="T365" s="10"/>
    </row>
    <row r="366" spans="2:20" outlineLevel="1" x14ac:dyDescent="0.35">
      <c r="B366" s="15"/>
      <c r="C366" s="48"/>
      <c r="D366" s="106"/>
      <c r="E366" s="106"/>
      <c r="F366" s="106"/>
      <c r="G366" s="106"/>
      <c r="H366" s="107"/>
      <c r="I366" s="107"/>
      <c r="J366" s="107"/>
      <c r="K366" s="108"/>
      <c r="L366" s="111"/>
      <c r="M366" s="110"/>
      <c r="N366" s="17"/>
      <c r="O366" s="10"/>
      <c r="P366" s="10"/>
      <c r="Q366" s="10"/>
      <c r="R366" s="10"/>
      <c r="S366" s="10"/>
      <c r="T366" s="10"/>
    </row>
    <row r="367" spans="2:20" outlineLevel="1" x14ac:dyDescent="0.35">
      <c r="B367" s="15"/>
      <c r="C367" s="48"/>
      <c r="D367" s="106"/>
      <c r="E367" s="106"/>
      <c r="F367" s="106"/>
      <c r="G367" s="106"/>
      <c r="H367" s="107"/>
      <c r="I367" s="107"/>
      <c r="J367" s="107"/>
      <c r="K367" s="108"/>
      <c r="L367" s="111"/>
      <c r="M367" s="110"/>
      <c r="N367" s="17"/>
      <c r="O367" s="10"/>
      <c r="P367" s="10"/>
      <c r="Q367" s="10"/>
      <c r="R367" s="10"/>
      <c r="S367" s="10"/>
      <c r="T367" s="10"/>
    </row>
    <row r="368" spans="2:20" outlineLevel="1" x14ac:dyDescent="0.35">
      <c r="B368" s="15"/>
      <c r="C368" s="48"/>
      <c r="D368" s="106"/>
      <c r="E368" s="106"/>
      <c r="F368" s="106"/>
      <c r="G368" s="106"/>
      <c r="H368" s="107"/>
      <c r="I368" s="107"/>
      <c r="J368" s="107"/>
      <c r="K368" s="108"/>
      <c r="L368" s="111"/>
      <c r="M368" s="110"/>
      <c r="N368" s="17"/>
      <c r="O368" s="10"/>
      <c r="P368" s="10"/>
      <c r="Q368" s="10"/>
      <c r="R368" s="10"/>
      <c r="S368" s="10"/>
      <c r="T368" s="10"/>
    </row>
    <row r="369" spans="2:20" outlineLevel="1" x14ac:dyDescent="0.35">
      <c r="B369" s="15"/>
      <c r="C369" s="48"/>
      <c r="D369" s="106"/>
      <c r="E369" s="106"/>
      <c r="F369" s="106"/>
      <c r="G369" s="106"/>
      <c r="H369" s="107"/>
      <c r="I369" s="107"/>
      <c r="J369" s="107"/>
      <c r="K369" s="108"/>
      <c r="L369" s="111"/>
      <c r="M369" s="110"/>
      <c r="N369" s="17"/>
      <c r="O369" s="10"/>
      <c r="P369" s="10"/>
      <c r="Q369" s="10"/>
      <c r="R369" s="10"/>
      <c r="S369" s="10"/>
      <c r="T369" s="10"/>
    </row>
    <row r="370" spans="2:20" outlineLevel="1" x14ac:dyDescent="0.35">
      <c r="B370" s="15"/>
      <c r="C370" s="48"/>
      <c r="D370" s="106"/>
      <c r="E370" s="106"/>
      <c r="F370" s="106"/>
      <c r="G370" s="106"/>
      <c r="H370" s="107"/>
      <c r="I370" s="107"/>
      <c r="J370" s="107"/>
      <c r="K370" s="108"/>
      <c r="L370" s="111"/>
      <c r="M370" s="110"/>
      <c r="N370" s="17"/>
      <c r="O370" s="10"/>
      <c r="P370" s="10"/>
      <c r="Q370" s="10"/>
      <c r="R370" s="10"/>
      <c r="S370" s="10"/>
      <c r="T370" s="10"/>
    </row>
    <row r="371" spans="2:20" outlineLevel="1" x14ac:dyDescent="0.35">
      <c r="B371" s="15"/>
      <c r="C371" s="48"/>
      <c r="D371" s="106"/>
      <c r="E371" s="106"/>
      <c r="F371" s="106"/>
      <c r="G371" s="106"/>
      <c r="H371" s="107"/>
      <c r="I371" s="107"/>
      <c r="J371" s="107"/>
      <c r="K371" s="108"/>
      <c r="L371" s="111"/>
      <c r="M371" s="110"/>
      <c r="N371" s="17"/>
      <c r="O371" s="10"/>
      <c r="P371" s="10"/>
      <c r="Q371" s="10"/>
      <c r="R371" s="10"/>
      <c r="S371" s="10"/>
      <c r="T371" s="10"/>
    </row>
    <row r="372" spans="2:20" outlineLevel="1" x14ac:dyDescent="0.35">
      <c r="B372" s="15"/>
      <c r="C372" s="48"/>
      <c r="D372" s="106"/>
      <c r="E372" s="106"/>
      <c r="F372" s="106"/>
      <c r="G372" s="106"/>
      <c r="H372" s="107"/>
      <c r="I372" s="107"/>
      <c r="J372" s="107"/>
      <c r="K372" s="108"/>
      <c r="L372" s="111"/>
      <c r="M372" s="110"/>
      <c r="N372" s="17"/>
      <c r="O372" s="10"/>
      <c r="P372" s="10"/>
      <c r="Q372" s="10"/>
      <c r="R372" s="10"/>
      <c r="S372" s="10"/>
      <c r="T372" s="10"/>
    </row>
    <row r="373" spans="2:20" outlineLevel="1" x14ac:dyDescent="0.35">
      <c r="B373" s="15"/>
      <c r="C373" s="48"/>
      <c r="D373" s="106"/>
      <c r="E373" s="106"/>
      <c r="F373" s="106"/>
      <c r="G373" s="106"/>
      <c r="H373" s="107"/>
      <c r="I373" s="107"/>
      <c r="J373" s="107"/>
      <c r="K373" s="108"/>
      <c r="L373" s="111"/>
      <c r="M373" s="110"/>
      <c r="N373" s="17"/>
      <c r="O373" s="10"/>
      <c r="P373" s="10"/>
      <c r="Q373" s="10"/>
      <c r="R373" s="10"/>
      <c r="S373" s="10"/>
      <c r="T373" s="10"/>
    </row>
    <row r="374" spans="2:20" outlineLevel="1" x14ac:dyDescent="0.35">
      <c r="B374" s="15"/>
      <c r="C374" s="48"/>
      <c r="D374" s="106"/>
      <c r="E374" s="106"/>
      <c r="F374" s="106"/>
      <c r="G374" s="106"/>
      <c r="H374" s="107"/>
      <c r="I374" s="107"/>
      <c r="J374" s="107"/>
      <c r="K374" s="108"/>
      <c r="L374" s="111"/>
      <c r="M374" s="110"/>
      <c r="N374" s="17"/>
      <c r="O374" s="10"/>
      <c r="P374" s="10"/>
      <c r="Q374" s="10"/>
      <c r="R374" s="10"/>
      <c r="S374" s="10"/>
      <c r="T374" s="10"/>
    </row>
    <row r="375" spans="2:20" outlineLevel="1" x14ac:dyDescent="0.35">
      <c r="B375" s="15"/>
      <c r="C375" s="48"/>
      <c r="D375" s="106"/>
      <c r="E375" s="106"/>
      <c r="F375" s="106"/>
      <c r="G375" s="106"/>
      <c r="H375" s="107"/>
      <c r="I375" s="107"/>
      <c r="J375" s="107"/>
      <c r="K375" s="108"/>
      <c r="L375" s="111"/>
      <c r="M375" s="110"/>
      <c r="N375" s="17"/>
      <c r="O375" s="10"/>
      <c r="P375" s="10"/>
      <c r="Q375" s="10"/>
      <c r="R375" s="10"/>
      <c r="S375" s="10"/>
      <c r="T375" s="10"/>
    </row>
    <row r="376" spans="2:20" outlineLevel="1" x14ac:dyDescent="0.35">
      <c r="B376" s="15"/>
      <c r="C376" s="48"/>
      <c r="D376" s="106"/>
      <c r="E376" s="106"/>
      <c r="F376" s="106"/>
      <c r="G376" s="106"/>
      <c r="H376" s="107"/>
      <c r="I376" s="107"/>
      <c r="J376" s="107"/>
      <c r="K376" s="108"/>
      <c r="L376" s="111"/>
      <c r="M376" s="110"/>
      <c r="N376" s="17"/>
      <c r="O376" s="10"/>
      <c r="P376" s="10"/>
      <c r="Q376" s="10"/>
      <c r="R376" s="10"/>
      <c r="S376" s="10"/>
      <c r="T376" s="10"/>
    </row>
    <row r="377" spans="2:20" outlineLevel="1" x14ac:dyDescent="0.35">
      <c r="B377" s="15"/>
      <c r="C377" s="48"/>
      <c r="D377" s="106"/>
      <c r="E377" s="106"/>
      <c r="F377" s="106"/>
      <c r="G377" s="106"/>
      <c r="H377" s="107"/>
      <c r="I377" s="107"/>
      <c r="J377" s="107"/>
      <c r="K377" s="108"/>
      <c r="L377" s="111"/>
      <c r="M377" s="110"/>
      <c r="N377" s="17"/>
      <c r="O377" s="10"/>
      <c r="P377" s="10"/>
      <c r="Q377" s="10"/>
      <c r="R377" s="10"/>
      <c r="S377" s="10"/>
      <c r="T377" s="10"/>
    </row>
    <row r="378" spans="2:20" outlineLevel="1" x14ac:dyDescent="0.35">
      <c r="B378" s="15"/>
      <c r="C378" s="48"/>
      <c r="D378" s="106"/>
      <c r="E378" s="106"/>
      <c r="F378" s="106"/>
      <c r="G378" s="106"/>
      <c r="H378" s="107"/>
      <c r="I378" s="107"/>
      <c r="J378" s="107"/>
      <c r="K378" s="108"/>
      <c r="L378" s="111"/>
      <c r="M378" s="110"/>
      <c r="N378" s="17"/>
      <c r="O378" s="10"/>
      <c r="P378" s="10"/>
      <c r="Q378" s="10"/>
      <c r="R378" s="10"/>
      <c r="S378" s="10"/>
      <c r="T378" s="10"/>
    </row>
    <row r="379" spans="2:20" outlineLevel="1" x14ac:dyDescent="0.35">
      <c r="B379" s="15"/>
      <c r="C379" s="48"/>
      <c r="D379" s="106"/>
      <c r="E379" s="106"/>
      <c r="F379" s="106"/>
      <c r="G379" s="106"/>
      <c r="H379" s="107"/>
      <c r="I379" s="107"/>
      <c r="J379" s="107"/>
      <c r="K379" s="108"/>
      <c r="L379" s="111"/>
      <c r="M379" s="110"/>
      <c r="N379" s="17"/>
      <c r="O379" s="10"/>
      <c r="P379" s="10"/>
      <c r="Q379" s="10"/>
      <c r="R379" s="10"/>
      <c r="S379" s="10"/>
      <c r="T379" s="10"/>
    </row>
    <row r="380" spans="2:20" outlineLevel="1" x14ac:dyDescent="0.35">
      <c r="B380" s="15"/>
      <c r="C380" s="48"/>
      <c r="D380" s="106"/>
      <c r="E380" s="106"/>
      <c r="F380" s="106"/>
      <c r="G380" s="106"/>
      <c r="H380" s="107"/>
      <c r="I380" s="107"/>
      <c r="J380" s="107"/>
      <c r="K380" s="108"/>
      <c r="L380" s="111"/>
      <c r="M380" s="110"/>
      <c r="N380" s="17"/>
      <c r="O380" s="10"/>
      <c r="P380" s="10"/>
      <c r="Q380" s="10"/>
      <c r="R380" s="10"/>
      <c r="S380" s="10"/>
      <c r="T380" s="10"/>
    </row>
    <row r="381" spans="2:20" outlineLevel="1" x14ac:dyDescent="0.35">
      <c r="B381" s="15"/>
      <c r="C381" s="48"/>
      <c r="D381" s="106"/>
      <c r="E381" s="106"/>
      <c r="F381" s="106"/>
      <c r="G381" s="106"/>
      <c r="H381" s="107"/>
      <c r="I381" s="107"/>
      <c r="J381" s="107"/>
      <c r="K381" s="108"/>
      <c r="L381" s="111"/>
      <c r="M381" s="110"/>
      <c r="N381" s="17"/>
      <c r="O381" s="10"/>
      <c r="P381" s="10"/>
      <c r="Q381" s="10"/>
      <c r="R381" s="10"/>
      <c r="S381" s="10"/>
      <c r="T381" s="10"/>
    </row>
    <row r="382" spans="2:20" outlineLevel="1" x14ac:dyDescent="0.35">
      <c r="B382" s="15"/>
      <c r="C382" s="48"/>
      <c r="D382" s="106"/>
      <c r="E382" s="106"/>
      <c r="F382" s="106"/>
      <c r="G382" s="106"/>
      <c r="H382" s="107"/>
      <c r="I382" s="107"/>
      <c r="J382" s="107"/>
      <c r="K382" s="108"/>
      <c r="L382" s="111"/>
      <c r="M382" s="110"/>
      <c r="N382" s="17"/>
      <c r="O382" s="10"/>
      <c r="P382" s="10"/>
      <c r="Q382" s="10"/>
      <c r="R382" s="10"/>
      <c r="S382" s="10"/>
      <c r="T382" s="10"/>
    </row>
    <row r="383" spans="2:20" outlineLevel="1" x14ac:dyDescent="0.35">
      <c r="B383" s="15"/>
      <c r="C383" s="48"/>
      <c r="D383" s="106"/>
      <c r="E383" s="106"/>
      <c r="F383" s="106"/>
      <c r="G383" s="106"/>
      <c r="H383" s="107"/>
      <c r="I383" s="107"/>
      <c r="J383" s="107"/>
      <c r="K383" s="108"/>
      <c r="L383" s="111"/>
      <c r="M383" s="110"/>
      <c r="N383" s="17"/>
      <c r="O383" s="10"/>
      <c r="P383" s="10"/>
      <c r="Q383" s="10"/>
      <c r="R383" s="10"/>
      <c r="S383" s="10"/>
      <c r="T383" s="10"/>
    </row>
    <row r="384" spans="2:20" outlineLevel="1" x14ac:dyDescent="0.35">
      <c r="B384" s="15"/>
      <c r="C384" s="48"/>
      <c r="D384" s="106"/>
      <c r="E384" s="106"/>
      <c r="F384" s="106"/>
      <c r="G384" s="106"/>
      <c r="H384" s="107"/>
      <c r="I384" s="107"/>
      <c r="J384" s="107"/>
      <c r="K384" s="108"/>
      <c r="L384" s="111"/>
      <c r="M384" s="110"/>
      <c r="N384" s="17"/>
      <c r="O384" s="10"/>
      <c r="P384" s="10"/>
      <c r="Q384" s="10"/>
      <c r="R384" s="10"/>
      <c r="S384" s="10"/>
      <c r="T384" s="10"/>
    </row>
    <row r="385" spans="2:20" outlineLevel="1" x14ac:dyDescent="0.35">
      <c r="B385" s="15"/>
      <c r="C385" s="48"/>
      <c r="D385" s="106"/>
      <c r="E385" s="106"/>
      <c r="F385" s="106"/>
      <c r="G385" s="106"/>
      <c r="H385" s="107"/>
      <c r="I385" s="107"/>
      <c r="J385" s="107"/>
      <c r="K385" s="108"/>
      <c r="L385" s="111"/>
      <c r="M385" s="110"/>
      <c r="N385" s="17"/>
      <c r="O385" s="10"/>
      <c r="P385" s="10"/>
      <c r="Q385" s="10"/>
      <c r="R385" s="10"/>
      <c r="S385" s="10"/>
      <c r="T385" s="10"/>
    </row>
    <row r="386" spans="2:20" outlineLevel="1" x14ac:dyDescent="0.35">
      <c r="B386" s="15"/>
      <c r="C386" s="48"/>
      <c r="D386" s="106"/>
      <c r="E386" s="106"/>
      <c r="F386" s="106"/>
      <c r="G386" s="106"/>
      <c r="H386" s="107"/>
      <c r="I386" s="107"/>
      <c r="J386" s="107"/>
      <c r="K386" s="108"/>
      <c r="L386" s="111"/>
      <c r="M386" s="110"/>
      <c r="N386" s="17"/>
      <c r="O386" s="10"/>
      <c r="P386" s="10"/>
      <c r="Q386" s="10"/>
      <c r="R386" s="10"/>
      <c r="S386" s="10"/>
      <c r="T386" s="10"/>
    </row>
    <row r="387" spans="2:20" outlineLevel="1" x14ac:dyDescent="0.35">
      <c r="B387" s="15"/>
      <c r="C387" s="48"/>
      <c r="D387" s="106"/>
      <c r="E387" s="106"/>
      <c r="F387" s="106"/>
      <c r="G387" s="106"/>
      <c r="H387" s="107"/>
      <c r="I387" s="107"/>
      <c r="J387" s="107"/>
      <c r="K387" s="108"/>
      <c r="L387" s="111"/>
      <c r="M387" s="110"/>
      <c r="N387" s="17"/>
      <c r="O387" s="10"/>
      <c r="P387" s="10"/>
      <c r="Q387" s="10"/>
      <c r="R387" s="10"/>
      <c r="S387" s="10"/>
      <c r="T387" s="10"/>
    </row>
    <row r="388" spans="2:20" outlineLevel="1" x14ac:dyDescent="0.35">
      <c r="B388" s="15"/>
      <c r="C388" s="48"/>
      <c r="D388" s="106"/>
      <c r="E388" s="106"/>
      <c r="F388" s="106"/>
      <c r="G388" s="106"/>
      <c r="H388" s="107"/>
      <c r="I388" s="107"/>
      <c r="J388" s="107"/>
      <c r="K388" s="108"/>
      <c r="L388" s="111"/>
      <c r="M388" s="110"/>
      <c r="N388" s="17"/>
      <c r="O388" s="10"/>
      <c r="P388" s="10"/>
      <c r="Q388" s="10"/>
      <c r="R388" s="10"/>
      <c r="S388" s="10"/>
      <c r="T388" s="10"/>
    </row>
    <row r="389" spans="2:20" outlineLevel="1" x14ac:dyDescent="0.35">
      <c r="B389" s="15"/>
      <c r="C389" s="48"/>
      <c r="D389" s="106"/>
      <c r="E389" s="106"/>
      <c r="F389" s="106"/>
      <c r="G389" s="106"/>
      <c r="H389" s="107"/>
      <c r="I389" s="107"/>
      <c r="J389" s="107"/>
      <c r="K389" s="108"/>
      <c r="L389" s="111"/>
      <c r="M389" s="110"/>
      <c r="N389" s="17"/>
      <c r="O389" s="10"/>
      <c r="P389" s="10"/>
      <c r="Q389" s="10"/>
      <c r="R389" s="10"/>
      <c r="S389" s="10"/>
      <c r="T389" s="10"/>
    </row>
    <row r="390" spans="2:20" outlineLevel="1" x14ac:dyDescent="0.35">
      <c r="B390" s="15"/>
      <c r="C390" s="48"/>
      <c r="D390" s="106"/>
      <c r="E390" s="106"/>
      <c r="F390" s="106"/>
      <c r="G390" s="106"/>
      <c r="H390" s="107"/>
      <c r="I390" s="107"/>
      <c r="J390" s="107"/>
      <c r="K390" s="108"/>
      <c r="L390" s="111"/>
      <c r="M390" s="110"/>
      <c r="N390" s="17"/>
      <c r="O390" s="10"/>
      <c r="P390" s="10"/>
      <c r="Q390" s="10"/>
      <c r="R390" s="10"/>
      <c r="S390" s="10"/>
      <c r="T390" s="10"/>
    </row>
    <row r="391" spans="2:20" outlineLevel="1" x14ac:dyDescent="0.35">
      <c r="B391" s="15"/>
      <c r="C391" s="48"/>
      <c r="D391" s="106"/>
      <c r="E391" s="106"/>
      <c r="F391" s="106"/>
      <c r="G391" s="106"/>
      <c r="H391" s="107"/>
      <c r="I391" s="107"/>
      <c r="J391" s="107"/>
      <c r="K391" s="108"/>
      <c r="L391" s="111"/>
      <c r="M391" s="110"/>
      <c r="N391" s="17"/>
      <c r="O391" s="10"/>
      <c r="P391" s="10"/>
      <c r="Q391" s="10"/>
      <c r="R391" s="10"/>
      <c r="S391" s="10"/>
      <c r="T391" s="10"/>
    </row>
    <row r="392" spans="2:20" outlineLevel="1" x14ac:dyDescent="0.35">
      <c r="B392" s="15"/>
      <c r="C392" s="48"/>
      <c r="D392" s="106"/>
      <c r="E392" s="106"/>
      <c r="F392" s="106"/>
      <c r="G392" s="106"/>
      <c r="H392" s="107"/>
      <c r="I392" s="107"/>
      <c r="J392" s="107"/>
      <c r="K392" s="108"/>
      <c r="L392" s="111"/>
      <c r="M392" s="110"/>
      <c r="N392" s="17"/>
      <c r="O392" s="10"/>
      <c r="P392" s="10"/>
      <c r="Q392" s="10"/>
      <c r="R392" s="10"/>
      <c r="S392" s="10"/>
      <c r="T392" s="10"/>
    </row>
    <row r="393" spans="2:20" outlineLevel="1" x14ac:dyDescent="0.35">
      <c r="B393" s="15"/>
      <c r="C393" s="48"/>
      <c r="D393" s="106"/>
      <c r="E393" s="106"/>
      <c r="F393" s="106"/>
      <c r="G393" s="106"/>
      <c r="H393" s="107"/>
      <c r="I393" s="107"/>
      <c r="J393" s="107"/>
      <c r="K393" s="108"/>
      <c r="L393" s="111"/>
      <c r="M393" s="110"/>
      <c r="N393" s="17"/>
      <c r="O393" s="10"/>
      <c r="P393" s="10"/>
      <c r="Q393" s="10"/>
      <c r="R393" s="10"/>
      <c r="S393" s="10"/>
      <c r="T393" s="10"/>
    </row>
    <row r="394" spans="2:20" outlineLevel="1" x14ac:dyDescent="0.35">
      <c r="B394" s="15"/>
      <c r="C394" s="48"/>
      <c r="D394" s="106"/>
      <c r="E394" s="106"/>
      <c r="F394" s="106"/>
      <c r="G394" s="106"/>
      <c r="H394" s="107"/>
      <c r="I394" s="107"/>
      <c r="J394" s="107"/>
      <c r="K394" s="108"/>
      <c r="L394" s="111"/>
      <c r="M394" s="110"/>
      <c r="N394" s="17"/>
      <c r="O394" s="10"/>
      <c r="P394" s="10"/>
      <c r="Q394" s="10"/>
      <c r="R394" s="10"/>
      <c r="S394" s="10"/>
      <c r="T394" s="10"/>
    </row>
    <row r="395" spans="2:20" outlineLevel="1" x14ac:dyDescent="0.35">
      <c r="B395" s="15"/>
      <c r="C395" s="48"/>
      <c r="D395" s="106"/>
      <c r="E395" s="106"/>
      <c r="F395" s="106"/>
      <c r="G395" s="106"/>
      <c r="H395" s="107"/>
      <c r="I395" s="107"/>
      <c r="J395" s="107"/>
      <c r="K395" s="108"/>
      <c r="L395" s="111"/>
      <c r="M395" s="110"/>
      <c r="N395" s="17"/>
      <c r="O395" s="10"/>
      <c r="P395" s="10"/>
      <c r="Q395" s="10"/>
      <c r="R395" s="10"/>
      <c r="S395" s="10"/>
      <c r="T395" s="10"/>
    </row>
    <row r="396" spans="2:20" outlineLevel="1" x14ac:dyDescent="0.35">
      <c r="B396" s="15"/>
      <c r="C396" s="48"/>
      <c r="D396" s="106"/>
      <c r="E396" s="106"/>
      <c r="F396" s="106"/>
      <c r="G396" s="106"/>
      <c r="H396" s="107"/>
      <c r="I396" s="107"/>
      <c r="J396" s="107"/>
      <c r="K396" s="108"/>
      <c r="L396" s="111"/>
      <c r="M396" s="110"/>
      <c r="N396" s="17"/>
      <c r="O396" s="10"/>
      <c r="P396" s="10"/>
      <c r="Q396" s="10"/>
      <c r="R396" s="10"/>
      <c r="S396" s="10"/>
      <c r="T396" s="10"/>
    </row>
    <row r="397" spans="2:20" outlineLevel="1" x14ac:dyDescent="0.35">
      <c r="B397" s="15"/>
      <c r="C397" s="48"/>
      <c r="D397" s="106"/>
      <c r="E397" s="106"/>
      <c r="F397" s="106"/>
      <c r="G397" s="106"/>
      <c r="H397" s="107"/>
      <c r="I397" s="107"/>
      <c r="J397" s="107"/>
      <c r="K397" s="108"/>
      <c r="L397" s="111"/>
      <c r="M397" s="110"/>
      <c r="N397" s="17"/>
      <c r="O397" s="10"/>
      <c r="P397" s="10"/>
      <c r="Q397" s="10"/>
      <c r="R397" s="10"/>
      <c r="S397" s="10"/>
      <c r="T397" s="10"/>
    </row>
    <row r="398" spans="2:20" outlineLevel="1" x14ac:dyDescent="0.35">
      <c r="B398" s="15"/>
      <c r="C398" s="48"/>
      <c r="D398" s="106"/>
      <c r="E398" s="106"/>
      <c r="F398" s="106"/>
      <c r="G398" s="106"/>
      <c r="H398" s="107"/>
      <c r="I398" s="107"/>
      <c r="J398" s="107"/>
      <c r="K398" s="108"/>
      <c r="L398" s="111"/>
      <c r="M398" s="110"/>
      <c r="N398" s="17"/>
      <c r="O398" s="10"/>
      <c r="P398" s="10"/>
      <c r="Q398" s="10"/>
      <c r="R398" s="10"/>
      <c r="S398" s="10"/>
      <c r="T398" s="10"/>
    </row>
    <row r="399" spans="2:20" outlineLevel="1" x14ac:dyDescent="0.35">
      <c r="B399" s="15"/>
      <c r="C399" s="48"/>
      <c r="D399" s="106"/>
      <c r="E399" s="106"/>
      <c r="F399" s="106"/>
      <c r="G399" s="106"/>
      <c r="H399" s="107"/>
      <c r="I399" s="107"/>
      <c r="J399" s="107"/>
      <c r="K399" s="108"/>
      <c r="L399" s="111"/>
      <c r="M399" s="110"/>
      <c r="N399" s="17"/>
      <c r="O399" s="10"/>
      <c r="P399" s="10"/>
      <c r="Q399" s="10"/>
      <c r="R399" s="10"/>
      <c r="S399" s="10"/>
      <c r="T399" s="10"/>
    </row>
    <row r="400" spans="2:20" outlineLevel="1" x14ac:dyDescent="0.35">
      <c r="B400" s="15"/>
      <c r="C400" s="48"/>
      <c r="D400" s="106"/>
      <c r="E400" s="106"/>
      <c r="F400" s="106"/>
      <c r="G400" s="106"/>
      <c r="H400" s="107"/>
      <c r="I400" s="107"/>
      <c r="J400" s="107"/>
      <c r="K400" s="108"/>
      <c r="L400" s="111"/>
      <c r="M400" s="110"/>
      <c r="N400" s="17"/>
      <c r="O400" s="10"/>
      <c r="P400" s="10"/>
      <c r="Q400" s="10"/>
      <c r="R400" s="10"/>
      <c r="S400" s="10"/>
      <c r="T400" s="10"/>
    </row>
    <row r="401" spans="2:20" outlineLevel="1" x14ac:dyDescent="0.35">
      <c r="B401" s="15"/>
      <c r="C401" s="48"/>
      <c r="D401" s="106"/>
      <c r="E401" s="106"/>
      <c r="F401" s="106"/>
      <c r="G401" s="106"/>
      <c r="H401" s="107"/>
      <c r="I401" s="107"/>
      <c r="J401" s="107"/>
      <c r="K401" s="108"/>
      <c r="L401" s="109"/>
      <c r="M401" s="110"/>
      <c r="N401" s="17"/>
      <c r="O401" s="10"/>
      <c r="P401" s="10"/>
      <c r="Q401" s="10"/>
      <c r="R401" s="10"/>
      <c r="S401" s="10"/>
      <c r="T401" s="10"/>
    </row>
    <row r="402" spans="2:20" outlineLevel="1" x14ac:dyDescent="0.35">
      <c r="B402" s="15"/>
      <c r="C402" s="48"/>
      <c r="D402" s="106"/>
      <c r="E402" s="106"/>
      <c r="F402" s="106"/>
      <c r="G402" s="106"/>
      <c r="H402" s="107"/>
      <c r="I402" s="107"/>
      <c r="J402" s="107"/>
      <c r="K402" s="108"/>
      <c r="L402" s="109"/>
      <c r="M402" s="110"/>
      <c r="N402" s="17"/>
      <c r="O402" s="10"/>
      <c r="P402" s="10"/>
      <c r="Q402" s="10"/>
      <c r="R402" s="10"/>
      <c r="S402" s="10"/>
      <c r="T402" s="10"/>
    </row>
    <row r="403" spans="2:20" outlineLevel="1" x14ac:dyDescent="0.35">
      <c r="B403" s="15"/>
      <c r="C403" s="48"/>
      <c r="D403" s="106"/>
      <c r="E403" s="106"/>
      <c r="F403" s="106"/>
      <c r="G403" s="106"/>
      <c r="H403" s="107"/>
      <c r="I403" s="107"/>
      <c r="J403" s="107"/>
      <c r="K403" s="108"/>
      <c r="L403" s="109"/>
      <c r="M403" s="110"/>
      <c r="N403" s="17"/>
      <c r="O403" s="10"/>
      <c r="P403" s="10"/>
      <c r="Q403" s="10"/>
      <c r="R403" s="10"/>
      <c r="S403" s="10"/>
      <c r="T403" s="10"/>
    </row>
    <row r="404" spans="2:20" outlineLevel="1" x14ac:dyDescent="0.35">
      <c r="B404" s="15"/>
      <c r="C404" s="48"/>
      <c r="D404" s="106"/>
      <c r="E404" s="106"/>
      <c r="F404" s="106"/>
      <c r="G404" s="106"/>
      <c r="H404" s="107"/>
      <c r="I404" s="107"/>
      <c r="J404" s="107"/>
      <c r="K404" s="108"/>
      <c r="L404" s="109"/>
      <c r="M404" s="110"/>
      <c r="N404" s="17"/>
      <c r="O404" s="10"/>
      <c r="P404" s="10"/>
      <c r="Q404" s="10"/>
      <c r="R404" s="10"/>
      <c r="S404" s="10"/>
      <c r="T404" s="10"/>
    </row>
    <row r="405" spans="2:20" outlineLevel="1" x14ac:dyDescent="0.35">
      <c r="B405" s="15"/>
      <c r="C405" s="48"/>
      <c r="D405" s="106"/>
      <c r="E405" s="106"/>
      <c r="F405" s="106"/>
      <c r="G405" s="106"/>
      <c r="H405" s="107"/>
      <c r="I405" s="107"/>
      <c r="J405" s="107"/>
      <c r="K405" s="108"/>
      <c r="L405" s="109"/>
      <c r="M405" s="110"/>
      <c r="N405" s="17"/>
      <c r="O405" s="10"/>
      <c r="P405" s="10"/>
      <c r="Q405" s="10"/>
      <c r="R405" s="10"/>
      <c r="S405" s="10"/>
      <c r="T405" s="10"/>
    </row>
    <row r="406" spans="2:20" outlineLevel="1" x14ac:dyDescent="0.35">
      <c r="B406" s="15"/>
      <c r="C406" s="48"/>
      <c r="D406" s="106"/>
      <c r="E406" s="106"/>
      <c r="F406" s="106"/>
      <c r="G406" s="106"/>
      <c r="H406" s="107"/>
      <c r="I406" s="107"/>
      <c r="J406" s="107"/>
      <c r="K406" s="108"/>
      <c r="L406" s="109"/>
      <c r="M406" s="110"/>
      <c r="N406" s="17"/>
      <c r="O406" s="10"/>
      <c r="P406" s="10"/>
      <c r="Q406" s="10"/>
      <c r="R406" s="10"/>
      <c r="S406" s="10"/>
      <c r="T406" s="10"/>
    </row>
    <row r="407" spans="2:20" outlineLevel="1" x14ac:dyDescent="0.35">
      <c r="B407" s="15"/>
      <c r="C407" s="48"/>
      <c r="D407" s="106"/>
      <c r="E407" s="106"/>
      <c r="F407" s="106"/>
      <c r="G407" s="106"/>
      <c r="H407" s="107"/>
      <c r="I407" s="107"/>
      <c r="J407" s="107"/>
      <c r="K407" s="108"/>
      <c r="L407" s="109"/>
      <c r="M407" s="110"/>
      <c r="N407" s="17"/>
      <c r="O407" s="10"/>
      <c r="P407" s="10"/>
      <c r="Q407" s="10"/>
      <c r="R407" s="10"/>
      <c r="S407" s="10"/>
      <c r="T407" s="10"/>
    </row>
    <row r="408" spans="2:20" outlineLevel="1" x14ac:dyDescent="0.35">
      <c r="B408" s="15"/>
      <c r="C408" s="48"/>
      <c r="D408" s="106"/>
      <c r="E408" s="106"/>
      <c r="F408" s="106"/>
      <c r="G408" s="106"/>
      <c r="H408" s="107"/>
      <c r="I408" s="107"/>
      <c r="J408" s="107"/>
      <c r="K408" s="108"/>
      <c r="L408" s="109"/>
      <c r="M408" s="110"/>
      <c r="N408" s="17"/>
      <c r="O408" s="10"/>
      <c r="P408" s="10"/>
      <c r="Q408" s="10"/>
      <c r="R408" s="10"/>
      <c r="S408" s="10"/>
      <c r="T408" s="10"/>
    </row>
    <row r="409" spans="2:20" outlineLevel="1" x14ac:dyDescent="0.35">
      <c r="B409" s="15"/>
      <c r="C409" s="48"/>
      <c r="D409" s="106"/>
      <c r="E409" s="106"/>
      <c r="F409" s="106"/>
      <c r="G409" s="106"/>
      <c r="H409" s="107"/>
      <c r="I409" s="107"/>
      <c r="J409" s="107"/>
      <c r="K409" s="108"/>
      <c r="L409" s="109"/>
      <c r="M409" s="110"/>
      <c r="N409" s="17"/>
      <c r="O409" s="10"/>
      <c r="P409" s="10"/>
      <c r="Q409" s="10"/>
      <c r="R409" s="10"/>
      <c r="S409" s="10"/>
      <c r="T409" s="10"/>
    </row>
    <row r="410" spans="2:20" outlineLevel="1" x14ac:dyDescent="0.35">
      <c r="B410" s="15"/>
      <c r="C410" s="48"/>
      <c r="D410" s="106"/>
      <c r="E410" s="106"/>
      <c r="F410" s="106"/>
      <c r="G410" s="106"/>
      <c r="H410" s="107"/>
      <c r="I410" s="107"/>
      <c r="J410" s="107"/>
      <c r="K410" s="108"/>
      <c r="L410" s="109"/>
      <c r="M410" s="110"/>
      <c r="N410" s="17"/>
      <c r="O410" s="10"/>
      <c r="P410" s="10"/>
      <c r="Q410" s="10"/>
      <c r="R410" s="10"/>
      <c r="S410" s="10"/>
      <c r="T410" s="10"/>
    </row>
    <row r="411" spans="2:20" outlineLevel="1" x14ac:dyDescent="0.35">
      <c r="B411" s="15"/>
      <c r="C411" s="48"/>
      <c r="D411" s="106"/>
      <c r="E411" s="106"/>
      <c r="F411" s="106"/>
      <c r="G411" s="106"/>
      <c r="H411" s="107"/>
      <c r="I411" s="107"/>
      <c r="J411" s="107"/>
      <c r="K411" s="108"/>
      <c r="L411" s="109"/>
      <c r="M411" s="110"/>
      <c r="N411" s="17"/>
      <c r="O411" s="10"/>
      <c r="P411" s="10"/>
      <c r="Q411" s="10"/>
      <c r="R411" s="10"/>
      <c r="S411" s="10"/>
      <c r="T411" s="10"/>
    </row>
    <row r="412" spans="2:20" outlineLevel="1" x14ac:dyDescent="0.35">
      <c r="B412" s="15"/>
      <c r="C412" s="48"/>
      <c r="D412" s="106"/>
      <c r="E412" s="106"/>
      <c r="F412" s="106"/>
      <c r="G412" s="106"/>
      <c r="H412" s="107"/>
      <c r="I412" s="107"/>
      <c r="J412" s="107"/>
      <c r="K412" s="108"/>
      <c r="L412" s="109"/>
      <c r="M412" s="110"/>
      <c r="N412" s="17"/>
      <c r="O412" s="10"/>
      <c r="P412" s="10"/>
      <c r="Q412" s="10"/>
      <c r="R412" s="10"/>
      <c r="S412" s="10"/>
      <c r="T412" s="10"/>
    </row>
    <row r="413" spans="2:20" outlineLevel="1" x14ac:dyDescent="0.35">
      <c r="B413" s="15"/>
      <c r="C413" s="48"/>
      <c r="D413" s="106"/>
      <c r="E413" s="106"/>
      <c r="F413" s="106"/>
      <c r="G413" s="106"/>
      <c r="H413" s="107"/>
      <c r="I413" s="107"/>
      <c r="J413" s="107"/>
      <c r="K413" s="108"/>
      <c r="L413" s="109"/>
      <c r="M413" s="110"/>
      <c r="N413" s="17"/>
      <c r="O413" s="10"/>
      <c r="P413" s="10"/>
      <c r="Q413" s="10"/>
      <c r="R413" s="10"/>
      <c r="S413" s="10"/>
      <c r="T413" s="10"/>
    </row>
    <row r="414" spans="2:20" outlineLevel="1" x14ac:dyDescent="0.35">
      <c r="B414" s="15"/>
      <c r="C414" s="48"/>
      <c r="D414" s="106"/>
      <c r="E414" s="106"/>
      <c r="F414" s="106"/>
      <c r="G414" s="106"/>
      <c r="H414" s="107"/>
      <c r="I414" s="107"/>
      <c r="J414" s="107"/>
      <c r="K414" s="108"/>
      <c r="L414" s="109"/>
      <c r="M414" s="110"/>
      <c r="N414" s="17"/>
      <c r="O414" s="10"/>
      <c r="P414" s="10"/>
      <c r="Q414" s="10"/>
      <c r="R414" s="10"/>
      <c r="S414" s="10"/>
      <c r="T414" s="10"/>
    </row>
    <row r="415" spans="2:20" outlineLevel="1" x14ac:dyDescent="0.35">
      <c r="B415" s="15"/>
      <c r="C415" s="48"/>
      <c r="D415" s="106"/>
      <c r="E415" s="106"/>
      <c r="F415" s="106"/>
      <c r="G415" s="106"/>
      <c r="H415" s="107"/>
      <c r="I415" s="107"/>
      <c r="J415" s="107"/>
      <c r="K415" s="108"/>
      <c r="L415" s="109"/>
      <c r="M415" s="110"/>
      <c r="N415" s="17"/>
      <c r="O415" s="10"/>
      <c r="P415" s="10"/>
      <c r="Q415" s="10"/>
      <c r="R415" s="10"/>
      <c r="S415" s="10"/>
      <c r="T415" s="10"/>
    </row>
    <row r="416" spans="2:20" outlineLevel="1" x14ac:dyDescent="0.35">
      <c r="B416" s="15"/>
      <c r="C416" s="48"/>
      <c r="D416" s="106"/>
      <c r="E416" s="106"/>
      <c r="F416" s="106"/>
      <c r="G416" s="106"/>
      <c r="H416" s="107"/>
      <c r="I416" s="107"/>
      <c r="J416" s="107"/>
      <c r="K416" s="108"/>
      <c r="L416" s="109"/>
      <c r="M416" s="110"/>
      <c r="N416" s="17"/>
      <c r="O416" s="10"/>
      <c r="P416" s="10"/>
      <c r="Q416" s="10"/>
      <c r="R416" s="10"/>
      <c r="S416" s="10"/>
      <c r="T416" s="10"/>
    </row>
    <row r="417" spans="2:20" outlineLevel="1" x14ac:dyDescent="0.35">
      <c r="B417" s="15"/>
      <c r="C417" s="48"/>
      <c r="D417" s="106"/>
      <c r="E417" s="106"/>
      <c r="F417" s="106"/>
      <c r="G417" s="106"/>
      <c r="H417" s="107"/>
      <c r="I417" s="107"/>
      <c r="J417" s="107"/>
      <c r="K417" s="108"/>
      <c r="L417" s="109"/>
      <c r="M417" s="110"/>
      <c r="N417" s="17"/>
      <c r="O417" s="10"/>
      <c r="P417" s="10"/>
      <c r="Q417" s="10"/>
      <c r="R417" s="10"/>
      <c r="S417" s="10"/>
      <c r="T417" s="10"/>
    </row>
    <row r="418" spans="2:20" outlineLevel="1" x14ac:dyDescent="0.35">
      <c r="B418" s="15"/>
      <c r="C418" s="48"/>
      <c r="D418" s="106"/>
      <c r="E418" s="106"/>
      <c r="F418" s="106"/>
      <c r="G418" s="106"/>
      <c r="H418" s="107"/>
      <c r="I418" s="107"/>
      <c r="J418" s="107"/>
      <c r="K418" s="108"/>
      <c r="L418" s="109"/>
      <c r="M418" s="110"/>
      <c r="N418" s="17"/>
      <c r="O418" s="10"/>
      <c r="P418" s="10"/>
      <c r="Q418" s="10"/>
      <c r="R418" s="10"/>
      <c r="S418" s="10"/>
      <c r="T418" s="10"/>
    </row>
    <row r="419" spans="2:20" outlineLevel="1" x14ac:dyDescent="0.35">
      <c r="B419" s="15"/>
      <c r="C419" s="48"/>
      <c r="D419" s="106"/>
      <c r="E419" s="106"/>
      <c r="F419" s="106"/>
      <c r="G419" s="106"/>
      <c r="H419" s="107"/>
      <c r="I419" s="107"/>
      <c r="J419" s="107"/>
      <c r="K419" s="108"/>
      <c r="L419" s="109"/>
      <c r="M419" s="110"/>
      <c r="N419" s="17"/>
      <c r="O419" s="10"/>
      <c r="P419" s="10"/>
      <c r="Q419" s="10"/>
      <c r="R419" s="10"/>
      <c r="S419" s="10"/>
      <c r="T419" s="10"/>
    </row>
    <row r="420" spans="2:20" outlineLevel="1" x14ac:dyDescent="0.35">
      <c r="B420" s="15"/>
      <c r="C420" s="48"/>
      <c r="D420" s="106"/>
      <c r="E420" s="106"/>
      <c r="F420" s="106"/>
      <c r="G420" s="106"/>
      <c r="H420" s="107"/>
      <c r="I420" s="107"/>
      <c r="J420" s="107"/>
      <c r="K420" s="108"/>
      <c r="L420" s="109"/>
      <c r="M420" s="110"/>
      <c r="N420" s="17"/>
      <c r="O420" s="10"/>
      <c r="P420" s="10"/>
      <c r="Q420" s="10"/>
      <c r="R420" s="10"/>
      <c r="S420" s="10"/>
      <c r="T420" s="10"/>
    </row>
    <row r="421" spans="2:20" outlineLevel="1" x14ac:dyDescent="0.35">
      <c r="B421" s="15"/>
      <c r="C421" s="48"/>
      <c r="D421" s="106"/>
      <c r="E421" s="106"/>
      <c r="F421" s="106"/>
      <c r="G421" s="106"/>
      <c r="H421" s="107"/>
      <c r="I421" s="107"/>
      <c r="J421" s="107"/>
      <c r="K421" s="108"/>
      <c r="L421" s="109"/>
      <c r="M421" s="110"/>
      <c r="N421" s="17"/>
      <c r="O421" s="10"/>
      <c r="P421" s="10"/>
      <c r="Q421" s="10"/>
      <c r="R421" s="10"/>
      <c r="S421" s="10"/>
      <c r="T421" s="10"/>
    </row>
    <row r="422" spans="2:20" outlineLevel="1" x14ac:dyDescent="0.35">
      <c r="B422" s="15"/>
      <c r="C422" s="48"/>
      <c r="D422" s="106"/>
      <c r="E422" s="106"/>
      <c r="F422" s="106"/>
      <c r="G422" s="106"/>
      <c r="H422" s="107"/>
      <c r="I422" s="107"/>
      <c r="J422" s="107"/>
      <c r="K422" s="108"/>
      <c r="L422" s="109"/>
      <c r="M422" s="110"/>
      <c r="N422" s="17"/>
      <c r="O422" s="10"/>
      <c r="P422" s="10"/>
      <c r="Q422" s="10"/>
      <c r="R422" s="10"/>
      <c r="S422" s="10"/>
      <c r="T422" s="10"/>
    </row>
    <row r="423" spans="2:20" outlineLevel="1" x14ac:dyDescent="0.35">
      <c r="B423" s="15"/>
      <c r="C423" s="48"/>
      <c r="D423" s="106"/>
      <c r="E423" s="106"/>
      <c r="F423" s="106"/>
      <c r="G423" s="106"/>
      <c r="H423" s="107"/>
      <c r="I423" s="107"/>
      <c r="J423" s="107"/>
      <c r="K423" s="108"/>
      <c r="L423" s="109"/>
      <c r="M423" s="110"/>
      <c r="N423" s="17"/>
      <c r="O423" s="10"/>
      <c r="P423" s="10"/>
      <c r="Q423" s="10"/>
      <c r="R423" s="10"/>
      <c r="S423" s="10"/>
      <c r="T423" s="10"/>
    </row>
    <row r="424" spans="2:20" outlineLevel="1" x14ac:dyDescent="0.35">
      <c r="B424" s="15"/>
      <c r="C424" s="48"/>
      <c r="D424" s="106"/>
      <c r="E424" s="106"/>
      <c r="F424" s="106"/>
      <c r="G424" s="106"/>
      <c r="H424" s="107"/>
      <c r="I424" s="107"/>
      <c r="J424" s="107"/>
      <c r="K424" s="108"/>
      <c r="L424" s="109"/>
      <c r="M424" s="110"/>
      <c r="N424" s="17"/>
      <c r="O424" s="10"/>
      <c r="P424" s="10"/>
      <c r="Q424" s="10"/>
      <c r="R424" s="10"/>
      <c r="S424" s="10"/>
      <c r="T424" s="10"/>
    </row>
    <row r="425" spans="2:20" outlineLevel="1" x14ac:dyDescent="0.35">
      <c r="B425" s="15"/>
      <c r="C425" s="48"/>
      <c r="D425" s="106"/>
      <c r="E425" s="106"/>
      <c r="F425" s="106"/>
      <c r="G425" s="106"/>
      <c r="H425" s="107"/>
      <c r="I425" s="107"/>
      <c r="J425" s="107"/>
      <c r="K425" s="108"/>
      <c r="L425" s="109"/>
      <c r="M425" s="110"/>
      <c r="N425" s="17"/>
      <c r="O425" s="10"/>
      <c r="P425" s="10"/>
      <c r="Q425" s="10"/>
      <c r="R425" s="10"/>
      <c r="S425" s="10"/>
      <c r="T425" s="10"/>
    </row>
    <row r="426" spans="2:20" outlineLevel="1" x14ac:dyDescent="0.35">
      <c r="B426" s="15"/>
      <c r="C426" s="48"/>
      <c r="D426" s="106"/>
      <c r="E426" s="106"/>
      <c r="F426" s="106"/>
      <c r="G426" s="106"/>
      <c r="H426" s="107"/>
      <c r="I426" s="107"/>
      <c r="J426" s="107"/>
      <c r="K426" s="108"/>
      <c r="L426" s="109"/>
      <c r="M426" s="110"/>
      <c r="N426" s="17"/>
      <c r="O426" s="10"/>
      <c r="P426" s="10"/>
      <c r="Q426" s="10"/>
      <c r="R426" s="10"/>
      <c r="S426" s="10"/>
      <c r="T426" s="10"/>
    </row>
    <row r="427" spans="2:20" outlineLevel="1" x14ac:dyDescent="0.35">
      <c r="B427" s="15"/>
      <c r="C427" s="48"/>
      <c r="D427" s="106"/>
      <c r="E427" s="106"/>
      <c r="F427" s="106"/>
      <c r="G427" s="106"/>
      <c r="H427" s="107"/>
      <c r="I427" s="107"/>
      <c r="J427" s="107"/>
      <c r="K427" s="108"/>
      <c r="L427" s="109"/>
      <c r="M427" s="110"/>
      <c r="N427" s="17"/>
      <c r="O427" s="10"/>
      <c r="P427" s="10"/>
      <c r="Q427" s="10"/>
      <c r="R427" s="10"/>
      <c r="S427" s="10"/>
      <c r="T427" s="10"/>
    </row>
    <row r="428" spans="2:20" outlineLevel="1" x14ac:dyDescent="0.35">
      <c r="B428" s="15"/>
      <c r="C428" s="48"/>
      <c r="D428" s="106"/>
      <c r="E428" s="106"/>
      <c r="F428" s="106"/>
      <c r="G428" s="106"/>
      <c r="H428" s="107"/>
      <c r="I428" s="107"/>
      <c r="J428" s="107"/>
      <c r="K428" s="108"/>
      <c r="L428" s="109"/>
      <c r="M428" s="110"/>
      <c r="N428" s="17"/>
      <c r="O428" s="10"/>
      <c r="P428" s="10"/>
      <c r="Q428" s="10"/>
      <c r="R428" s="10"/>
      <c r="S428" s="10"/>
      <c r="T428" s="10"/>
    </row>
    <row r="429" spans="2:20" outlineLevel="1" x14ac:dyDescent="0.35">
      <c r="B429" s="15"/>
      <c r="C429" s="48"/>
      <c r="D429" s="106"/>
      <c r="E429" s="106"/>
      <c r="F429" s="106"/>
      <c r="G429" s="106"/>
      <c r="H429" s="107"/>
      <c r="I429" s="107"/>
      <c r="J429" s="107"/>
      <c r="K429" s="108"/>
      <c r="L429" s="109"/>
      <c r="M429" s="110"/>
      <c r="N429" s="17"/>
      <c r="O429" s="10"/>
      <c r="P429" s="10"/>
      <c r="Q429" s="10"/>
      <c r="R429" s="10"/>
      <c r="S429" s="10"/>
      <c r="T429" s="10"/>
    </row>
    <row r="430" spans="2:20" outlineLevel="1" x14ac:dyDescent="0.35">
      <c r="B430" s="15"/>
      <c r="C430" s="48"/>
      <c r="D430" s="106"/>
      <c r="E430" s="106"/>
      <c r="F430" s="106"/>
      <c r="G430" s="106"/>
      <c r="H430" s="107"/>
      <c r="I430" s="107"/>
      <c r="J430" s="107"/>
      <c r="K430" s="108"/>
      <c r="L430" s="109"/>
      <c r="M430" s="110"/>
      <c r="N430" s="17"/>
      <c r="O430" s="10"/>
      <c r="P430" s="10"/>
      <c r="Q430" s="10"/>
      <c r="R430" s="10"/>
      <c r="S430" s="10"/>
      <c r="T430" s="10"/>
    </row>
    <row r="431" spans="2:20" outlineLevel="1" x14ac:dyDescent="0.35">
      <c r="B431" s="15"/>
      <c r="C431" s="48"/>
      <c r="D431" s="106"/>
      <c r="E431" s="106"/>
      <c r="F431" s="106"/>
      <c r="G431" s="106"/>
      <c r="H431" s="107"/>
      <c r="I431" s="107"/>
      <c r="J431" s="107"/>
      <c r="K431" s="108"/>
      <c r="L431" s="109"/>
      <c r="M431" s="110"/>
      <c r="N431" s="17"/>
      <c r="O431" s="10"/>
      <c r="P431" s="10"/>
      <c r="Q431" s="10"/>
      <c r="R431" s="10"/>
      <c r="S431" s="10"/>
      <c r="T431" s="10"/>
    </row>
    <row r="432" spans="2:20" outlineLevel="1" x14ac:dyDescent="0.35">
      <c r="B432" s="15"/>
      <c r="C432" s="48"/>
      <c r="D432" s="106"/>
      <c r="E432" s="106"/>
      <c r="F432" s="106"/>
      <c r="G432" s="106"/>
      <c r="H432" s="107"/>
      <c r="I432" s="107"/>
      <c r="J432" s="107"/>
      <c r="K432" s="108"/>
      <c r="L432" s="109"/>
      <c r="M432" s="110"/>
      <c r="N432" s="17"/>
      <c r="O432" s="10"/>
      <c r="P432" s="10"/>
      <c r="Q432" s="10"/>
      <c r="R432" s="10"/>
      <c r="S432" s="10"/>
      <c r="T432" s="10"/>
    </row>
    <row r="433" spans="2:20" outlineLevel="1" x14ac:dyDescent="0.35">
      <c r="B433" s="15"/>
      <c r="C433" s="48"/>
      <c r="D433" s="106"/>
      <c r="E433" s="106"/>
      <c r="F433" s="106"/>
      <c r="G433" s="106"/>
      <c r="H433" s="107"/>
      <c r="I433" s="107"/>
      <c r="J433" s="107"/>
      <c r="K433" s="108"/>
      <c r="L433" s="109"/>
      <c r="M433" s="110"/>
      <c r="N433" s="17"/>
      <c r="O433" s="10"/>
      <c r="P433" s="10"/>
      <c r="Q433" s="10"/>
      <c r="R433" s="10"/>
      <c r="S433" s="10"/>
      <c r="T433" s="10"/>
    </row>
    <row r="434" spans="2:20" outlineLevel="1" x14ac:dyDescent="0.35">
      <c r="B434" s="15"/>
      <c r="C434" s="48"/>
      <c r="D434" s="106"/>
      <c r="E434" s="106"/>
      <c r="F434" s="106"/>
      <c r="G434" s="106"/>
      <c r="H434" s="107"/>
      <c r="I434" s="107"/>
      <c r="J434" s="107"/>
      <c r="K434" s="108"/>
      <c r="L434" s="109"/>
      <c r="M434" s="110"/>
      <c r="N434" s="17"/>
      <c r="O434" s="10"/>
      <c r="P434" s="10"/>
      <c r="Q434" s="10"/>
      <c r="R434" s="10"/>
      <c r="S434" s="10"/>
      <c r="T434" s="10"/>
    </row>
    <row r="435" spans="2:20" outlineLevel="1" x14ac:dyDescent="0.35">
      <c r="B435" s="15"/>
      <c r="C435" s="48"/>
      <c r="D435" s="106"/>
      <c r="E435" s="106"/>
      <c r="F435" s="106"/>
      <c r="G435" s="106"/>
      <c r="H435" s="107"/>
      <c r="I435" s="107"/>
      <c r="J435" s="107"/>
      <c r="K435" s="108"/>
      <c r="L435" s="109"/>
      <c r="M435" s="110"/>
      <c r="N435" s="17"/>
      <c r="O435" s="10"/>
      <c r="P435" s="10"/>
      <c r="Q435" s="10"/>
      <c r="R435" s="10"/>
      <c r="S435" s="10"/>
      <c r="T435" s="10"/>
    </row>
    <row r="436" spans="2:20" outlineLevel="1" x14ac:dyDescent="0.35">
      <c r="B436" s="15"/>
      <c r="C436" s="48"/>
      <c r="D436" s="106"/>
      <c r="E436" s="106"/>
      <c r="F436" s="106"/>
      <c r="G436" s="106"/>
      <c r="H436" s="107"/>
      <c r="I436" s="107"/>
      <c r="J436" s="107"/>
      <c r="K436" s="108"/>
      <c r="L436" s="109"/>
      <c r="M436" s="110"/>
      <c r="N436" s="17"/>
      <c r="O436" s="10"/>
      <c r="P436" s="10"/>
      <c r="Q436" s="10"/>
      <c r="R436" s="10"/>
      <c r="S436" s="10"/>
      <c r="T436" s="10"/>
    </row>
    <row r="437" spans="2:20" outlineLevel="1" x14ac:dyDescent="0.35">
      <c r="B437" s="15"/>
      <c r="C437" s="48"/>
      <c r="D437" s="106"/>
      <c r="E437" s="106"/>
      <c r="F437" s="106"/>
      <c r="G437" s="106"/>
      <c r="H437" s="107"/>
      <c r="I437" s="107"/>
      <c r="J437" s="107"/>
      <c r="K437" s="108"/>
      <c r="L437" s="109"/>
      <c r="M437" s="110"/>
      <c r="N437" s="17"/>
      <c r="O437" s="10"/>
      <c r="P437" s="10"/>
      <c r="Q437" s="10"/>
      <c r="R437" s="10"/>
      <c r="S437" s="10"/>
      <c r="T437" s="10"/>
    </row>
    <row r="438" spans="2:20" outlineLevel="1" x14ac:dyDescent="0.35">
      <c r="B438" s="15"/>
      <c r="C438" s="48"/>
      <c r="D438" s="106"/>
      <c r="E438" s="106"/>
      <c r="F438" s="106"/>
      <c r="G438" s="106"/>
      <c r="H438" s="107"/>
      <c r="I438" s="107"/>
      <c r="J438" s="107"/>
      <c r="K438" s="108"/>
      <c r="L438" s="109"/>
      <c r="M438" s="110"/>
      <c r="N438" s="17"/>
      <c r="O438" s="10"/>
      <c r="P438" s="10"/>
      <c r="Q438" s="10"/>
      <c r="R438" s="10"/>
      <c r="S438" s="10"/>
      <c r="T438" s="10"/>
    </row>
    <row r="439" spans="2:20" outlineLevel="1" x14ac:dyDescent="0.35">
      <c r="B439" s="15"/>
      <c r="C439" s="48"/>
      <c r="D439" s="106"/>
      <c r="E439" s="106"/>
      <c r="F439" s="106"/>
      <c r="G439" s="106"/>
      <c r="H439" s="107"/>
      <c r="I439" s="107"/>
      <c r="J439" s="107"/>
      <c r="K439" s="108"/>
      <c r="L439" s="109"/>
      <c r="M439" s="110"/>
      <c r="N439" s="17"/>
      <c r="O439" s="10"/>
      <c r="P439" s="10"/>
      <c r="Q439" s="10"/>
      <c r="R439" s="10"/>
      <c r="S439" s="10"/>
      <c r="T439" s="10"/>
    </row>
    <row r="440" spans="2:20" outlineLevel="1" x14ac:dyDescent="0.35">
      <c r="B440" s="15"/>
      <c r="C440" s="48"/>
      <c r="D440" s="106"/>
      <c r="E440" s="106"/>
      <c r="F440" s="106"/>
      <c r="G440" s="106"/>
      <c r="H440" s="107"/>
      <c r="I440" s="107"/>
      <c r="J440" s="107"/>
      <c r="K440" s="108"/>
      <c r="L440" s="109"/>
      <c r="M440" s="110"/>
      <c r="N440" s="17"/>
      <c r="O440" s="10"/>
      <c r="P440" s="10"/>
      <c r="Q440" s="10"/>
      <c r="R440" s="10"/>
      <c r="S440" s="10"/>
      <c r="T440" s="10"/>
    </row>
    <row r="441" spans="2:20" outlineLevel="1" x14ac:dyDescent="0.35">
      <c r="B441" s="15"/>
      <c r="C441" s="48"/>
      <c r="D441" s="106"/>
      <c r="E441" s="106"/>
      <c r="F441" s="106"/>
      <c r="G441" s="106"/>
      <c r="H441" s="107"/>
      <c r="I441" s="107"/>
      <c r="J441" s="107"/>
      <c r="K441" s="108"/>
      <c r="L441" s="109"/>
      <c r="M441" s="110"/>
      <c r="N441" s="17"/>
      <c r="O441" s="10"/>
      <c r="P441" s="10"/>
      <c r="Q441" s="10"/>
      <c r="R441" s="10"/>
      <c r="S441" s="10"/>
      <c r="T441" s="10"/>
    </row>
    <row r="442" spans="2:20" outlineLevel="1" x14ac:dyDescent="0.35">
      <c r="B442" s="15"/>
      <c r="C442" s="48"/>
      <c r="D442" s="106"/>
      <c r="E442" s="106"/>
      <c r="F442" s="106"/>
      <c r="G442" s="106"/>
      <c r="H442" s="107"/>
      <c r="I442" s="107"/>
      <c r="J442" s="107"/>
      <c r="K442" s="108"/>
      <c r="L442" s="109"/>
      <c r="M442" s="110"/>
      <c r="N442" s="17"/>
      <c r="O442" s="10"/>
      <c r="P442" s="10"/>
      <c r="Q442" s="10"/>
      <c r="R442" s="10"/>
      <c r="S442" s="10"/>
      <c r="T442" s="10"/>
    </row>
    <row r="443" spans="2:20" outlineLevel="1" x14ac:dyDescent="0.35">
      <c r="B443" s="15"/>
      <c r="C443" s="48"/>
      <c r="D443" s="106"/>
      <c r="E443" s="106"/>
      <c r="F443" s="106"/>
      <c r="G443" s="106"/>
      <c r="H443" s="107"/>
      <c r="I443" s="107"/>
      <c r="J443" s="107"/>
      <c r="K443" s="108"/>
      <c r="L443" s="109"/>
      <c r="M443" s="110"/>
      <c r="N443" s="17"/>
      <c r="O443" s="10"/>
      <c r="P443" s="10"/>
      <c r="Q443" s="10"/>
      <c r="R443" s="10"/>
      <c r="S443" s="10"/>
      <c r="T443" s="10"/>
    </row>
    <row r="444" spans="2:20" outlineLevel="1" x14ac:dyDescent="0.35">
      <c r="B444" s="15"/>
      <c r="C444" s="48"/>
      <c r="D444" s="106"/>
      <c r="E444" s="106"/>
      <c r="F444" s="106"/>
      <c r="G444" s="106"/>
      <c r="H444" s="107"/>
      <c r="I444" s="107"/>
      <c r="J444" s="107"/>
      <c r="K444" s="108"/>
      <c r="L444" s="109"/>
      <c r="M444" s="110"/>
      <c r="N444" s="17"/>
      <c r="O444" s="10"/>
      <c r="P444" s="10"/>
      <c r="Q444" s="10"/>
      <c r="R444" s="10"/>
      <c r="S444" s="10"/>
      <c r="T444" s="10"/>
    </row>
    <row r="445" spans="2:20" outlineLevel="1" x14ac:dyDescent="0.35">
      <c r="B445" s="15"/>
      <c r="C445" s="48"/>
      <c r="D445" s="106"/>
      <c r="E445" s="106"/>
      <c r="F445" s="106"/>
      <c r="G445" s="106"/>
      <c r="H445" s="107"/>
      <c r="I445" s="107"/>
      <c r="J445" s="107"/>
      <c r="K445" s="108"/>
      <c r="L445" s="109"/>
      <c r="M445" s="110"/>
      <c r="N445" s="17"/>
      <c r="O445" s="10"/>
      <c r="P445" s="10"/>
      <c r="Q445" s="10"/>
      <c r="R445" s="10"/>
      <c r="S445" s="10"/>
      <c r="T445" s="10"/>
    </row>
    <row r="446" spans="2:20" outlineLevel="1" x14ac:dyDescent="0.35">
      <c r="B446" s="15"/>
      <c r="C446" s="48"/>
      <c r="D446" s="106"/>
      <c r="E446" s="106"/>
      <c r="F446" s="106"/>
      <c r="G446" s="106"/>
      <c r="H446" s="107"/>
      <c r="I446" s="107"/>
      <c r="J446" s="107"/>
      <c r="K446" s="108"/>
      <c r="L446" s="109"/>
      <c r="M446" s="110"/>
      <c r="N446" s="17"/>
      <c r="O446" s="10"/>
      <c r="P446" s="10"/>
      <c r="Q446" s="10"/>
      <c r="R446" s="10"/>
      <c r="S446" s="10"/>
      <c r="T446" s="10"/>
    </row>
    <row r="447" spans="2:20" outlineLevel="1" x14ac:dyDescent="0.35">
      <c r="B447" s="15"/>
      <c r="C447" s="48"/>
      <c r="D447" s="106"/>
      <c r="E447" s="106"/>
      <c r="F447" s="106"/>
      <c r="G447" s="106"/>
      <c r="H447" s="107"/>
      <c r="I447" s="107"/>
      <c r="J447" s="107"/>
      <c r="K447" s="108"/>
      <c r="L447" s="109"/>
      <c r="M447" s="110"/>
      <c r="N447" s="17"/>
      <c r="O447" s="10"/>
      <c r="P447" s="10"/>
      <c r="Q447" s="10"/>
      <c r="R447" s="10"/>
      <c r="S447" s="10"/>
      <c r="T447" s="10"/>
    </row>
    <row r="448" spans="2:20" outlineLevel="1" x14ac:dyDescent="0.35">
      <c r="B448" s="15"/>
      <c r="C448" s="48"/>
      <c r="D448" s="106"/>
      <c r="E448" s="106"/>
      <c r="F448" s="106"/>
      <c r="G448" s="106"/>
      <c r="H448" s="107"/>
      <c r="I448" s="107"/>
      <c r="J448" s="107"/>
      <c r="K448" s="108"/>
      <c r="L448" s="109"/>
      <c r="M448" s="110"/>
      <c r="N448" s="17"/>
      <c r="O448" s="10"/>
      <c r="P448" s="10"/>
      <c r="Q448" s="10"/>
      <c r="R448" s="10"/>
      <c r="S448" s="10"/>
      <c r="T448" s="10"/>
    </row>
    <row r="449" spans="2:20" outlineLevel="1" x14ac:dyDescent="0.35">
      <c r="B449" s="15"/>
      <c r="C449" s="48"/>
      <c r="D449" s="106"/>
      <c r="E449" s="106"/>
      <c r="F449" s="106"/>
      <c r="G449" s="106"/>
      <c r="H449" s="107"/>
      <c r="I449" s="107"/>
      <c r="J449" s="107"/>
      <c r="K449" s="108"/>
      <c r="L449" s="109"/>
      <c r="M449" s="110"/>
      <c r="N449" s="17"/>
      <c r="O449" s="10"/>
      <c r="P449" s="10"/>
      <c r="Q449" s="10"/>
      <c r="R449" s="10"/>
      <c r="S449" s="10"/>
      <c r="T449" s="10"/>
    </row>
    <row r="450" spans="2:20" outlineLevel="1" x14ac:dyDescent="0.35">
      <c r="B450" s="15"/>
      <c r="C450" s="48"/>
      <c r="D450" s="106"/>
      <c r="E450" s="106"/>
      <c r="F450" s="106"/>
      <c r="G450" s="106"/>
      <c r="H450" s="107"/>
      <c r="I450" s="107"/>
      <c r="J450" s="107"/>
      <c r="K450" s="108"/>
      <c r="L450" s="109"/>
      <c r="M450" s="110"/>
      <c r="N450" s="17"/>
      <c r="O450" s="10"/>
      <c r="P450" s="10"/>
      <c r="Q450" s="10"/>
      <c r="R450" s="10"/>
      <c r="S450" s="10"/>
      <c r="T450" s="10"/>
    </row>
    <row r="451" spans="2:20" outlineLevel="1" x14ac:dyDescent="0.35">
      <c r="B451" s="15"/>
      <c r="C451" s="48"/>
      <c r="D451" s="106"/>
      <c r="E451" s="106"/>
      <c r="F451" s="106"/>
      <c r="G451" s="106"/>
      <c r="H451" s="107"/>
      <c r="I451" s="107"/>
      <c r="J451" s="107"/>
      <c r="K451" s="108"/>
      <c r="L451" s="109"/>
      <c r="M451" s="110"/>
      <c r="N451" s="17"/>
      <c r="O451" s="10"/>
      <c r="P451" s="10"/>
      <c r="Q451" s="10"/>
      <c r="R451" s="10"/>
      <c r="S451" s="10"/>
      <c r="T451" s="10"/>
    </row>
    <row r="452" spans="2:20" outlineLevel="1" x14ac:dyDescent="0.35">
      <c r="B452" s="15"/>
      <c r="C452" s="48"/>
      <c r="D452" s="106"/>
      <c r="E452" s="106"/>
      <c r="F452" s="106"/>
      <c r="G452" s="106"/>
      <c r="H452" s="107"/>
      <c r="I452" s="107"/>
      <c r="J452" s="107"/>
      <c r="K452" s="108"/>
      <c r="L452" s="109"/>
      <c r="M452" s="110"/>
      <c r="N452" s="17"/>
      <c r="O452" s="10"/>
      <c r="P452" s="10"/>
      <c r="Q452" s="10"/>
      <c r="R452" s="10"/>
      <c r="S452" s="10"/>
      <c r="T452" s="10"/>
    </row>
    <row r="453" spans="2:20" outlineLevel="1" x14ac:dyDescent="0.35">
      <c r="B453" s="15"/>
      <c r="C453" s="48"/>
      <c r="D453" s="106"/>
      <c r="E453" s="106"/>
      <c r="F453" s="106"/>
      <c r="G453" s="106"/>
      <c r="H453" s="107"/>
      <c r="I453" s="107"/>
      <c r="J453" s="107"/>
      <c r="K453" s="108"/>
      <c r="L453" s="109"/>
      <c r="M453" s="110"/>
      <c r="N453" s="17"/>
      <c r="O453" s="10"/>
      <c r="P453" s="10"/>
      <c r="Q453" s="10"/>
      <c r="R453" s="10"/>
      <c r="S453" s="10"/>
      <c r="T453" s="10"/>
    </row>
    <row r="454" spans="2:20" outlineLevel="1" x14ac:dyDescent="0.35">
      <c r="B454" s="15"/>
      <c r="C454" s="48"/>
      <c r="D454" s="106"/>
      <c r="E454" s="106"/>
      <c r="F454" s="106"/>
      <c r="G454" s="106"/>
      <c r="H454" s="107"/>
      <c r="I454" s="107"/>
      <c r="J454" s="107"/>
      <c r="K454" s="108"/>
      <c r="L454" s="109"/>
      <c r="M454" s="110"/>
      <c r="N454" s="17"/>
      <c r="O454" s="10"/>
      <c r="P454" s="10"/>
      <c r="Q454" s="10"/>
      <c r="R454" s="10"/>
      <c r="S454" s="10"/>
      <c r="T454" s="10"/>
    </row>
    <row r="455" spans="2:20" outlineLevel="1" x14ac:dyDescent="0.35">
      <c r="B455" s="15"/>
      <c r="C455" s="48"/>
      <c r="D455" s="106"/>
      <c r="E455" s="106"/>
      <c r="F455" s="106"/>
      <c r="G455" s="106"/>
      <c r="H455" s="107"/>
      <c r="I455" s="107"/>
      <c r="J455" s="107"/>
      <c r="K455" s="108"/>
      <c r="L455" s="109"/>
      <c r="M455" s="110"/>
      <c r="N455" s="17"/>
      <c r="O455" s="10"/>
      <c r="P455" s="10"/>
      <c r="Q455" s="10"/>
      <c r="R455" s="10"/>
      <c r="S455" s="10"/>
      <c r="T455" s="10"/>
    </row>
    <row r="456" spans="2:20" outlineLevel="1" x14ac:dyDescent="0.35">
      <c r="B456" s="15"/>
      <c r="C456" s="48"/>
      <c r="D456" s="106"/>
      <c r="E456" s="106"/>
      <c r="F456" s="106"/>
      <c r="G456" s="106"/>
      <c r="H456" s="107"/>
      <c r="I456" s="107"/>
      <c r="J456" s="107"/>
      <c r="K456" s="108"/>
      <c r="L456" s="109"/>
      <c r="M456" s="110"/>
      <c r="N456" s="17"/>
      <c r="O456" s="10"/>
      <c r="P456" s="10"/>
      <c r="Q456" s="10"/>
      <c r="R456" s="10"/>
      <c r="S456" s="10"/>
      <c r="T456" s="10"/>
    </row>
    <row r="457" spans="2:20" outlineLevel="1" x14ac:dyDescent="0.35">
      <c r="B457" s="15"/>
      <c r="C457" s="48"/>
      <c r="D457" s="106"/>
      <c r="E457" s="106"/>
      <c r="F457" s="106"/>
      <c r="G457" s="106"/>
      <c r="H457" s="107"/>
      <c r="I457" s="107"/>
      <c r="J457" s="107"/>
      <c r="K457" s="108"/>
      <c r="L457" s="109"/>
      <c r="M457" s="110"/>
      <c r="N457" s="17"/>
      <c r="O457" s="10"/>
      <c r="P457" s="10"/>
      <c r="Q457" s="10"/>
      <c r="R457" s="10"/>
      <c r="S457" s="10"/>
      <c r="T457" s="10"/>
    </row>
    <row r="458" spans="2:20" outlineLevel="1" x14ac:dyDescent="0.35">
      <c r="B458" s="15"/>
      <c r="C458" s="48"/>
      <c r="D458" s="106"/>
      <c r="E458" s="106"/>
      <c r="F458" s="106"/>
      <c r="G458" s="106"/>
      <c r="H458" s="107"/>
      <c r="I458" s="107"/>
      <c r="J458" s="107"/>
      <c r="K458" s="108"/>
      <c r="L458" s="109"/>
      <c r="M458" s="110"/>
      <c r="N458" s="17"/>
      <c r="O458" s="10"/>
      <c r="P458" s="10"/>
      <c r="Q458" s="10"/>
      <c r="R458" s="10"/>
      <c r="S458" s="10"/>
      <c r="T458" s="10"/>
    </row>
    <row r="459" spans="2:20" outlineLevel="1" x14ac:dyDescent="0.35">
      <c r="B459" s="15"/>
      <c r="C459" s="48"/>
      <c r="D459" s="106"/>
      <c r="E459" s="106"/>
      <c r="F459" s="106"/>
      <c r="G459" s="106"/>
      <c r="H459" s="107"/>
      <c r="I459" s="107"/>
      <c r="J459" s="107"/>
      <c r="K459" s="108"/>
      <c r="L459" s="109"/>
      <c r="M459" s="110"/>
      <c r="N459" s="17"/>
      <c r="O459" s="10"/>
      <c r="P459" s="10"/>
      <c r="Q459" s="10"/>
      <c r="R459" s="10"/>
      <c r="S459" s="10"/>
      <c r="T459" s="10"/>
    </row>
    <row r="460" spans="2:20" outlineLevel="1" x14ac:dyDescent="0.35">
      <c r="B460" s="15"/>
      <c r="C460" s="48"/>
      <c r="D460" s="106"/>
      <c r="E460" s="106"/>
      <c r="F460" s="106"/>
      <c r="G460" s="106"/>
      <c r="H460" s="107"/>
      <c r="I460" s="107"/>
      <c r="J460" s="107"/>
      <c r="K460" s="108"/>
      <c r="L460" s="109"/>
      <c r="M460" s="110"/>
      <c r="N460" s="17"/>
      <c r="O460" s="10"/>
      <c r="P460" s="10"/>
      <c r="Q460" s="10"/>
      <c r="R460" s="10"/>
      <c r="S460" s="10"/>
      <c r="T460" s="10"/>
    </row>
    <row r="461" spans="2:20" outlineLevel="1" x14ac:dyDescent="0.35">
      <c r="B461" s="15"/>
      <c r="C461" s="48"/>
      <c r="D461" s="106"/>
      <c r="E461" s="106"/>
      <c r="F461" s="106"/>
      <c r="G461" s="106"/>
      <c r="H461" s="107"/>
      <c r="I461" s="107"/>
      <c r="J461" s="107"/>
      <c r="K461" s="108"/>
      <c r="L461" s="109"/>
      <c r="M461" s="110"/>
      <c r="N461" s="17"/>
      <c r="O461" s="10"/>
      <c r="P461" s="10"/>
      <c r="Q461" s="10"/>
      <c r="R461" s="10"/>
      <c r="S461" s="10"/>
      <c r="T461" s="10"/>
    </row>
    <row r="462" spans="2:20" outlineLevel="1" x14ac:dyDescent="0.35">
      <c r="B462" s="15"/>
      <c r="C462" s="48"/>
      <c r="D462" s="106"/>
      <c r="E462" s="106"/>
      <c r="F462" s="106"/>
      <c r="G462" s="106"/>
      <c r="H462" s="107"/>
      <c r="I462" s="107"/>
      <c r="J462" s="107"/>
      <c r="K462" s="108"/>
      <c r="L462" s="109"/>
      <c r="M462" s="110"/>
      <c r="N462" s="17"/>
      <c r="O462" s="10"/>
      <c r="P462" s="10"/>
      <c r="Q462" s="10"/>
      <c r="R462" s="10"/>
      <c r="S462" s="10"/>
      <c r="T462" s="10"/>
    </row>
    <row r="463" spans="2:20" outlineLevel="1" x14ac:dyDescent="0.35">
      <c r="B463" s="15"/>
      <c r="C463" s="48"/>
      <c r="D463" s="106"/>
      <c r="E463" s="106"/>
      <c r="F463" s="106"/>
      <c r="G463" s="106"/>
      <c r="H463" s="107"/>
      <c r="I463" s="107"/>
      <c r="J463" s="107"/>
      <c r="K463" s="108"/>
      <c r="L463" s="109"/>
      <c r="M463" s="110"/>
      <c r="N463" s="17"/>
      <c r="O463" s="10"/>
      <c r="P463" s="10"/>
      <c r="Q463" s="10"/>
      <c r="R463" s="10"/>
      <c r="S463" s="10"/>
      <c r="T463" s="10"/>
    </row>
    <row r="464" spans="2:20" outlineLevel="1" x14ac:dyDescent="0.35">
      <c r="B464" s="15"/>
      <c r="C464" s="48"/>
      <c r="D464" s="106"/>
      <c r="E464" s="106"/>
      <c r="F464" s="106"/>
      <c r="G464" s="106"/>
      <c r="H464" s="107"/>
      <c r="I464" s="107"/>
      <c r="J464" s="107"/>
      <c r="K464" s="108"/>
      <c r="L464" s="109"/>
      <c r="M464" s="110"/>
      <c r="N464" s="17"/>
      <c r="O464" s="10"/>
      <c r="P464" s="10"/>
      <c r="Q464" s="10"/>
      <c r="R464" s="10"/>
      <c r="S464" s="10"/>
      <c r="T464" s="10"/>
    </row>
    <row r="465" spans="2:20" outlineLevel="1" x14ac:dyDescent="0.35">
      <c r="B465" s="15"/>
      <c r="C465" s="48"/>
      <c r="D465" s="106"/>
      <c r="E465" s="106"/>
      <c r="F465" s="106"/>
      <c r="G465" s="106"/>
      <c r="H465" s="107"/>
      <c r="I465" s="107"/>
      <c r="J465" s="107"/>
      <c r="K465" s="108"/>
      <c r="L465" s="109"/>
      <c r="M465" s="110"/>
      <c r="N465" s="17"/>
      <c r="O465" s="10"/>
      <c r="P465" s="10"/>
      <c r="Q465" s="10"/>
      <c r="R465" s="10"/>
      <c r="S465" s="10"/>
      <c r="T465" s="10"/>
    </row>
    <row r="466" spans="2:20" outlineLevel="1" x14ac:dyDescent="0.35">
      <c r="B466" s="15"/>
      <c r="C466" s="48"/>
      <c r="D466" s="106"/>
      <c r="E466" s="106"/>
      <c r="F466" s="106"/>
      <c r="G466" s="106"/>
      <c r="H466" s="107"/>
      <c r="I466" s="107"/>
      <c r="J466" s="107"/>
      <c r="K466" s="108"/>
      <c r="L466" s="109"/>
      <c r="M466" s="110"/>
      <c r="N466" s="17"/>
      <c r="O466" s="10"/>
      <c r="P466" s="10"/>
      <c r="Q466" s="10"/>
      <c r="R466" s="10"/>
      <c r="S466" s="10"/>
      <c r="T466" s="10"/>
    </row>
    <row r="467" spans="2:20" outlineLevel="1" x14ac:dyDescent="0.35">
      <c r="B467" s="15"/>
      <c r="C467" s="48"/>
      <c r="D467" s="106"/>
      <c r="E467" s="106"/>
      <c r="F467" s="106"/>
      <c r="G467" s="106"/>
      <c r="H467" s="107"/>
      <c r="I467" s="107"/>
      <c r="J467" s="107"/>
      <c r="K467" s="108"/>
      <c r="L467" s="109"/>
      <c r="M467" s="110"/>
      <c r="N467" s="17"/>
      <c r="O467" s="10"/>
      <c r="P467" s="10"/>
      <c r="Q467" s="10"/>
      <c r="R467" s="10"/>
      <c r="S467" s="10"/>
      <c r="T467" s="10"/>
    </row>
    <row r="468" spans="2:20" outlineLevel="1" x14ac:dyDescent="0.35">
      <c r="B468" s="15"/>
      <c r="C468" s="48"/>
      <c r="D468" s="106"/>
      <c r="E468" s="106"/>
      <c r="F468" s="106"/>
      <c r="G468" s="106"/>
      <c r="H468" s="107"/>
      <c r="I468" s="107"/>
      <c r="J468" s="107"/>
      <c r="K468" s="108"/>
      <c r="L468" s="109"/>
      <c r="M468" s="110"/>
      <c r="N468" s="17"/>
      <c r="O468" s="10"/>
      <c r="P468" s="10"/>
      <c r="Q468" s="10"/>
      <c r="R468" s="10"/>
      <c r="S468" s="10"/>
      <c r="T468" s="10"/>
    </row>
    <row r="469" spans="2:20" outlineLevel="1" x14ac:dyDescent="0.35">
      <c r="B469" s="15"/>
      <c r="C469" s="48"/>
      <c r="D469" s="106"/>
      <c r="E469" s="106"/>
      <c r="F469" s="106"/>
      <c r="G469" s="106"/>
      <c r="H469" s="107"/>
      <c r="I469" s="107"/>
      <c r="J469" s="107"/>
      <c r="K469" s="108"/>
      <c r="L469" s="109"/>
      <c r="M469" s="110"/>
      <c r="N469" s="17"/>
      <c r="O469" s="10"/>
      <c r="P469" s="10"/>
      <c r="Q469" s="10"/>
      <c r="R469" s="10"/>
      <c r="S469" s="10"/>
      <c r="T469" s="10"/>
    </row>
    <row r="470" spans="2:20" outlineLevel="1" x14ac:dyDescent="0.35">
      <c r="B470" s="15"/>
      <c r="C470" s="48"/>
      <c r="D470" s="106"/>
      <c r="E470" s="106"/>
      <c r="F470" s="106"/>
      <c r="G470" s="106"/>
      <c r="H470" s="107"/>
      <c r="I470" s="107"/>
      <c r="J470" s="107"/>
      <c r="K470" s="108"/>
      <c r="L470" s="109"/>
      <c r="M470" s="110"/>
      <c r="N470" s="17"/>
      <c r="O470" s="10"/>
      <c r="P470" s="10"/>
      <c r="Q470" s="10"/>
      <c r="R470" s="10"/>
      <c r="S470" s="10"/>
      <c r="T470" s="10"/>
    </row>
    <row r="471" spans="2:20" outlineLevel="1" x14ac:dyDescent="0.35">
      <c r="B471" s="15"/>
      <c r="C471" s="48"/>
      <c r="D471" s="106"/>
      <c r="E471" s="106"/>
      <c r="F471" s="106"/>
      <c r="G471" s="106"/>
      <c r="H471" s="107"/>
      <c r="I471" s="107"/>
      <c r="J471" s="107"/>
      <c r="K471" s="108"/>
      <c r="L471" s="109"/>
      <c r="M471" s="110"/>
      <c r="N471" s="17"/>
      <c r="O471" s="10"/>
      <c r="P471" s="10"/>
      <c r="Q471" s="10"/>
      <c r="R471" s="10"/>
      <c r="S471" s="10"/>
      <c r="T471" s="10"/>
    </row>
    <row r="472" spans="2:20" outlineLevel="1" x14ac:dyDescent="0.35">
      <c r="B472" s="15"/>
      <c r="C472" s="48"/>
      <c r="D472" s="106"/>
      <c r="E472" s="106"/>
      <c r="F472" s="106"/>
      <c r="G472" s="106"/>
      <c r="H472" s="107"/>
      <c r="I472" s="107"/>
      <c r="J472" s="107"/>
      <c r="K472" s="108"/>
      <c r="L472" s="109"/>
      <c r="M472" s="110"/>
      <c r="N472" s="17"/>
      <c r="O472" s="10"/>
      <c r="P472" s="10"/>
      <c r="Q472" s="10"/>
      <c r="R472" s="10"/>
      <c r="S472" s="10"/>
      <c r="T472" s="10"/>
    </row>
    <row r="473" spans="2:20" outlineLevel="1" x14ac:dyDescent="0.35">
      <c r="B473" s="15"/>
      <c r="C473" s="48"/>
      <c r="D473" s="106"/>
      <c r="E473" s="106"/>
      <c r="F473" s="106"/>
      <c r="G473" s="106"/>
      <c r="H473" s="107"/>
      <c r="I473" s="107"/>
      <c r="J473" s="107"/>
      <c r="K473" s="108"/>
      <c r="L473" s="109"/>
      <c r="M473" s="110"/>
      <c r="N473" s="17"/>
      <c r="O473" s="10"/>
      <c r="P473" s="10"/>
      <c r="Q473" s="10"/>
      <c r="R473" s="10"/>
      <c r="S473" s="10"/>
      <c r="T473" s="10"/>
    </row>
    <row r="474" spans="2:20" outlineLevel="1" x14ac:dyDescent="0.35">
      <c r="B474" s="15"/>
      <c r="C474" s="48"/>
      <c r="D474" s="106"/>
      <c r="E474" s="106"/>
      <c r="F474" s="106"/>
      <c r="G474" s="106"/>
      <c r="H474" s="107"/>
      <c r="I474" s="107"/>
      <c r="J474" s="107"/>
      <c r="K474" s="108"/>
      <c r="L474" s="109"/>
      <c r="M474" s="110"/>
      <c r="N474" s="17"/>
      <c r="O474" s="10"/>
      <c r="P474" s="10"/>
      <c r="Q474" s="10"/>
      <c r="R474" s="10"/>
      <c r="S474" s="10"/>
      <c r="T474" s="10"/>
    </row>
    <row r="475" spans="2:20" outlineLevel="1" x14ac:dyDescent="0.35">
      <c r="B475" s="15"/>
      <c r="C475" s="48"/>
      <c r="D475" s="106"/>
      <c r="E475" s="106"/>
      <c r="F475" s="106"/>
      <c r="G475" s="106"/>
      <c r="H475" s="107"/>
      <c r="I475" s="107"/>
      <c r="J475" s="107"/>
      <c r="K475" s="108"/>
      <c r="L475" s="109"/>
      <c r="M475" s="110"/>
      <c r="N475" s="17"/>
      <c r="O475" s="10"/>
      <c r="P475" s="10"/>
      <c r="Q475" s="10"/>
      <c r="R475" s="10"/>
      <c r="S475" s="10"/>
      <c r="T475" s="10"/>
    </row>
    <row r="476" spans="2:20" outlineLevel="1" x14ac:dyDescent="0.35">
      <c r="B476" s="15"/>
      <c r="C476" s="48"/>
      <c r="D476" s="106"/>
      <c r="E476" s="106"/>
      <c r="F476" s="106"/>
      <c r="G476" s="106"/>
      <c r="H476" s="107"/>
      <c r="I476" s="107"/>
      <c r="J476" s="107"/>
      <c r="K476" s="108"/>
      <c r="L476" s="109"/>
      <c r="M476" s="110"/>
      <c r="N476" s="17"/>
      <c r="O476" s="10"/>
      <c r="P476" s="10"/>
      <c r="Q476" s="10"/>
      <c r="R476" s="10"/>
      <c r="S476" s="10"/>
      <c r="T476" s="10"/>
    </row>
    <row r="477" spans="2:20" outlineLevel="1" x14ac:dyDescent="0.35">
      <c r="B477" s="15"/>
      <c r="C477" s="48"/>
      <c r="D477" s="106"/>
      <c r="E477" s="106"/>
      <c r="F477" s="106"/>
      <c r="G477" s="106"/>
      <c r="H477" s="107"/>
      <c r="I477" s="107"/>
      <c r="J477" s="107"/>
      <c r="K477" s="108"/>
      <c r="L477" s="109"/>
      <c r="M477" s="110"/>
      <c r="N477" s="17"/>
      <c r="O477" s="10"/>
      <c r="P477" s="10"/>
      <c r="Q477" s="10"/>
      <c r="R477" s="10"/>
      <c r="S477" s="10"/>
      <c r="T477" s="10"/>
    </row>
    <row r="478" spans="2:20" outlineLevel="1" x14ac:dyDescent="0.35">
      <c r="B478" s="15"/>
      <c r="C478" s="48"/>
      <c r="D478" s="106"/>
      <c r="E478" s="106"/>
      <c r="F478" s="106"/>
      <c r="G478" s="106"/>
      <c r="H478" s="107"/>
      <c r="I478" s="107"/>
      <c r="J478" s="107"/>
      <c r="K478" s="108"/>
      <c r="L478" s="109"/>
      <c r="M478" s="110"/>
      <c r="N478" s="17"/>
      <c r="O478" s="10"/>
      <c r="P478" s="10"/>
      <c r="Q478" s="10"/>
      <c r="R478" s="10"/>
      <c r="S478" s="10"/>
      <c r="T478" s="10"/>
    </row>
    <row r="479" spans="2:20" outlineLevel="1" x14ac:dyDescent="0.35">
      <c r="B479" s="15"/>
      <c r="C479" s="48"/>
      <c r="D479" s="106"/>
      <c r="E479" s="106"/>
      <c r="F479" s="106"/>
      <c r="G479" s="106"/>
      <c r="H479" s="107"/>
      <c r="I479" s="107"/>
      <c r="J479" s="107"/>
      <c r="K479" s="108"/>
      <c r="L479" s="109"/>
      <c r="M479" s="110"/>
      <c r="N479" s="17"/>
      <c r="O479" s="10"/>
      <c r="P479" s="10"/>
      <c r="Q479" s="10"/>
      <c r="R479" s="10"/>
      <c r="S479" s="10"/>
      <c r="T479" s="10"/>
    </row>
    <row r="480" spans="2:20" outlineLevel="1" x14ac:dyDescent="0.35">
      <c r="B480" s="15"/>
      <c r="C480" s="48"/>
      <c r="D480" s="106"/>
      <c r="E480" s="106"/>
      <c r="F480" s="106"/>
      <c r="G480" s="106"/>
      <c r="H480" s="107"/>
      <c r="I480" s="107"/>
      <c r="J480" s="107"/>
      <c r="K480" s="108"/>
      <c r="L480" s="109"/>
      <c r="M480" s="110"/>
      <c r="N480" s="17"/>
      <c r="O480" s="10"/>
      <c r="P480" s="10"/>
      <c r="Q480" s="10"/>
      <c r="R480" s="10"/>
      <c r="S480" s="10"/>
      <c r="T480" s="10"/>
    </row>
    <row r="481" spans="2:20" outlineLevel="1" x14ac:dyDescent="0.35">
      <c r="B481" s="15"/>
      <c r="C481" s="48"/>
      <c r="D481" s="106"/>
      <c r="E481" s="106"/>
      <c r="F481" s="106"/>
      <c r="G481" s="106"/>
      <c r="H481" s="107"/>
      <c r="I481" s="107"/>
      <c r="J481" s="107"/>
      <c r="K481" s="108"/>
      <c r="L481" s="109"/>
      <c r="M481" s="110"/>
      <c r="N481" s="17"/>
      <c r="O481" s="10"/>
      <c r="P481" s="10"/>
      <c r="Q481" s="10"/>
      <c r="R481" s="10"/>
      <c r="S481" s="10"/>
      <c r="T481" s="10"/>
    </row>
    <row r="482" spans="2:20" outlineLevel="1" x14ac:dyDescent="0.35">
      <c r="B482" s="15"/>
      <c r="C482" s="48"/>
      <c r="D482" s="106"/>
      <c r="E482" s="106"/>
      <c r="F482" s="106"/>
      <c r="G482" s="106"/>
      <c r="H482" s="107"/>
      <c r="I482" s="107"/>
      <c r="J482" s="107"/>
      <c r="K482" s="108"/>
      <c r="L482" s="109"/>
      <c r="M482" s="110"/>
      <c r="N482" s="17"/>
      <c r="O482" s="10"/>
      <c r="P482" s="10"/>
      <c r="Q482" s="10"/>
      <c r="R482" s="10"/>
      <c r="S482" s="10"/>
      <c r="T482" s="10"/>
    </row>
    <row r="483" spans="2:20" outlineLevel="1" x14ac:dyDescent="0.35">
      <c r="B483" s="15"/>
      <c r="C483" s="48"/>
      <c r="D483" s="106"/>
      <c r="E483" s="106"/>
      <c r="F483" s="106"/>
      <c r="G483" s="106"/>
      <c r="H483" s="107"/>
      <c r="I483" s="107"/>
      <c r="J483" s="107"/>
      <c r="K483" s="108"/>
      <c r="L483" s="109"/>
      <c r="M483" s="110"/>
      <c r="N483" s="17"/>
      <c r="O483" s="10"/>
      <c r="P483" s="10"/>
      <c r="Q483" s="10"/>
      <c r="R483" s="10"/>
      <c r="S483" s="10"/>
      <c r="T483" s="10"/>
    </row>
    <row r="484" spans="2:20" outlineLevel="1" x14ac:dyDescent="0.35">
      <c r="B484" s="15"/>
      <c r="C484" s="48"/>
      <c r="D484" s="106"/>
      <c r="E484" s="106"/>
      <c r="F484" s="106"/>
      <c r="G484" s="106"/>
      <c r="H484" s="107"/>
      <c r="I484" s="107"/>
      <c r="J484" s="107"/>
      <c r="K484" s="108"/>
      <c r="L484" s="109"/>
      <c r="M484" s="110"/>
      <c r="N484" s="17"/>
      <c r="O484" s="10"/>
      <c r="P484" s="10"/>
      <c r="Q484" s="10"/>
      <c r="R484" s="10"/>
      <c r="S484" s="10"/>
      <c r="T484" s="10"/>
    </row>
    <row r="485" spans="2:20" outlineLevel="1" x14ac:dyDescent="0.35">
      <c r="B485" s="15"/>
      <c r="C485" s="48"/>
      <c r="D485" s="106"/>
      <c r="E485" s="106"/>
      <c r="F485" s="106"/>
      <c r="G485" s="106"/>
      <c r="H485" s="107"/>
      <c r="I485" s="107"/>
      <c r="J485" s="107"/>
      <c r="K485" s="108"/>
      <c r="L485" s="109"/>
      <c r="M485" s="110"/>
      <c r="N485" s="17"/>
      <c r="O485" s="10"/>
      <c r="P485" s="10"/>
      <c r="Q485" s="10"/>
      <c r="R485" s="10"/>
      <c r="S485" s="10"/>
      <c r="T485" s="10"/>
    </row>
    <row r="486" spans="2:20" outlineLevel="1" x14ac:dyDescent="0.35">
      <c r="B486" s="15"/>
      <c r="C486" s="48"/>
      <c r="D486" s="106"/>
      <c r="E486" s="106"/>
      <c r="F486" s="106"/>
      <c r="G486" s="106"/>
      <c r="H486" s="107"/>
      <c r="I486" s="107"/>
      <c r="J486" s="107"/>
      <c r="K486" s="108"/>
      <c r="L486" s="109"/>
      <c r="M486" s="110"/>
      <c r="N486" s="17"/>
      <c r="O486" s="10"/>
      <c r="P486" s="10"/>
      <c r="Q486" s="10"/>
      <c r="R486" s="10"/>
      <c r="S486" s="10"/>
      <c r="T486" s="10"/>
    </row>
    <row r="487" spans="2:20" outlineLevel="1" x14ac:dyDescent="0.35">
      <c r="B487" s="15"/>
      <c r="C487" s="48"/>
      <c r="D487" s="106"/>
      <c r="E487" s="106"/>
      <c r="F487" s="106"/>
      <c r="G487" s="106"/>
      <c r="H487" s="107"/>
      <c r="I487" s="107"/>
      <c r="J487" s="107"/>
      <c r="K487" s="108"/>
      <c r="L487" s="109"/>
      <c r="M487" s="110"/>
      <c r="N487" s="17"/>
      <c r="O487" s="10"/>
      <c r="P487" s="10"/>
      <c r="Q487" s="10"/>
      <c r="R487" s="10"/>
      <c r="S487" s="10"/>
      <c r="T487" s="10"/>
    </row>
    <row r="488" spans="2:20" outlineLevel="1" x14ac:dyDescent="0.35">
      <c r="B488" s="15"/>
      <c r="C488" s="48"/>
      <c r="D488" s="106"/>
      <c r="E488" s="106"/>
      <c r="F488" s="106"/>
      <c r="G488" s="106"/>
      <c r="H488" s="107"/>
      <c r="I488" s="107"/>
      <c r="J488" s="107"/>
      <c r="K488" s="108"/>
      <c r="L488" s="109"/>
      <c r="M488" s="110"/>
      <c r="N488" s="17"/>
      <c r="O488" s="10"/>
      <c r="P488" s="10"/>
      <c r="Q488" s="10"/>
      <c r="R488" s="10"/>
      <c r="S488" s="10"/>
      <c r="T488" s="10"/>
    </row>
    <row r="489" spans="2:20" outlineLevel="1" x14ac:dyDescent="0.35">
      <c r="B489" s="15"/>
      <c r="C489" s="48"/>
      <c r="D489" s="106"/>
      <c r="E489" s="106"/>
      <c r="F489" s="106"/>
      <c r="G489" s="106"/>
      <c r="H489" s="107"/>
      <c r="I489" s="107"/>
      <c r="J489" s="107"/>
      <c r="K489" s="108"/>
      <c r="L489" s="109"/>
      <c r="M489" s="110"/>
      <c r="N489" s="17"/>
      <c r="O489" s="10"/>
      <c r="P489" s="10"/>
      <c r="Q489" s="10"/>
      <c r="R489" s="10"/>
      <c r="S489" s="10"/>
      <c r="T489" s="10"/>
    </row>
    <row r="490" spans="2:20" outlineLevel="1" x14ac:dyDescent="0.35">
      <c r="B490" s="15"/>
      <c r="C490" s="48"/>
      <c r="D490" s="106"/>
      <c r="E490" s="106"/>
      <c r="F490" s="106"/>
      <c r="G490" s="106"/>
      <c r="H490" s="107"/>
      <c r="I490" s="107"/>
      <c r="J490" s="107"/>
      <c r="K490" s="108"/>
      <c r="L490" s="109"/>
      <c r="M490" s="110"/>
      <c r="N490" s="17"/>
      <c r="O490" s="10"/>
      <c r="P490" s="10"/>
      <c r="Q490" s="10"/>
      <c r="R490" s="10"/>
      <c r="S490" s="10"/>
      <c r="T490" s="10"/>
    </row>
    <row r="491" spans="2:20" outlineLevel="1" x14ac:dyDescent="0.35">
      <c r="B491" s="15"/>
      <c r="C491" s="48"/>
      <c r="D491" s="106"/>
      <c r="E491" s="106"/>
      <c r="F491" s="106"/>
      <c r="G491" s="106"/>
      <c r="H491" s="107"/>
      <c r="I491" s="107"/>
      <c r="J491" s="107"/>
      <c r="K491" s="108"/>
      <c r="L491" s="109"/>
      <c r="M491" s="110"/>
      <c r="N491" s="17"/>
      <c r="O491" s="10"/>
      <c r="P491" s="10"/>
      <c r="Q491" s="10"/>
      <c r="R491" s="10"/>
      <c r="S491" s="10"/>
      <c r="T491" s="10"/>
    </row>
    <row r="492" spans="2:20" outlineLevel="1" x14ac:dyDescent="0.35">
      <c r="B492" s="15"/>
      <c r="C492" s="48"/>
      <c r="D492" s="106"/>
      <c r="E492" s="106"/>
      <c r="F492" s="106"/>
      <c r="G492" s="106"/>
      <c r="H492" s="107"/>
      <c r="I492" s="107"/>
      <c r="J492" s="107"/>
      <c r="K492" s="108"/>
      <c r="L492" s="109"/>
      <c r="M492" s="110"/>
      <c r="N492" s="17"/>
      <c r="O492" s="10"/>
      <c r="P492" s="10"/>
      <c r="Q492" s="10"/>
      <c r="R492" s="10"/>
      <c r="S492" s="10"/>
      <c r="T492" s="10"/>
    </row>
    <row r="493" spans="2:20" outlineLevel="1" x14ac:dyDescent="0.35">
      <c r="B493" s="15"/>
      <c r="C493" s="48"/>
      <c r="D493" s="106"/>
      <c r="E493" s="106"/>
      <c r="F493" s="106"/>
      <c r="G493" s="106"/>
      <c r="H493" s="107"/>
      <c r="I493" s="107"/>
      <c r="J493" s="107"/>
      <c r="K493" s="108"/>
      <c r="L493" s="109"/>
      <c r="M493" s="110"/>
      <c r="N493" s="17"/>
      <c r="O493" s="10"/>
      <c r="P493" s="10"/>
      <c r="Q493" s="10"/>
      <c r="R493" s="10"/>
      <c r="S493" s="10"/>
      <c r="T493" s="10"/>
    </row>
    <row r="494" spans="2:20" outlineLevel="1" x14ac:dyDescent="0.35">
      <c r="B494" s="15"/>
      <c r="C494" s="48"/>
      <c r="D494" s="106"/>
      <c r="E494" s="106"/>
      <c r="F494" s="106"/>
      <c r="G494" s="106"/>
      <c r="H494" s="107"/>
      <c r="I494" s="107"/>
      <c r="J494" s="107"/>
      <c r="K494" s="108"/>
      <c r="L494" s="109"/>
      <c r="M494" s="110"/>
      <c r="N494" s="17"/>
      <c r="O494" s="10"/>
      <c r="P494" s="10"/>
      <c r="Q494" s="10"/>
      <c r="R494" s="10"/>
      <c r="S494" s="10"/>
      <c r="T494" s="10"/>
    </row>
    <row r="495" spans="2:20" outlineLevel="1" x14ac:dyDescent="0.35">
      <c r="B495" s="15"/>
      <c r="C495" s="48"/>
      <c r="D495" s="106"/>
      <c r="E495" s="106"/>
      <c r="F495" s="106"/>
      <c r="G495" s="106"/>
      <c r="H495" s="107"/>
      <c r="I495" s="107"/>
      <c r="J495" s="107"/>
      <c r="K495" s="108"/>
      <c r="L495" s="109"/>
      <c r="M495" s="110"/>
      <c r="N495" s="17"/>
      <c r="O495" s="10"/>
      <c r="P495" s="10"/>
      <c r="Q495" s="10"/>
      <c r="R495" s="10"/>
      <c r="S495" s="10"/>
      <c r="T495" s="10"/>
    </row>
    <row r="496" spans="2:20" outlineLevel="1" x14ac:dyDescent="0.35">
      <c r="B496" s="15"/>
      <c r="C496" s="48"/>
      <c r="D496" s="106"/>
      <c r="E496" s="106"/>
      <c r="F496" s="106"/>
      <c r="G496" s="106"/>
      <c r="H496" s="107"/>
      <c r="I496" s="107"/>
      <c r="J496" s="107"/>
      <c r="K496" s="108"/>
      <c r="L496" s="109"/>
      <c r="M496" s="110"/>
      <c r="N496" s="17"/>
      <c r="O496" s="10"/>
      <c r="P496" s="10"/>
      <c r="Q496" s="10"/>
      <c r="R496" s="10"/>
      <c r="S496" s="10"/>
      <c r="T496" s="10"/>
    </row>
    <row r="497" spans="2:22" outlineLevel="1" x14ac:dyDescent="0.35">
      <c r="B497" s="15"/>
      <c r="C497" s="48"/>
      <c r="D497" s="106"/>
      <c r="E497" s="106"/>
      <c r="F497" s="106"/>
      <c r="G497" s="106"/>
      <c r="H497" s="107"/>
      <c r="I497" s="107"/>
      <c r="J497" s="107"/>
      <c r="K497" s="108"/>
      <c r="L497" s="109"/>
      <c r="M497" s="110"/>
      <c r="N497" s="17"/>
      <c r="O497" s="10"/>
      <c r="P497" s="10"/>
      <c r="Q497" s="10"/>
      <c r="R497" s="10"/>
      <c r="S497" s="10"/>
      <c r="T497" s="10"/>
    </row>
    <row r="498" spans="2:22" outlineLevel="1" x14ac:dyDescent="0.35">
      <c r="B498" s="15"/>
      <c r="C498" s="48"/>
      <c r="D498" s="106"/>
      <c r="E498" s="106"/>
      <c r="F498" s="106"/>
      <c r="G498" s="106"/>
      <c r="H498" s="107"/>
      <c r="I498" s="107"/>
      <c r="J498" s="107"/>
      <c r="K498" s="108"/>
      <c r="L498" s="109"/>
      <c r="M498" s="110"/>
      <c r="N498" s="17"/>
      <c r="O498" s="10"/>
      <c r="P498" s="10"/>
      <c r="Q498" s="10"/>
      <c r="R498" s="10"/>
      <c r="S498" s="10"/>
      <c r="T498" s="10"/>
    </row>
    <row r="499" spans="2:22" outlineLevel="1" x14ac:dyDescent="0.35">
      <c r="B499" s="15"/>
      <c r="C499" s="48"/>
      <c r="D499" s="106"/>
      <c r="E499" s="106"/>
      <c r="F499" s="106"/>
      <c r="G499" s="106"/>
      <c r="H499" s="107"/>
      <c r="I499" s="107"/>
      <c r="J499" s="107"/>
      <c r="K499" s="108"/>
      <c r="L499" s="109"/>
      <c r="M499" s="110"/>
      <c r="N499" s="17"/>
      <c r="O499" s="10"/>
      <c r="P499" s="10"/>
      <c r="Q499" s="10"/>
      <c r="R499" s="10"/>
      <c r="S499" s="10"/>
      <c r="T499" s="10"/>
    </row>
    <row r="500" spans="2:22" outlineLevel="1" x14ac:dyDescent="0.35">
      <c r="B500" s="15"/>
      <c r="C500" s="48"/>
      <c r="D500" s="106"/>
      <c r="E500" s="106"/>
      <c r="F500" s="106"/>
      <c r="G500" s="106"/>
      <c r="H500" s="107"/>
      <c r="I500" s="107"/>
      <c r="J500" s="107"/>
      <c r="K500" s="108"/>
      <c r="L500" s="109"/>
      <c r="M500" s="110"/>
      <c r="N500" s="17"/>
      <c r="O500" s="10"/>
      <c r="P500" s="10"/>
      <c r="Q500" s="10"/>
      <c r="R500" s="10"/>
      <c r="S500" s="10"/>
      <c r="T500" s="10"/>
    </row>
    <row r="501" spans="2:22" outlineLevel="1" x14ac:dyDescent="0.35">
      <c r="B501" s="15"/>
      <c r="C501" s="48"/>
      <c r="D501" s="112"/>
      <c r="E501" s="112"/>
      <c r="F501" s="112"/>
      <c r="G501" s="112"/>
      <c r="H501" s="113"/>
      <c r="I501" s="113"/>
      <c r="J501" s="113"/>
      <c r="K501" s="114"/>
      <c r="L501" s="115"/>
      <c r="M501" s="116"/>
      <c r="N501" s="17"/>
      <c r="O501" s="10"/>
      <c r="P501" s="10"/>
      <c r="Q501" s="10"/>
      <c r="R501" s="10"/>
      <c r="S501" s="10"/>
      <c r="T501" s="10"/>
    </row>
    <row r="502" spans="2:22" ht="19.5" customHeight="1" x14ac:dyDescent="0.35">
      <c r="B502" s="19"/>
      <c r="C502" s="20"/>
      <c r="D502" s="20"/>
      <c r="E502" s="20"/>
      <c r="F502" s="20"/>
      <c r="G502" s="20"/>
      <c r="H502"/>
      <c r="I502" s="16"/>
      <c r="J502" s="16"/>
      <c r="K502" s="16"/>
      <c r="L502"/>
      <c r="M502" s="160"/>
      <c r="N502" s="16"/>
      <c r="O502" s="162"/>
      <c r="P502" s="161"/>
      <c r="Q502" s="10"/>
      <c r="R502" s="10"/>
      <c r="S502" s="10"/>
      <c r="T502" s="10"/>
      <c r="U502" s="10"/>
      <c r="V502" s="10"/>
    </row>
    <row r="503" spans="2:22" ht="7.15" customHeight="1" x14ac:dyDescent="0.35">
      <c r="H503" s="13"/>
      <c r="I503" s="76"/>
      <c r="J503" s="76"/>
      <c r="K503" s="76"/>
      <c r="L503" s="13"/>
      <c r="M503" s="76"/>
      <c r="N503" s="76"/>
      <c r="O503" s="18"/>
    </row>
    <row r="504" spans="2:22" s="22" customFormat="1" ht="22.9" customHeight="1" x14ac:dyDescent="0.35">
      <c r="B504" s="23"/>
      <c r="C504" s="23"/>
      <c r="D504" s="23"/>
      <c r="E504" s="25"/>
      <c r="F504" s="25"/>
      <c r="G504" s="24"/>
      <c r="H504" s="25"/>
      <c r="I504" s="25"/>
      <c r="J504" s="25"/>
      <c r="K504" s="25"/>
      <c r="L504" s="25"/>
      <c r="M504" s="25"/>
      <c r="N504" s="25"/>
      <c r="O504" s="163"/>
      <c r="P504" s="161"/>
    </row>
    <row r="505" spans="2:22" x14ac:dyDescent="0.35">
      <c r="N505" s="18"/>
      <c r="O505" s="18"/>
    </row>
    <row r="506" spans="2:22" x14ac:dyDescent="0.35">
      <c r="N506" s="18"/>
      <c r="O506" s="18"/>
    </row>
  </sheetData>
  <phoneticPr fontId="17" type="noConversion"/>
  <conditionalFormatting sqref="K9:K501 P9">
    <cfRule type="iconSet" priority="1">
      <iconSet iconSet="5Arrows">
        <cfvo type="percent" val="0"/>
        <cfvo type="percent" val="20"/>
        <cfvo type="percent" val="40"/>
        <cfvo type="percent" val="60"/>
        <cfvo type="percent" val="80"/>
      </iconSet>
    </cfRule>
    <cfRule type="dataBar" priority="14">
      <dataBar>
        <cfvo type="min"/>
        <cfvo type="max"/>
        <color theme="4" tint="0.59999389629810485"/>
      </dataBar>
      <extLst>
        <ext xmlns:x14="http://schemas.microsoft.com/office/spreadsheetml/2009/9/main" uri="{B025F937-C7B1-47D3-B67F-A62EFF666E3E}">
          <x14:id>{D766B0C9-BB90-4460-857C-1BDEC74DD9DD}</x14:id>
        </ext>
      </extLst>
    </cfRule>
  </conditionalFormatting>
  <dataValidations count="1">
    <dataValidation type="list" allowBlank="1" showInputMessage="1" showErrorMessage="1" sqref="K9:K501" xr:uid="{3409D583-3CA8-4058-B52D-AA4FC84129FE}">
      <formula1>"0%,10%,20%,30%,40%,50%,60%,70%,80%,90%,100%"</formula1>
    </dataValidation>
  </dataValidations>
  <printOptions horizontalCentered="1"/>
  <pageMargins left="0.31496062992125984" right="0.31496062992125984" top="0.31496062992125984" bottom="0.31496062992125984" header="0.31496062992125984" footer="0.31496062992125984"/>
  <pageSetup paperSize="9" scale="73" orientation="landscape"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D766B0C9-BB90-4460-857C-1BDEC74DD9DD}">
            <x14:dataBar minLength="0" maxLength="100" border="1" negativeBarBorderColorSameAsPositive="0">
              <x14:cfvo type="min"/>
              <x14:cfvo type="max"/>
              <x14:borderColor theme="4" tint="0.39997558519241921"/>
              <x14:negativeFillColor rgb="FFFF0000"/>
              <x14:negativeBorderColor rgb="FFFF0000"/>
              <x14:axisColor rgb="FF000000"/>
            </x14:dataBar>
          </x14:cfRule>
          <xm:sqref>K9:K501 P9</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46456E99-C349-4038-B0CF-E1C7ACD63465}">
          <x14:formula1>
            <xm:f>OFFSET(Settings!$C$8,,,COUNTA(Settings!$C$8:$C$32),1)</xm:f>
          </x14:formula1>
          <xm:sqref>E9:E501</xm:sqref>
        </x14:dataValidation>
        <x14:dataValidation type="list" allowBlank="1" showInputMessage="1" showErrorMessage="1" xr:uid="{970144A2-9598-4F19-A093-CA9F7E0BD10A}">
          <x14:formula1>
            <xm:f>OFFSET(Settings!$E$8,,,COUNTA(Settings!$E$8:$E$32),1)</xm:f>
          </x14:formula1>
          <xm:sqref>G9:G501</xm:sqref>
        </x14:dataValidation>
        <x14:dataValidation type="list" allowBlank="1" showInputMessage="1" showErrorMessage="1" xr:uid="{79EF9D7F-EA1D-489A-898A-EB64BAF86E3F}">
          <x14:formula1>
            <xm:f>OFFSET(Settings!$G$8,,,COUNTA(Settings!$G$8:$G$32),1)</xm:f>
          </x14:formula1>
          <xm:sqref>C9:C501</xm:sqref>
        </x14:dataValidation>
        <x14:dataValidation type="list" allowBlank="1" showInputMessage="1" showErrorMessage="1" xr:uid="{E74C9119-35F3-4D8E-89A1-946DEA96CEF6}">
          <x14:formula1>
            <xm:f>Settings!$I$8:$I$10</xm:f>
          </x14:formula1>
          <xm:sqref>F9:F501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0C3BF-3402-4CC9-9841-ABA46D825F33}">
  <sheetPr codeName="Sheet6">
    <pageSetUpPr autoPageBreaks="0" fitToPage="1"/>
  </sheetPr>
  <dimension ref="A1:AC35"/>
  <sheetViews>
    <sheetView showGridLines="0" showRowColHeaders="0" zoomScale="90" zoomScaleNormal="90" zoomScaleSheetLayoutView="85" workbookViewId="0">
      <pane ySplit="7" topLeftCell="A8" activePane="bottomLeft" state="frozen"/>
      <selection pane="bottomLeft" activeCell="A8" sqref="A8"/>
    </sheetView>
  </sheetViews>
  <sheetFormatPr defaultColWidth="8.81640625" defaultRowHeight="14.5" x14ac:dyDescent="0.35"/>
  <cols>
    <col min="1" max="1" width="3.7265625" style="18" customWidth="1"/>
    <col min="2" max="2" width="4.1796875" style="18" customWidth="1"/>
    <col min="3" max="3" width="30.81640625" style="18" customWidth="1"/>
    <col min="4" max="4" width="4.81640625" style="18" customWidth="1"/>
    <col min="5" max="5" width="30.81640625" style="18" customWidth="1"/>
    <col min="6" max="6" width="4.81640625" style="18" customWidth="1"/>
    <col min="7" max="7" width="30.81640625" style="18" customWidth="1"/>
    <col min="8" max="8" width="4.81640625" style="18" customWidth="1"/>
    <col min="9" max="10" width="19.81640625" style="18" customWidth="1"/>
    <col min="11" max="11" width="4.1796875" style="18" customWidth="1"/>
    <col min="12" max="12" width="1.7265625" style="18" customWidth="1"/>
    <col min="13" max="18" width="8.81640625" style="18"/>
    <col min="19" max="19" width="29.1796875" style="62" hidden="1" customWidth="1"/>
    <col min="20" max="20" width="0" style="62" hidden="1" customWidth="1"/>
    <col min="21" max="21" width="31.7265625" style="62" hidden="1" customWidth="1"/>
    <col min="22" max="16384" width="8.81640625" style="18"/>
  </cols>
  <sheetData>
    <row r="1" spans="1:21" s="1" customFormat="1" ht="6.75" customHeight="1" x14ac:dyDescent="0.35">
      <c r="B1" s="2"/>
      <c r="E1" s="3"/>
      <c r="F1" s="3"/>
      <c r="G1" s="3"/>
      <c r="H1" s="3"/>
      <c r="I1" s="3"/>
      <c r="J1" s="3"/>
      <c r="S1" s="75"/>
      <c r="T1" s="75"/>
      <c r="U1" s="75"/>
    </row>
    <row r="2" spans="1:21" s="30" customFormat="1" ht="20.149999999999999" customHeight="1" x14ac:dyDescent="0.35">
      <c r="B2" s="46"/>
      <c r="C2" s="151" t="s">
        <v>75</v>
      </c>
      <c r="D2" s="31"/>
      <c r="E2" s="31"/>
      <c r="F2" s="31"/>
      <c r="G2" s="31"/>
      <c r="H2" s="31"/>
      <c r="I2" s="31"/>
      <c r="J2" s="31"/>
      <c r="K2" s="31"/>
      <c r="L2" s="32"/>
      <c r="S2" s="59"/>
      <c r="T2" s="59"/>
      <c r="U2" s="59"/>
    </row>
    <row r="3" spans="1:21" s="4" customFormat="1" ht="24" customHeight="1" x14ac:dyDescent="0.35">
      <c r="B3" s="47"/>
      <c r="C3" s="152" t="s">
        <v>1</v>
      </c>
      <c r="D3" s="7"/>
      <c r="E3" s="7"/>
      <c r="F3" s="7"/>
      <c r="G3" s="7"/>
      <c r="H3" s="7"/>
      <c r="I3" s="7"/>
      <c r="J3" s="7"/>
      <c r="K3" s="7"/>
      <c r="L3" s="8"/>
      <c r="S3" s="60"/>
      <c r="T3" s="60"/>
      <c r="U3" s="60"/>
    </row>
    <row r="4" spans="1:21" s="10" customFormat="1" ht="4.9000000000000004" customHeight="1" x14ac:dyDescent="0.35">
      <c r="A4" s="9"/>
      <c r="B4" s="9"/>
      <c r="C4" s="9"/>
      <c r="D4" s="9"/>
      <c r="E4" s="9"/>
      <c r="F4" s="9"/>
      <c r="G4" s="9"/>
      <c r="H4" s="9"/>
      <c r="I4" s="9"/>
      <c r="J4" s="9"/>
      <c r="K4" s="9"/>
      <c r="L4" s="9"/>
      <c r="S4" s="61"/>
      <c r="T4" s="61"/>
      <c r="U4" s="61"/>
    </row>
    <row r="5" spans="1:21" s="10" customFormat="1" ht="4.9000000000000004" customHeight="1" x14ac:dyDescent="0.35">
      <c r="A5" s="11"/>
      <c r="B5" s="11"/>
      <c r="C5" s="11"/>
      <c r="D5" s="11"/>
      <c r="E5" s="11"/>
      <c r="F5" s="11"/>
      <c r="G5" s="11"/>
      <c r="H5" s="11"/>
      <c r="I5" s="11"/>
      <c r="J5" s="11"/>
      <c r="K5" s="11"/>
      <c r="L5" s="11"/>
      <c r="S5" s="61"/>
      <c r="T5" s="61"/>
      <c r="U5" s="61"/>
    </row>
    <row r="6" spans="1:21" s="10" customFormat="1" x14ac:dyDescent="0.35">
      <c r="A6" s="9"/>
      <c r="B6" s="12"/>
      <c r="C6" s="13"/>
      <c r="D6" s="13"/>
      <c r="E6" s="13"/>
      <c r="F6" s="13"/>
      <c r="G6" s="13"/>
      <c r="H6" s="13"/>
      <c r="I6" s="13"/>
      <c r="J6" s="13"/>
      <c r="K6" s="14"/>
      <c r="L6" s="9"/>
      <c r="S6" s="61"/>
      <c r="T6" s="61"/>
      <c r="U6" s="61"/>
    </row>
    <row r="7" spans="1:21" s="10" customFormat="1" ht="20.149999999999999" customHeight="1" x14ac:dyDescent="0.35">
      <c r="B7" s="15"/>
      <c r="C7" s="35" t="s">
        <v>61</v>
      </c>
      <c r="D7" s="15"/>
      <c r="E7" s="66" t="s">
        <v>3</v>
      </c>
      <c r="F7" s="34"/>
      <c r="G7" s="66" t="s">
        <v>5</v>
      </c>
      <c r="H7" s="34"/>
      <c r="I7" s="66" t="s">
        <v>4</v>
      </c>
      <c r="J7" s="101" t="s">
        <v>67</v>
      </c>
      <c r="K7" s="17"/>
      <c r="S7" s="143" t="s">
        <v>70</v>
      </c>
      <c r="T7" s="61"/>
      <c r="U7" s="143" t="s">
        <v>71</v>
      </c>
    </row>
    <row r="8" spans="1:21" s="10" customFormat="1" x14ac:dyDescent="0.35">
      <c r="B8" s="15"/>
      <c r="C8" s="49" t="s">
        <v>6</v>
      </c>
      <c r="D8" s="15"/>
      <c r="E8" s="104" t="s">
        <v>81</v>
      </c>
      <c r="F8" s="16"/>
      <c r="G8" s="104" t="s">
        <v>78</v>
      </c>
      <c r="H8" s="16"/>
      <c r="I8" s="102" t="s">
        <v>8</v>
      </c>
      <c r="J8" s="103">
        <v>0.3</v>
      </c>
      <c r="K8" s="17"/>
      <c r="S8" s="141" t="s">
        <v>62</v>
      </c>
      <c r="T8" s="61"/>
      <c r="U8" s="141"/>
    </row>
    <row r="9" spans="1:21" s="10" customFormat="1" x14ac:dyDescent="0.35">
      <c r="B9" s="15"/>
      <c r="C9" s="49" t="s">
        <v>17</v>
      </c>
      <c r="D9" s="15"/>
      <c r="E9" s="104"/>
      <c r="F9" s="16"/>
      <c r="G9" s="104" t="s">
        <v>79</v>
      </c>
      <c r="H9" s="16"/>
      <c r="I9" s="102" t="s">
        <v>9</v>
      </c>
      <c r="J9" s="103">
        <v>0.4</v>
      </c>
      <c r="K9" s="17"/>
      <c r="S9" s="142" t="str">
        <f>IF(LEN(G8)=0,"",G8)</f>
        <v>Project Virgo</v>
      </c>
      <c r="T9" s="61"/>
      <c r="U9" s="142" t="str">
        <f>IF(LEN(C8)=0,"",C8)</f>
        <v>Backlog</v>
      </c>
    </row>
    <row r="10" spans="1:21" s="10" customFormat="1" x14ac:dyDescent="0.35">
      <c r="B10" s="15"/>
      <c r="C10" s="49" t="s">
        <v>44</v>
      </c>
      <c r="D10" s="15"/>
      <c r="E10" s="104"/>
      <c r="F10" s="16"/>
      <c r="G10" s="104" t="s">
        <v>80</v>
      </c>
      <c r="H10" s="16"/>
      <c r="I10" s="102" t="s">
        <v>10</v>
      </c>
      <c r="J10" s="103">
        <v>0.3</v>
      </c>
      <c r="K10" s="17"/>
      <c r="S10" s="142" t="str">
        <f t="shared" ref="S10:S33" si="0">IF(LEN(G9)=0,"",G9)</f>
        <v>Data</v>
      </c>
      <c r="T10" s="61"/>
      <c r="U10" s="142" t="str">
        <f t="shared" ref="U10:U33" si="1">IF(LEN(C9)=0,"",C9)</f>
        <v>Research</v>
      </c>
    </row>
    <row r="11" spans="1:21" s="10" customFormat="1" x14ac:dyDescent="0.35">
      <c r="B11" s="15"/>
      <c r="C11" s="49" t="s">
        <v>21</v>
      </c>
      <c r="D11" s="15"/>
      <c r="E11" s="104"/>
      <c r="F11" s="16"/>
      <c r="G11" s="104"/>
      <c r="H11" s="16"/>
      <c r="I11" s="100"/>
      <c r="J11" s="100"/>
      <c r="K11" s="17"/>
      <c r="S11" s="142" t="str">
        <f t="shared" si="0"/>
        <v>RDS</v>
      </c>
      <c r="T11" s="61"/>
      <c r="U11" s="142" t="str">
        <f t="shared" si="1"/>
        <v>In Progress</v>
      </c>
    </row>
    <row r="12" spans="1:21" s="10" customFormat="1" x14ac:dyDescent="0.35">
      <c r="B12" s="15"/>
      <c r="C12" s="49" t="s">
        <v>7</v>
      </c>
      <c r="D12" s="15"/>
      <c r="E12" s="104"/>
      <c r="F12" s="16"/>
      <c r="G12" s="104"/>
      <c r="H12" s="16"/>
      <c r="I12" s="99"/>
      <c r="J12" s="99"/>
      <c r="K12" s="17"/>
      <c r="S12" s="142" t="str">
        <f t="shared" si="0"/>
        <v/>
      </c>
      <c r="T12" s="61"/>
      <c r="U12" s="142" t="str">
        <f t="shared" si="1"/>
        <v>Q&amp;A</v>
      </c>
    </row>
    <row r="13" spans="1:21" s="10" customFormat="1" x14ac:dyDescent="0.35">
      <c r="B13" s="15"/>
      <c r="C13" s="49" t="s">
        <v>76</v>
      </c>
      <c r="D13" s="15"/>
      <c r="E13" s="104"/>
      <c r="F13" s="16"/>
      <c r="G13" s="104"/>
      <c r="H13" s="16"/>
      <c r="I13" s="99"/>
      <c r="J13" s="99"/>
      <c r="K13" s="17"/>
      <c r="S13" s="142" t="str">
        <f t="shared" si="0"/>
        <v/>
      </c>
      <c r="T13" s="61"/>
      <c r="U13" s="142" t="str">
        <f t="shared" si="1"/>
        <v>Done</v>
      </c>
    </row>
    <row r="14" spans="1:21" s="10" customFormat="1" x14ac:dyDescent="0.35">
      <c r="B14" s="15"/>
      <c r="C14" s="49"/>
      <c r="D14" s="15"/>
      <c r="E14" s="104"/>
      <c r="F14" s="16"/>
      <c r="G14" s="104"/>
      <c r="H14" s="16"/>
      <c r="I14" s="99"/>
      <c r="J14" s="99"/>
      <c r="K14" s="17"/>
      <c r="S14" s="142" t="str">
        <f t="shared" si="0"/>
        <v/>
      </c>
      <c r="T14" s="61"/>
      <c r="U14" s="142" t="str">
        <f t="shared" si="1"/>
        <v>On Hold</v>
      </c>
    </row>
    <row r="15" spans="1:21" s="10" customFormat="1" x14ac:dyDescent="0.35">
      <c r="B15" s="15"/>
      <c r="C15" s="49"/>
      <c r="D15" s="15"/>
      <c r="E15" s="104"/>
      <c r="F15" s="16"/>
      <c r="G15" s="104"/>
      <c r="H15" s="16"/>
      <c r="I15" s="99"/>
      <c r="J15" s="99"/>
      <c r="K15" s="17"/>
      <c r="S15" s="142" t="str">
        <f t="shared" si="0"/>
        <v/>
      </c>
      <c r="T15" s="61"/>
      <c r="U15" s="142" t="str">
        <f t="shared" si="1"/>
        <v/>
      </c>
    </row>
    <row r="16" spans="1:21" s="10" customFormat="1" x14ac:dyDescent="0.35">
      <c r="B16" s="15"/>
      <c r="C16" s="49"/>
      <c r="D16" s="15"/>
      <c r="E16" s="104"/>
      <c r="F16" s="16"/>
      <c r="G16" s="104"/>
      <c r="H16" s="16"/>
      <c r="I16" s="99"/>
      <c r="J16" s="99"/>
      <c r="K16" s="17"/>
      <c r="S16" s="142" t="str">
        <f t="shared" si="0"/>
        <v/>
      </c>
      <c r="T16" s="61"/>
      <c r="U16" s="142" t="str">
        <f t="shared" si="1"/>
        <v/>
      </c>
    </row>
    <row r="17" spans="2:29" s="10" customFormat="1" x14ac:dyDescent="0.35">
      <c r="B17" s="15"/>
      <c r="C17" s="49"/>
      <c r="D17" s="15"/>
      <c r="E17" s="104"/>
      <c r="F17" s="16"/>
      <c r="G17" s="104"/>
      <c r="H17" s="16"/>
      <c r="I17" s="99"/>
      <c r="J17" s="99"/>
      <c r="K17" s="17"/>
      <c r="S17" s="142" t="str">
        <f t="shared" si="0"/>
        <v/>
      </c>
      <c r="T17" s="61"/>
      <c r="U17" s="142" t="str">
        <f t="shared" si="1"/>
        <v/>
      </c>
    </row>
    <row r="18" spans="2:29" s="10" customFormat="1" x14ac:dyDescent="0.35">
      <c r="B18" s="15"/>
      <c r="C18" s="49"/>
      <c r="D18" s="15"/>
      <c r="E18" s="104"/>
      <c r="F18" s="16"/>
      <c r="G18" s="104"/>
      <c r="H18" s="16"/>
      <c r="I18" s="99"/>
      <c r="J18" s="99"/>
      <c r="K18" s="17"/>
      <c r="S18" s="142" t="str">
        <f t="shared" si="0"/>
        <v/>
      </c>
      <c r="T18" s="61"/>
      <c r="U18" s="142" t="str">
        <f t="shared" si="1"/>
        <v/>
      </c>
    </row>
    <row r="19" spans="2:29" x14ac:dyDescent="0.35">
      <c r="B19" s="15"/>
      <c r="C19" s="49"/>
      <c r="D19" s="15"/>
      <c r="E19" s="104"/>
      <c r="F19" s="16"/>
      <c r="G19" s="104"/>
      <c r="H19" s="16"/>
      <c r="I19" s="99"/>
      <c r="J19" s="99"/>
      <c r="K19" s="17"/>
      <c r="L19" s="10"/>
      <c r="M19" s="10"/>
      <c r="N19" s="10"/>
      <c r="O19" s="10"/>
      <c r="P19" s="10"/>
      <c r="Q19" s="10"/>
      <c r="R19" s="10"/>
      <c r="S19" s="142" t="str">
        <f t="shared" si="0"/>
        <v/>
      </c>
      <c r="T19" s="61"/>
      <c r="U19" s="142" t="str">
        <f t="shared" si="1"/>
        <v/>
      </c>
      <c r="V19" s="10"/>
      <c r="W19" s="10"/>
      <c r="X19" s="10"/>
      <c r="Y19" s="10"/>
      <c r="Z19" s="10"/>
      <c r="AA19" s="10"/>
      <c r="AB19" s="10"/>
      <c r="AC19" s="10"/>
    </row>
    <row r="20" spans="2:29" x14ac:dyDescent="0.35">
      <c r="B20" s="15"/>
      <c r="C20" s="49"/>
      <c r="D20" s="15"/>
      <c r="E20" s="104"/>
      <c r="F20" s="16"/>
      <c r="G20" s="104"/>
      <c r="H20" s="16"/>
      <c r="I20" s="99"/>
      <c r="J20" s="99"/>
      <c r="K20" s="17"/>
      <c r="L20" s="10"/>
      <c r="M20" s="10"/>
      <c r="N20" s="10"/>
      <c r="O20" s="10"/>
      <c r="P20" s="10"/>
      <c r="Q20" s="10"/>
      <c r="R20" s="10"/>
      <c r="S20" s="142" t="str">
        <f t="shared" si="0"/>
        <v/>
      </c>
      <c r="T20" s="61"/>
      <c r="U20" s="142" t="str">
        <f t="shared" si="1"/>
        <v/>
      </c>
      <c r="V20" s="10"/>
      <c r="W20" s="10"/>
      <c r="X20" s="10"/>
      <c r="Y20" s="10"/>
      <c r="Z20" s="10"/>
      <c r="AA20" s="10"/>
      <c r="AB20" s="10"/>
      <c r="AC20" s="10"/>
    </row>
    <row r="21" spans="2:29" x14ac:dyDescent="0.35">
      <c r="B21" s="15"/>
      <c r="C21" s="49"/>
      <c r="D21" s="15"/>
      <c r="E21" s="104"/>
      <c r="F21" s="16"/>
      <c r="G21" s="104"/>
      <c r="H21" s="16"/>
      <c r="I21" s="99"/>
      <c r="J21" s="99"/>
      <c r="K21" s="17"/>
      <c r="L21" s="10"/>
      <c r="M21" s="10"/>
      <c r="N21" s="10"/>
      <c r="O21" s="10"/>
      <c r="P21" s="10"/>
      <c r="Q21" s="10"/>
      <c r="R21" s="10"/>
      <c r="S21" s="142" t="str">
        <f t="shared" si="0"/>
        <v/>
      </c>
      <c r="T21" s="61"/>
      <c r="U21" s="142" t="str">
        <f t="shared" si="1"/>
        <v/>
      </c>
      <c r="V21" s="10"/>
      <c r="W21" s="10"/>
      <c r="X21" s="10"/>
      <c r="Y21" s="10"/>
      <c r="Z21" s="10"/>
      <c r="AA21" s="10"/>
      <c r="AB21" s="10"/>
      <c r="AC21" s="10"/>
    </row>
    <row r="22" spans="2:29" x14ac:dyDescent="0.35">
      <c r="B22" s="15"/>
      <c r="C22" s="49"/>
      <c r="D22" s="15"/>
      <c r="E22" s="104"/>
      <c r="F22" s="16"/>
      <c r="G22" s="104"/>
      <c r="H22" s="16"/>
      <c r="I22" s="99"/>
      <c r="J22" s="99"/>
      <c r="K22" s="17"/>
      <c r="L22" s="10"/>
      <c r="M22" s="10"/>
      <c r="N22" s="10"/>
      <c r="O22" s="10"/>
      <c r="P22" s="10"/>
      <c r="Q22" s="10"/>
      <c r="R22" s="10"/>
      <c r="S22" s="142" t="str">
        <f t="shared" si="0"/>
        <v/>
      </c>
      <c r="T22" s="61"/>
      <c r="U22" s="142" t="str">
        <f t="shared" si="1"/>
        <v/>
      </c>
      <c r="V22" s="10"/>
      <c r="W22" s="10"/>
      <c r="X22" s="10"/>
      <c r="Y22" s="10"/>
      <c r="Z22" s="10"/>
      <c r="AA22" s="10"/>
      <c r="AB22" s="10"/>
      <c r="AC22" s="10"/>
    </row>
    <row r="23" spans="2:29" x14ac:dyDescent="0.35">
      <c r="B23" s="15"/>
      <c r="C23" s="49"/>
      <c r="D23" s="15"/>
      <c r="E23" s="104"/>
      <c r="F23" s="16"/>
      <c r="G23" s="104"/>
      <c r="H23" s="16"/>
      <c r="I23" s="99"/>
      <c r="J23" s="99"/>
      <c r="K23" s="17"/>
      <c r="L23" s="10"/>
      <c r="M23" s="10"/>
      <c r="N23" s="10"/>
      <c r="O23" s="10"/>
      <c r="P23" s="10"/>
      <c r="Q23" s="10"/>
      <c r="R23" s="10"/>
      <c r="S23" s="142" t="str">
        <f t="shared" si="0"/>
        <v/>
      </c>
      <c r="T23" s="61"/>
      <c r="U23" s="142" t="str">
        <f t="shared" si="1"/>
        <v/>
      </c>
      <c r="V23" s="10"/>
      <c r="W23" s="10"/>
      <c r="X23" s="10"/>
      <c r="Y23" s="10"/>
      <c r="Z23" s="10"/>
      <c r="AA23" s="10"/>
      <c r="AB23" s="10"/>
      <c r="AC23" s="10"/>
    </row>
    <row r="24" spans="2:29" x14ac:dyDescent="0.35">
      <c r="B24" s="15"/>
      <c r="C24" s="49"/>
      <c r="D24" s="15"/>
      <c r="E24" s="104"/>
      <c r="F24" s="16"/>
      <c r="G24" s="104"/>
      <c r="H24" s="16"/>
      <c r="I24" s="99"/>
      <c r="J24" s="99"/>
      <c r="K24" s="17"/>
      <c r="L24" s="10"/>
      <c r="M24" s="10"/>
      <c r="N24" s="10"/>
      <c r="O24" s="10"/>
      <c r="P24" s="10"/>
      <c r="Q24" s="10"/>
      <c r="R24" s="10"/>
      <c r="S24" s="142" t="str">
        <f t="shared" si="0"/>
        <v/>
      </c>
      <c r="T24" s="61"/>
      <c r="U24" s="142" t="str">
        <f t="shared" si="1"/>
        <v/>
      </c>
      <c r="V24" s="10"/>
      <c r="W24" s="10"/>
      <c r="X24" s="10"/>
      <c r="Y24" s="10"/>
      <c r="Z24" s="10"/>
      <c r="AA24" s="10"/>
      <c r="AB24" s="10"/>
      <c r="AC24" s="10"/>
    </row>
    <row r="25" spans="2:29" x14ac:dyDescent="0.35">
      <c r="B25" s="15"/>
      <c r="C25" s="49"/>
      <c r="D25" s="15"/>
      <c r="E25" s="104"/>
      <c r="F25" s="16"/>
      <c r="G25" s="104"/>
      <c r="H25" s="16"/>
      <c r="I25" s="99"/>
      <c r="J25" s="99"/>
      <c r="K25" s="17"/>
      <c r="L25" s="10"/>
      <c r="M25" s="10"/>
      <c r="N25" s="10"/>
      <c r="O25" s="10"/>
      <c r="P25" s="10"/>
      <c r="Q25" s="10"/>
      <c r="R25" s="10"/>
      <c r="S25" s="142" t="str">
        <f t="shared" si="0"/>
        <v/>
      </c>
      <c r="T25" s="61"/>
      <c r="U25" s="142" t="str">
        <f t="shared" si="1"/>
        <v/>
      </c>
      <c r="V25" s="10"/>
      <c r="W25" s="10"/>
      <c r="X25" s="10"/>
      <c r="Y25" s="10"/>
      <c r="Z25" s="10"/>
      <c r="AA25" s="10"/>
      <c r="AB25" s="10"/>
      <c r="AC25" s="10"/>
    </row>
    <row r="26" spans="2:29" x14ac:dyDescent="0.35">
      <c r="B26" s="15"/>
      <c r="C26" s="49"/>
      <c r="D26" s="15"/>
      <c r="E26" s="104"/>
      <c r="F26" s="16"/>
      <c r="G26" s="104"/>
      <c r="H26" s="16"/>
      <c r="I26" s="99"/>
      <c r="J26" s="99"/>
      <c r="K26" s="17"/>
      <c r="L26" s="10"/>
      <c r="M26" s="10"/>
      <c r="N26" s="10"/>
      <c r="O26" s="10"/>
      <c r="P26" s="10"/>
      <c r="Q26" s="10"/>
      <c r="R26" s="10"/>
      <c r="S26" s="142" t="str">
        <f t="shared" si="0"/>
        <v/>
      </c>
      <c r="T26" s="61"/>
      <c r="U26" s="142" t="str">
        <f t="shared" si="1"/>
        <v/>
      </c>
      <c r="V26" s="10"/>
      <c r="W26" s="10"/>
      <c r="X26" s="10"/>
      <c r="Y26" s="10"/>
      <c r="Z26" s="10"/>
      <c r="AA26" s="10"/>
      <c r="AB26" s="10"/>
      <c r="AC26" s="10"/>
    </row>
    <row r="27" spans="2:29" x14ac:dyDescent="0.35">
      <c r="B27" s="15"/>
      <c r="C27" s="49"/>
      <c r="D27" s="15"/>
      <c r="E27" s="104"/>
      <c r="F27" s="16"/>
      <c r="G27" s="104"/>
      <c r="H27" s="16"/>
      <c r="I27" s="99"/>
      <c r="J27" s="99"/>
      <c r="K27" s="17"/>
      <c r="L27" s="10"/>
      <c r="M27" s="10"/>
      <c r="N27" s="10"/>
      <c r="O27" s="10"/>
      <c r="P27" s="10"/>
      <c r="Q27" s="10"/>
      <c r="R27" s="10"/>
      <c r="S27" s="142" t="str">
        <f t="shared" si="0"/>
        <v/>
      </c>
      <c r="T27" s="61"/>
      <c r="U27" s="142" t="str">
        <f t="shared" si="1"/>
        <v/>
      </c>
      <c r="V27" s="10"/>
      <c r="W27" s="10"/>
      <c r="X27" s="10"/>
      <c r="Y27" s="10"/>
      <c r="Z27" s="10"/>
      <c r="AA27" s="10"/>
      <c r="AB27" s="10"/>
      <c r="AC27" s="10"/>
    </row>
    <row r="28" spans="2:29" x14ac:dyDescent="0.35">
      <c r="B28" s="15"/>
      <c r="C28" s="49"/>
      <c r="D28" s="15"/>
      <c r="E28" s="104"/>
      <c r="F28" s="16"/>
      <c r="G28" s="104"/>
      <c r="H28" s="16"/>
      <c r="I28" s="99"/>
      <c r="J28" s="99"/>
      <c r="K28" s="17"/>
      <c r="L28" s="10"/>
      <c r="M28" s="10"/>
      <c r="N28" s="10"/>
      <c r="O28" s="10"/>
      <c r="P28" s="10"/>
      <c r="Q28" s="10"/>
      <c r="R28" s="10"/>
      <c r="S28" s="142" t="str">
        <f t="shared" si="0"/>
        <v/>
      </c>
      <c r="T28" s="61"/>
      <c r="U28" s="142" t="str">
        <f t="shared" si="1"/>
        <v/>
      </c>
      <c r="V28" s="10"/>
      <c r="W28" s="10"/>
      <c r="X28" s="10"/>
      <c r="Y28" s="10"/>
      <c r="Z28" s="10"/>
      <c r="AA28" s="10"/>
      <c r="AB28" s="10"/>
      <c r="AC28" s="10"/>
    </row>
    <row r="29" spans="2:29" x14ac:dyDescent="0.35">
      <c r="B29" s="15"/>
      <c r="C29" s="49"/>
      <c r="D29" s="15"/>
      <c r="E29" s="104"/>
      <c r="F29" s="16"/>
      <c r="G29" s="104"/>
      <c r="H29" s="16"/>
      <c r="I29" s="99"/>
      <c r="J29" s="99"/>
      <c r="K29" s="17"/>
      <c r="L29" s="10"/>
      <c r="M29" s="10"/>
      <c r="N29" s="10"/>
      <c r="O29" s="10"/>
      <c r="P29" s="10"/>
      <c r="Q29" s="10"/>
      <c r="R29" s="10"/>
      <c r="S29" s="142" t="str">
        <f t="shared" si="0"/>
        <v/>
      </c>
      <c r="T29" s="61"/>
      <c r="U29" s="142" t="str">
        <f t="shared" si="1"/>
        <v/>
      </c>
      <c r="V29" s="10"/>
      <c r="W29" s="10"/>
      <c r="X29" s="10"/>
      <c r="Y29" s="10"/>
      <c r="Z29" s="10"/>
      <c r="AA29" s="10"/>
      <c r="AB29" s="10"/>
      <c r="AC29" s="10"/>
    </row>
    <row r="30" spans="2:29" x14ac:dyDescent="0.35">
      <c r="B30" s="15"/>
      <c r="C30" s="49"/>
      <c r="D30" s="15"/>
      <c r="E30" s="104"/>
      <c r="F30" s="16"/>
      <c r="G30" s="104"/>
      <c r="H30" s="16"/>
      <c r="I30" s="99"/>
      <c r="J30" s="99"/>
      <c r="K30" s="17"/>
      <c r="L30" s="10"/>
      <c r="M30" s="10"/>
      <c r="N30" s="10"/>
      <c r="O30" s="10"/>
      <c r="P30" s="10"/>
      <c r="Q30" s="10"/>
      <c r="R30" s="10"/>
      <c r="S30" s="142" t="str">
        <f t="shared" si="0"/>
        <v/>
      </c>
      <c r="T30" s="61"/>
      <c r="U30" s="142" t="str">
        <f t="shared" si="1"/>
        <v/>
      </c>
      <c r="V30" s="10"/>
      <c r="W30" s="10"/>
      <c r="X30" s="10"/>
      <c r="Y30" s="10"/>
      <c r="Z30" s="10"/>
      <c r="AA30" s="10"/>
      <c r="AB30" s="10"/>
      <c r="AC30" s="10"/>
    </row>
    <row r="31" spans="2:29" x14ac:dyDescent="0.35">
      <c r="B31" s="15"/>
      <c r="C31" s="49"/>
      <c r="D31" s="15"/>
      <c r="E31" s="104"/>
      <c r="F31" s="16"/>
      <c r="G31" s="104"/>
      <c r="H31" s="16"/>
      <c r="I31" s="99"/>
      <c r="J31" s="99"/>
      <c r="K31" s="17"/>
      <c r="L31" s="10"/>
      <c r="M31" s="10"/>
      <c r="N31" s="10"/>
      <c r="O31" s="10"/>
      <c r="P31" s="10"/>
      <c r="Q31" s="10"/>
      <c r="R31" s="10"/>
      <c r="S31" s="142" t="str">
        <f t="shared" si="0"/>
        <v/>
      </c>
      <c r="T31" s="61"/>
      <c r="U31" s="142" t="str">
        <f t="shared" si="1"/>
        <v/>
      </c>
      <c r="V31" s="10"/>
      <c r="W31" s="10"/>
      <c r="X31" s="10"/>
      <c r="Y31" s="10"/>
      <c r="Z31" s="10"/>
      <c r="AA31" s="10"/>
      <c r="AB31" s="10"/>
      <c r="AC31" s="10"/>
    </row>
    <row r="32" spans="2:29" x14ac:dyDescent="0.35">
      <c r="B32" s="15"/>
      <c r="C32" s="50"/>
      <c r="D32" s="15"/>
      <c r="E32" s="105"/>
      <c r="F32" s="16"/>
      <c r="G32" s="105"/>
      <c r="H32" s="16"/>
      <c r="I32" s="99"/>
      <c r="J32" s="99"/>
      <c r="K32" s="17"/>
      <c r="L32" s="10"/>
      <c r="M32" s="10"/>
      <c r="N32" s="10"/>
      <c r="O32" s="10"/>
      <c r="P32" s="10"/>
      <c r="Q32" s="10"/>
      <c r="R32" s="10"/>
      <c r="S32" s="142" t="str">
        <f t="shared" si="0"/>
        <v/>
      </c>
      <c r="T32" s="61"/>
      <c r="U32" s="142" t="str">
        <f t="shared" si="1"/>
        <v/>
      </c>
      <c r="V32" s="10"/>
      <c r="W32" s="10"/>
      <c r="X32" s="10"/>
      <c r="Y32" s="10"/>
      <c r="Z32" s="10"/>
      <c r="AA32" s="10"/>
      <c r="AB32" s="10"/>
      <c r="AC32" s="10"/>
    </row>
    <row r="33" spans="2:29" x14ac:dyDescent="0.35">
      <c r="B33" s="19"/>
      <c r="C33" s="20"/>
      <c r="D33" s="20"/>
      <c r="E33" s="20"/>
      <c r="F33" s="20"/>
      <c r="G33" s="20"/>
      <c r="H33" s="20"/>
      <c r="I33" s="20"/>
      <c r="J33" s="20"/>
      <c r="K33" s="21"/>
      <c r="L33" s="10"/>
      <c r="M33" s="10"/>
      <c r="N33" s="10"/>
      <c r="O33" s="10"/>
      <c r="P33" s="10"/>
      <c r="Q33" s="10"/>
      <c r="R33" s="10"/>
      <c r="S33" s="150" t="str">
        <f t="shared" si="0"/>
        <v/>
      </c>
      <c r="T33" s="61"/>
      <c r="U33" s="150" t="str">
        <f t="shared" si="1"/>
        <v/>
      </c>
      <c r="V33" s="10"/>
      <c r="W33" s="10"/>
      <c r="X33" s="10"/>
      <c r="Y33" s="10"/>
      <c r="Z33" s="10"/>
      <c r="AA33" s="10"/>
      <c r="AB33" s="10"/>
      <c r="AC33" s="10"/>
    </row>
    <row r="34" spans="2:29" ht="7.15" customHeight="1" x14ac:dyDescent="0.35"/>
    <row r="35" spans="2:29" s="22" customFormat="1" ht="22.9" customHeight="1" x14ac:dyDescent="0.35">
      <c r="B35" s="23"/>
      <c r="C35" s="23"/>
      <c r="D35" s="24"/>
      <c r="E35" s="25"/>
      <c r="F35" s="25"/>
      <c r="G35" s="25"/>
      <c r="H35" s="25"/>
      <c r="I35" s="25"/>
      <c r="J35" s="25"/>
      <c r="K35" s="23"/>
      <c r="S35" s="63"/>
      <c r="T35" s="63"/>
      <c r="U35" s="63"/>
    </row>
  </sheetData>
  <printOptions horizontalCentered="1"/>
  <pageMargins left="0.31496062992125984" right="0.31496062992125984" top="0.31496062992125984" bottom="0.31496062992125984" header="0.31496062992125984" footer="0.31496062992125984"/>
  <pageSetup paperSize="9" scale="92"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7F7F0E-E911-44C4-9686-C4D9D3B22EA4}">
  <sheetPr codeName="Sheet4">
    <pageSetUpPr autoPageBreaks="0" fitToPage="1"/>
  </sheetPr>
  <dimension ref="A1:AN504"/>
  <sheetViews>
    <sheetView showGridLines="0" zoomScale="85" zoomScaleNormal="85" zoomScaleSheetLayoutView="85" workbookViewId="0">
      <pane ySplit="7" topLeftCell="A8" activePane="bottomLeft" state="frozen"/>
      <selection pane="bottomLeft" activeCell="Y8" sqref="Y8"/>
    </sheetView>
  </sheetViews>
  <sheetFormatPr defaultColWidth="8.81640625" defaultRowHeight="14.5" x14ac:dyDescent="0.35"/>
  <cols>
    <col min="1" max="1" width="3.7265625" style="18" customWidth="1"/>
    <col min="2" max="2" width="4.1796875" style="18" customWidth="1"/>
    <col min="3" max="3" width="27.81640625" style="18" customWidth="1"/>
    <col min="4" max="4" width="10.54296875" style="18" bestFit="1" customWidth="1"/>
    <col min="5" max="5" width="23.26953125" style="18" bestFit="1" customWidth="1"/>
    <col min="6" max="6" width="12.7265625" style="18" bestFit="1" customWidth="1"/>
    <col min="7" max="7" width="15" style="18" bestFit="1" customWidth="1"/>
    <col min="8" max="8" width="15.7265625" style="18" bestFit="1" customWidth="1"/>
    <col min="9" max="9" width="14.26953125" style="18" bestFit="1" customWidth="1"/>
    <col min="10" max="10" width="25.81640625" style="18" bestFit="1" customWidth="1"/>
    <col min="11" max="11" width="11.54296875" style="18" bestFit="1" customWidth="1"/>
    <col min="12" max="12" width="18.81640625" style="18" bestFit="1" customWidth="1"/>
    <col min="13" max="13" width="15.453125" style="33" bestFit="1" customWidth="1"/>
    <col min="14" max="14" width="13.26953125" style="33" customWidth="1"/>
    <col min="15" max="15" width="11.54296875" style="33" bestFit="1" customWidth="1"/>
    <col min="16" max="16" width="16.26953125" style="33" bestFit="1" customWidth="1"/>
    <col min="17" max="17" width="15.7265625" style="33" bestFit="1" customWidth="1"/>
    <col min="18" max="18" width="14.26953125" style="33" bestFit="1" customWidth="1"/>
    <col min="19" max="19" width="13.54296875" style="33" bestFit="1" customWidth="1"/>
    <col min="20" max="20" width="8.7265625" style="33" bestFit="1" customWidth="1"/>
    <col min="21" max="21" width="12.7265625" style="33" bestFit="1" customWidth="1"/>
    <col min="22" max="22" width="8.7265625" style="18" bestFit="1" customWidth="1"/>
    <col min="23" max="23" width="11" style="18" bestFit="1" customWidth="1"/>
    <col min="24" max="24" width="9.7265625" style="18" bestFit="1" customWidth="1"/>
    <col min="25" max="25" width="7" style="18" bestFit="1" customWidth="1"/>
    <col min="26" max="27" width="4.1796875" style="18" customWidth="1"/>
    <col min="28" max="28" width="8.81640625" style="18"/>
    <col min="29" max="29" width="36.7265625" style="18" bestFit="1" customWidth="1"/>
    <col min="30" max="30" width="11.26953125" style="18" bestFit="1" customWidth="1"/>
    <col min="31" max="16384" width="8.81640625" style="18"/>
  </cols>
  <sheetData>
    <row r="1" spans="1:30" s="1" customFormat="1" ht="6.75" customHeight="1" x14ac:dyDescent="0.35">
      <c r="B1" s="2"/>
      <c r="F1" s="3"/>
      <c r="G1" s="3"/>
      <c r="H1" s="3"/>
      <c r="I1" s="3"/>
      <c r="J1" s="3"/>
      <c r="K1" s="3"/>
      <c r="L1" s="3"/>
    </row>
    <row r="2" spans="1:30" s="30" customFormat="1" ht="20.149999999999999" customHeight="1" x14ac:dyDescent="0.35">
      <c r="B2" s="27" t="s">
        <v>60</v>
      </c>
      <c r="C2" s="26"/>
      <c r="D2" s="26"/>
      <c r="E2" s="31"/>
      <c r="F2" s="31"/>
      <c r="G2" s="31"/>
      <c r="H2" s="31"/>
      <c r="I2" s="31"/>
      <c r="J2" s="31"/>
      <c r="K2" s="31"/>
      <c r="L2" s="31"/>
      <c r="M2" s="31"/>
      <c r="N2" s="28"/>
      <c r="O2" s="28"/>
      <c r="P2" s="28"/>
      <c r="Q2" s="28"/>
      <c r="R2" s="28"/>
      <c r="S2" s="28"/>
      <c r="T2" s="28"/>
      <c r="U2" s="28"/>
      <c r="V2" s="31"/>
      <c r="W2" s="31"/>
      <c r="X2" s="31"/>
      <c r="Y2" s="28"/>
      <c r="Z2" s="31"/>
      <c r="AA2" s="32"/>
    </row>
    <row r="3" spans="1:30" s="4" customFormat="1" ht="24" customHeight="1" x14ac:dyDescent="0.35">
      <c r="B3" s="5" t="s">
        <v>68</v>
      </c>
      <c r="C3" s="6"/>
      <c r="D3" s="6"/>
      <c r="E3" s="7"/>
      <c r="F3" s="7"/>
      <c r="G3" s="7"/>
      <c r="H3" s="7"/>
      <c r="I3" s="7"/>
      <c r="J3" s="7"/>
      <c r="K3" s="7"/>
      <c r="L3" s="7"/>
      <c r="M3" s="7"/>
      <c r="N3" s="29"/>
      <c r="O3" s="29"/>
      <c r="P3" s="29"/>
      <c r="Q3" s="29"/>
      <c r="R3" s="29"/>
      <c r="S3" s="29"/>
      <c r="T3" s="29"/>
      <c r="U3" s="29"/>
      <c r="V3" s="7"/>
      <c r="W3" s="7"/>
      <c r="X3" s="7"/>
      <c r="Y3" s="29"/>
      <c r="Z3" s="7"/>
      <c r="AA3" s="8"/>
      <c r="AC3" s="144" t="s">
        <v>72</v>
      </c>
      <c r="AD3" s="144" t="s">
        <v>73</v>
      </c>
    </row>
    <row r="4" spans="1:30" s="10" customFormat="1" ht="5.15" customHeight="1" x14ac:dyDescent="0.35">
      <c r="A4" s="9"/>
      <c r="B4" s="9"/>
      <c r="C4" s="9"/>
      <c r="D4" s="9"/>
      <c r="E4" s="9"/>
      <c r="F4" s="9"/>
      <c r="G4" s="9"/>
      <c r="H4" s="9"/>
      <c r="I4" s="9"/>
      <c r="J4" s="9"/>
      <c r="K4" s="9"/>
      <c r="L4" s="9"/>
      <c r="M4" s="9"/>
      <c r="N4" s="9"/>
      <c r="O4" s="9"/>
      <c r="P4" s="9"/>
      <c r="Q4" s="9"/>
      <c r="R4" s="9"/>
      <c r="S4" s="9"/>
      <c r="T4" s="9"/>
      <c r="U4" s="9"/>
      <c r="V4" s="9"/>
      <c r="W4" s="9"/>
      <c r="X4" s="9"/>
      <c r="Y4" s="9"/>
      <c r="Z4" s="9"/>
      <c r="AA4" s="9"/>
    </row>
    <row r="5" spans="1:30" s="10" customFormat="1" ht="4.9000000000000004" customHeight="1" x14ac:dyDescent="0.35">
      <c r="A5" s="11"/>
      <c r="B5" s="11"/>
      <c r="C5" s="11"/>
      <c r="D5" s="11"/>
      <c r="E5" s="11"/>
      <c r="F5" s="11"/>
      <c r="G5" s="11"/>
      <c r="H5" s="11"/>
      <c r="I5" s="11"/>
      <c r="J5" s="11"/>
      <c r="K5" s="11"/>
      <c r="L5" s="11"/>
      <c r="M5" s="11"/>
      <c r="N5" s="11"/>
      <c r="O5" s="11"/>
      <c r="P5" s="11"/>
      <c r="Q5" s="11"/>
      <c r="R5" s="11"/>
      <c r="S5" s="11"/>
      <c r="T5" s="11"/>
      <c r="U5" s="11"/>
      <c r="V5" s="11"/>
      <c r="W5" s="11"/>
      <c r="X5" s="11"/>
      <c r="Y5" s="11"/>
      <c r="Z5" s="11"/>
      <c r="AA5" s="11"/>
    </row>
    <row r="6" spans="1:30" s="10" customFormat="1" x14ac:dyDescent="0.35">
      <c r="A6" s="9"/>
      <c r="B6" s="12"/>
      <c r="C6" s="13"/>
      <c r="D6" s="13"/>
      <c r="E6" s="13"/>
      <c r="F6" s="13"/>
      <c r="G6" s="13"/>
      <c r="H6" s="13"/>
      <c r="I6" s="13"/>
      <c r="J6" s="13"/>
      <c r="K6" s="13"/>
      <c r="L6" s="58"/>
      <c r="M6" s="13"/>
      <c r="N6" s="13"/>
      <c r="O6" s="13"/>
      <c r="P6" s="13"/>
      <c r="Q6" s="13"/>
      <c r="R6" s="13"/>
      <c r="S6" s="13"/>
      <c r="T6" s="13"/>
      <c r="U6" s="13"/>
      <c r="V6" s="13"/>
      <c r="W6" s="13"/>
      <c r="X6" s="13"/>
      <c r="Y6" s="13"/>
      <c r="Z6" s="14"/>
      <c r="AA6" s="9"/>
      <c r="AC6" s="64" t="s">
        <v>58</v>
      </c>
      <c r="AD6" s="68" t="str">
        <f>CONCATENATE(I7," : ")</f>
        <v xml:space="preserve">Due Date : </v>
      </c>
    </row>
    <row r="7" spans="1:30" s="10" customFormat="1" ht="20.149999999999999" customHeight="1" x14ac:dyDescent="0.35">
      <c r="B7" s="15"/>
      <c r="C7" s="71" t="s">
        <v>5</v>
      </c>
      <c r="D7" s="72" t="s">
        <v>12</v>
      </c>
      <c r="E7" s="72" t="s">
        <v>13</v>
      </c>
      <c r="F7" s="72" t="s">
        <v>4</v>
      </c>
      <c r="G7" s="72" t="s">
        <v>22</v>
      </c>
      <c r="H7" s="72" t="s">
        <v>23</v>
      </c>
      <c r="I7" s="72" t="s">
        <v>16</v>
      </c>
      <c r="J7" s="72" t="s">
        <v>59</v>
      </c>
      <c r="K7" s="72" t="s">
        <v>43</v>
      </c>
      <c r="L7" s="72" t="s">
        <v>11</v>
      </c>
      <c r="M7" s="72" t="s">
        <v>37</v>
      </c>
      <c r="N7" s="73" t="s">
        <v>38</v>
      </c>
      <c r="O7" s="73" t="s">
        <v>46</v>
      </c>
      <c r="P7" s="74" t="s">
        <v>24</v>
      </c>
      <c r="Q7" s="74" t="s">
        <v>25</v>
      </c>
      <c r="R7" s="74" t="s">
        <v>26</v>
      </c>
      <c r="S7" s="74" t="s">
        <v>27</v>
      </c>
      <c r="T7" s="74" t="s">
        <v>32</v>
      </c>
      <c r="U7" s="74" t="s">
        <v>31</v>
      </c>
      <c r="V7" s="74" t="s">
        <v>14</v>
      </c>
      <c r="W7" s="74" t="s">
        <v>18</v>
      </c>
      <c r="X7" s="74" t="s">
        <v>19</v>
      </c>
      <c r="Y7" s="74" t="s">
        <v>15</v>
      </c>
      <c r="Z7" s="17"/>
      <c r="AC7" s="64" t="s">
        <v>45</v>
      </c>
      <c r="AD7" s="65">
        <f t="array" ref="AD7">IFERROR(IF(MAX(IF(LEN(D8:D500)&gt;0,ROW(D8:D500),2)-ROW(D6))&lt;=0,2,MAX(IF(LEN(D8:D500)&gt;0,ROW(D8:D500),2)-ROW(D6))),2)</f>
        <v>2</v>
      </c>
    </row>
    <row r="8" spans="1:30" s="10" customFormat="1" x14ac:dyDescent="0.35">
      <c r="B8" s="15"/>
      <c r="C8" s="127" t="str">
        <f>IFERROR(IF(LEN(INDEX(Database!C$9:C$501,ROW(Calc!A8)-ROW(Calc!$B$7)))=0,"",INDEX(Database!C$9:C$501,ROW(Calc!A8)-ROW(Calc!$B$7))),"")</f>
        <v/>
      </c>
      <c r="D8" s="70" t="str">
        <f>IFERROR(IF(LEN(INDEX(Database!D$9:D$501,ROW(Calc!B8)-ROW(Calc!$B$7)))=0,"",INDEX(Database!D$9:D$501,ROW(Calc!B8)-ROW(Calc!$B$7))),"")</f>
        <v/>
      </c>
      <c r="E8" s="124" t="str">
        <f>IFERROR(IF(LEN(INDEX(Database!G$9:G$501,ROW(Calc!D8)-ROW(Calc!$B$7)))=0,$AD$3,INDEX(Database!G$9:G$501,ROW(Calc!D8)-ROW(Calc!$B$7))),"")</f>
        <v>Not Set</v>
      </c>
      <c r="F8" s="124" t="str">
        <f>IFERROR(IF(LEN(INDEX(Database!F$9:F$501,ROW(Calc!E8)-ROW(Calc!$B$7)))=0,$AD$3,INDEX(Database!F$9:F$501,ROW(Calc!E8)-ROW(Calc!$B$7))),"")</f>
        <v>Not Set</v>
      </c>
      <c r="G8" s="128" t="str">
        <f>IFERROR(IF(LEN(INDEX(Database!H$9:H$501,ROW(Calc!F8)-ROW(Calc!$B$7)))=0,$AD$3,INDEX(Database!H$9:H$501,ROW(Calc!F8)-ROW(Calc!$B$7))),"")</f>
        <v>Not Set</v>
      </c>
      <c r="H8" s="128" t="str">
        <f>IFERROR(IF(LEN(INDEX(Database!I$9:I$501,ROW(Calc!G8)-ROW(Calc!$B$7)))=0,$AD$3,INDEX(Database!I$9:I$501,ROW(Calc!G8)-ROW(Calc!$B$7))),"")</f>
        <v>Not Set</v>
      </c>
      <c r="I8" s="128" t="str">
        <f>IFERROR(IF(LEN(INDEX(Database!J$9:J$501,ROW(Calc!H8)-ROW(Calc!$B$7)))=0,$AD$3,INDEX(Database!J$9:J$501,ROW(Calc!H8)-ROW(Calc!$B$7))),"")</f>
        <v>Not Set</v>
      </c>
      <c r="J8" s="128" t="str">
        <f t="shared" ref="J8:J71" si="0">IFERROR(IF(I8=$AD$3,$AD$3,CONCATENATE(DAY(I8),".",MONTH(I8),".",YEAR(I8))),"")</f>
        <v>Not Set</v>
      </c>
      <c r="K8" s="124" t="str">
        <f>IFERROR(IF(LEN(INDEX(Database!E$9:E$501,ROW(Calc!I8)-ROW(Calc!$B$7)))=0,"",INDEX(Database!E$9:E$501,ROW(Calc!I8)-ROW(Calc!$B$7))),"")</f>
        <v/>
      </c>
      <c r="L8" s="129" t="str">
        <f>IFERROR(IF(LEN(INDEX(Database!K$9:K$501,ROW(Calc!K8)-ROW(Calc!$B$7)))=0,$AD$3,INDEX(Database!K$9:K$501,ROW(Calc!K8)-ROW(Calc!$B$7))),"")</f>
        <v>Not Set</v>
      </c>
      <c r="M8" s="130" t="str">
        <f>IFERROR(IF(LEN(INDEX(Database!L$9:L$501,ROW(Calc!L8)-ROW(Calc!$B$7)))=0,$AD$3,INDEX(Database!L$9:L$501,ROW(Calc!L8)-ROW(Calc!$B$7))),"")</f>
        <v>Not Set</v>
      </c>
      <c r="N8" s="131" t="str">
        <f>IFERROR(IF(LEN(INDEX(Database!M$9:M$501,ROW(Calc!M8)-ROW(Calc!$B$7)))=0,"",INDEX(Database!M$9:M$501,ROW(Calc!M8)-ROW(Calc!$B$7))),"")</f>
        <v/>
      </c>
      <c r="O8" s="132" t="str">
        <f t="shared" ref="O8" si="1">IFERROR(IF(LEN(D8)=0,"",ROW(D8)-ROW($D$7)),"")</f>
        <v/>
      </c>
      <c r="P8" s="125" t="str">
        <f t="shared" ref="P8:P71" si="2">IFERROR(IF(G8=$AD$3,$AD$3,MONTH(G8)),"")</f>
        <v>Not Set</v>
      </c>
      <c r="Q8" s="125" t="str">
        <f t="shared" ref="Q8:Q71" si="3">IFERROR(IF(I8=$AD$3,$AD$3,MONTH(I8)),"")</f>
        <v>Not Set</v>
      </c>
      <c r="R8" s="125" t="str">
        <f>IFERROR(IF(G8=$AD$3,$AD$3,INDEX(Kanban_Helper!$C$317:$C$328,MATCH(MONTH(G8),Kanban_Helper!$B$317:$B$328,0))&amp;" - "&amp;YEAR(G8)),"$AD$3")</f>
        <v>Not Set</v>
      </c>
      <c r="S8" s="125" t="str">
        <f>IFERROR(IF(I8=$AD$3,$AD$3,INDEX(Kanban_Helper!$C$317:$C$328,MATCH(MONTH(I8),Kanban_Helper!$B$317:$B$328,0))&amp;" - "&amp;YEAR(I8)),$AD$3)</f>
        <v>Not Set</v>
      </c>
      <c r="T8" s="125" t="str">
        <f t="shared" ref="T8" ca="1" si="4">IFERROR(IF(LEN(G8)=0,"",IF(LEN(H8)=0,TODAY()-G8,H8-G8)),"")</f>
        <v/>
      </c>
      <c r="U8" s="125" t="str">
        <f t="shared" ref="U8" ca="1" si="5">IFERROR(IF(LEN(I8)=0,"",IF(LEN(H8)=0,IF(TODAY()&gt;=I8,TODAY()-I8,""),IF(H8&gt;I8,H8-I8,""))),"")</f>
        <v/>
      </c>
      <c r="V8" s="125" t="str">
        <f t="shared" ref="V8:V71" si="6">IFERROR(IF(OR(G8=$AD$3,H8=$AD$3),$AD$3,IF(H8&lt;=I8,"No","Yes")),$AD$3)</f>
        <v>Not Set</v>
      </c>
      <c r="W8" s="126" t="str">
        <f t="shared" ref="W8" si="7">IFERROR(IF(OR(LEN(L8)=0,LEN(M8)=0),"",L8*M8),"")</f>
        <v/>
      </c>
      <c r="X8" s="126" t="str">
        <f t="shared" ref="X8" si="8">IFERROR(IF(OR(LEN(W8)=0,LEN(M8)=0),"",M8-W8),"")</f>
        <v/>
      </c>
      <c r="Y8" s="125" t="str">
        <f>IFERROR(IF(LEN(D8)=0,"",IF(SUBTOTAL(3,E8:E8)=0,MIN($Y$7:Y7)-1,SUBTOTAL(3,$E$8:E8))),"")</f>
        <v/>
      </c>
      <c r="Z8" s="17"/>
    </row>
    <row r="9" spans="1:30" s="10" customFormat="1" hidden="1" x14ac:dyDescent="0.35">
      <c r="B9" s="15"/>
      <c r="C9" s="127" t="str">
        <f>IFERROR(IF(LEN(INDEX(Database!C$9:C$501,ROW(Calc!A9)-ROW(Calc!$B$7)))=0,"",INDEX(Database!C$9:C$501,ROW(Calc!A9)-ROW(Calc!$B$7))),"")</f>
        <v/>
      </c>
      <c r="D9" s="70" t="str">
        <f>IFERROR(IF(LEN(INDEX(Database!D$9:D$501,ROW(Calc!B9)-ROW(Calc!$B$7)))=0,"",INDEX(Database!D$9:D$501,ROW(Calc!B9)-ROW(Calc!$B$7))),"")</f>
        <v/>
      </c>
      <c r="E9" s="124" t="str">
        <f>IFERROR(IF(LEN(INDEX(Database!G$9:G$501,ROW(Calc!D9)-ROW(Calc!$B$7)))=0,$AD$3,INDEX(Database!G$9:G$501,ROW(Calc!D9)-ROW(Calc!$B$7))),"")</f>
        <v>Not Set</v>
      </c>
      <c r="F9" s="124" t="str">
        <f>IFERROR(IF(LEN(INDEX(Database!F$9:F$501,ROW(Calc!E9)-ROW(Calc!$B$7)))=0,$AD$3,INDEX(Database!F$9:F$501,ROW(Calc!E9)-ROW(Calc!$B$7))),"")</f>
        <v>Not Set</v>
      </c>
      <c r="G9" s="128" t="str">
        <f>IFERROR(IF(LEN(INDEX(Database!H$9:H$501,ROW(Calc!F9)-ROW(Calc!$B$7)))=0,$AD$3,INDEX(Database!H$9:H$501,ROW(Calc!F9)-ROW(Calc!$B$7))),"")</f>
        <v>Not Set</v>
      </c>
      <c r="H9" s="128" t="str">
        <f>IFERROR(IF(LEN(INDEX(Database!I$9:I$501,ROW(Calc!G9)-ROW(Calc!$B$7)))=0,$AD$3,INDEX(Database!I$9:I$501,ROW(Calc!G9)-ROW(Calc!$B$7))),"")</f>
        <v>Not Set</v>
      </c>
      <c r="I9" s="128" t="str">
        <f>IFERROR(IF(LEN(INDEX(Database!J$9:J$501,ROW(Calc!H9)-ROW(Calc!$B$7)))=0,$AD$3,INDEX(Database!J$9:J$501,ROW(Calc!H9)-ROW(Calc!$B$7))),"")</f>
        <v>Not Set</v>
      </c>
      <c r="J9" s="128" t="str">
        <f t="shared" si="0"/>
        <v>Not Set</v>
      </c>
      <c r="K9" s="124" t="str">
        <f>IFERROR(IF(LEN(INDEX(Database!E$9:E$501,ROW(Calc!I9)-ROW(Calc!$B$7)))=0,"",INDEX(Database!E$9:E$501,ROW(Calc!I9)-ROW(Calc!$B$7))),"")</f>
        <v/>
      </c>
      <c r="L9" s="129" t="str">
        <f>IFERROR(IF(LEN(INDEX(Database!K$9:K$501,ROW(Calc!K9)-ROW(Calc!$B$7)))=0,$AD$3,INDEX(Database!K$9:K$501,ROW(Calc!K9)-ROW(Calc!$B$7))),"")</f>
        <v>Not Set</v>
      </c>
      <c r="M9" s="130" t="str">
        <f>IFERROR(IF(LEN(INDEX(Database!L$9:L$501,ROW(Calc!L9)-ROW(Calc!$B$7)))=0,$AD$3,INDEX(Database!L$9:L$501,ROW(Calc!L9)-ROW(Calc!$B$7))),"")</f>
        <v>Not Set</v>
      </c>
      <c r="N9" s="131" t="str">
        <f>IFERROR(IF(LEN(INDEX(Database!M$9:M$501,ROW(Calc!M9)-ROW(Calc!$B$7)))=0,"",INDEX(Database!M$9:M$501,ROW(Calc!M9)-ROW(Calc!$B$7))),"")</f>
        <v/>
      </c>
      <c r="O9" s="132" t="str">
        <f t="shared" ref="O9:O72" si="9">IFERROR(IF(LEN(D9)=0,"",ROW(D9)-ROW($D$7)),"")</f>
        <v/>
      </c>
      <c r="P9" s="125" t="str">
        <f t="shared" si="2"/>
        <v>Not Set</v>
      </c>
      <c r="Q9" s="125" t="str">
        <f t="shared" si="3"/>
        <v>Not Set</v>
      </c>
      <c r="R9" s="125" t="str">
        <f>IFERROR(IF(G9=$AD$3,$AD$3,INDEX(Kanban_Helper!$C$317:$C$328,MATCH(MONTH(G9),Kanban_Helper!$B$317:$B$328,0))&amp;" - "&amp;YEAR(G9)),"$AD$3")</f>
        <v>Not Set</v>
      </c>
      <c r="S9" s="125" t="str">
        <f>IFERROR(IF(I9=$AD$3,$AD$3,INDEX(Kanban_Helper!$C$317:$C$328,MATCH(MONTH(I9),Kanban_Helper!$B$317:$B$328,0))&amp;" - "&amp;YEAR(I9)),$AD$3)</f>
        <v>Not Set</v>
      </c>
      <c r="T9" s="125" t="str">
        <f t="shared" ref="T9:T72" ca="1" si="10">IFERROR(IF(LEN(G9)=0,"",IF(LEN(H9)=0,TODAY()-G9,H9-G9)),"")</f>
        <v/>
      </c>
      <c r="U9" s="125" t="str">
        <f t="shared" ref="U9:U72" ca="1" si="11">IFERROR(IF(LEN(I9)=0,"",IF(LEN(H9)=0,IF(TODAY()&gt;=I9,TODAY()-I9,""),IF(H9&gt;I9,H9-I9,""))),"")</f>
        <v/>
      </c>
      <c r="V9" s="125" t="str">
        <f t="shared" si="6"/>
        <v>Not Set</v>
      </c>
      <c r="W9" s="126" t="str">
        <f t="shared" ref="W9:W72" si="12">IFERROR(IF(OR(LEN(L9)=0,LEN(M9)=0),"",L9*M9),"")</f>
        <v/>
      </c>
      <c r="X9" s="126" t="str">
        <f t="shared" ref="X9:X72" si="13">IFERROR(IF(OR(LEN(W9)=0,LEN(M9)=0),"",M9-W9),"")</f>
        <v/>
      </c>
      <c r="Y9" s="125" t="str">
        <f>IFERROR(IF(LEN(D9)=0,"",IF(SUBTOTAL(3,E9:E9)=0,MIN($Y$7:Y8)-1,SUBTOTAL(3,$E$8:E9))),"")</f>
        <v/>
      </c>
      <c r="Z9" s="17"/>
    </row>
    <row r="10" spans="1:30" s="10" customFormat="1" hidden="1" x14ac:dyDescent="0.35">
      <c r="B10" s="15"/>
      <c r="C10" s="127" t="str">
        <f>IFERROR(IF(LEN(INDEX(Database!C$9:C$501,ROW(Calc!A10)-ROW(Calc!$B$7)))=0,"",INDEX(Database!C$9:C$501,ROW(Calc!A10)-ROW(Calc!$B$7))),"")</f>
        <v/>
      </c>
      <c r="D10" s="70" t="str">
        <f>IFERROR(IF(LEN(INDEX(Database!D$9:D$501,ROW(Calc!B10)-ROW(Calc!$B$7)))=0,"",INDEX(Database!D$9:D$501,ROW(Calc!B10)-ROW(Calc!$B$7))),"")</f>
        <v/>
      </c>
      <c r="E10" s="124" t="str">
        <f>IFERROR(IF(LEN(INDEX(Database!G$9:G$501,ROW(Calc!D10)-ROW(Calc!$B$7)))=0,$AD$3,INDEX(Database!G$9:G$501,ROW(Calc!D10)-ROW(Calc!$B$7))),"")</f>
        <v>Not Set</v>
      </c>
      <c r="F10" s="124" t="str">
        <f>IFERROR(IF(LEN(INDEX(Database!F$9:F$501,ROW(Calc!E10)-ROW(Calc!$B$7)))=0,$AD$3,INDEX(Database!F$9:F$501,ROW(Calc!E10)-ROW(Calc!$B$7))),"")</f>
        <v>Not Set</v>
      </c>
      <c r="G10" s="128" t="str">
        <f>IFERROR(IF(LEN(INDEX(Database!H$9:H$501,ROW(Calc!F10)-ROW(Calc!$B$7)))=0,$AD$3,INDEX(Database!H$9:H$501,ROW(Calc!F10)-ROW(Calc!$B$7))),"")</f>
        <v>Not Set</v>
      </c>
      <c r="H10" s="128" t="str">
        <f>IFERROR(IF(LEN(INDEX(Database!I$9:I$501,ROW(Calc!G10)-ROW(Calc!$B$7)))=0,$AD$3,INDEX(Database!I$9:I$501,ROW(Calc!G10)-ROW(Calc!$B$7))),"")</f>
        <v>Not Set</v>
      </c>
      <c r="I10" s="128" t="str">
        <f>IFERROR(IF(LEN(INDEX(Database!J$9:J$501,ROW(Calc!H10)-ROW(Calc!$B$7)))=0,$AD$3,INDEX(Database!J$9:J$501,ROW(Calc!H10)-ROW(Calc!$B$7))),"")</f>
        <v>Not Set</v>
      </c>
      <c r="J10" s="128" t="str">
        <f t="shared" si="0"/>
        <v>Not Set</v>
      </c>
      <c r="K10" s="124" t="str">
        <f>IFERROR(IF(LEN(INDEX(Database!E$9:E$501,ROW(Calc!I10)-ROW(Calc!$B$7)))=0,"",INDEX(Database!E$9:E$501,ROW(Calc!I10)-ROW(Calc!$B$7))),"")</f>
        <v/>
      </c>
      <c r="L10" s="129" t="str">
        <f>IFERROR(IF(LEN(INDEX(Database!K$9:K$501,ROW(Calc!K10)-ROW(Calc!$B$7)))=0,$AD$3,INDEX(Database!K$9:K$501,ROW(Calc!K10)-ROW(Calc!$B$7))),"")</f>
        <v>Not Set</v>
      </c>
      <c r="M10" s="130" t="str">
        <f>IFERROR(IF(LEN(INDEX(Database!L$9:L$501,ROW(Calc!L10)-ROW(Calc!$B$7)))=0,$AD$3,INDEX(Database!L$9:L$501,ROW(Calc!L10)-ROW(Calc!$B$7))),"")</f>
        <v>Not Set</v>
      </c>
      <c r="N10" s="131" t="str">
        <f>IFERROR(IF(LEN(INDEX(Database!M$9:M$501,ROW(Calc!M10)-ROW(Calc!$B$7)))=0,"",INDEX(Database!M$9:M$501,ROW(Calc!M10)-ROW(Calc!$B$7))),"")</f>
        <v/>
      </c>
      <c r="O10" s="132" t="str">
        <f t="shared" si="9"/>
        <v/>
      </c>
      <c r="P10" s="125" t="str">
        <f t="shared" si="2"/>
        <v>Not Set</v>
      </c>
      <c r="Q10" s="125" t="str">
        <f t="shared" si="3"/>
        <v>Not Set</v>
      </c>
      <c r="R10" s="125" t="str">
        <f>IFERROR(IF(G10=$AD$3,$AD$3,INDEX(Kanban_Helper!$C$317:$C$328,MATCH(MONTH(G10),Kanban_Helper!$B$317:$B$328,0))&amp;" - "&amp;YEAR(G10)),"$AD$3")</f>
        <v>Not Set</v>
      </c>
      <c r="S10" s="125" t="str">
        <f>IFERROR(IF(I10=$AD$3,$AD$3,INDEX(Kanban_Helper!$C$317:$C$328,MATCH(MONTH(I10),Kanban_Helper!$B$317:$B$328,0))&amp;" - "&amp;YEAR(I10)),$AD$3)</f>
        <v>Not Set</v>
      </c>
      <c r="T10" s="125" t="str">
        <f t="shared" ca="1" si="10"/>
        <v/>
      </c>
      <c r="U10" s="125" t="str">
        <f t="shared" ca="1" si="11"/>
        <v/>
      </c>
      <c r="V10" s="125" t="str">
        <f t="shared" si="6"/>
        <v>Not Set</v>
      </c>
      <c r="W10" s="126" t="str">
        <f t="shared" si="12"/>
        <v/>
      </c>
      <c r="X10" s="126" t="str">
        <f t="shared" si="13"/>
        <v/>
      </c>
      <c r="Y10" s="125" t="str">
        <f>IFERROR(IF(LEN(D10)=0,"",IF(SUBTOTAL(3,E10:E10)=0,MIN($Y$7:Y9)-1,SUBTOTAL(3,$E$8:E10))),"")</f>
        <v/>
      </c>
      <c r="Z10" s="17"/>
    </row>
    <row r="11" spans="1:30" s="10" customFormat="1" hidden="1" x14ac:dyDescent="0.35">
      <c r="B11" s="15"/>
      <c r="C11" s="127" t="str">
        <f>IFERROR(IF(LEN(INDEX(Database!C$9:C$501,ROW(Calc!A11)-ROW(Calc!$B$7)))=0,"",INDEX(Database!C$9:C$501,ROW(Calc!A11)-ROW(Calc!$B$7))),"")</f>
        <v/>
      </c>
      <c r="D11" s="70" t="str">
        <f>IFERROR(IF(LEN(INDEX(Database!D$9:D$501,ROW(Calc!B11)-ROW(Calc!$B$7)))=0,"",INDEX(Database!D$9:D$501,ROW(Calc!B11)-ROW(Calc!$B$7))),"")</f>
        <v/>
      </c>
      <c r="E11" s="124" t="str">
        <f>IFERROR(IF(LEN(INDEX(Database!G$9:G$501,ROW(Calc!D11)-ROW(Calc!$B$7)))=0,$AD$3,INDEX(Database!G$9:G$501,ROW(Calc!D11)-ROW(Calc!$B$7))),"")</f>
        <v>Not Set</v>
      </c>
      <c r="F11" s="124" t="str">
        <f>IFERROR(IF(LEN(INDEX(Database!F$9:F$501,ROW(Calc!E11)-ROW(Calc!$B$7)))=0,$AD$3,INDEX(Database!F$9:F$501,ROW(Calc!E11)-ROW(Calc!$B$7))),"")</f>
        <v>Not Set</v>
      </c>
      <c r="G11" s="128" t="str">
        <f>IFERROR(IF(LEN(INDEX(Database!H$9:H$501,ROW(Calc!F11)-ROW(Calc!$B$7)))=0,$AD$3,INDEX(Database!H$9:H$501,ROW(Calc!F11)-ROW(Calc!$B$7))),"")</f>
        <v>Not Set</v>
      </c>
      <c r="H11" s="128" t="str">
        <f>IFERROR(IF(LEN(INDEX(Database!I$9:I$501,ROW(Calc!G11)-ROW(Calc!$B$7)))=0,$AD$3,INDEX(Database!I$9:I$501,ROW(Calc!G11)-ROW(Calc!$B$7))),"")</f>
        <v>Not Set</v>
      </c>
      <c r="I11" s="128" t="str">
        <f>IFERROR(IF(LEN(INDEX(Database!J$9:J$501,ROW(Calc!H11)-ROW(Calc!$B$7)))=0,$AD$3,INDEX(Database!J$9:J$501,ROW(Calc!H11)-ROW(Calc!$B$7))),"")</f>
        <v>Not Set</v>
      </c>
      <c r="J11" s="128" t="str">
        <f t="shared" si="0"/>
        <v>Not Set</v>
      </c>
      <c r="K11" s="124" t="str">
        <f>IFERROR(IF(LEN(INDEX(Database!E$9:E$501,ROW(Calc!I11)-ROW(Calc!$B$7)))=0,"",INDEX(Database!E$9:E$501,ROW(Calc!I11)-ROW(Calc!$B$7))),"")</f>
        <v/>
      </c>
      <c r="L11" s="129" t="str">
        <f>IFERROR(IF(LEN(INDEX(Database!K$9:K$501,ROW(Calc!K11)-ROW(Calc!$B$7)))=0,$AD$3,INDEX(Database!K$9:K$501,ROW(Calc!K11)-ROW(Calc!$B$7))),"")</f>
        <v>Not Set</v>
      </c>
      <c r="M11" s="130" t="str">
        <f>IFERROR(IF(LEN(INDEX(Database!L$9:L$501,ROW(Calc!L11)-ROW(Calc!$B$7)))=0,$AD$3,INDEX(Database!L$9:L$501,ROW(Calc!L11)-ROW(Calc!$B$7))),"")</f>
        <v>Not Set</v>
      </c>
      <c r="N11" s="131" t="str">
        <f>IFERROR(IF(LEN(INDEX(Database!M$9:M$501,ROW(Calc!M11)-ROW(Calc!$B$7)))=0,"",INDEX(Database!M$9:M$501,ROW(Calc!M11)-ROW(Calc!$B$7))),"")</f>
        <v/>
      </c>
      <c r="O11" s="132" t="str">
        <f t="shared" si="9"/>
        <v/>
      </c>
      <c r="P11" s="125" t="str">
        <f t="shared" si="2"/>
        <v>Not Set</v>
      </c>
      <c r="Q11" s="125" t="str">
        <f t="shared" si="3"/>
        <v>Not Set</v>
      </c>
      <c r="R11" s="125" t="str">
        <f>IFERROR(IF(G11=$AD$3,$AD$3,INDEX(Kanban_Helper!$C$317:$C$328,MATCH(MONTH(G11),Kanban_Helper!$B$317:$B$328,0))&amp;" - "&amp;YEAR(G11)),"$AD$3")</f>
        <v>Not Set</v>
      </c>
      <c r="S11" s="125" t="str">
        <f>IFERROR(IF(I11=$AD$3,$AD$3,INDEX(Kanban_Helper!$C$317:$C$328,MATCH(MONTH(I11),Kanban_Helper!$B$317:$B$328,0))&amp;" - "&amp;YEAR(I11)),$AD$3)</f>
        <v>Not Set</v>
      </c>
      <c r="T11" s="125" t="str">
        <f t="shared" ca="1" si="10"/>
        <v/>
      </c>
      <c r="U11" s="125" t="str">
        <f t="shared" ca="1" si="11"/>
        <v/>
      </c>
      <c r="V11" s="125" t="str">
        <f t="shared" si="6"/>
        <v>Not Set</v>
      </c>
      <c r="W11" s="126" t="str">
        <f t="shared" si="12"/>
        <v/>
      </c>
      <c r="X11" s="126" t="str">
        <f t="shared" si="13"/>
        <v/>
      </c>
      <c r="Y11" s="125" t="str">
        <f>IFERROR(IF(LEN(D11)=0,"",IF(SUBTOTAL(3,E11:E11)=0,MIN($Y$7:Y10)-1,SUBTOTAL(3,$E$8:E11))),"")</f>
        <v/>
      </c>
      <c r="Z11" s="17"/>
    </row>
    <row r="12" spans="1:30" s="10" customFormat="1" hidden="1" x14ac:dyDescent="0.35">
      <c r="B12" s="15"/>
      <c r="C12" s="127" t="str">
        <f>IFERROR(IF(LEN(INDEX(Database!C$9:C$501,ROW(Calc!A12)-ROW(Calc!$B$7)))=0,"",INDEX(Database!C$9:C$501,ROW(Calc!A12)-ROW(Calc!$B$7))),"")</f>
        <v/>
      </c>
      <c r="D12" s="70" t="str">
        <f>IFERROR(IF(LEN(INDEX(Database!D$9:D$501,ROW(Calc!B12)-ROW(Calc!$B$7)))=0,"",INDEX(Database!D$9:D$501,ROW(Calc!B12)-ROW(Calc!$B$7))),"")</f>
        <v/>
      </c>
      <c r="E12" s="124" t="str">
        <f>IFERROR(IF(LEN(INDEX(Database!G$9:G$501,ROW(Calc!D12)-ROW(Calc!$B$7)))=0,$AD$3,INDEX(Database!G$9:G$501,ROW(Calc!D12)-ROW(Calc!$B$7))),"")</f>
        <v>Not Set</v>
      </c>
      <c r="F12" s="124" t="str">
        <f>IFERROR(IF(LEN(INDEX(Database!F$9:F$501,ROW(Calc!E12)-ROW(Calc!$B$7)))=0,$AD$3,INDEX(Database!F$9:F$501,ROW(Calc!E12)-ROW(Calc!$B$7))),"")</f>
        <v>Not Set</v>
      </c>
      <c r="G12" s="128" t="str">
        <f>IFERROR(IF(LEN(INDEX(Database!H$9:H$501,ROW(Calc!F12)-ROW(Calc!$B$7)))=0,$AD$3,INDEX(Database!H$9:H$501,ROW(Calc!F12)-ROW(Calc!$B$7))),"")</f>
        <v>Not Set</v>
      </c>
      <c r="H12" s="128" t="str">
        <f>IFERROR(IF(LEN(INDEX(Database!I$9:I$501,ROW(Calc!G12)-ROW(Calc!$B$7)))=0,$AD$3,INDEX(Database!I$9:I$501,ROW(Calc!G12)-ROW(Calc!$B$7))),"")</f>
        <v>Not Set</v>
      </c>
      <c r="I12" s="128" t="str">
        <f>IFERROR(IF(LEN(INDEX(Database!J$9:J$501,ROW(Calc!H12)-ROW(Calc!$B$7)))=0,$AD$3,INDEX(Database!J$9:J$501,ROW(Calc!H12)-ROW(Calc!$B$7))),"")</f>
        <v>Not Set</v>
      </c>
      <c r="J12" s="128" t="str">
        <f t="shared" si="0"/>
        <v>Not Set</v>
      </c>
      <c r="K12" s="124" t="str">
        <f>IFERROR(IF(LEN(INDEX(Database!E$9:E$501,ROW(Calc!I12)-ROW(Calc!$B$7)))=0,"",INDEX(Database!E$9:E$501,ROW(Calc!I12)-ROW(Calc!$B$7))),"")</f>
        <v/>
      </c>
      <c r="L12" s="129" t="str">
        <f>IFERROR(IF(LEN(INDEX(Database!K$9:K$501,ROW(Calc!K12)-ROW(Calc!$B$7)))=0,$AD$3,INDEX(Database!K$9:K$501,ROW(Calc!K12)-ROW(Calc!$B$7))),"")</f>
        <v>Not Set</v>
      </c>
      <c r="M12" s="130" t="str">
        <f>IFERROR(IF(LEN(INDEX(Database!L$9:L$501,ROW(Calc!L12)-ROW(Calc!$B$7)))=0,$AD$3,INDEX(Database!L$9:L$501,ROW(Calc!L12)-ROW(Calc!$B$7))),"")</f>
        <v>Not Set</v>
      </c>
      <c r="N12" s="131" t="str">
        <f>IFERROR(IF(LEN(INDEX(Database!M$9:M$501,ROW(Calc!M12)-ROW(Calc!$B$7)))=0,"",INDEX(Database!M$9:M$501,ROW(Calc!M12)-ROW(Calc!$B$7))),"")</f>
        <v/>
      </c>
      <c r="O12" s="132" t="str">
        <f t="shared" si="9"/>
        <v/>
      </c>
      <c r="P12" s="125" t="str">
        <f t="shared" si="2"/>
        <v>Not Set</v>
      </c>
      <c r="Q12" s="125" t="str">
        <f t="shared" si="3"/>
        <v>Not Set</v>
      </c>
      <c r="R12" s="125" t="str">
        <f>IFERROR(IF(G12=$AD$3,$AD$3,INDEX(Kanban_Helper!$C$317:$C$328,MATCH(MONTH(G12),Kanban_Helper!$B$317:$B$328,0))&amp;" - "&amp;YEAR(G12)),"$AD$3")</f>
        <v>Not Set</v>
      </c>
      <c r="S12" s="125" t="str">
        <f>IFERROR(IF(I12=$AD$3,$AD$3,INDEX(Kanban_Helper!$C$317:$C$328,MATCH(MONTH(I12),Kanban_Helper!$B$317:$B$328,0))&amp;" - "&amp;YEAR(I12)),$AD$3)</f>
        <v>Not Set</v>
      </c>
      <c r="T12" s="125" t="str">
        <f t="shared" ca="1" si="10"/>
        <v/>
      </c>
      <c r="U12" s="125" t="str">
        <f t="shared" ca="1" si="11"/>
        <v/>
      </c>
      <c r="V12" s="125" t="str">
        <f t="shared" si="6"/>
        <v>Not Set</v>
      </c>
      <c r="W12" s="126" t="str">
        <f t="shared" si="12"/>
        <v/>
      </c>
      <c r="X12" s="126" t="str">
        <f t="shared" si="13"/>
        <v/>
      </c>
      <c r="Y12" s="125" t="str">
        <f>IFERROR(IF(LEN(D12)=0,"",IF(SUBTOTAL(3,E12:E12)=0,MIN($Y$7:Y11)-1,SUBTOTAL(3,$E$8:E12))),"")</f>
        <v/>
      </c>
      <c r="Z12" s="17"/>
    </row>
    <row r="13" spans="1:30" s="10" customFormat="1" hidden="1" x14ac:dyDescent="0.35">
      <c r="B13" s="15"/>
      <c r="C13" s="127" t="str">
        <f>IFERROR(IF(LEN(INDEX(Database!C$9:C$501,ROW(Calc!A13)-ROW(Calc!$B$7)))=0,"",INDEX(Database!C$9:C$501,ROW(Calc!A13)-ROW(Calc!$B$7))),"")</f>
        <v/>
      </c>
      <c r="D13" s="70" t="str">
        <f>IFERROR(IF(LEN(INDEX(Database!D$9:D$501,ROW(Calc!B13)-ROW(Calc!$B$7)))=0,"",INDEX(Database!D$9:D$501,ROW(Calc!B13)-ROW(Calc!$B$7))),"")</f>
        <v/>
      </c>
      <c r="E13" s="124" t="str">
        <f>IFERROR(IF(LEN(INDEX(Database!G$9:G$501,ROW(Calc!D13)-ROW(Calc!$B$7)))=0,$AD$3,INDEX(Database!G$9:G$501,ROW(Calc!D13)-ROW(Calc!$B$7))),"")</f>
        <v>Not Set</v>
      </c>
      <c r="F13" s="124" t="str">
        <f>IFERROR(IF(LEN(INDEX(Database!F$9:F$501,ROW(Calc!E13)-ROW(Calc!$B$7)))=0,$AD$3,INDEX(Database!F$9:F$501,ROW(Calc!E13)-ROW(Calc!$B$7))),"")</f>
        <v>Not Set</v>
      </c>
      <c r="G13" s="128" t="str">
        <f>IFERROR(IF(LEN(INDEX(Database!H$9:H$501,ROW(Calc!F13)-ROW(Calc!$B$7)))=0,$AD$3,INDEX(Database!H$9:H$501,ROW(Calc!F13)-ROW(Calc!$B$7))),"")</f>
        <v>Not Set</v>
      </c>
      <c r="H13" s="128" t="str">
        <f>IFERROR(IF(LEN(INDEX(Database!I$9:I$501,ROW(Calc!G13)-ROW(Calc!$B$7)))=0,$AD$3,INDEX(Database!I$9:I$501,ROW(Calc!G13)-ROW(Calc!$B$7))),"")</f>
        <v>Not Set</v>
      </c>
      <c r="I13" s="128" t="str">
        <f>IFERROR(IF(LEN(INDEX(Database!J$9:J$501,ROW(Calc!H13)-ROW(Calc!$B$7)))=0,$AD$3,INDEX(Database!J$9:J$501,ROW(Calc!H13)-ROW(Calc!$B$7))),"")</f>
        <v>Not Set</v>
      </c>
      <c r="J13" s="128" t="str">
        <f t="shared" si="0"/>
        <v>Not Set</v>
      </c>
      <c r="K13" s="124" t="str">
        <f>IFERROR(IF(LEN(INDEX(Database!E$9:E$501,ROW(Calc!I13)-ROW(Calc!$B$7)))=0,"",INDEX(Database!E$9:E$501,ROW(Calc!I13)-ROW(Calc!$B$7))),"")</f>
        <v/>
      </c>
      <c r="L13" s="129" t="str">
        <f>IFERROR(IF(LEN(INDEX(Database!K$9:K$501,ROW(Calc!K13)-ROW(Calc!$B$7)))=0,$AD$3,INDEX(Database!K$9:K$501,ROW(Calc!K13)-ROW(Calc!$B$7))),"")</f>
        <v>Not Set</v>
      </c>
      <c r="M13" s="130" t="str">
        <f>IFERROR(IF(LEN(INDEX(Database!L$9:L$501,ROW(Calc!L13)-ROW(Calc!$B$7)))=0,$AD$3,INDEX(Database!L$9:L$501,ROW(Calc!L13)-ROW(Calc!$B$7))),"")</f>
        <v>Not Set</v>
      </c>
      <c r="N13" s="131" t="str">
        <f>IFERROR(IF(LEN(INDEX(Database!M$9:M$501,ROW(Calc!M13)-ROW(Calc!$B$7)))=0,"",INDEX(Database!M$9:M$501,ROW(Calc!M13)-ROW(Calc!$B$7))),"")</f>
        <v/>
      </c>
      <c r="O13" s="132" t="str">
        <f t="shared" si="9"/>
        <v/>
      </c>
      <c r="P13" s="125" t="str">
        <f t="shared" si="2"/>
        <v>Not Set</v>
      </c>
      <c r="Q13" s="125" t="str">
        <f t="shared" si="3"/>
        <v>Not Set</v>
      </c>
      <c r="R13" s="125" t="str">
        <f>IFERROR(IF(G13=$AD$3,$AD$3,INDEX(Kanban_Helper!$C$317:$C$328,MATCH(MONTH(G13),Kanban_Helper!$B$317:$B$328,0))&amp;" - "&amp;YEAR(G13)),"$AD$3")</f>
        <v>Not Set</v>
      </c>
      <c r="S13" s="125" t="str">
        <f>IFERROR(IF(I13=$AD$3,$AD$3,INDEX(Kanban_Helper!$C$317:$C$328,MATCH(MONTH(I13),Kanban_Helper!$B$317:$B$328,0))&amp;" - "&amp;YEAR(I13)),$AD$3)</f>
        <v>Not Set</v>
      </c>
      <c r="T13" s="125" t="str">
        <f t="shared" ca="1" si="10"/>
        <v/>
      </c>
      <c r="U13" s="125" t="str">
        <f t="shared" ca="1" si="11"/>
        <v/>
      </c>
      <c r="V13" s="125" t="str">
        <f t="shared" si="6"/>
        <v>Not Set</v>
      </c>
      <c r="W13" s="126" t="str">
        <f t="shared" si="12"/>
        <v/>
      </c>
      <c r="X13" s="126" t="str">
        <f t="shared" si="13"/>
        <v/>
      </c>
      <c r="Y13" s="125" t="str">
        <f>IFERROR(IF(LEN(D13)=0,"",IF(SUBTOTAL(3,E13:E13)=0,MIN($Y$7:Y12)-1,SUBTOTAL(3,$E$8:E13))),"")</f>
        <v/>
      </c>
      <c r="Z13" s="17"/>
    </row>
    <row r="14" spans="1:30" s="10" customFormat="1" hidden="1" x14ac:dyDescent="0.35">
      <c r="B14" s="15"/>
      <c r="C14" s="127" t="str">
        <f>IFERROR(IF(LEN(INDEX(Database!C$9:C$501,ROW(Calc!A14)-ROW(Calc!$B$7)))=0,"",INDEX(Database!C$9:C$501,ROW(Calc!A14)-ROW(Calc!$B$7))),"")</f>
        <v/>
      </c>
      <c r="D14" s="70" t="str">
        <f>IFERROR(IF(LEN(INDEX(Database!D$9:D$501,ROW(Calc!B14)-ROW(Calc!$B$7)))=0,"",INDEX(Database!D$9:D$501,ROW(Calc!B14)-ROW(Calc!$B$7))),"")</f>
        <v/>
      </c>
      <c r="E14" s="124" t="str">
        <f>IFERROR(IF(LEN(INDEX(Database!G$9:G$501,ROW(Calc!D14)-ROW(Calc!$B$7)))=0,$AD$3,INDEX(Database!G$9:G$501,ROW(Calc!D14)-ROW(Calc!$B$7))),"")</f>
        <v>Not Set</v>
      </c>
      <c r="F14" s="124" t="str">
        <f>IFERROR(IF(LEN(INDEX(Database!F$9:F$501,ROW(Calc!E14)-ROW(Calc!$B$7)))=0,$AD$3,INDEX(Database!F$9:F$501,ROW(Calc!E14)-ROW(Calc!$B$7))),"")</f>
        <v>Not Set</v>
      </c>
      <c r="G14" s="128" t="str">
        <f>IFERROR(IF(LEN(INDEX(Database!H$9:H$501,ROW(Calc!F14)-ROW(Calc!$B$7)))=0,$AD$3,INDEX(Database!H$9:H$501,ROW(Calc!F14)-ROW(Calc!$B$7))),"")</f>
        <v>Not Set</v>
      </c>
      <c r="H14" s="128" t="str">
        <f>IFERROR(IF(LEN(INDEX(Database!I$9:I$501,ROW(Calc!G14)-ROW(Calc!$B$7)))=0,$AD$3,INDEX(Database!I$9:I$501,ROW(Calc!G14)-ROW(Calc!$B$7))),"")</f>
        <v>Not Set</v>
      </c>
      <c r="I14" s="128" t="str">
        <f>IFERROR(IF(LEN(INDEX(Database!J$9:J$501,ROW(Calc!H14)-ROW(Calc!$B$7)))=0,$AD$3,INDEX(Database!J$9:J$501,ROW(Calc!H14)-ROW(Calc!$B$7))),"")</f>
        <v>Not Set</v>
      </c>
      <c r="J14" s="128" t="str">
        <f t="shared" si="0"/>
        <v>Not Set</v>
      </c>
      <c r="K14" s="124" t="str">
        <f>IFERROR(IF(LEN(INDEX(Database!E$9:E$501,ROW(Calc!I14)-ROW(Calc!$B$7)))=0,"",INDEX(Database!E$9:E$501,ROW(Calc!I14)-ROW(Calc!$B$7))),"")</f>
        <v/>
      </c>
      <c r="L14" s="129" t="str">
        <f>IFERROR(IF(LEN(INDEX(Database!K$9:K$501,ROW(Calc!K14)-ROW(Calc!$B$7)))=0,$AD$3,INDEX(Database!K$9:K$501,ROW(Calc!K14)-ROW(Calc!$B$7))),"")</f>
        <v>Not Set</v>
      </c>
      <c r="M14" s="130" t="str">
        <f>IFERROR(IF(LEN(INDEX(Database!L$9:L$501,ROW(Calc!L14)-ROW(Calc!$B$7)))=0,$AD$3,INDEX(Database!L$9:L$501,ROW(Calc!L14)-ROW(Calc!$B$7))),"")</f>
        <v>Not Set</v>
      </c>
      <c r="N14" s="131" t="str">
        <f>IFERROR(IF(LEN(INDEX(Database!M$9:M$501,ROW(Calc!M14)-ROW(Calc!$B$7)))=0,"",INDEX(Database!M$9:M$501,ROW(Calc!M14)-ROW(Calc!$B$7))),"")</f>
        <v/>
      </c>
      <c r="O14" s="132" t="str">
        <f t="shared" si="9"/>
        <v/>
      </c>
      <c r="P14" s="125" t="str">
        <f t="shared" si="2"/>
        <v>Not Set</v>
      </c>
      <c r="Q14" s="125" t="str">
        <f t="shared" si="3"/>
        <v>Not Set</v>
      </c>
      <c r="R14" s="125" t="str">
        <f>IFERROR(IF(G14=$AD$3,$AD$3,INDEX(Kanban_Helper!$C$317:$C$328,MATCH(MONTH(G14),Kanban_Helper!$B$317:$B$328,0))&amp;" - "&amp;YEAR(G14)),"$AD$3")</f>
        <v>Not Set</v>
      </c>
      <c r="S14" s="125" t="str">
        <f>IFERROR(IF(I14=$AD$3,$AD$3,INDEX(Kanban_Helper!$C$317:$C$328,MATCH(MONTH(I14),Kanban_Helper!$B$317:$B$328,0))&amp;" - "&amp;YEAR(I14)),$AD$3)</f>
        <v>Not Set</v>
      </c>
      <c r="T14" s="125" t="str">
        <f t="shared" ca="1" si="10"/>
        <v/>
      </c>
      <c r="U14" s="125" t="str">
        <f t="shared" ca="1" si="11"/>
        <v/>
      </c>
      <c r="V14" s="125" t="str">
        <f t="shared" si="6"/>
        <v>Not Set</v>
      </c>
      <c r="W14" s="126" t="str">
        <f t="shared" si="12"/>
        <v/>
      </c>
      <c r="X14" s="126" t="str">
        <f t="shared" si="13"/>
        <v/>
      </c>
      <c r="Y14" s="125" t="str">
        <f>IFERROR(IF(LEN(D14)=0,"",IF(SUBTOTAL(3,E14:E14)=0,MIN($Y$7:Y13)-1,SUBTOTAL(3,$E$8:E14))),"")</f>
        <v/>
      </c>
      <c r="Z14" s="17"/>
    </row>
    <row r="15" spans="1:30" s="10" customFormat="1" hidden="1" x14ac:dyDescent="0.35">
      <c r="B15" s="15"/>
      <c r="C15" s="127" t="str">
        <f>IFERROR(IF(LEN(INDEX(Database!C$9:C$501,ROW(Calc!A15)-ROW(Calc!$B$7)))=0,"",INDEX(Database!C$9:C$501,ROW(Calc!A15)-ROW(Calc!$B$7))),"")</f>
        <v/>
      </c>
      <c r="D15" s="70" t="str">
        <f>IFERROR(IF(LEN(INDEX(Database!D$9:D$501,ROW(Calc!B15)-ROW(Calc!$B$7)))=0,"",INDEX(Database!D$9:D$501,ROW(Calc!B15)-ROW(Calc!$B$7))),"")</f>
        <v/>
      </c>
      <c r="E15" s="124" t="str">
        <f>IFERROR(IF(LEN(INDEX(Database!G$9:G$501,ROW(Calc!D15)-ROW(Calc!$B$7)))=0,$AD$3,INDEX(Database!G$9:G$501,ROW(Calc!D15)-ROW(Calc!$B$7))),"")</f>
        <v>Not Set</v>
      </c>
      <c r="F15" s="124" t="str">
        <f>IFERROR(IF(LEN(INDEX(Database!F$9:F$501,ROW(Calc!E15)-ROW(Calc!$B$7)))=0,$AD$3,INDEX(Database!F$9:F$501,ROW(Calc!E15)-ROW(Calc!$B$7))),"")</f>
        <v>Not Set</v>
      </c>
      <c r="G15" s="128" t="str">
        <f>IFERROR(IF(LEN(INDEX(Database!H$9:H$501,ROW(Calc!F15)-ROW(Calc!$B$7)))=0,$AD$3,INDEX(Database!H$9:H$501,ROW(Calc!F15)-ROW(Calc!$B$7))),"")</f>
        <v>Not Set</v>
      </c>
      <c r="H15" s="128" t="str">
        <f>IFERROR(IF(LEN(INDEX(Database!I$9:I$501,ROW(Calc!G15)-ROW(Calc!$B$7)))=0,$AD$3,INDEX(Database!I$9:I$501,ROW(Calc!G15)-ROW(Calc!$B$7))),"")</f>
        <v>Not Set</v>
      </c>
      <c r="I15" s="128" t="str">
        <f>IFERROR(IF(LEN(INDEX(Database!J$9:J$501,ROW(Calc!H15)-ROW(Calc!$B$7)))=0,$AD$3,INDEX(Database!J$9:J$501,ROW(Calc!H15)-ROW(Calc!$B$7))),"")</f>
        <v>Not Set</v>
      </c>
      <c r="J15" s="128" t="str">
        <f t="shared" si="0"/>
        <v>Not Set</v>
      </c>
      <c r="K15" s="124" t="str">
        <f>IFERROR(IF(LEN(INDEX(Database!E$9:E$501,ROW(Calc!I15)-ROW(Calc!$B$7)))=0,"",INDEX(Database!E$9:E$501,ROW(Calc!I15)-ROW(Calc!$B$7))),"")</f>
        <v/>
      </c>
      <c r="L15" s="129" t="str">
        <f>IFERROR(IF(LEN(INDEX(Database!K$9:K$501,ROW(Calc!K15)-ROW(Calc!$B$7)))=0,$AD$3,INDEX(Database!K$9:K$501,ROW(Calc!K15)-ROW(Calc!$B$7))),"")</f>
        <v>Not Set</v>
      </c>
      <c r="M15" s="130" t="str">
        <f>IFERROR(IF(LEN(INDEX(Database!L$9:L$501,ROW(Calc!L15)-ROW(Calc!$B$7)))=0,$AD$3,INDEX(Database!L$9:L$501,ROW(Calc!L15)-ROW(Calc!$B$7))),"")</f>
        <v>Not Set</v>
      </c>
      <c r="N15" s="131" t="str">
        <f>IFERROR(IF(LEN(INDEX(Database!M$9:M$501,ROW(Calc!M15)-ROW(Calc!$B$7)))=0,"",INDEX(Database!M$9:M$501,ROW(Calc!M15)-ROW(Calc!$B$7))),"")</f>
        <v/>
      </c>
      <c r="O15" s="132" t="str">
        <f t="shared" si="9"/>
        <v/>
      </c>
      <c r="P15" s="125" t="str">
        <f t="shared" si="2"/>
        <v>Not Set</v>
      </c>
      <c r="Q15" s="125" t="str">
        <f t="shared" si="3"/>
        <v>Not Set</v>
      </c>
      <c r="R15" s="125" t="str">
        <f>IFERROR(IF(G15=$AD$3,$AD$3,INDEX(Kanban_Helper!$C$317:$C$328,MATCH(MONTH(G15),Kanban_Helper!$B$317:$B$328,0))&amp;" - "&amp;YEAR(G15)),"$AD$3")</f>
        <v>Not Set</v>
      </c>
      <c r="S15" s="125" t="str">
        <f>IFERROR(IF(I15=$AD$3,$AD$3,INDEX(Kanban_Helper!$C$317:$C$328,MATCH(MONTH(I15),Kanban_Helper!$B$317:$B$328,0))&amp;" - "&amp;YEAR(I15)),$AD$3)</f>
        <v>Not Set</v>
      </c>
      <c r="T15" s="125" t="str">
        <f t="shared" ca="1" si="10"/>
        <v/>
      </c>
      <c r="U15" s="125" t="str">
        <f t="shared" ca="1" si="11"/>
        <v/>
      </c>
      <c r="V15" s="125" t="str">
        <f t="shared" si="6"/>
        <v>Not Set</v>
      </c>
      <c r="W15" s="126" t="str">
        <f t="shared" si="12"/>
        <v/>
      </c>
      <c r="X15" s="126" t="str">
        <f t="shared" si="13"/>
        <v/>
      </c>
      <c r="Y15" s="125" t="str">
        <f>IFERROR(IF(LEN(D15)=0,"",IF(SUBTOTAL(3,E15:E15)=0,MIN($Y$7:Y14)-1,SUBTOTAL(3,$E$8:E15))),"")</f>
        <v/>
      </c>
      <c r="Z15" s="17"/>
    </row>
    <row r="16" spans="1:30" s="10" customFormat="1" hidden="1" x14ac:dyDescent="0.35">
      <c r="B16" s="15"/>
      <c r="C16" s="127" t="str">
        <f>IFERROR(IF(LEN(INDEX(Database!C$9:C$501,ROW(Calc!A16)-ROW(Calc!$B$7)))=0,"",INDEX(Database!C$9:C$501,ROW(Calc!A16)-ROW(Calc!$B$7))),"")</f>
        <v/>
      </c>
      <c r="D16" s="70" t="str">
        <f>IFERROR(IF(LEN(INDEX(Database!D$9:D$501,ROW(Calc!B16)-ROW(Calc!$B$7)))=0,"",INDEX(Database!D$9:D$501,ROW(Calc!B16)-ROW(Calc!$B$7))),"")</f>
        <v/>
      </c>
      <c r="E16" s="124" t="str">
        <f>IFERROR(IF(LEN(INDEX(Database!G$9:G$501,ROW(Calc!D16)-ROW(Calc!$B$7)))=0,$AD$3,INDEX(Database!G$9:G$501,ROW(Calc!D16)-ROW(Calc!$B$7))),"")</f>
        <v>Not Set</v>
      </c>
      <c r="F16" s="124" t="str">
        <f>IFERROR(IF(LEN(INDEX(Database!F$9:F$501,ROW(Calc!E16)-ROW(Calc!$B$7)))=0,$AD$3,INDEX(Database!F$9:F$501,ROW(Calc!E16)-ROW(Calc!$B$7))),"")</f>
        <v>Not Set</v>
      </c>
      <c r="G16" s="128" t="str">
        <f>IFERROR(IF(LEN(INDEX(Database!H$9:H$501,ROW(Calc!F16)-ROW(Calc!$B$7)))=0,$AD$3,INDEX(Database!H$9:H$501,ROW(Calc!F16)-ROW(Calc!$B$7))),"")</f>
        <v>Not Set</v>
      </c>
      <c r="H16" s="128" t="str">
        <f>IFERROR(IF(LEN(INDEX(Database!I$9:I$501,ROW(Calc!G16)-ROW(Calc!$B$7)))=0,$AD$3,INDEX(Database!I$9:I$501,ROW(Calc!G16)-ROW(Calc!$B$7))),"")</f>
        <v>Not Set</v>
      </c>
      <c r="I16" s="128" t="str">
        <f>IFERROR(IF(LEN(INDEX(Database!J$9:J$501,ROW(Calc!H16)-ROW(Calc!$B$7)))=0,$AD$3,INDEX(Database!J$9:J$501,ROW(Calc!H16)-ROW(Calc!$B$7))),"")</f>
        <v>Not Set</v>
      </c>
      <c r="J16" s="128" t="str">
        <f t="shared" si="0"/>
        <v>Not Set</v>
      </c>
      <c r="K16" s="124" t="str">
        <f>IFERROR(IF(LEN(INDEX(Database!E$9:E$501,ROW(Calc!I16)-ROW(Calc!$B$7)))=0,"",INDEX(Database!E$9:E$501,ROW(Calc!I16)-ROW(Calc!$B$7))),"")</f>
        <v/>
      </c>
      <c r="L16" s="129" t="str">
        <f>IFERROR(IF(LEN(INDEX(Database!K$9:K$501,ROW(Calc!K16)-ROW(Calc!$B$7)))=0,$AD$3,INDEX(Database!K$9:K$501,ROW(Calc!K16)-ROW(Calc!$B$7))),"")</f>
        <v>Not Set</v>
      </c>
      <c r="M16" s="130" t="str">
        <f>IFERROR(IF(LEN(INDEX(Database!L$9:L$501,ROW(Calc!L16)-ROW(Calc!$B$7)))=0,$AD$3,INDEX(Database!L$9:L$501,ROW(Calc!L16)-ROW(Calc!$B$7))),"")</f>
        <v>Not Set</v>
      </c>
      <c r="N16" s="131" t="str">
        <f>IFERROR(IF(LEN(INDEX(Database!M$9:M$501,ROW(Calc!M16)-ROW(Calc!$B$7)))=0,"",INDEX(Database!M$9:M$501,ROW(Calc!M16)-ROW(Calc!$B$7))),"")</f>
        <v/>
      </c>
      <c r="O16" s="132" t="str">
        <f t="shared" si="9"/>
        <v/>
      </c>
      <c r="P16" s="125" t="str">
        <f t="shared" si="2"/>
        <v>Not Set</v>
      </c>
      <c r="Q16" s="125" t="str">
        <f t="shared" si="3"/>
        <v>Not Set</v>
      </c>
      <c r="R16" s="125" t="str">
        <f>IFERROR(IF(G16=$AD$3,$AD$3,INDEX(Kanban_Helper!$C$317:$C$328,MATCH(MONTH(G16),Kanban_Helper!$B$317:$B$328,0))&amp;" - "&amp;YEAR(G16)),"$AD$3")</f>
        <v>Not Set</v>
      </c>
      <c r="S16" s="125" t="str">
        <f>IFERROR(IF(I16=$AD$3,$AD$3,INDEX(Kanban_Helper!$C$317:$C$328,MATCH(MONTH(I16),Kanban_Helper!$B$317:$B$328,0))&amp;" - "&amp;YEAR(I16)),$AD$3)</f>
        <v>Not Set</v>
      </c>
      <c r="T16" s="125" t="str">
        <f t="shared" ca="1" si="10"/>
        <v/>
      </c>
      <c r="U16" s="125" t="str">
        <f t="shared" ca="1" si="11"/>
        <v/>
      </c>
      <c r="V16" s="125" t="str">
        <f t="shared" si="6"/>
        <v>Not Set</v>
      </c>
      <c r="W16" s="126" t="str">
        <f t="shared" si="12"/>
        <v/>
      </c>
      <c r="X16" s="126" t="str">
        <f t="shared" si="13"/>
        <v/>
      </c>
      <c r="Y16" s="125" t="str">
        <f>IFERROR(IF(LEN(D16)=0,"",IF(SUBTOTAL(3,E16:E16)=0,MIN($Y$7:Y15)-1,SUBTOTAL(3,$E$8:E16))),"")</f>
        <v/>
      </c>
      <c r="Z16" s="17"/>
    </row>
    <row r="17" spans="2:40" s="10" customFormat="1" hidden="1" x14ac:dyDescent="0.35">
      <c r="B17" s="15"/>
      <c r="C17" s="127" t="str">
        <f>IFERROR(IF(LEN(INDEX(Database!C$9:C$501,ROW(Calc!A17)-ROW(Calc!$B$7)))=0,"",INDEX(Database!C$9:C$501,ROW(Calc!A17)-ROW(Calc!$B$7))),"")</f>
        <v/>
      </c>
      <c r="D17" s="70" t="str">
        <f>IFERROR(IF(LEN(INDEX(Database!D$9:D$501,ROW(Calc!B17)-ROW(Calc!$B$7)))=0,"",INDEX(Database!D$9:D$501,ROW(Calc!B17)-ROW(Calc!$B$7))),"")</f>
        <v/>
      </c>
      <c r="E17" s="124" t="str">
        <f>IFERROR(IF(LEN(INDEX(Database!G$9:G$501,ROW(Calc!D17)-ROW(Calc!$B$7)))=0,$AD$3,INDEX(Database!G$9:G$501,ROW(Calc!D17)-ROW(Calc!$B$7))),"")</f>
        <v>Not Set</v>
      </c>
      <c r="F17" s="124" t="str">
        <f>IFERROR(IF(LEN(INDEX(Database!F$9:F$501,ROW(Calc!E17)-ROW(Calc!$B$7)))=0,$AD$3,INDEX(Database!F$9:F$501,ROW(Calc!E17)-ROW(Calc!$B$7))),"")</f>
        <v>Not Set</v>
      </c>
      <c r="G17" s="128" t="str">
        <f>IFERROR(IF(LEN(INDEX(Database!H$9:H$501,ROW(Calc!F17)-ROW(Calc!$B$7)))=0,$AD$3,INDEX(Database!H$9:H$501,ROW(Calc!F17)-ROW(Calc!$B$7))),"")</f>
        <v>Not Set</v>
      </c>
      <c r="H17" s="128" t="str">
        <f>IFERROR(IF(LEN(INDEX(Database!I$9:I$501,ROW(Calc!G17)-ROW(Calc!$B$7)))=0,$AD$3,INDEX(Database!I$9:I$501,ROW(Calc!G17)-ROW(Calc!$B$7))),"")</f>
        <v>Not Set</v>
      </c>
      <c r="I17" s="128" t="str">
        <f>IFERROR(IF(LEN(INDEX(Database!J$9:J$501,ROW(Calc!H17)-ROW(Calc!$B$7)))=0,$AD$3,INDEX(Database!J$9:J$501,ROW(Calc!H17)-ROW(Calc!$B$7))),"")</f>
        <v>Not Set</v>
      </c>
      <c r="J17" s="128" t="str">
        <f t="shared" si="0"/>
        <v>Not Set</v>
      </c>
      <c r="K17" s="124" t="str">
        <f>IFERROR(IF(LEN(INDEX(Database!E$9:E$501,ROW(Calc!I17)-ROW(Calc!$B$7)))=0,"",INDEX(Database!E$9:E$501,ROW(Calc!I17)-ROW(Calc!$B$7))),"")</f>
        <v/>
      </c>
      <c r="L17" s="129" t="str">
        <f>IFERROR(IF(LEN(INDEX(Database!K$9:K$501,ROW(Calc!K17)-ROW(Calc!$B$7)))=0,$AD$3,INDEX(Database!K$9:K$501,ROW(Calc!K17)-ROW(Calc!$B$7))),"")</f>
        <v>Not Set</v>
      </c>
      <c r="M17" s="130" t="str">
        <f>IFERROR(IF(LEN(INDEX(Database!L$9:L$501,ROW(Calc!L17)-ROW(Calc!$B$7)))=0,$AD$3,INDEX(Database!L$9:L$501,ROW(Calc!L17)-ROW(Calc!$B$7))),"")</f>
        <v>Not Set</v>
      </c>
      <c r="N17" s="131" t="str">
        <f>IFERROR(IF(LEN(INDEX(Database!M$9:M$501,ROW(Calc!M17)-ROW(Calc!$B$7)))=0,"",INDEX(Database!M$9:M$501,ROW(Calc!M17)-ROW(Calc!$B$7))),"")</f>
        <v/>
      </c>
      <c r="O17" s="132" t="str">
        <f t="shared" si="9"/>
        <v/>
      </c>
      <c r="P17" s="125" t="str">
        <f t="shared" si="2"/>
        <v>Not Set</v>
      </c>
      <c r="Q17" s="125" t="str">
        <f t="shared" si="3"/>
        <v>Not Set</v>
      </c>
      <c r="R17" s="125" t="str">
        <f>IFERROR(IF(G17=$AD$3,$AD$3,INDEX(Kanban_Helper!$C$317:$C$328,MATCH(MONTH(G17),Kanban_Helper!$B$317:$B$328,0))&amp;" - "&amp;YEAR(G17)),"$AD$3")</f>
        <v>Not Set</v>
      </c>
      <c r="S17" s="125" t="str">
        <f>IFERROR(IF(I17=$AD$3,$AD$3,INDEX(Kanban_Helper!$C$317:$C$328,MATCH(MONTH(I17),Kanban_Helper!$B$317:$B$328,0))&amp;" - "&amp;YEAR(I17)),$AD$3)</f>
        <v>Not Set</v>
      </c>
      <c r="T17" s="125" t="str">
        <f t="shared" ca="1" si="10"/>
        <v/>
      </c>
      <c r="U17" s="125" t="str">
        <f t="shared" ca="1" si="11"/>
        <v/>
      </c>
      <c r="V17" s="125" t="str">
        <f t="shared" si="6"/>
        <v>Not Set</v>
      </c>
      <c r="W17" s="126" t="str">
        <f t="shared" si="12"/>
        <v/>
      </c>
      <c r="X17" s="126" t="str">
        <f t="shared" si="13"/>
        <v/>
      </c>
      <c r="Y17" s="125" t="str">
        <f>IFERROR(IF(LEN(D17)=0,"",IF(SUBTOTAL(3,E17:E17)=0,MIN($Y$7:Y16)-1,SUBTOTAL(3,$E$8:E17))),"")</f>
        <v/>
      </c>
      <c r="Z17" s="17"/>
    </row>
    <row r="18" spans="2:40" s="10" customFormat="1" hidden="1" x14ac:dyDescent="0.35">
      <c r="B18" s="15"/>
      <c r="C18" s="127" t="str">
        <f>IFERROR(IF(LEN(INDEX(Database!C$9:C$501,ROW(Calc!A18)-ROW(Calc!$B$7)))=0,"",INDEX(Database!C$9:C$501,ROW(Calc!A18)-ROW(Calc!$B$7))),"")</f>
        <v/>
      </c>
      <c r="D18" s="70" t="str">
        <f>IFERROR(IF(LEN(INDEX(Database!D$9:D$501,ROW(Calc!B18)-ROW(Calc!$B$7)))=0,"",INDEX(Database!D$9:D$501,ROW(Calc!B18)-ROW(Calc!$B$7))),"")</f>
        <v/>
      </c>
      <c r="E18" s="124" t="str">
        <f>IFERROR(IF(LEN(INDEX(Database!G$9:G$501,ROW(Calc!D18)-ROW(Calc!$B$7)))=0,$AD$3,INDEX(Database!G$9:G$501,ROW(Calc!D18)-ROW(Calc!$B$7))),"")</f>
        <v>Not Set</v>
      </c>
      <c r="F18" s="124" t="str">
        <f>IFERROR(IF(LEN(INDEX(Database!F$9:F$501,ROW(Calc!E18)-ROW(Calc!$B$7)))=0,$AD$3,INDEX(Database!F$9:F$501,ROW(Calc!E18)-ROW(Calc!$B$7))),"")</f>
        <v>Not Set</v>
      </c>
      <c r="G18" s="128" t="str">
        <f>IFERROR(IF(LEN(INDEX(Database!H$9:H$501,ROW(Calc!F18)-ROW(Calc!$B$7)))=0,$AD$3,INDEX(Database!H$9:H$501,ROW(Calc!F18)-ROW(Calc!$B$7))),"")</f>
        <v>Not Set</v>
      </c>
      <c r="H18" s="128" t="str">
        <f>IFERROR(IF(LEN(INDEX(Database!I$9:I$501,ROW(Calc!G18)-ROW(Calc!$B$7)))=0,$AD$3,INDEX(Database!I$9:I$501,ROW(Calc!G18)-ROW(Calc!$B$7))),"")</f>
        <v>Not Set</v>
      </c>
      <c r="I18" s="128" t="str">
        <f>IFERROR(IF(LEN(INDEX(Database!J$9:J$501,ROW(Calc!H18)-ROW(Calc!$B$7)))=0,$AD$3,INDEX(Database!J$9:J$501,ROW(Calc!H18)-ROW(Calc!$B$7))),"")</f>
        <v>Not Set</v>
      </c>
      <c r="J18" s="128" t="str">
        <f t="shared" si="0"/>
        <v>Not Set</v>
      </c>
      <c r="K18" s="124" t="str">
        <f>IFERROR(IF(LEN(INDEX(Database!E$9:E$501,ROW(Calc!I18)-ROW(Calc!$B$7)))=0,"",INDEX(Database!E$9:E$501,ROW(Calc!I18)-ROW(Calc!$B$7))),"")</f>
        <v/>
      </c>
      <c r="L18" s="129" t="str">
        <f>IFERROR(IF(LEN(INDEX(Database!K$9:K$501,ROW(Calc!K18)-ROW(Calc!$B$7)))=0,$AD$3,INDEX(Database!K$9:K$501,ROW(Calc!K18)-ROW(Calc!$B$7))),"")</f>
        <v>Not Set</v>
      </c>
      <c r="M18" s="130" t="str">
        <f>IFERROR(IF(LEN(INDEX(Database!L$9:L$501,ROW(Calc!L18)-ROW(Calc!$B$7)))=0,$AD$3,INDEX(Database!L$9:L$501,ROW(Calc!L18)-ROW(Calc!$B$7))),"")</f>
        <v>Not Set</v>
      </c>
      <c r="N18" s="131" t="str">
        <f>IFERROR(IF(LEN(INDEX(Database!M$9:M$501,ROW(Calc!M18)-ROW(Calc!$B$7)))=0,"",INDEX(Database!M$9:M$501,ROW(Calc!M18)-ROW(Calc!$B$7))),"")</f>
        <v/>
      </c>
      <c r="O18" s="132" t="str">
        <f t="shared" si="9"/>
        <v/>
      </c>
      <c r="P18" s="125" t="str">
        <f t="shared" si="2"/>
        <v>Not Set</v>
      </c>
      <c r="Q18" s="125" t="str">
        <f t="shared" si="3"/>
        <v>Not Set</v>
      </c>
      <c r="R18" s="125" t="str">
        <f>IFERROR(IF(G18=$AD$3,$AD$3,INDEX(Kanban_Helper!$C$317:$C$328,MATCH(MONTH(G18),Kanban_Helper!$B$317:$B$328,0))&amp;" - "&amp;YEAR(G18)),"$AD$3")</f>
        <v>Not Set</v>
      </c>
      <c r="S18" s="125" t="str">
        <f>IFERROR(IF(I18=$AD$3,$AD$3,INDEX(Kanban_Helper!$C$317:$C$328,MATCH(MONTH(I18),Kanban_Helper!$B$317:$B$328,0))&amp;" - "&amp;YEAR(I18)),$AD$3)</f>
        <v>Not Set</v>
      </c>
      <c r="T18" s="125" t="str">
        <f t="shared" ca="1" si="10"/>
        <v/>
      </c>
      <c r="U18" s="125" t="str">
        <f t="shared" ca="1" si="11"/>
        <v/>
      </c>
      <c r="V18" s="125" t="str">
        <f t="shared" si="6"/>
        <v>Not Set</v>
      </c>
      <c r="W18" s="126" t="str">
        <f t="shared" si="12"/>
        <v/>
      </c>
      <c r="X18" s="126" t="str">
        <f t="shared" si="13"/>
        <v/>
      </c>
      <c r="Y18" s="125" t="str">
        <f>IFERROR(IF(LEN(D18)=0,"",IF(SUBTOTAL(3,E18:E18)=0,MIN($Y$7:Y17)-1,SUBTOTAL(3,$E$8:E18))),"")</f>
        <v/>
      </c>
      <c r="Z18" s="17"/>
    </row>
    <row r="19" spans="2:40" hidden="1" x14ac:dyDescent="0.35">
      <c r="B19" s="15"/>
      <c r="C19" s="127" t="str">
        <f>IFERROR(IF(LEN(INDEX(Database!C$9:C$501,ROW(Calc!A19)-ROW(Calc!$B$7)))=0,"",INDEX(Database!C$9:C$501,ROW(Calc!A19)-ROW(Calc!$B$7))),"")</f>
        <v/>
      </c>
      <c r="D19" s="70" t="str">
        <f>IFERROR(IF(LEN(INDEX(Database!D$9:D$501,ROW(Calc!B19)-ROW(Calc!$B$7)))=0,"",INDEX(Database!D$9:D$501,ROW(Calc!B19)-ROW(Calc!$B$7))),"")</f>
        <v/>
      </c>
      <c r="E19" s="124" t="str">
        <f>IFERROR(IF(LEN(INDEX(Database!G$9:G$501,ROW(Calc!D19)-ROW(Calc!$B$7)))=0,$AD$3,INDEX(Database!G$9:G$501,ROW(Calc!D19)-ROW(Calc!$B$7))),"")</f>
        <v>Not Set</v>
      </c>
      <c r="F19" s="124" t="str">
        <f>IFERROR(IF(LEN(INDEX(Database!F$9:F$501,ROW(Calc!E19)-ROW(Calc!$B$7)))=0,$AD$3,INDEX(Database!F$9:F$501,ROW(Calc!E19)-ROW(Calc!$B$7))),"")</f>
        <v>Not Set</v>
      </c>
      <c r="G19" s="128" t="str">
        <f>IFERROR(IF(LEN(INDEX(Database!H$9:H$501,ROW(Calc!F19)-ROW(Calc!$B$7)))=0,$AD$3,INDEX(Database!H$9:H$501,ROW(Calc!F19)-ROW(Calc!$B$7))),"")</f>
        <v>Not Set</v>
      </c>
      <c r="H19" s="128" t="str">
        <f>IFERROR(IF(LEN(INDEX(Database!I$9:I$501,ROW(Calc!G19)-ROW(Calc!$B$7)))=0,$AD$3,INDEX(Database!I$9:I$501,ROW(Calc!G19)-ROW(Calc!$B$7))),"")</f>
        <v>Not Set</v>
      </c>
      <c r="I19" s="128" t="str">
        <f>IFERROR(IF(LEN(INDEX(Database!J$9:J$501,ROW(Calc!H19)-ROW(Calc!$B$7)))=0,$AD$3,INDEX(Database!J$9:J$501,ROW(Calc!H19)-ROW(Calc!$B$7))),"")</f>
        <v>Not Set</v>
      </c>
      <c r="J19" s="128" t="str">
        <f t="shared" si="0"/>
        <v>Not Set</v>
      </c>
      <c r="K19" s="124" t="str">
        <f>IFERROR(IF(LEN(INDEX(Database!E$9:E$501,ROW(Calc!I19)-ROW(Calc!$B$7)))=0,"",INDEX(Database!E$9:E$501,ROW(Calc!I19)-ROW(Calc!$B$7))),"")</f>
        <v/>
      </c>
      <c r="L19" s="129" t="str">
        <f>IFERROR(IF(LEN(INDEX(Database!K$9:K$501,ROW(Calc!K19)-ROW(Calc!$B$7)))=0,$AD$3,INDEX(Database!K$9:K$501,ROW(Calc!K19)-ROW(Calc!$B$7))),"")</f>
        <v>Not Set</v>
      </c>
      <c r="M19" s="130" t="str">
        <f>IFERROR(IF(LEN(INDEX(Database!L$9:L$501,ROW(Calc!L19)-ROW(Calc!$B$7)))=0,$AD$3,INDEX(Database!L$9:L$501,ROW(Calc!L19)-ROW(Calc!$B$7))),"")</f>
        <v>Not Set</v>
      </c>
      <c r="N19" s="131" t="str">
        <f>IFERROR(IF(LEN(INDEX(Database!M$9:M$501,ROW(Calc!M19)-ROW(Calc!$B$7)))=0,"",INDEX(Database!M$9:M$501,ROW(Calc!M19)-ROW(Calc!$B$7))),"")</f>
        <v/>
      </c>
      <c r="O19" s="132" t="str">
        <f t="shared" si="9"/>
        <v/>
      </c>
      <c r="P19" s="125" t="str">
        <f t="shared" si="2"/>
        <v>Not Set</v>
      </c>
      <c r="Q19" s="125" t="str">
        <f t="shared" si="3"/>
        <v>Not Set</v>
      </c>
      <c r="R19" s="125" t="str">
        <f>IFERROR(IF(G19=$AD$3,$AD$3,INDEX(Kanban_Helper!$C$317:$C$328,MATCH(MONTH(G19),Kanban_Helper!$B$317:$B$328,0))&amp;" - "&amp;YEAR(G19)),"$AD$3")</f>
        <v>Not Set</v>
      </c>
      <c r="S19" s="125" t="str">
        <f>IFERROR(IF(I19=$AD$3,$AD$3,INDEX(Kanban_Helper!$C$317:$C$328,MATCH(MONTH(I19),Kanban_Helper!$B$317:$B$328,0))&amp;" - "&amp;YEAR(I19)),$AD$3)</f>
        <v>Not Set</v>
      </c>
      <c r="T19" s="125" t="str">
        <f t="shared" ca="1" si="10"/>
        <v/>
      </c>
      <c r="U19" s="125" t="str">
        <f t="shared" ca="1" si="11"/>
        <v/>
      </c>
      <c r="V19" s="125" t="str">
        <f t="shared" si="6"/>
        <v>Not Set</v>
      </c>
      <c r="W19" s="126" t="str">
        <f t="shared" si="12"/>
        <v/>
      </c>
      <c r="X19" s="126" t="str">
        <f t="shared" si="13"/>
        <v/>
      </c>
      <c r="Y19" s="125" t="str">
        <f>IFERROR(IF(LEN(D19)=0,"",IF(SUBTOTAL(3,E19:E19)=0,MIN($Y$7:Y18)-1,SUBTOTAL(3,$E$8:E19))),"")</f>
        <v/>
      </c>
      <c r="Z19" s="17"/>
      <c r="AA19" s="10"/>
      <c r="AB19" s="10"/>
      <c r="AC19" s="10"/>
      <c r="AD19" s="10"/>
      <c r="AE19" s="10"/>
      <c r="AF19" s="10"/>
      <c r="AG19" s="10"/>
      <c r="AH19" s="10"/>
      <c r="AI19" s="10"/>
      <c r="AJ19" s="10"/>
      <c r="AK19" s="10"/>
      <c r="AL19" s="10"/>
      <c r="AM19" s="10"/>
      <c r="AN19" s="10"/>
    </row>
    <row r="20" spans="2:40" hidden="1" x14ac:dyDescent="0.35">
      <c r="B20" s="15"/>
      <c r="C20" s="127" t="str">
        <f>IFERROR(IF(LEN(INDEX(Database!C$9:C$501,ROW(Calc!A20)-ROW(Calc!$B$7)))=0,"",INDEX(Database!C$9:C$501,ROW(Calc!A20)-ROW(Calc!$B$7))),"")</f>
        <v/>
      </c>
      <c r="D20" s="70" t="str">
        <f>IFERROR(IF(LEN(INDEX(Database!D$9:D$501,ROW(Calc!B20)-ROW(Calc!$B$7)))=0,"",INDEX(Database!D$9:D$501,ROW(Calc!B20)-ROW(Calc!$B$7))),"")</f>
        <v/>
      </c>
      <c r="E20" s="124" t="str">
        <f>IFERROR(IF(LEN(INDEX(Database!G$9:G$501,ROW(Calc!D20)-ROW(Calc!$B$7)))=0,$AD$3,INDEX(Database!G$9:G$501,ROW(Calc!D20)-ROW(Calc!$B$7))),"")</f>
        <v>Not Set</v>
      </c>
      <c r="F20" s="124" t="str">
        <f>IFERROR(IF(LEN(INDEX(Database!F$9:F$501,ROW(Calc!E20)-ROW(Calc!$B$7)))=0,$AD$3,INDEX(Database!F$9:F$501,ROW(Calc!E20)-ROW(Calc!$B$7))),"")</f>
        <v>Not Set</v>
      </c>
      <c r="G20" s="128" t="str">
        <f>IFERROR(IF(LEN(INDEX(Database!H$9:H$501,ROW(Calc!F20)-ROW(Calc!$B$7)))=0,$AD$3,INDEX(Database!H$9:H$501,ROW(Calc!F20)-ROW(Calc!$B$7))),"")</f>
        <v>Not Set</v>
      </c>
      <c r="H20" s="128" t="str">
        <f>IFERROR(IF(LEN(INDEX(Database!I$9:I$501,ROW(Calc!G20)-ROW(Calc!$B$7)))=0,$AD$3,INDEX(Database!I$9:I$501,ROW(Calc!G20)-ROW(Calc!$B$7))),"")</f>
        <v>Not Set</v>
      </c>
      <c r="I20" s="128" t="str">
        <f>IFERROR(IF(LEN(INDEX(Database!J$9:J$501,ROW(Calc!H20)-ROW(Calc!$B$7)))=0,$AD$3,INDEX(Database!J$9:J$501,ROW(Calc!H20)-ROW(Calc!$B$7))),"")</f>
        <v>Not Set</v>
      </c>
      <c r="J20" s="128" t="str">
        <f t="shared" si="0"/>
        <v>Not Set</v>
      </c>
      <c r="K20" s="124" t="str">
        <f>IFERROR(IF(LEN(INDEX(Database!E$9:E$501,ROW(Calc!I20)-ROW(Calc!$B$7)))=0,"",INDEX(Database!E$9:E$501,ROW(Calc!I20)-ROW(Calc!$B$7))),"")</f>
        <v/>
      </c>
      <c r="L20" s="129" t="str">
        <f>IFERROR(IF(LEN(INDEX(Database!K$9:K$501,ROW(Calc!K20)-ROW(Calc!$B$7)))=0,$AD$3,INDEX(Database!K$9:K$501,ROW(Calc!K20)-ROW(Calc!$B$7))),"")</f>
        <v>Not Set</v>
      </c>
      <c r="M20" s="130" t="str">
        <f>IFERROR(IF(LEN(INDEX(Database!L$9:L$501,ROW(Calc!L20)-ROW(Calc!$B$7)))=0,$AD$3,INDEX(Database!L$9:L$501,ROW(Calc!L20)-ROW(Calc!$B$7))),"")</f>
        <v>Not Set</v>
      </c>
      <c r="N20" s="131" t="str">
        <f>IFERROR(IF(LEN(INDEX(Database!M$9:M$501,ROW(Calc!M20)-ROW(Calc!$B$7)))=0,"",INDEX(Database!M$9:M$501,ROW(Calc!M20)-ROW(Calc!$B$7))),"")</f>
        <v/>
      </c>
      <c r="O20" s="132" t="str">
        <f t="shared" si="9"/>
        <v/>
      </c>
      <c r="P20" s="125" t="str">
        <f t="shared" si="2"/>
        <v>Not Set</v>
      </c>
      <c r="Q20" s="125" t="str">
        <f t="shared" si="3"/>
        <v>Not Set</v>
      </c>
      <c r="R20" s="125" t="str">
        <f>IFERROR(IF(G20=$AD$3,$AD$3,INDEX(Kanban_Helper!$C$317:$C$328,MATCH(MONTH(G20),Kanban_Helper!$B$317:$B$328,0))&amp;" - "&amp;YEAR(G20)),"$AD$3")</f>
        <v>Not Set</v>
      </c>
      <c r="S20" s="125" t="str">
        <f>IFERROR(IF(I20=$AD$3,$AD$3,INDEX(Kanban_Helper!$C$317:$C$328,MATCH(MONTH(I20),Kanban_Helper!$B$317:$B$328,0))&amp;" - "&amp;YEAR(I20)),$AD$3)</f>
        <v>Not Set</v>
      </c>
      <c r="T20" s="125" t="str">
        <f t="shared" ca="1" si="10"/>
        <v/>
      </c>
      <c r="U20" s="125" t="str">
        <f t="shared" ca="1" si="11"/>
        <v/>
      </c>
      <c r="V20" s="125" t="str">
        <f t="shared" si="6"/>
        <v>Not Set</v>
      </c>
      <c r="W20" s="126" t="str">
        <f t="shared" si="12"/>
        <v/>
      </c>
      <c r="X20" s="126" t="str">
        <f t="shared" si="13"/>
        <v/>
      </c>
      <c r="Y20" s="125" t="str">
        <f>IFERROR(IF(LEN(D20)=0,"",IF(SUBTOTAL(3,E20:E20)=0,MIN($Y$7:Y19)-1,SUBTOTAL(3,$E$8:E20))),"")</f>
        <v/>
      </c>
      <c r="Z20" s="17"/>
      <c r="AA20" s="10"/>
      <c r="AB20" s="10"/>
      <c r="AC20" s="10"/>
      <c r="AD20" s="10"/>
      <c r="AE20" s="10"/>
      <c r="AF20" s="10"/>
      <c r="AG20" s="10"/>
      <c r="AH20" s="10"/>
      <c r="AI20" s="10"/>
      <c r="AJ20" s="10"/>
      <c r="AK20" s="10"/>
      <c r="AL20" s="10"/>
      <c r="AM20" s="10"/>
      <c r="AN20" s="10"/>
    </row>
    <row r="21" spans="2:40" hidden="1" x14ac:dyDescent="0.35">
      <c r="B21" s="15"/>
      <c r="C21" s="127" t="str">
        <f>IFERROR(IF(LEN(INDEX(Database!C$9:C$501,ROW(Calc!A21)-ROW(Calc!$B$7)))=0,"",INDEX(Database!C$9:C$501,ROW(Calc!A21)-ROW(Calc!$B$7))),"")</f>
        <v/>
      </c>
      <c r="D21" s="70" t="str">
        <f>IFERROR(IF(LEN(INDEX(Database!D$9:D$501,ROW(Calc!B21)-ROW(Calc!$B$7)))=0,"",INDEX(Database!D$9:D$501,ROW(Calc!B21)-ROW(Calc!$B$7))),"")</f>
        <v/>
      </c>
      <c r="E21" s="124" t="str">
        <f>IFERROR(IF(LEN(INDEX(Database!G$9:G$501,ROW(Calc!D21)-ROW(Calc!$B$7)))=0,$AD$3,INDEX(Database!G$9:G$501,ROW(Calc!D21)-ROW(Calc!$B$7))),"")</f>
        <v>Not Set</v>
      </c>
      <c r="F21" s="124" t="str">
        <f>IFERROR(IF(LEN(INDEX(Database!F$9:F$501,ROW(Calc!E21)-ROW(Calc!$B$7)))=0,$AD$3,INDEX(Database!F$9:F$501,ROW(Calc!E21)-ROW(Calc!$B$7))),"")</f>
        <v>Not Set</v>
      </c>
      <c r="G21" s="128" t="str">
        <f>IFERROR(IF(LEN(INDEX(Database!H$9:H$501,ROW(Calc!F21)-ROW(Calc!$B$7)))=0,$AD$3,INDEX(Database!H$9:H$501,ROW(Calc!F21)-ROW(Calc!$B$7))),"")</f>
        <v>Not Set</v>
      </c>
      <c r="H21" s="128" t="str">
        <f>IFERROR(IF(LEN(INDEX(Database!I$9:I$501,ROW(Calc!G21)-ROW(Calc!$B$7)))=0,$AD$3,INDEX(Database!I$9:I$501,ROW(Calc!G21)-ROW(Calc!$B$7))),"")</f>
        <v>Not Set</v>
      </c>
      <c r="I21" s="128" t="str">
        <f>IFERROR(IF(LEN(INDEX(Database!J$9:J$501,ROW(Calc!H21)-ROW(Calc!$B$7)))=0,$AD$3,INDEX(Database!J$9:J$501,ROW(Calc!H21)-ROW(Calc!$B$7))),"")</f>
        <v>Not Set</v>
      </c>
      <c r="J21" s="128" t="str">
        <f t="shared" si="0"/>
        <v>Not Set</v>
      </c>
      <c r="K21" s="124" t="str">
        <f>IFERROR(IF(LEN(INDEX(Database!E$9:E$501,ROW(Calc!I21)-ROW(Calc!$B$7)))=0,"",INDEX(Database!E$9:E$501,ROW(Calc!I21)-ROW(Calc!$B$7))),"")</f>
        <v/>
      </c>
      <c r="L21" s="129" t="str">
        <f>IFERROR(IF(LEN(INDEX(Database!K$9:K$501,ROW(Calc!K21)-ROW(Calc!$B$7)))=0,$AD$3,INDEX(Database!K$9:K$501,ROW(Calc!K21)-ROW(Calc!$B$7))),"")</f>
        <v>Not Set</v>
      </c>
      <c r="M21" s="130" t="str">
        <f>IFERROR(IF(LEN(INDEX(Database!L$9:L$501,ROW(Calc!L21)-ROW(Calc!$B$7)))=0,$AD$3,INDEX(Database!L$9:L$501,ROW(Calc!L21)-ROW(Calc!$B$7))),"")</f>
        <v>Not Set</v>
      </c>
      <c r="N21" s="131" t="str">
        <f>IFERROR(IF(LEN(INDEX(Database!M$9:M$501,ROW(Calc!M21)-ROW(Calc!$B$7)))=0,"",INDEX(Database!M$9:M$501,ROW(Calc!M21)-ROW(Calc!$B$7))),"")</f>
        <v/>
      </c>
      <c r="O21" s="132" t="str">
        <f t="shared" si="9"/>
        <v/>
      </c>
      <c r="P21" s="125" t="str">
        <f t="shared" si="2"/>
        <v>Not Set</v>
      </c>
      <c r="Q21" s="125" t="str">
        <f t="shared" si="3"/>
        <v>Not Set</v>
      </c>
      <c r="R21" s="125" t="str">
        <f>IFERROR(IF(G21=$AD$3,$AD$3,INDEX(Kanban_Helper!$C$317:$C$328,MATCH(MONTH(G21),Kanban_Helper!$B$317:$B$328,0))&amp;" - "&amp;YEAR(G21)),"$AD$3")</f>
        <v>Not Set</v>
      </c>
      <c r="S21" s="125" t="str">
        <f>IFERROR(IF(I21=$AD$3,$AD$3,INDEX(Kanban_Helper!$C$317:$C$328,MATCH(MONTH(I21),Kanban_Helper!$B$317:$B$328,0))&amp;" - "&amp;YEAR(I21)),$AD$3)</f>
        <v>Not Set</v>
      </c>
      <c r="T21" s="125" t="str">
        <f t="shared" ca="1" si="10"/>
        <v/>
      </c>
      <c r="U21" s="125" t="str">
        <f t="shared" ca="1" si="11"/>
        <v/>
      </c>
      <c r="V21" s="125" t="str">
        <f t="shared" si="6"/>
        <v>Not Set</v>
      </c>
      <c r="W21" s="126" t="str">
        <f t="shared" si="12"/>
        <v/>
      </c>
      <c r="X21" s="126" t="str">
        <f t="shared" si="13"/>
        <v/>
      </c>
      <c r="Y21" s="125" t="str">
        <f>IFERROR(IF(LEN(D21)=0,"",IF(SUBTOTAL(3,E21:E21)=0,MIN($Y$7:Y20)-1,SUBTOTAL(3,$E$8:E21))),"")</f>
        <v/>
      </c>
      <c r="Z21" s="17"/>
      <c r="AA21" s="10"/>
      <c r="AB21" s="10"/>
      <c r="AC21" s="10"/>
      <c r="AD21" s="10"/>
      <c r="AE21" s="10"/>
      <c r="AF21" s="10"/>
      <c r="AG21" s="10"/>
      <c r="AH21" s="10"/>
      <c r="AI21" s="10"/>
      <c r="AJ21" s="10"/>
      <c r="AK21" s="10"/>
      <c r="AL21" s="10"/>
      <c r="AM21" s="10"/>
      <c r="AN21" s="10"/>
    </row>
    <row r="22" spans="2:40" hidden="1" x14ac:dyDescent="0.35">
      <c r="B22" s="15"/>
      <c r="C22" s="127" t="str">
        <f>IFERROR(IF(LEN(INDEX(Database!C$9:C$501,ROW(Calc!A22)-ROW(Calc!$B$7)))=0,"",INDEX(Database!C$9:C$501,ROW(Calc!A22)-ROW(Calc!$B$7))),"")</f>
        <v/>
      </c>
      <c r="D22" s="70" t="str">
        <f>IFERROR(IF(LEN(INDEX(Database!D$9:D$501,ROW(Calc!B22)-ROW(Calc!$B$7)))=0,"",INDEX(Database!D$9:D$501,ROW(Calc!B22)-ROW(Calc!$B$7))),"")</f>
        <v/>
      </c>
      <c r="E22" s="124" t="str">
        <f>IFERROR(IF(LEN(INDEX(Database!G$9:G$501,ROW(Calc!D22)-ROW(Calc!$B$7)))=0,$AD$3,INDEX(Database!G$9:G$501,ROW(Calc!D22)-ROW(Calc!$B$7))),"")</f>
        <v>Not Set</v>
      </c>
      <c r="F22" s="124" t="str">
        <f>IFERROR(IF(LEN(INDEX(Database!F$9:F$501,ROW(Calc!E22)-ROW(Calc!$B$7)))=0,$AD$3,INDEX(Database!F$9:F$501,ROW(Calc!E22)-ROW(Calc!$B$7))),"")</f>
        <v>Not Set</v>
      </c>
      <c r="G22" s="128" t="str">
        <f>IFERROR(IF(LEN(INDEX(Database!H$9:H$501,ROW(Calc!F22)-ROW(Calc!$B$7)))=0,$AD$3,INDEX(Database!H$9:H$501,ROW(Calc!F22)-ROW(Calc!$B$7))),"")</f>
        <v>Not Set</v>
      </c>
      <c r="H22" s="128" t="str">
        <f>IFERROR(IF(LEN(INDEX(Database!I$9:I$501,ROW(Calc!G22)-ROW(Calc!$B$7)))=0,$AD$3,INDEX(Database!I$9:I$501,ROW(Calc!G22)-ROW(Calc!$B$7))),"")</f>
        <v>Not Set</v>
      </c>
      <c r="I22" s="128" t="str">
        <f>IFERROR(IF(LEN(INDEX(Database!J$9:J$501,ROW(Calc!H22)-ROW(Calc!$B$7)))=0,$AD$3,INDEX(Database!J$9:J$501,ROW(Calc!H22)-ROW(Calc!$B$7))),"")</f>
        <v>Not Set</v>
      </c>
      <c r="J22" s="128" t="str">
        <f t="shared" si="0"/>
        <v>Not Set</v>
      </c>
      <c r="K22" s="124" t="str">
        <f>IFERROR(IF(LEN(INDEX(Database!E$9:E$501,ROW(Calc!I22)-ROW(Calc!$B$7)))=0,"",INDEX(Database!E$9:E$501,ROW(Calc!I22)-ROW(Calc!$B$7))),"")</f>
        <v/>
      </c>
      <c r="L22" s="129" t="str">
        <f>IFERROR(IF(LEN(INDEX(Database!K$9:K$501,ROW(Calc!K22)-ROW(Calc!$B$7)))=0,$AD$3,INDEX(Database!K$9:K$501,ROW(Calc!K22)-ROW(Calc!$B$7))),"")</f>
        <v>Not Set</v>
      </c>
      <c r="M22" s="130" t="str">
        <f>IFERROR(IF(LEN(INDEX(Database!L$9:L$501,ROW(Calc!L22)-ROW(Calc!$B$7)))=0,$AD$3,INDEX(Database!L$9:L$501,ROW(Calc!L22)-ROW(Calc!$B$7))),"")</f>
        <v>Not Set</v>
      </c>
      <c r="N22" s="131" t="str">
        <f>IFERROR(IF(LEN(INDEX(Database!M$9:M$501,ROW(Calc!M22)-ROW(Calc!$B$7)))=0,"",INDEX(Database!M$9:M$501,ROW(Calc!M22)-ROW(Calc!$B$7))),"")</f>
        <v/>
      </c>
      <c r="O22" s="132" t="str">
        <f t="shared" si="9"/>
        <v/>
      </c>
      <c r="P22" s="125" t="str">
        <f t="shared" si="2"/>
        <v>Not Set</v>
      </c>
      <c r="Q22" s="125" t="str">
        <f t="shared" si="3"/>
        <v>Not Set</v>
      </c>
      <c r="R22" s="125" t="str">
        <f>IFERROR(IF(G22=$AD$3,$AD$3,INDEX(Kanban_Helper!$C$317:$C$328,MATCH(MONTH(G22),Kanban_Helper!$B$317:$B$328,0))&amp;" - "&amp;YEAR(G22)),"$AD$3")</f>
        <v>Not Set</v>
      </c>
      <c r="S22" s="125" t="str">
        <f>IFERROR(IF(I22=$AD$3,$AD$3,INDEX(Kanban_Helper!$C$317:$C$328,MATCH(MONTH(I22),Kanban_Helper!$B$317:$B$328,0))&amp;" - "&amp;YEAR(I22)),$AD$3)</f>
        <v>Not Set</v>
      </c>
      <c r="T22" s="125" t="str">
        <f t="shared" ca="1" si="10"/>
        <v/>
      </c>
      <c r="U22" s="125" t="str">
        <f t="shared" ca="1" si="11"/>
        <v/>
      </c>
      <c r="V22" s="125" t="str">
        <f t="shared" si="6"/>
        <v>Not Set</v>
      </c>
      <c r="W22" s="126" t="str">
        <f t="shared" si="12"/>
        <v/>
      </c>
      <c r="X22" s="126" t="str">
        <f t="shared" si="13"/>
        <v/>
      </c>
      <c r="Y22" s="125" t="str">
        <f>IFERROR(IF(LEN(D22)=0,"",IF(SUBTOTAL(3,E22:E22)=0,MIN($Y$7:Y21)-1,SUBTOTAL(3,$E$8:E22))),"")</f>
        <v/>
      </c>
      <c r="Z22" s="17"/>
      <c r="AA22" s="10"/>
      <c r="AB22" s="10"/>
      <c r="AC22" s="10"/>
      <c r="AD22" s="10"/>
      <c r="AE22" s="10"/>
      <c r="AF22" s="10"/>
      <c r="AG22" s="10"/>
      <c r="AH22" s="10"/>
      <c r="AI22" s="10"/>
      <c r="AJ22" s="10"/>
      <c r="AK22" s="10"/>
      <c r="AL22" s="10"/>
      <c r="AM22" s="10"/>
      <c r="AN22" s="10"/>
    </row>
    <row r="23" spans="2:40" hidden="1" x14ac:dyDescent="0.35">
      <c r="B23" s="15"/>
      <c r="C23" s="127" t="str">
        <f>IFERROR(IF(LEN(INDEX(Database!C$9:C$501,ROW(Calc!A23)-ROW(Calc!$B$7)))=0,"",INDEX(Database!C$9:C$501,ROW(Calc!A23)-ROW(Calc!$B$7))),"")</f>
        <v/>
      </c>
      <c r="D23" s="70" t="str">
        <f>IFERROR(IF(LEN(INDEX(Database!D$9:D$501,ROW(Calc!B23)-ROW(Calc!$B$7)))=0,"",INDEX(Database!D$9:D$501,ROW(Calc!B23)-ROW(Calc!$B$7))),"")</f>
        <v/>
      </c>
      <c r="E23" s="124" t="str">
        <f>IFERROR(IF(LEN(INDEX(Database!G$9:G$501,ROW(Calc!D23)-ROW(Calc!$B$7)))=0,$AD$3,INDEX(Database!G$9:G$501,ROW(Calc!D23)-ROW(Calc!$B$7))),"")</f>
        <v>Not Set</v>
      </c>
      <c r="F23" s="124" t="str">
        <f>IFERROR(IF(LEN(INDEX(Database!F$9:F$501,ROW(Calc!E23)-ROW(Calc!$B$7)))=0,$AD$3,INDEX(Database!F$9:F$501,ROW(Calc!E23)-ROW(Calc!$B$7))),"")</f>
        <v>Not Set</v>
      </c>
      <c r="G23" s="128" t="str">
        <f>IFERROR(IF(LEN(INDEX(Database!H$9:H$501,ROW(Calc!F23)-ROW(Calc!$B$7)))=0,$AD$3,INDEX(Database!H$9:H$501,ROW(Calc!F23)-ROW(Calc!$B$7))),"")</f>
        <v>Not Set</v>
      </c>
      <c r="H23" s="128" t="str">
        <f>IFERROR(IF(LEN(INDEX(Database!I$9:I$501,ROW(Calc!G23)-ROW(Calc!$B$7)))=0,$AD$3,INDEX(Database!I$9:I$501,ROW(Calc!G23)-ROW(Calc!$B$7))),"")</f>
        <v>Not Set</v>
      </c>
      <c r="I23" s="128" t="str">
        <f>IFERROR(IF(LEN(INDEX(Database!J$9:J$501,ROW(Calc!H23)-ROW(Calc!$B$7)))=0,$AD$3,INDEX(Database!J$9:J$501,ROW(Calc!H23)-ROW(Calc!$B$7))),"")</f>
        <v>Not Set</v>
      </c>
      <c r="J23" s="128" t="str">
        <f t="shared" si="0"/>
        <v>Not Set</v>
      </c>
      <c r="K23" s="124" t="str">
        <f>IFERROR(IF(LEN(INDEX(Database!E$9:E$501,ROW(Calc!I23)-ROW(Calc!$B$7)))=0,"",INDEX(Database!E$9:E$501,ROW(Calc!I23)-ROW(Calc!$B$7))),"")</f>
        <v/>
      </c>
      <c r="L23" s="129" t="str">
        <f>IFERROR(IF(LEN(INDEX(Database!K$9:K$501,ROW(Calc!K23)-ROW(Calc!$B$7)))=0,$AD$3,INDEX(Database!K$9:K$501,ROW(Calc!K23)-ROW(Calc!$B$7))),"")</f>
        <v>Not Set</v>
      </c>
      <c r="M23" s="130" t="str">
        <f>IFERROR(IF(LEN(INDEX(Database!L$9:L$501,ROW(Calc!L23)-ROW(Calc!$B$7)))=0,$AD$3,INDEX(Database!L$9:L$501,ROW(Calc!L23)-ROW(Calc!$B$7))),"")</f>
        <v>Not Set</v>
      </c>
      <c r="N23" s="131" t="str">
        <f>IFERROR(IF(LEN(INDEX(Database!M$9:M$501,ROW(Calc!M23)-ROW(Calc!$B$7)))=0,"",INDEX(Database!M$9:M$501,ROW(Calc!M23)-ROW(Calc!$B$7))),"")</f>
        <v/>
      </c>
      <c r="O23" s="132" t="str">
        <f t="shared" si="9"/>
        <v/>
      </c>
      <c r="P23" s="125" t="str">
        <f t="shared" si="2"/>
        <v>Not Set</v>
      </c>
      <c r="Q23" s="125" t="str">
        <f t="shared" si="3"/>
        <v>Not Set</v>
      </c>
      <c r="R23" s="125" t="str">
        <f>IFERROR(IF(G23=$AD$3,$AD$3,INDEX(Kanban_Helper!$C$317:$C$328,MATCH(MONTH(G23),Kanban_Helper!$B$317:$B$328,0))&amp;" - "&amp;YEAR(G23)),"$AD$3")</f>
        <v>Not Set</v>
      </c>
      <c r="S23" s="125" t="str">
        <f>IFERROR(IF(I23=$AD$3,$AD$3,INDEX(Kanban_Helper!$C$317:$C$328,MATCH(MONTH(I23),Kanban_Helper!$B$317:$B$328,0))&amp;" - "&amp;YEAR(I23)),$AD$3)</f>
        <v>Not Set</v>
      </c>
      <c r="T23" s="125" t="str">
        <f t="shared" ca="1" si="10"/>
        <v/>
      </c>
      <c r="U23" s="125" t="str">
        <f t="shared" ca="1" si="11"/>
        <v/>
      </c>
      <c r="V23" s="125" t="str">
        <f t="shared" si="6"/>
        <v>Not Set</v>
      </c>
      <c r="W23" s="126" t="str">
        <f t="shared" si="12"/>
        <v/>
      </c>
      <c r="X23" s="126" t="str">
        <f t="shared" si="13"/>
        <v/>
      </c>
      <c r="Y23" s="125" t="str">
        <f>IFERROR(IF(LEN(D23)=0,"",IF(SUBTOTAL(3,E23:E23)=0,MIN($Y$7:Y22)-1,SUBTOTAL(3,$E$8:E23))),"")</f>
        <v/>
      </c>
      <c r="Z23" s="17"/>
      <c r="AA23" s="10"/>
      <c r="AB23" s="10"/>
      <c r="AC23" s="10"/>
      <c r="AD23" s="10"/>
      <c r="AE23" s="10"/>
      <c r="AF23" s="10"/>
      <c r="AG23" s="10"/>
      <c r="AH23" s="10"/>
      <c r="AI23" s="10"/>
      <c r="AJ23" s="10"/>
      <c r="AK23" s="10"/>
      <c r="AL23" s="10"/>
      <c r="AM23" s="10"/>
      <c r="AN23" s="10"/>
    </row>
    <row r="24" spans="2:40" hidden="1" x14ac:dyDescent="0.35">
      <c r="B24" s="15"/>
      <c r="C24" s="127" t="str">
        <f>IFERROR(IF(LEN(INDEX(Database!C$9:C$501,ROW(Calc!A24)-ROW(Calc!$B$7)))=0,"",INDEX(Database!C$9:C$501,ROW(Calc!A24)-ROW(Calc!$B$7))),"")</f>
        <v/>
      </c>
      <c r="D24" s="70" t="str">
        <f>IFERROR(IF(LEN(INDEX(Database!D$9:D$501,ROW(Calc!B24)-ROW(Calc!$B$7)))=0,"",INDEX(Database!D$9:D$501,ROW(Calc!B24)-ROW(Calc!$B$7))),"")</f>
        <v/>
      </c>
      <c r="E24" s="124" t="str">
        <f>IFERROR(IF(LEN(INDEX(Database!G$9:G$501,ROW(Calc!D24)-ROW(Calc!$B$7)))=0,$AD$3,INDEX(Database!G$9:G$501,ROW(Calc!D24)-ROW(Calc!$B$7))),"")</f>
        <v>Not Set</v>
      </c>
      <c r="F24" s="124" t="str">
        <f>IFERROR(IF(LEN(INDEX(Database!F$9:F$501,ROW(Calc!E24)-ROW(Calc!$B$7)))=0,$AD$3,INDEX(Database!F$9:F$501,ROW(Calc!E24)-ROW(Calc!$B$7))),"")</f>
        <v>Not Set</v>
      </c>
      <c r="G24" s="128" t="str">
        <f>IFERROR(IF(LEN(INDEX(Database!H$9:H$501,ROW(Calc!F24)-ROW(Calc!$B$7)))=0,$AD$3,INDEX(Database!H$9:H$501,ROW(Calc!F24)-ROW(Calc!$B$7))),"")</f>
        <v>Not Set</v>
      </c>
      <c r="H24" s="128" t="str">
        <f>IFERROR(IF(LEN(INDEX(Database!I$9:I$501,ROW(Calc!G24)-ROW(Calc!$B$7)))=0,$AD$3,INDEX(Database!I$9:I$501,ROW(Calc!G24)-ROW(Calc!$B$7))),"")</f>
        <v>Not Set</v>
      </c>
      <c r="I24" s="128" t="str">
        <f>IFERROR(IF(LEN(INDEX(Database!J$9:J$501,ROW(Calc!H24)-ROW(Calc!$B$7)))=0,$AD$3,INDEX(Database!J$9:J$501,ROW(Calc!H24)-ROW(Calc!$B$7))),"")</f>
        <v>Not Set</v>
      </c>
      <c r="J24" s="128" t="str">
        <f t="shared" si="0"/>
        <v>Not Set</v>
      </c>
      <c r="K24" s="124" t="str">
        <f>IFERROR(IF(LEN(INDEX(Database!E$9:E$501,ROW(Calc!I24)-ROW(Calc!$B$7)))=0,"",INDEX(Database!E$9:E$501,ROW(Calc!I24)-ROW(Calc!$B$7))),"")</f>
        <v/>
      </c>
      <c r="L24" s="129" t="str">
        <f>IFERROR(IF(LEN(INDEX(Database!K$9:K$501,ROW(Calc!K24)-ROW(Calc!$B$7)))=0,$AD$3,INDEX(Database!K$9:K$501,ROW(Calc!K24)-ROW(Calc!$B$7))),"")</f>
        <v>Not Set</v>
      </c>
      <c r="M24" s="130" t="str">
        <f>IFERROR(IF(LEN(INDEX(Database!L$9:L$501,ROW(Calc!L24)-ROW(Calc!$B$7)))=0,$AD$3,INDEX(Database!L$9:L$501,ROW(Calc!L24)-ROW(Calc!$B$7))),"")</f>
        <v>Not Set</v>
      </c>
      <c r="N24" s="131" t="str">
        <f>IFERROR(IF(LEN(INDEX(Database!M$9:M$501,ROW(Calc!M24)-ROW(Calc!$B$7)))=0,"",INDEX(Database!M$9:M$501,ROW(Calc!M24)-ROW(Calc!$B$7))),"")</f>
        <v/>
      </c>
      <c r="O24" s="132" t="str">
        <f t="shared" si="9"/>
        <v/>
      </c>
      <c r="P24" s="125" t="str">
        <f t="shared" si="2"/>
        <v>Not Set</v>
      </c>
      <c r="Q24" s="125" t="str">
        <f t="shared" si="3"/>
        <v>Not Set</v>
      </c>
      <c r="R24" s="125" t="str">
        <f>IFERROR(IF(G24=$AD$3,$AD$3,INDEX(Kanban_Helper!$C$317:$C$328,MATCH(MONTH(G24),Kanban_Helper!$B$317:$B$328,0))&amp;" - "&amp;YEAR(G24)),"$AD$3")</f>
        <v>Not Set</v>
      </c>
      <c r="S24" s="125" t="str">
        <f>IFERROR(IF(I24=$AD$3,$AD$3,INDEX(Kanban_Helper!$C$317:$C$328,MATCH(MONTH(I24),Kanban_Helper!$B$317:$B$328,0))&amp;" - "&amp;YEAR(I24)),$AD$3)</f>
        <v>Not Set</v>
      </c>
      <c r="T24" s="125" t="str">
        <f t="shared" ca="1" si="10"/>
        <v/>
      </c>
      <c r="U24" s="125" t="str">
        <f t="shared" ca="1" si="11"/>
        <v/>
      </c>
      <c r="V24" s="125" t="str">
        <f t="shared" si="6"/>
        <v>Not Set</v>
      </c>
      <c r="W24" s="126" t="str">
        <f t="shared" si="12"/>
        <v/>
      </c>
      <c r="X24" s="126" t="str">
        <f t="shared" si="13"/>
        <v/>
      </c>
      <c r="Y24" s="125" t="str">
        <f>IFERROR(IF(LEN(D24)=0,"",IF(SUBTOTAL(3,E24:E24)=0,MIN($Y$7:Y23)-1,SUBTOTAL(3,$E$8:E24))),"")</f>
        <v/>
      </c>
      <c r="Z24" s="17"/>
      <c r="AA24" s="10"/>
      <c r="AB24" s="10"/>
      <c r="AC24" s="10"/>
      <c r="AD24" s="10"/>
      <c r="AE24" s="10"/>
      <c r="AF24" s="10"/>
      <c r="AG24" s="10"/>
      <c r="AH24" s="10"/>
      <c r="AI24" s="10"/>
      <c r="AJ24" s="10"/>
      <c r="AK24" s="10"/>
      <c r="AL24" s="10"/>
      <c r="AM24" s="10"/>
      <c r="AN24" s="10"/>
    </row>
    <row r="25" spans="2:40" hidden="1" x14ac:dyDescent="0.35">
      <c r="B25" s="15"/>
      <c r="C25" s="127" t="str">
        <f>IFERROR(IF(LEN(INDEX(Database!C$9:C$501,ROW(Calc!A25)-ROW(Calc!$B$7)))=0,"",INDEX(Database!C$9:C$501,ROW(Calc!A25)-ROW(Calc!$B$7))),"")</f>
        <v/>
      </c>
      <c r="D25" s="70" t="str">
        <f>IFERROR(IF(LEN(INDEX(Database!D$9:D$501,ROW(Calc!B25)-ROW(Calc!$B$7)))=0,"",INDEX(Database!D$9:D$501,ROW(Calc!B25)-ROW(Calc!$B$7))),"")</f>
        <v/>
      </c>
      <c r="E25" s="124" t="str">
        <f>IFERROR(IF(LEN(INDEX(Database!G$9:G$501,ROW(Calc!D25)-ROW(Calc!$B$7)))=0,$AD$3,INDEX(Database!G$9:G$501,ROW(Calc!D25)-ROW(Calc!$B$7))),"")</f>
        <v>Not Set</v>
      </c>
      <c r="F25" s="124" t="str">
        <f>IFERROR(IF(LEN(INDEX(Database!F$9:F$501,ROW(Calc!E25)-ROW(Calc!$B$7)))=0,$AD$3,INDEX(Database!F$9:F$501,ROW(Calc!E25)-ROW(Calc!$B$7))),"")</f>
        <v>Not Set</v>
      </c>
      <c r="G25" s="128" t="str">
        <f>IFERROR(IF(LEN(INDEX(Database!H$9:H$501,ROW(Calc!F25)-ROW(Calc!$B$7)))=0,$AD$3,INDEX(Database!H$9:H$501,ROW(Calc!F25)-ROW(Calc!$B$7))),"")</f>
        <v>Not Set</v>
      </c>
      <c r="H25" s="128" t="str">
        <f>IFERROR(IF(LEN(INDEX(Database!I$9:I$501,ROW(Calc!G25)-ROW(Calc!$B$7)))=0,$AD$3,INDEX(Database!I$9:I$501,ROW(Calc!G25)-ROW(Calc!$B$7))),"")</f>
        <v>Not Set</v>
      </c>
      <c r="I25" s="128" t="str">
        <f>IFERROR(IF(LEN(INDEX(Database!J$9:J$501,ROW(Calc!H25)-ROW(Calc!$B$7)))=0,$AD$3,INDEX(Database!J$9:J$501,ROW(Calc!H25)-ROW(Calc!$B$7))),"")</f>
        <v>Not Set</v>
      </c>
      <c r="J25" s="128" t="str">
        <f t="shared" si="0"/>
        <v>Not Set</v>
      </c>
      <c r="K25" s="124" t="str">
        <f>IFERROR(IF(LEN(INDEX(Database!E$9:E$501,ROW(Calc!I25)-ROW(Calc!$B$7)))=0,"",INDEX(Database!E$9:E$501,ROW(Calc!I25)-ROW(Calc!$B$7))),"")</f>
        <v/>
      </c>
      <c r="L25" s="129" t="str">
        <f>IFERROR(IF(LEN(INDEX(Database!K$9:K$501,ROW(Calc!K25)-ROW(Calc!$B$7)))=0,$AD$3,INDEX(Database!K$9:K$501,ROW(Calc!K25)-ROW(Calc!$B$7))),"")</f>
        <v>Not Set</v>
      </c>
      <c r="M25" s="130" t="str">
        <f>IFERROR(IF(LEN(INDEX(Database!L$9:L$501,ROW(Calc!L25)-ROW(Calc!$B$7)))=0,$AD$3,INDEX(Database!L$9:L$501,ROW(Calc!L25)-ROW(Calc!$B$7))),"")</f>
        <v>Not Set</v>
      </c>
      <c r="N25" s="131" t="str">
        <f>IFERROR(IF(LEN(INDEX(Database!M$9:M$501,ROW(Calc!M25)-ROW(Calc!$B$7)))=0,"",INDEX(Database!M$9:M$501,ROW(Calc!M25)-ROW(Calc!$B$7))),"")</f>
        <v/>
      </c>
      <c r="O25" s="132" t="str">
        <f t="shared" si="9"/>
        <v/>
      </c>
      <c r="P25" s="125" t="str">
        <f t="shared" si="2"/>
        <v>Not Set</v>
      </c>
      <c r="Q25" s="125" t="str">
        <f t="shared" si="3"/>
        <v>Not Set</v>
      </c>
      <c r="R25" s="125" t="str">
        <f>IFERROR(IF(G25=$AD$3,$AD$3,INDEX(Kanban_Helper!$C$317:$C$328,MATCH(MONTH(G25),Kanban_Helper!$B$317:$B$328,0))&amp;" - "&amp;YEAR(G25)),"$AD$3")</f>
        <v>Not Set</v>
      </c>
      <c r="S25" s="125" t="str">
        <f>IFERROR(IF(I25=$AD$3,$AD$3,INDEX(Kanban_Helper!$C$317:$C$328,MATCH(MONTH(I25),Kanban_Helper!$B$317:$B$328,0))&amp;" - "&amp;YEAR(I25)),$AD$3)</f>
        <v>Not Set</v>
      </c>
      <c r="T25" s="125" t="str">
        <f t="shared" ca="1" si="10"/>
        <v/>
      </c>
      <c r="U25" s="125" t="str">
        <f t="shared" ca="1" si="11"/>
        <v/>
      </c>
      <c r="V25" s="125" t="str">
        <f t="shared" si="6"/>
        <v>Not Set</v>
      </c>
      <c r="W25" s="126" t="str">
        <f t="shared" si="12"/>
        <v/>
      </c>
      <c r="X25" s="126" t="str">
        <f t="shared" si="13"/>
        <v/>
      </c>
      <c r="Y25" s="125" t="str">
        <f>IFERROR(IF(LEN(D25)=0,"",IF(SUBTOTAL(3,E25:E25)=0,MIN($Y$7:Y24)-1,SUBTOTAL(3,$E$8:E25))),"")</f>
        <v/>
      </c>
      <c r="Z25" s="17"/>
      <c r="AA25" s="10"/>
      <c r="AB25" s="10"/>
      <c r="AC25" s="10"/>
      <c r="AD25" s="10"/>
      <c r="AE25" s="10"/>
      <c r="AF25" s="10"/>
      <c r="AG25" s="10"/>
      <c r="AH25" s="10"/>
      <c r="AI25" s="10"/>
      <c r="AJ25" s="10"/>
      <c r="AK25" s="10"/>
      <c r="AL25" s="10"/>
      <c r="AM25" s="10"/>
      <c r="AN25" s="10"/>
    </row>
    <row r="26" spans="2:40" hidden="1" x14ac:dyDescent="0.35">
      <c r="B26" s="15"/>
      <c r="C26" s="127" t="str">
        <f>IFERROR(IF(LEN(INDEX(Database!C$9:C$501,ROW(Calc!A26)-ROW(Calc!$B$7)))=0,"",INDEX(Database!C$9:C$501,ROW(Calc!A26)-ROW(Calc!$B$7))),"")</f>
        <v/>
      </c>
      <c r="D26" s="70" t="str">
        <f>IFERROR(IF(LEN(INDEX(Database!D$9:D$501,ROW(Calc!B26)-ROW(Calc!$B$7)))=0,"",INDEX(Database!D$9:D$501,ROW(Calc!B26)-ROW(Calc!$B$7))),"")</f>
        <v/>
      </c>
      <c r="E26" s="124" t="str">
        <f>IFERROR(IF(LEN(INDEX(Database!G$9:G$501,ROW(Calc!D26)-ROW(Calc!$B$7)))=0,$AD$3,INDEX(Database!G$9:G$501,ROW(Calc!D26)-ROW(Calc!$B$7))),"")</f>
        <v>Not Set</v>
      </c>
      <c r="F26" s="124" t="str">
        <f>IFERROR(IF(LEN(INDEX(Database!F$9:F$501,ROW(Calc!E26)-ROW(Calc!$B$7)))=0,$AD$3,INDEX(Database!F$9:F$501,ROW(Calc!E26)-ROW(Calc!$B$7))),"")</f>
        <v>Not Set</v>
      </c>
      <c r="G26" s="128" t="str">
        <f>IFERROR(IF(LEN(INDEX(Database!H$9:H$501,ROW(Calc!F26)-ROW(Calc!$B$7)))=0,$AD$3,INDEX(Database!H$9:H$501,ROW(Calc!F26)-ROW(Calc!$B$7))),"")</f>
        <v>Not Set</v>
      </c>
      <c r="H26" s="128" t="str">
        <f>IFERROR(IF(LEN(INDEX(Database!I$9:I$501,ROW(Calc!G26)-ROW(Calc!$B$7)))=0,$AD$3,INDEX(Database!I$9:I$501,ROW(Calc!G26)-ROW(Calc!$B$7))),"")</f>
        <v>Not Set</v>
      </c>
      <c r="I26" s="128" t="str">
        <f>IFERROR(IF(LEN(INDEX(Database!J$9:J$501,ROW(Calc!H26)-ROW(Calc!$B$7)))=0,$AD$3,INDEX(Database!J$9:J$501,ROW(Calc!H26)-ROW(Calc!$B$7))),"")</f>
        <v>Not Set</v>
      </c>
      <c r="J26" s="128" t="str">
        <f t="shared" si="0"/>
        <v>Not Set</v>
      </c>
      <c r="K26" s="124" t="str">
        <f>IFERROR(IF(LEN(INDEX(Database!E$9:E$501,ROW(Calc!I26)-ROW(Calc!$B$7)))=0,"",INDEX(Database!E$9:E$501,ROW(Calc!I26)-ROW(Calc!$B$7))),"")</f>
        <v/>
      </c>
      <c r="L26" s="129" t="str">
        <f>IFERROR(IF(LEN(INDEX(Database!K$9:K$501,ROW(Calc!K26)-ROW(Calc!$B$7)))=0,$AD$3,INDEX(Database!K$9:K$501,ROW(Calc!K26)-ROW(Calc!$B$7))),"")</f>
        <v>Not Set</v>
      </c>
      <c r="M26" s="130" t="str">
        <f>IFERROR(IF(LEN(INDEX(Database!L$9:L$501,ROW(Calc!L26)-ROW(Calc!$B$7)))=0,$AD$3,INDEX(Database!L$9:L$501,ROW(Calc!L26)-ROW(Calc!$B$7))),"")</f>
        <v>Not Set</v>
      </c>
      <c r="N26" s="131" t="str">
        <f>IFERROR(IF(LEN(INDEX(Database!M$9:M$501,ROW(Calc!M26)-ROW(Calc!$B$7)))=0,"",INDEX(Database!M$9:M$501,ROW(Calc!M26)-ROW(Calc!$B$7))),"")</f>
        <v/>
      </c>
      <c r="O26" s="132" t="str">
        <f t="shared" si="9"/>
        <v/>
      </c>
      <c r="P26" s="125" t="str">
        <f t="shared" si="2"/>
        <v>Not Set</v>
      </c>
      <c r="Q26" s="125" t="str">
        <f t="shared" si="3"/>
        <v>Not Set</v>
      </c>
      <c r="R26" s="125" t="str">
        <f>IFERROR(IF(G26=$AD$3,$AD$3,INDEX(Kanban_Helper!$C$317:$C$328,MATCH(MONTH(G26),Kanban_Helper!$B$317:$B$328,0))&amp;" - "&amp;YEAR(G26)),"$AD$3")</f>
        <v>Not Set</v>
      </c>
      <c r="S26" s="125" t="str">
        <f>IFERROR(IF(I26=$AD$3,$AD$3,INDEX(Kanban_Helper!$C$317:$C$328,MATCH(MONTH(I26),Kanban_Helper!$B$317:$B$328,0))&amp;" - "&amp;YEAR(I26)),$AD$3)</f>
        <v>Not Set</v>
      </c>
      <c r="T26" s="125" t="str">
        <f t="shared" ca="1" si="10"/>
        <v/>
      </c>
      <c r="U26" s="125" t="str">
        <f t="shared" ca="1" si="11"/>
        <v/>
      </c>
      <c r="V26" s="125" t="str">
        <f t="shared" si="6"/>
        <v>Not Set</v>
      </c>
      <c r="W26" s="126" t="str">
        <f t="shared" si="12"/>
        <v/>
      </c>
      <c r="X26" s="126" t="str">
        <f t="shared" si="13"/>
        <v/>
      </c>
      <c r="Y26" s="125" t="str">
        <f>IFERROR(IF(LEN(D26)=0,"",IF(SUBTOTAL(3,E26:E26)=0,MIN($Y$7:Y25)-1,SUBTOTAL(3,$E$8:E26))),"")</f>
        <v/>
      </c>
      <c r="Z26" s="17"/>
      <c r="AA26" s="10"/>
      <c r="AB26" s="10"/>
      <c r="AC26" s="10"/>
      <c r="AD26" s="10"/>
      <c r="AE26" s="10"/>
      <c r="AF26" s="10"/>
      <c r="AG26" s="10"/>
      <c r="AH26" s="10"/>
      <c r="AI26" s="10"/>
      <c r="AJ26" s="10"/>
      <c r="AK26" s="10"/>
      <c r="AL26" s="10"/>
      <c r="AM26" s="10"/>
      <c r="AN26" s="10"/>
    </row>
    <row r="27" spans="2:40" hidden="1" x14ac:dyDescent="0.35">
      <c r="B27" s="15"/>
      <c r="C27" s="127" t="str">
        <f>IFERROR(IF(LEN(INDEX(Database!C$9:C$501,ROW(Calc!A27)-ROW(Calc!$B$7)))=0,"",INDEX(Database!C$9:C$501,ROW(Calc!A27)-ROW(Calc!$B$7))),"")</f>
        <v/>
      </c>
      <c r="D27" s="70" t="str">
        <f>IFERROR(IF(LEN(INDEX(Database!D$9:D$501,ROW(Calc!B27)-ROW(Calc!$B$7)))=0,"",INDEX(Database!D$9:D$501,ROW(Calc!B27)-ROW(Calc!$B$7))),"")</f>
        <v/>
      </c>
      <c r="E27" s="124" t="str">
        <f>IFERROR(IF(LEN(INDEX(Database!G$9:G$501,ROW(Calc!D27)-ROW(Calc!$B$7)))=0,$AD$3,INDEX(Database!G$9:G$501,ROW(Calc!D27)-ROW(Calc!$B$7))),"")</f>
        <v>Not Set</v>
      </c>
      <c r="F27" s="124" t="str">
        <f>IFERROR(IF(LEN(INDEX(Database!F$9:F$501,ROW(Calc!E27)-ROW(Calc!$B$7)))=0,$AD$3,INDEX(Database!F$9:F$501,ROW(Calc!E27)-ROW(Calc!$B$7))),"")</f>
        <v>Not Set</v>
      </c>
      <c r="G27" s="128" t="str">
        <f>IFERROR(IF(LEN(INDEX(Database!H$9:H$501,ROW(Calc!F27)-ROW(Calc!$B$7)))=0,$AD$3,INDEX(Database!H$9:H$501,ROW(Calc!F27)-ROW(Calc!$B$7))),"")</f>
        <v>Not Set</v>
      </c>
      <c r="H27" s="128" t="str">
        <f>IFERROR(IF(LEN(INDEX(Database!I$9:I$501,ROW(Calc!G27)-ROW(Calc!$B$7)))=0,$AD$3,INDEX(Database!I$9:I$501,ROW(Calc!G27)-ROW(Calc!$B$7))),"")</f>
        <v>Not Set</v>
      </c>
      <c r="I27" s="128" t="str">
        <f>IFERROR(IF(LEN(INDEX(Database!J$9:J$501,ROW(Calc!H27)-ROW(Calc!$B$7)))=0,$AD$3,INDEX(Database!J$9:J$501,ROW(Calc!H27)-ROW(Calc!$B$7))),"")</f>
        <v>Not Set</v>
      </c>
      <c r="J27" s="128" t="str">
        <f t="shared" si="0"/>
        <v>Not Set</v>
      </c>
      <c r="K27" s="124" t="str">
        <f>IFERROR(IF(LEN(INDEX(Database!E$9:E$501,ROW(Calc!I27)-ROW(Calc!$B$7)))=0,"",INDEX(Database!E$9:E$501,ROW(Calc!I27)-ROW(Calc!$B$7))),"")</f>
        <v/>
      </c>
      <c r="L27" s="129" t="str">
        <f>IFERROR(IF(LEN(INDEX(Database!K$9:K$501,ROW(Calc!K27)-ROW(Calc!$B$7)))=0,$AD$3,INDEX(Database!K$9:K$501,ROW(Calc!K27)-ROW(Calc!$B$7))),"")</f>
        <v>Not Set</v>
      </c>
      <c r="M27" s="130" t="str">
        <f>IFERROR(IF(LEN(INDEX(Database!L$9:L$501,ROW(Calc!L27)-ROW(Calc!$B$7)))=0,$AD$3,INDEX(Database!L$9:L$501,ROW(Calc!L27)-ROW(Calc!$B$7))),"")</f>
        <v>Not Set</v>
      </c>
      <c r="N27" s="131" t="str">
        <f>IFERROR(IF(LEN(INDEX(Database!M$9:M$501,ROW(Calc!M27)-ROW(Calc!$B$7)))=0,"",INDEX(Database!M$9:M$501,ROW(Calc!M27)-ROW(Calc!$B$7))),"")</f>
        <v/>
      </c>
      <c r="O27" s="132" t="str">
        <f t="shared" si="9"/>
        <v/>
      </c>
      <c r="P27" s="125" t="str">
        <f t="shared" si="2"/>
        <v>Not Set</v>
      </c>
      <c r="Q27" s="125" t="str">
        <f t="shared" si="3"/>
        <v>Not Set</v>
      </c>
      <c r="R27" s="125" t="str">
        <f>IFERROR(IF(G27=$AD$3,$AD$3,INDEX(Kanban_Helper!$C$317:$C$328,MATCH(MONTH(G27),Kanban_Helper!$B$317:$B$328,0))&amp;" - "&amp;YEAR(G27)),"$AD$3")</f>
        <v>Not Set</v>
      </c>
      <c r="S27" s="125" t="str">
        <f>IFERROR(IF(I27=$AD$3,$AD$3,INDEX(Kanban_Helper!$C$317:$C$328,MATCH(MONTH(I27),Kanban_Helper!$B$317:$B$328,0))&amp;" - "&amp;YEAR(I27)),$AD$3)</f>
        <v>Not Set</v>
      </c>
      <c r="T27" s="125" t="str">
        <f t="shared" ca="1" si="10"/>
        <v/>
      </c>
      <c r="U27" s="125" t="str">
        <f t="shared" ca="1" si="11"/>
        <v/>
      </c>
      <c r="V27" s="125" t="str">
        <f t="shared" si="6"/>
        <v>Not Set</v>
      </c>
      <c r="W27" s="126" t="str">
        <f t="shared" si="12"/>
        <v/>
      </c>
      <c r="X27" s="126" t="str">
        <f t="shared" si="13"/>
        <v/>
      </c>
      <c r="Y27" s="125" t="str">
        <f>IFERROR(IF(LEN(D27)=0,"",IF(SUBTOTAL(3,E27:E27)=0,MIN($Y$7:Y26)-1,SUBTOTAL(3,$E$8:E27))),"")</f>
        <v/>
      </c>
      <c r="Z27" s="17"/>
      <c r="AA27" s="10"/>
      <c r="AB27" s="10"/>
      <c r="AC27" s="10"/>
      <c r="AD27" s="10"/>
      <c r="AE27" s="10"/>
      <c r="AF27" s="10"/>
      <c r="AG27" s="10"/>
      <c r="AH27" s="10"/>
      <c r="AI27" s="10"/>
      <c r="AJ27" s="10"/>
      <c r="AK27" s="10"/>
      <c r="AL27" s="10"/>
      <c r="AM27" s="10"/>
      <c r="AN27" s="10"/>
    </row>
    <row r="28" spans="2:40" hidden="1" x14ac:dyDescent="0.35">
      <c r="B28" s="15"/>
      <c r="C28" s="127" t="str">
        <f>IFERROR(IF(LEN(INDEX(Database!C$9:C$501,ROW(Calc!A28)-ROW(Calc!$B$7)))=0,"",INDEX(Database!C$9:C$501,ROW(Calc!A28)-ROW(Calc!$B$7))),"")</f>
        <v/>
      </c>
      <c r="D28" s="70" t="str">
        <f>IFERROR(IF(LEN(INDEX(Database!D$9:D$501,ROW(Calc!B28)-ROW(Calc!$B$7)))=0,"",INDEX(Database!D$9:D$501,ROW(Calc!B28)-ROW(Calc!$B$7))),"")</f>
        <v/>
      </c>
      <c r="E28" s="124" t="str">
        <f>IFERROR(IF(LEN(INDEX(Database!G$9:G$501,ROW(Calc!D28)-ROW(Calc!$B$7)))=0,$AD$3,INDEX(Database!G$9:G$501,ROW(Calc!D28)-ROW(Calc!$B$7))),"")</f>
        <v>Not Set</v>
      </c>
      <c r="F28" s="124" t="str">
        <f>IFERROR(IF(LEN(INDEX(Database!F$9:F$501,ROW(Calc!E28)-ROW(Calc!$B$7)))=0,$AD$3,INDEX(Database!F$9:F$501,ROW(Calc!E28)-ROW(Calc!$B$7))),"")</f>
        <v>Not Set</v>
      </c>
      <c r="G28" s="128" t="str">
        <f>IFERROR(IF(LEN(INDEX(Database!H$9:H$501,ROW(Calc!F28)-ROW(Calc!$B$7)))=0,$AD$3,INDEX(Database!H$9:H$501,ROW(Calc!F28)-ROW(Calc!$B$7))),"")</f>
        <v>Not Set</v>
      </c>
      <c r="H28" s="128" t="str">
        <f>IFERROR(IF(LEN(INDEX(Database!I$9:I$501,ROW(Calc!G28)-ROW(Calc!$B$7)))=0,$AD$3,INDEX(Database!I$9:I$501,ROW(Calc!G28)-ROW(Calc!$B$7))),"")</f>
        <v>Not Set</v>
      </c>
      <c r="I28" s="128" t="str">
        <f>IFERROR(IF(LEN(INDEX(Database!J$9:J$501,ROW(Calc!H28)-ROW(Calc!$B$7)))=0,$AD$3,INDEX(Database!J$9:J$501,ROW(Calc!H28)-ROW(Calc!$B$7))),"")</f>
        <v>Not Set</v>
      </c>
      <c r="J28" s="128" t="str">
        <f t="shared" si="0"/>
        <v>Not Set</v>
      </c>
      <c r="K28" s="124" t="str">
        <f>IFERROR(IF(LEN(INDEX(Database!E$9:E$501,ROW(Calc!I28)-ROW(Calc!$B$7)))=0,"",INDEX(Database!E$9:E$501,ROW(Calc!I28)-ROW(Calc!$B$7))),"")</f>
        <v/>
      </c>
      <c r="L28" s="129" t="str">
        <f>IFERROR(IF(LEN(INDEX(Database!K$9:K$501,ROW(Calc!K28)-ROW(Calc!$B$7)))=0,$AD$3,INDEX(Database!K$9:K$501,ROW(Calc!K28)-ROW(Calc!$B$7))),"")</f>
        <v>Not Set</v>
      </c>
      <c r="M28" s="130" t="str">
        <f>IFERROR(IF(LEN(INDEX(Database!L$9:L$501,ROW(Calc!L28)-ROW(Calc!$B$7)))=0,$AD$3,INDEX(Database!L$9:L$501,ROW(Calc!L28)-ROW(Calc!$B$7))),"")</f>
        <v>Not Set</v>
      </c>
      <c r="N28" s="131" t="str">
        <f>IFERROR(IF(LEN(INDEX(Database!M$9:M$501,ROW(Calc!M28)-ROW(Calc!$B$7)))=0,"",INDEX(Database!M$9:M$501,ROW(Calc!M28)-ROW(Calc!$B$7))),"")</f>
        <v/>
      </c>
      <c r="O28" s="132" t="str">
        <f t="shared" si="9"/>
        <v/>
      </c>
      <c r="P28" s="125" t="str">
        <f t="shared" si="2"/>
        <v>Not Set</v>
      </c>
      <c r="Q28" s="125" t="str">
        <f t="shared" si="3"/>
        <v>Not Set</v>
      </c>
      <c r="R28" s="125" t="str">
        <f>IFERROR(IF(G28=$AD$3,$AD$3,INDEX(Kanban_Helper!$C$317:$C$328,MATCH(MONTH(G28),Kanban_Helper!$B$317:$B$328,0))&amp;" - "&amp;YEAR(G28)),"$AD$3")</f>
        <v>Not Set</v>
      </c>
      <c r="S28" s="125" t="str">
        <f>IFERROR(IF(I28=$AD$3,$AD$3,INDEX(Kanban_Helper!$C$317:$C$328,MATCH(MONTH(I28),Kanban_Helper!$B$317:$B$328,0))&amp;" - "&amp;YEAR(I28)),$AD$3)</f>
        <v>Not Set</v>
      </c>
      <c r="T28" s="125" t="str">
        <f t="shared" ca="1" si="10"/>
        <v/>
      </c>
      <c r="U28" s="125" t="str">
        <f t="shared" ca="1" si="11"/>
        <v/>
      </c>
      <c r="V28" s="125" t="str">
        <f t="shared" si="6"/>
        <v>Not Set</v>
      </c>
      <c r="W28" s="126" t="str">
        <f t="shared" si="12"/>
        <v/>
      </c>
      <c r="X28" s="126" t="str">
        <f t="shared" si="13"/>
        <v/>
      </c>
      <c r="Y28" s="125" t="str">
        <f>IFERROR(IF(LEN(D28)=0,"",IF(SUBTOTAL(3,E28:E28)=0,MIN($Y$7:Y27)-1,SUBTOTAL(3,$E$8:E28))),"")</f>
        <v/>
      </c>
      <c r="Z28" s="17"/>
      <c r="AA28" s="10"/>
      <c r="AB28" s="10"/>
      <c r="AC28" s="10"/>
      <c r="AD28" s="10"/>
      <c r="AE28" s="10"/>
      <c r="AF28" s="10"/>
      <c r="AG28" s="10"/>
      <c r="AH28" s="10"/>
      <c r="AI28" s="10"/>
      <c r="AJ28" s="10"/>
      <c r="AK28" s="10"/>
      <c r="AL28" s="10"/>
      <c r="AM28" s="10"/>
      <c r="AN28" s="10"/>
    </row>
    <row r="29" spans="2:40" hidden="1" x14ac:dyDescent="0.35">
      <c r="B29" s="15"/>
      <c r="C29" s="127" t="str">
        <f>IFERROR(IF(LEN(INDEX(Database!C$9:C$501,ROW(Calc!A29)-ROW(Calc!$B$7)))=0,"",INDEX(Database!C$9:C$501,ROW(Calc!A29)-ROW(Calc!$B$7))),"")</f>
        <v/>
      </c>
      <c r="D29" s="70" t="str">
        <f>IFERROR(IF(LEN(INDEX(Database!D$9:D$501,ROW(Calc!B29)-ROW(Calc!$B$7)))=0,"",INDEX(Database!D$9:D$501,ROW(Calc!B29)-ROW(Calc!$B$7))),"")</f>
        <v/>
      </c>
      <c r="E29" s="124" t="str">
        <f>IFERROR(IF(LEN(INDEX(Database!G$9:G$501,ROW(Calc!D29)-ROW(Calc!$B$7)))=0,$AD$3,INDEX(Database!G$9:G$501,ROW(Calc!D29)-ROW(Calc!$B$7))),"")</f>
        <v>Not Set</v>
      </c>
      <c r="F29" s="124" t="str">
        <f>IFERROR(IF(LEN(INDEX(Database!F$9:F$501,ROW(Calc!E29)-ROW(Calc!$B$7)))=0,$AD$3,INDEX(Database!F$9:F$501,ROW(Calc!E29)-ROW(Calc!$B$7))),"")</f>
        <v>Not Set</v>
      </c>
      <c r="G29" s="128" t="str">
        <f>IFERROR(IF(LEN(INDEX(Database!H$9:H$501,ROW(Calc!F29)-ROW(Calc!$B$7)))=0,$AD$3,INDEX(Database!H$9:H$501,ROW(Calc!F29)-ROW(Calc!$B$7))),"")</f>
        <v>Not Set</v>
      </c>
      <c r="H29" s="128" t="str">
        <f>IFERROR(IF(LEN(INDEX(Database!I$9:I$501,ROW(Calc!G29)-ROW(Calc!$B$7)))=0,$AD$3,INDEX(Database!I$9:I$501,ROW(Calc!G29)-ROW(Calc!$B$7))),"")</f>
        <v>Not Set</v>
      </c>
      <c r="I29" s="128" t="str">
        <f>IFERROR(IF(LEN(INDEX(Database!J$9:J$501,ROW(Calc!H29)-ROW(Calc!$B$7)))=0,$AD$3,INDEX(Database!J$9:J$501,ROW(Calc!H29)-ROW(Calc!$B$7))),"")</f>
        <v>Not Set</v>
      </c>
      <c r="J29" s="128" t="str">
        <f t="shared" si="0"/>
        <v>Not Set</v>
      </c>
      <c r="K29" s="124" t="str">
        <f>IFERROR(IF(LEN(INDEX(Database!E$9:E$501,ROW(Calc!I29)-ROW(Calc!$B$7)))=0,"",INDEX(Database!E$9:E$501,ROW(Calc!I29)-ROW(Calc!$B$7))),"")</f>
        <v/>
      </c>
      <c r="L29" s="129" t="str">
        <f>IFERROR(IF(LEN(INDEX(Database!K$9:K$501,ROW(Calc!K29)-ROW(Calc!$B$7)))=0,$AD$3,INDEX(Database!K$9:K$501,ROW(Calc!K29)-ROW(Calc!$B$7))),"")</f>
        <v>Not Set</v>
      </c>
      <c r="M29" s="130" t="str">
        <f>IFERROR(IF(LEN(INDEX(Database!L$9:L$501,ROW(Calc!L29)-ROW(Calc!$B$7)))=0,$AD$3,INDEX(Database!L$9:L$501,ROW(Calc!L29)-ROW(Calc!$B$7))),"")</f>
        <v>Not Set</v>
      </c>
      <c r="N29" s="131" t="str">
        <f>IFERROR(IF(LEN(INDEX(Database!M$9:M$501,ROW(Calc!M29)-ROW(Calc!$B$7)))=0,"",INDEX(Database!M$9:M$501,ROW(Calc!M29)-ROW(Calc!$B$7))),"")</f>
        <v/>
      </c>
      <c r="O29" s="132" t="str">
        <f t="shared" si="9"/>
        <v/>
      </c>
      <c r="P29" s="125" t="str">
        <f t="shared" si="2"/>
        <v>Not Set</v>
      </c>
      <c r="Q29" s="125" t="str">
        <f t="shared" si="3"/>
        <v>Not Set</v>
      </c>
      <c r="R29" s="125" t="str">
        <f>IFERROR(IF(G29=$AD$3,$AD$3,INDEX(Kanban_Helper!$C$317:$C$328,MATCH(MONTH(G29),Kanban_Helper!$B$317:$B$328,0))&amp;" - "&amp;YEAR(G29)),"$AD$3")</f>
        <v>Not Set</v>
      </c>
      <c r="S29" s="125" t="str">
        <f>IFERROR(IF(I29=$AD$3,$AD$3,INDEX(Kanban_Helper!$C$317:$C$328,MATCH(MONTH(I29),Kanban_Helper!$B$317:$B$328,0))&amp;" - "&amp;YEAR(I29)),$AD$3)</f>
        <v>Not Set</v>
      </c>
      <c r="T29" s="125" t="str">
        <f t="shared" ca="1" si="10"/>
        <v/>
      </c>
      <c r="U29" s="125" t="str">
        <f t="shared" ca="1" si="11"/>
        <v/>
      </c>
      <c r="V29" s="125" t="str">
        <f t="shared" si="6"/>
        <v>Not Set</v>
      </c>
      <c r="W29" s="126" t="str">
        <f t="shared" si="12"/>
        <v/>
      </c>
      <c r="X29" s="126" t="str">
        <f t="shared" si="13"/>
        <v/>
      </c>
      <c r="Y29" s="125" t="str">
        <f>IFERROR(IF(LEN(D29)=0,"",IF(SUBTOTAL(3,E29:E29)=0,MIN($Y$7:Y28)-1,SUBTOTAL(3,$E$8:E29))),"")</f>
        <v/>
      </c>
      <c r="Z29" s="17"/>
      <c r="AA29" s="10"/>
      <c r="AB29" s="10"/>
      <c r="AC29" s="10"/>
      <c r="AD29" s="10"/>
      <c r="AE29" s="10"/>
      <c r="AF29" s="10"/>
      <c r="AG29" s="10"/>
      <c r="AH29" s="10"/>
      <c r="AI29" s="10"/>
      <c r="AJ29" s="10"/>
      <c r="AK29" s="10"/>
      <c r="AL29" s="10"/>
      <c r="AM29" s="10"/>
      <c r="AN29" s="10"/>
    </row>
    <row r="30" spans="2:40" hidden="1" x14ac:dyDescent="0.35">
      <c r="B30" s="15"/>
      <c r="C30" s="127" t="str">
        <f>IFERROR(IF(LEN(INDEX(Database!C$9:C$501,ROW(Calc!A30)-ROW(Calc!$B$7)))=0,"",INDEX(Database!C$9:C$501,ROW(Calc!A30)-ROW(Calc!$B$7))),"")</f>
        <v/>
      </c>
      <c r="D30" s="70" t="str">
        <f>IFERROR(IF(LEN(INDEX(Database!D$9:D$501,ROW(Calc!B30)-ROW(Calc!$B$7)))=0,"",INDEX(Database!D$9:D$501,ROW(Calc!B30)-ROW(Calc!$B$7))),"")</f>
        <v/>
      </c>
      <c r="E30" s="124" t="str">
        <f>IFERROR(IF(LEN(INDEX(Database!G$9:G$501,ROW(Calc!D30)-ROW(Calc!$B$7)))=0,$AD$3,INDEX(Database!G$9:G$501,ROW(Calc!D30)-ROW(Calc!$B$7))),"")</f>
        <v>Not Set</v>
      </c>
      <c r="F30" s="124" t="str">
        <f>IFERROR(IF(LEN(INDEX(Database!F$9:F$501,ROW(Calc!E30)-ROW(Calc!$B$7)))=0,$AD$3,INDEX(Database!F$9:F$501,ROW(Calc!E30)-ROW(Calc!$B$7))),"")</f>
        <v>Not Set</v>
      </c>
      <c r="G30" s="128" t="str">
        <f>IFERROR(IF(LEN(INDEX(Database!H$9:H$501,ROW(Calc!F30)-ROW(Calc!$B$7)))=0,$AD$3,INDEX(Database!H$9:H$501,ROW(Calc!F30)-ROW(Calc!$B$7))),"")</f>
        <v>Not Set</v>
      </c>
      <c r="H30" s="128" t="str">
        <f>IFERROR(IF(LEN(INDEX(Database!I$9:I$501,ROW(Calc!G30)-ROW(Calc!$B$7)))=0,$AD$3,INDEX(Database!I$9:I$501,ROW(Calc!G30)-ROW(Calc!$B$7))),"")</f>
        <v>Not Set</v>
      </c>
      <c r="I30" s="128" t="str">
        <f>IFERROR(IF(LEN(INDEX(Database!J$9:J$501,ROW(Calc!H30)-ROW(Calc!$B$7)))=0,$AD$3,INDEX(Database!J$9:J$501,ROW(Calc!H30)-ROW(Calc!$B$7))),"")</f>
        <v>Not Set</v>
      </c>
      <c r="J30" s="128" t="str">
        <f t="shared" si="0"/>
        <v>Not Set</v>
      </c>
      <c r="K30" s="124" t="str">
        <f>IFERROR(IF(LEN(INDEX(Database!E$9:E$501,ROW(Calc!I30)-ROW(Calc!$B$7)))=0,"",INDEX(Database!E$9:E$501,ROW(Calc!I30)-ROW(Calc!$B$7))),"")</f>
        <v/>
      </c>
      <c r="L30" s="129" t="str">
        <f>IFERROR(IF(LEN(INDEX(Database!K$9:K$501,ROW(Calc!K30)-ROW(Calc!$B$7)))=0,$AD$3,INDEX(Database!K$9:K$501,ROW(Calc!K30)-ROW(Calc!$B$7))),"")</f>
        <v>Not Set</v>
      </c>
      <c r="M30" s="130" t="str">
        <f>IFERROR(IF(LEN(INDEX(Database!L$9:L$501,ROW(Calc!L30)-ROW(Calc!$B$7)))=0,$AD$3,INDEX(Database!L$9:L$501,ROW(Calc!L30)-ROW(Calc!$B$7))),"")</f>
        <v>Not Set</v>
      </c>
      <c r="N30" s="131" t="str">
        <f>IFERROR(IF(LEN(INDEX(Database!M$9:M$501,ROW(Calc!M30)-ROW(Calc!$B$7)))=0,"",INDEX(Database!M$9:M$501,ROW(Calc!M30)-ROW(Calc!$B$7))),"")</f>
        <v/>
      </c>
      <c r="O30" s="132" t="str">
        <f t="shared" si="9"/>
        <v/>
      </c>
      <c r="P30" s="125" t="str">
        <f t="shared" si="2"/>
        <v>Not Set</v>
      </c>
      <c r="Q30" s="125" t="str">
        <f t="shared" si="3"/>
        <v>Not Set</v>
      </c>
      <c r="R30" s="125" t="str">
        <f>IFERROR(IF(G30=$AD$3,$AD$3,INDEX(Kanban_Helper!$C$317:$C$328,MATCH(MONTH(G30),Kanban_Helper!$B$317:$B$328,0))&amp;" - "&amp;YEAR(G30)),"$AD$3")</f>
        <v>Not Set</v>
      </c>
      <c r="S30" s="125" t="str">
        <f>IFERROR(IF(I30=$AD$3,$AD$3,INDEX(Kanban_Helper!$C$317:$C$328,MATCH(MONTH(I30),Kanban_Helper!$B$317:$B$328,0))&amp;" - "&amp;YEAR(I30)),$AD$3)</f>
        <v>Not Set</v>
      </c>
      <c r="T30" s="125" t="str">
        <f t="shared" ca="1" si="10"/>
        <v/>
      </c>
      <c r="U30" s="125" t="str">
        <f t="shared" ca="1" si="11"/>
        <v/>
      </c>
      <c r="V30" s="125" t="str">
        <f t="shared" si="6"/>
        <v>Not Set</v>
      </c>
      <c r="W30" s="126" t="str">
        <f t="shared" si="12"/>
        <v/>
      </c>
      <c r="X30" s="126" t="str">
        <f t="shared" si="13"/>
        <v/>
      </c>
      <c r="Y30" s="125" t="str">
        <f>IFERROR(IF(LEN(D30)=0,"",IF(SUBTOTAL(3,E30:E30)=0,MIN($Y$7:Y29)-1,SUBTOTAL(3,$E$8:E30))),"")</f>
        <v/>
      </c>
      <c r="Z30" s="17"/>
      <c r="AA30" s="10"/>
      <c r="AB30" s="10"/>
      <c r="AC30" s="10"/>
      <c r="AD30" s="10"/>
      <c r="AE30" s="10"/>
      <c r="AF30" s="10"/>
      <c r="AG30" s="10"/>
      <c r="AH30" s="10"/>
      <c r="AI30" s="10"/>
      <c r="AJ30" s="10"/>
      <c r="AK30" s="10"/>
      <c r="AL30" s="10"/>
      <c r="AM30" s="10"/>
      <c r="AN30" s="10"/>
    </row>
    <row r="31" spans="2:40" hidden="1" x14ac:dyDescent="0.35">
      <c r="B31" s="15"/>
      <c r="C31" s="127" t="str">
        <f>IFERROR(IF(LEN(INDEX(Database!C$9:C$501,ROW(Calc!A31)-ROW(Calc!$B$7)))=0,"",INDEX(Database!C$9:C$501,ROW(Calc!A31)-ROW(Calc!$B$7))),"")</f>
        <v/>
      </c>
      <c r="D31" s="70" t="str">
        <f>IFERROR(IF(LEN(INDEX(Database!D$9:D$501,ROW(Calc!B31)-ROW(Calc!$B$7)))=0,"",INDEX(Database!D$9:D$501,ROW(Calc!B31)-ROW(Calc!$B$7))),"")</f>
        <v/>
      </c>
      <c r="E31" s="124" t="str">
        <f>IFERROR(IF(LEN(INDEX(Database!G$9:G$501,ROW(Calc!D31)-ROW(Calc!$B$7)))=0,$AD$3,INDEX(Database!G$9:G$501,ROW(Calc!D31)-ROW(Calc!$B$7))),"")</f>
        <v>Not Set</v>
      </c>
      <c r="F31" s="124" t="str">
        <f>IFERROR(IF(LEN(INDEX(Database!F$9:F$501,ROW(Calc!E31)-ROW(Calc!$B$7)))=0,$AD$3,INDEX(Database!F$9:F$501,ROW(Calc!E31)-ROW(Calc!$B$7))),"")</f>
        <v>Not Set</v>
      </c>
      <c r="G31" s="128" t="str">
        <f>IFERROR(IF(LEN(INDEX(Database!H$9:H$501,ROW(Calc!F31)-ROW(Calc!$B$7)))=0,$AD$3,INDEX(Database!H$9:H$501,ROW(Calc!F31)-ROW(Calc!$B$7))),"")</f>
        <v>Not Set</v>
      </c>
      <c r="H31" s="128" t="str">
        <f>IFERROR(IF(LEN(INDEX(Database!I$9:I$501,ROW(Calc!G31)-ROW(Calc!$B$7)))=0,$AD$3,INDEX(Database!I$9:I$501,ROW(Calc!G31)-ROW(Calc!$B$7))),"")</f>
        <v>Not Set</v>
      </c>
      <c r="I31" s="128" t="str">
        <f>IFERROR(IF(LEN(INDEX(Database!J$9:J$501,ROW(Calc!H31)-ROW(Calc!$B$7)))=0,$AD$3,INDEX(Database!J$9:J$501,ROW(Calc!H31)-ROW(Calc!$B$7))),"")</f>
        <v>Not Set</v>
      </c>
      <c r="J31" s="128" t="str">
        <f t="shared" si="0"/>
        <v>Not Set</v>
      </c>
      <c r="K31" s="124" t="str">
        <f>IFERROR(IF(LEN(INDEX(Database!E$9:E$501,ROW(Calc!I31)-ROW(Calc!$B$7)))=0,"",INDEX(Database!E$9:E$501,ROW(Calc!I31)-ROW(Calc!$B$7))),"")</f>
        <v/>
      </c>
      <c r="L31" s="129" t="str">
        <f>IFERROR(IF(LEN(INDEX(Database!K$9:K$501,ROW(Calc!K31)-ROW(Calc!$B$7)))=0,$AD$3,INDEX(Database!K$9:K$501,ROW(Calc!K31)-ROW(Calc!$B$7))),"")</f>
        <v>Not Set</v>
      </c>
      <c r="M31" s="130" t="str">
        <f>IFERROR(IF(LEN(INDEX(Database!L$9:L$501,ROW(Calc!L31)-ROW(Calc!$B$7)))=0,$AD$3,INDEX(Database!L$9:L$501,ROW(Calc!L31)-ROW(Calc!$B$7))),"")</f>
        <v>Not Set</v>
      </c>
      <c r="N31" s="131" t="str">
        <f>IFERROR(IF(LEN(INDEX(Database!M$9:M$501,ROW(Calc!M31)-ROW(Calc!$B$7)))=0,"",INDEX(Database!M$9:M$501,ROW(Calc!M31)-ROW(Calc!$B$7))),"")</f>
        <v/>
      </c>
      <c r="O31" s="132" t="str">
        <f t="shared" si="9"/>
        <v/>
      </c>
      <c r="P31" s="125" t="str">
        <f t="shared" si="2"/>
        <v>Not Set</v>
      </c>
      <c r="Q31" s="125" t="str">
        <f t="shared" si="3"/>
        <v>Not Set</v>
      </c>
      <c r="R31" s="125" t="str">
        <f>IFERROR(IF(G31=$AD$3,$AD$3,INDEX(Kanban_Helper!$C$317:$C$328,MATCH(MONTH(G31),Kanban_Helper!$B$317:$B$328,0))&amp;" - "&amp;YEAR(G31)),"$AD$3")</f>
        <v>Not Set</v>
      </c>
      <c r="S31" s="125" t="str">
        <f>IFERROR(IF(I31=$AD$3,$AD$3,INDEX(Kanban_Helper!$C$317:$C$328,MATCH(MONTH(I31),Kanban_Helper!$B$317:$B$328,0))&amp;" - "&amp;YEAR(I31)),$AD$3)</f>
        <v>Not Set</v>
      </c>
      <c r="T31" s="125" t="str">
        <f t="shared" ca="1" si="10"/>
        <v/>
      </c>
      <c r="U31" s="125" t="str">
        <f t="shared" ca="1" si="11"/>
        <v/>
      </c>
      <c r="V31" s="125" t="str">
        <f t="shared" si="6"/>
        <v>Not Set</v>
      </c>
      <c r="W31" s="126" t="str">
        <f t="shared" si="12"/>
        <v/>
      </c>
      <c r="X31" s="126" t="str">
        <f t="shared" si="13"/>
        <v/>
      </c>
      <c r="Y31" s="125" t="str">
        <f>IFERROR(IF(LEN(D31)=0,"",IF(SUBTOTAL(3,E31:E31)=0,MIN($Y$7:Y30)-1,SUBTOTAL(3,$E$8:E31))),"")</f>
        <v/>
      </c>
      <c r="Z31" s="17"/>
      <c r="AA31" s="10"/>
      <c r="AB31" s="10"/>
      <c r="AC31" s="10"/>
      <c r="AD31" s="10"/>
      <c r="AE31" s="10"/>
      <c r="AF31" s="10"/>
      <c r="AG31" s="10"/>
      <c r="AH31" s="10"/>
      <c r="AI31" s="10"/>
      <c r="AJ31" s="10"/>
      <c r="AK31" s="10"/>
      <c r="AL31" s="10"/>
      <c r="AM31" s="10"/>
      <c r="AN31" s="10"/>
    </row>
    <row r="32" spans="2:40" hidden="1" x14ac:dyDescent="0.35">
      <c r="B32" s="15"/>
      <c r="C32" s="127" t="str">
        <f>IFERROR(IF(LEN(INDEX(Database!C$9:C$501,ROW(Calc!A32)-ROW(Calc!$B$7)))=0,"",INDEX(Database!C$9:C$501,ROW(Calc!A32)-ROW(Calc!$B$7))),"")</f>
        <v/>
      </c>
      <c r="D32" s="70" t="str">
        <f>IFERROR(IF(LEN(INDEX(Database!D$9:D$501,ROW(Calc!B32)-ROW(Calc!$B$7)))=0,"",INDEX(Database!D$9:D$501,ROW(Calc!B32)-ROW(Calc!$B$7))),"")</f>
        <v/>
      </c>
      <c r="E32" s="124" t="str">
        <f>IFERROR(IF(LEN(INDEX(Database!G$9:G$501,ROW(Calc!D32)-ROW(Calc!$B$7)))=0,$AD$3,INDEX(Database!G$9:G$501,ROW(Calc!D32)-ROW(Calc!$B$7))),"")</f>
        <v>Not Set</v>
      </c>
      <c r="F32" s="124" t="str">
        <f>IFERROR(IF(LEN(INDEX(Database!F$9:F$501,ROW(Calc!E32)-ROW(Calc!$B$7)))=0,$AD$3,INDEX(Database!F$9:F$501,ROW(Calc!E32)-ROW(Calc!$B$7))),"")</f>
        <v>Not Set</v>
      </c>
      <c r="G32" s="128" t="str">
        <f>IFERROR(IF(LEN(INDEX(Database!H$9:H$501,ROW(Calc!F32)-ROW(Calc!$B$7)))=0,$AD$3,INDEX(Database!H$9:H$501,ROW(Calc!F32)-ROW(Calc!$B$7))),"")</f>
        <v>Not Set</v>
      </c>
      <c r="H32" s="128" t="str">
        <f>IFERROR(IF(LEN(INDEX(Database!I$9:I$501,ROW(Calc!G32)-ROW(Calc!$B$7)))=0,$AD$3,INDEX(Database!I$9:I$501,ROW(Calc!G32)-ROW(Calc!$B$7))),"")</f>
        <v>Not Set</v>
      </c>
      <c r="I32" s="128" t="str">
        <f>IFERROR(IF(LEN(INDEX(Database!J$9:J$501,ROW(Calc!H32)-ROW(Calc!$B$7)))=0,$AD$3,INDEX(Database!J$9:J$501,ROW(Calc!H32)-ROW(Calc!$B$7))),"")</f>
        <v>Not Set</v>
      </c>
      <c r="J32" s="128" t="str">
        <f t="shared" si="0"/>
        <v>Not Set</v>
      </c>
      <c r="K32" s="124" t="str">
        <f>IFERROR(IF(LEN(INDEX(Database!E$9:E$501,ROW(Calc!I32)-ROW(Calc!$B$7)))=0,"",INDEX(Database!E$9:E$501,ROW(Calc!I32)-ROW(Calc!$B$7))),"")</f>
        <v/>
      </c>
      <c r="L32" s="129" t="str">
        <f>IFERROR(IF(LEN(INDEX(Database!K$9:K$501,ROW(Calc!K32)-ROW(Calc!$B$7)))=0,$AD$3,INDEX(Database!K$9:K$501,ROW(Calc!K32)-ROW(Calc!$B$7))),"")</f>
        <v>Not Set</v>
      </c>
      <c r="M32" s="130" t="str">
        <f>IFERROR(IF(LEN(INDEX(Database!L$9:L$501,ROW(Calc!L32)-ROW(Calc!$B$7)))=0,$AD$3,INDEX(Database!L$9:L$501,ROW(Calc!L32)-ROW(Calc!$B$7))),"")</f>
        <v>Not Set</v>
      </c>
      <c r="N32" s="131" t="str">
        <f>IFERROR(IF(LEN(INDEX(Database!M$9:M$501,ROW(Calc!M32)-ROW(Calc!$B$7)))=0,"",INDEX(Database!M$9:M$501,ROW(Calc!M32)-ROW(Calc!$B$7))),"")</f>
        <v/>
      </c>
      <c r="O32" s="132" t="str">
        <f t="shared" si="9"/>
        <v/>
      </c>
      <c r="P32" s="125" t="str">
        <f t="shared" si="2"/>
        <v>Not Set</v>
      </c>
      <c r="Q32" s="125" t="str">
        <f t="shared" si="3"/>
        <v>Not Set</v>
      </c>
      <c r="R32" s="125" t="str">
        <f>IFERROR(IF(G32=$AD$3,$AD$3,INDEX(Kanban_Helper!$C$317:$C$328,MATCH(MONTH(G32),Kanban_Helper!$B$317:$B$328,0))&amp;" - "&amp;YEAR(G32)),"$AD$3")</f>
        <v>Not Set</v>
      </c>
      <c r="S32" s="125" t="str">
        <f>IFERROR(IF(I32=$AD$3,$AD$3,INDEX(Kanban_Helper!$C$317:$C$328,MATCH(MONTH(I32),Kanban_Helper!$B$317:$B$328,0))&amp;" - "&amp;YEAR(I32)),$AD$3)</f>
        <v>Not Set</v>
      </c>
      <c r="T32" s="125" t="str">
        <f t="shared" ca="1" si="10"/>
        <v/>
      </c>
      <c r="U32" s="125" t="str">
        <f t="shared" ca="1" si="11"/>
        <v/>
      </c>
      <c r="V32" s="125" t="str">
        <f t="shared" si="6"/>
        <v>Not Set</v>
      </c>
      <c r="W32" s="126" t="str">
        <f t="shared" si="12"/>
        <v/>
      </c>
      <c r="X32" s="126" t="str">
        <f t="shared" si="13"/>
        <v/>
      </c>
      <c r="Y32" s="125" t="str">
        <f>IFERROR(IF(LEN(D32)=0,"",IF(SUBTOTAL(3,E32:E32)=0,MIN($Y$7:Y31)-1,SUBTOTAL(3,$E$8:E32))),"")</f>
        <v/>
      </c>
      <c r="Z32" s="17"/>
      <c r="AA32" s="10"/>
      <c r="AB32" s="10"/>
      <c r="AC32" s="10"/>
      <c r="AD32" s="10"/>
      <c r="AE32" s="10"/>
      <c r="AF32" s="10"/>
      <c r="AG32" s="10"/>
      <c r="AH32" s="10"/>
      <c r="AI32" s="10"/>
      <c r="AJ32" s="10"/>
      <c r="AK32" s="10"/>
      <c r="AL32" s="10"/>
      <c r="AM32" s="10"/>
      <c r="AN32" s="10"/>
    </row>
    <row r="33" spans="2:40" hidden="1" x14ac:dyDescent="0.35">
      <c r="B33" s="15"/>
      <c r="C33" s="127" t="str">
        <f>IFERROR(IF(LEN(INDEX(Database!C$9:C$501,ROW(Calc!A33)-ROW(Calc!$B$7)))=0,"",INDEX(Database!C$9:C$501,ROW(Calc!A33)-ROW(Calc!$B$7))),"")</f>
        <v/>
      </c>
      <c r="D33" s="70" t="str">
        <f>IFERROR(IF(LEN(INDEX(Database!D$9:D$501,ROW(Calc!B33)-ROW(Calc!$B$7)))=0,"",INDEX(Database!D$9:D$501,ROW(Calc!B33)-ROW(Calc!$B$7))),"")</f>
        <v/>
      </c>
      <c r="E33" s="124" t="str">
        <f>IFERROR(IF(LEN(INDEX(Database!G$9:G$501,ROW(Calc!D33)-ROW(Calc!$B$7)))=0,$AD$3,INDEX(Database!G$9:G$501,ROW(Calc!D33)-ROW(Calc!$B$7))),"")</f>
        <v>Not Set</v>
      </c>
      <c r="F33" s="124" t="str">
        <f>IFERROR(IF(LEN(INDEX(Database!F$9:F$501,ROW(Calc!E33)-ROW(Calc!$B$7)))=0,$AD$3,INDEX(Database!F$9:F$501,ROW(Calc!E33)-ROW(Calc!$B$7))),"")</f>
        <v>Not Set</v>
      </c>
      <c r="G33" s="128" t="str">
        <f>IFERROR(IF(LEN(INDEX(Database!H$9:H$501,ROW(Calc!F33)-ROW(Calc!$B$7)))=0,$AD$3,INDEX(Database!H$9:H$501,ROW(Calc!F33)-ROW(Calc!$B$7))),"")</f>
        <v>Not Set</v>
      </c>
      <c r="H33" s="128" t="str">
        <f>IFERROR(IF(LEN(INDEX(Database!I$9:I$501,ROW(Calc!G33)-ROW(Calc!$B$7)))=0,$AD$3,INDEX(Database!I$9:I$501,ROW(Calc!G33)-ROW(Calc!$B$7))),"")</f>
        <v>Not Set</v>
      </c>
      <c r="I33" s="128" t="str">
        <f>IFERROR(IF(LEN(INDEX(Database!J$9:J$501,ROW(Calc!H33)-ROW(Calc!$B$7)))=0,$AD$3,INDEX(Database!J$9:J$501,ROW(Calc!H33)-ROW(Calc!$B$7))),"")</f>
        <v>Not Set</v>
      </c>
      <c r="J33" s="128" t="str">
        <f t="shared" si="0"/>
        <v>Not Set</v>
      </c>
      <c r="K33" s="124" t="str">
        <f>IFERROR(IF(LEN(INDEX(Database!E$9:E$501,ROW(Calc!I33)-ROW(Calc!$B$7)))=0,"",INDEX(Database!E$9:E$501,ROW(Calc!I33)-ROW(Calc!$B$7))),"")</f>
        <v/>
      </c>
      <c r="L33" s="129" t="str">
        <f>IFERROR(IF(LEN(INDEX(Database!K$9:K$501,ROW(Calc!K33)-ROW(Calc!$B$7)))=0,$AD$3,INDEX(Database!K$9:K$501,ROW(Calc!K33)-ROW(Calc!$B$7))),"")</f>
        <v>Not Set</v>
      </c>
      <c r="M33" s="130" t="str">
        <f>IFERROR(IF(LEN(INDEX(Database!L$9:L$501,ROW(Calc!L33)-ROW(Calc!$B$7)))=0,$AD$3,INDEX(Database!L$9:L$501,ROW(Calc!L33)-ROW(Calc!$B$7))),"")</f>
        <v>Not Set</v>
      </c>
      <c r="N33" s="131" t="str">
        <f>IFERROR(IF(LEN(INDEX(Database!M$9:M$501,ROW(Calc!M33)-ROW(Calc!$B$7)))=0,"",INDEX(Database!M$9:M$501,ROW(Calc!M33)-ROW(Calc!$B$7))),"")</f>
        <v/>
      </c>
      <c r="O33" s="132" t="str">
        <f t="shared" si="9"/>
        <v/>
      </c>
      <c r="P33" s="125" t="str">
        <f t="shared" si="2"/>
        <v>Not Set</v>
      </c>
      <c r="Q33" s="125" t="str">
        <f t="shared" si="3"/>
        <v>Not Set</v>
      </c>
      <c r="R33" s="125" t="str">
        <f>IFERROR(IF(G33=$AD$3,$AD$3,INDEX(Kanban_Helper!$C$317:$C$328,MATCH(MONTH(G33),Kanban_Helper!$B$317:$B$328,0))&amp;" - "&amp;YEAR(G33)),"$AD$3")</f>
        <v>Not Set</v>
      </c>
      <c r="S33" s="125" t="str">
        <f>IFERROR(IF(I33=$AD$3,$AD$3,INDEX(Kanban_Helper!$C$317:$C$328,MATCH(MONTH(I33),Kanban_Helper!$B$317:$B$328,0))&amp;" - "&amp;YEAR(I33)),$AD$3)</f>
        <v>Not Set</v>
      </c>
      <c r="T33" s="125" t="str">
        <f t="shared" ca="1" si="10"/>
        <v/>
      </c>
      <c r="U33" s="125" t="str">
        <f t="shared" ca="1" si="11"/>
        <v/>
      </c>
      <c r="V33" s="125" t="str">
        <f t="shared" si="6"/>
        <v>Not Set</v>
      </c>
      <c r="W33" s="126" t="str">
        <f t="shared" si="12"/>
        <v/>
      </c>
      <c r="X33" s="126" t="str">
        <f t="shared" si="13"/>
        <v/>
      </c>
      <c r="Y33" s="125" t="str">
        <f>IFERROR(IF(LEN(D33)=0,"",IF(SUBTOTAL(3,E33:E33)=0,MIN($Y$7:Y32)-1,SUBTOTAL(3,$E$8:E33))),"")</f>
        <v/>
      </c>
      <c r="Z33" s="17"/>
      <c r="AA33" s="10"/>
      <c r="AB33" s="10"/>
      <c r="AC33" s="10"/>
      <c r="AD33" s="10"/>
      <c r="AE33" s="10"/>
      <c r="AF33" s="10"/>
      <c r="AG33" s="10"/>
      <c r="AH33" s="10"/>
      <c r="AI33" s="10"/>
      <c r="AJ33" s="10"/>
      <c r="AK33" s="10"/>
      <c r="AL33" s="10"/>
      <c r="AM33" s="10"/>
      <c r="AN33" s="10"/>
    </row>
    <row r="34" spans="2:40" hidden="1" x14ac:dyDescent="0.35">
      <c r="B34" s="15"/>
      <c r="C34" s="127" t="str">
        <f>IFERROR(IF(LEN(INDEX(Database!C$9:C$501,ROW(Calc!A34)-ROW(Calc!$B$7)))=0,"",INDEX(Database!C$9:C$501,ROW(Calc!A34)-ROW(Calc!$B$7))),"")</f>
        <v/>
      </c>
      <c r="D34" s="70" t="str">
        <f>IFERROR(IF(LEN(INDEX(Database!D$9:D$501,ROW(Calc!B34)-ROW(Calc!$B$7)))=0,"",INDEX(Database!D$9:D$501,ROW(Calc!B34)-ROW(Calc!$B$7))),"")</f>
        <v/>
      </c>
      <c r="E34" s="124" t="str">
        <f>IFERROR(IF(LEN(INDEX(Database!G$9:G$501,ROW(Calc!D34)-ROW(Calc!$B$7)))=0,$AD$3,INDEX(Database!G$9:G$501,ROW(Calc!D34)-ROW(Calc!$B$7))),"")</f>
        <v>Not Set</v>
      </c>
      <c r="F34" s="124" t="str">
        <f>IFERROR(IF(LEN(INDEX(Database!F$9:F$501,ROW(Calc!E34)-ROW(Calc!$B$7)))=0,$AD$3,INDEX(Database!F$9:F$501,ROW(Calc!E34)-ROW(Calc!$B$7))),"")</f>
        <v>Not Set</v>
      </c>
      <c r="G34" s="128" t="str">
        <f>IFERROR(IF(LEN(INDEX(Database!H$9:H$501,ROW(Calc!F34)-ROW(Calc!$B$7)))=0,$AD$3,INDEX(Database!H$9:H$501,ROW(Calc!F34)-ROW(Calc!$B$7))),"")</f>
        <v>Not Set</v>
      </c>
      <c r="H34" s="128" t="str">
        <f>IFERROR(IF(LEN(INDEX(Database!I$9:I$501,ROW(Calc!G34)-ROW(Calc!$B$7)))=0,$AD$3,INDEX(Database!I$9:I$501,ROW(Calc!G34)-ROW(Calc!$B$7))),"")</f>
        <v>Not Set</v>
      </c>
      <c r="I34" s="128" t="str">
        <f>IFERROR(IF(LEN(INDEX(Database!J$9:J$501,ROW(Calc!H34)-ROW(Calc!$B$7)))=0,$AD$3,INDEX(Database!J$9:J$501,ROW(Calc!H34)-ROW(Calc!$B$7))),"")</f>
        <v>Not Set</v>
      </c>
      <c r="J34" s="128" t="str">
        <f t="shared" si="0"/>
        <v>Not Set</v>
      </c>
      <c r="K34" s="124" t="str">
        <f>IFERROR(IF(LEN(INDEX(Database!E$9:E$501,ROW(Calc!I34)-ROW(Calc!$B$7)))=0,"",INDEX(Database!E$9:E$501,ROW(Calc!I34)-ROW(Calc!$B$7))),"")</f>
        <v/>
      </c>
      <c r="L34" s="129" t="str">
        <f>IFERROR(IF(LEN(INDEX(Database!K$9:K$501,ROW(Calc!K34)-ROW(Calc!$B$7)))=0,$AD$3,INDEX(Database!K$9:K$501,ROW(Calc!K34)-ROW(Calc!$B$7))),"")</f>
        <v>Not Set</v>
      </c>
      <c r="M34" s="130" t="str">
        <f>IFERROR(IF(LEN(INDEX(Database!L$9:L$501,ROW(Calc!L34)-ROW(Calc!$B$7)))=0,$AD$3,INDEX(Database!L$9:L$501,ROW(Calc!L34)-ROW(Calc!$B$7))),"")</f>
        <v>Not Set</v>
      </c>
      <c r="N34" s="131" t="str">
        <f>IFERROR(IF(LEN(INDEX(Database!M$9:M$501,ROW(Calc!M34)-ROW(Calc!$B$7)))=0,"",INDEX(Database!M$9:M$501,ROW(Calc!M34)-ROW(Calc!$B$7))),"")</f>
        <v/>
      </c>
      <c r="O34" s="132" t="str">
        <f t="shared" si="9"/>
        <v/>
      </c>
      <c r="P34" s="125" t="str">
        <f t="shared" si="2"/>
        <v>Not Set</v>
      </c>
      <c r="Q34" s="125" t="str">
        <f t="shared" si="3"/>
        <v>Not Set</v>
      </c>
      <c r="R34" s="125" t="str">
        <f>IFERROR(IF(G34=$AD$3,$AD$3,INDEX(Kanban_Helper!$C$317:$C$328,MATCH(MONTH(G34),Kanban_Helper!$B$317:$B$328,0))&amp;" - "&amp;YEAR(G34)),"$AD$3")</f>
        <v>Not Set</v>
      </c>
      <c r="S34" s="125" t="str">
        <f>IFERROR(IF(I34=$AD$3,$AD$3,INDEX(Kanban_Helper!$C$317:$C$328,MATCH(MONTH(I34),Kanban_Helper!$B$317:$B$328,0))&amp;" - "&amp;YEAR(I34)),$AD$3)</f>
        <v>Not Set</v>
      </c>
      <c r="T34" s="125" t="str">
        <f t="shared" ca="1" si="10"/>
        <v/>
      </c>
      <c r="U34" s="125" t="str">
        <f t="shared" ca="1" si="11"/>
        <v/>
      </c>
      <c r="V34" s="125" t="str">
        <f t="shared" si="6"/>
        <v>Not Set</v>
      </c>
      <c r="W34" s="126" t="str">
        <f t="shared" si="12"/>
        <v/>
      </c>
      <c r="X34" s="126" t="str">
        <f t="shared" si="13"/>
        <v/>
      </c>
      <c r="Y34" s="125" t="str">
        <f>IFERROR(IF(LEN(D34)=0,"",IF(SUBTOTAL(3,E34:E34)=0,MIN($Y$7:Y33)-1,SUBTOTAL(3,$E$8:E34))),"")</f>
        <v/>
      </c>
      <c r="Z34" s="17"/>
      <c r="AA34" s="10"/>
      <c r="AB34" s="10"/>
      <c r="AC34" s="10"/>
      <c r="AD34" s="10"/>
      <c r="AE34" s="10"/>
      <c r="AF34" s="10"/>
      <c r="AG34" s="10"/>
      <c r="AH34" s="10"/>
      <c r="AI34" s="10"/>
      <c r="AJ34" s="10"/>
      <c r="AK34" s="10"/>
      <c r="AL34" s="10"/>
      <c r="AM34" s="10"/>
      <c r="AN34" s="10"/>
    </row>
    <row r="35" spans="2:40" hidden="1" x14ac:dyDescent="0.35">
      <c r="B35" s="15"/>
      <c r="C35" s="127" t="str">
        <f>IFERROR(IF(LEN(INDEX(Database!C$9:C$501,ROW(Calc!A35)-ROW(Calc!$B$7)))=0,"",INDEX(Database!C$9:C$501,ROW(Calc!A35)-ROW(Calc!$B$7))),"")</f>
        <v/>
      </c>
      <c r="D35" s="70" t="str">
        <f>IFERROR(IF(LEN(INDEX(Database!D$9:D$501,ROW(Calc!B35)-ROW(Calc!$B$7)))=0,"",INDEX(Database!D$9:D$501,ROW(Calc!B35)-ROW(Calc!$B$7))),"")</f>
        <v/>
      </c>
      <c r="E35" s="124" t="str">
        <f>IFERROR(IF(LEN(INDEX(Database!G$9:G$501,ROW(Calc!D35)-ROW(Calc!$B$7)))=0,$AD$3,INDEX(Database!G$9:G$501,ROW(Calc!D35)-ROW(Calc!$B$7))),"")</f>
        <v>Not Set</v>
      </c>
      <c r="F35" s="124" t="str">
        <f>IFERROR(IF(LEN(INDEX(Database!F$9:F$501,ROW(Calc!E35)-ROW(Calc!$B$7)))=0,$AD$3,INDEX(Database!F$9:F$501,ROW(Calc!E35)-ROW(Calc!$B$7))),"")</f>
        <v>Not Set</v>
      </c>
      <c r="G35" s="128" t="str">
        <f>IFERROR(IF(LEN(INDEX(Database!H$9:H$501,ROW(Calc!F35)-ROW(Calc!$B$7)))=0,$AD$3,INDEX(Database!H$9:H$501,ROW(Calc!F35)-ROW(Calc!$B$7))),"")</f>
        <v>Not Set</v>
      </c>
      <c r="H35" s="128" t="str">
        <f>IFERROR(IF(LEN(INDEX(Database!I$9:I$501,ROW(Calc!G35)-ROW(Calc!$B$7)))=0,$AD$3,INDEX(Database!I$9:I$501,ROW(Calc!G35)-ROW(Calc!$B$7))),"")</f>
        <v>Not Set</v>
      </c>
      <c r="I35" s="128" t="str">
        <f>IFERROR(IF(LEN(INDEX(Database!J$9:J$501,ROW(Calc!H35)-ROW(Calc!$B$7)))=0,$AD$3,INDEX(Database!J$9:J$501,ROW(Calc!H35)-ROW(Calc!$B$7))),"")</f>
        <v>Not Set</v>
      </c>
      <c r="J35" s="128" t="str">
        <f t="shared" si="0"/>
        <v>Not Set</v>
      </c>
      <c r="K35" s="124" t="str">
        <f>IFERROR(IF(LEN(INDEX(Database!E$9:E$501,ROW(Calc!I35)-ROW(Calc!$B$7)))=0,"",INDEX(Database!E$9:E$501,ROW(Calc!I35)-ROW(Calc!$B$7))),"")</f>
        <v/>
      </c>
      <c r="L35" s="129" t="str">
        <f>IFERROR(IF(LEN(INDEX(Database!K$9:K$501,ROW(Calc!K35)-ROW(Calc!$B$7)))=0,$AD$3,INDEX(Database!K$9:K$501,ROW(Calc!K35)-ROW(Calc!$B$7))),"")</f>
        <v>Not Set</v>
      </c>
      <c r="M35" s="130" t="str">
        <f>IFERROR(IF(LEN(INDEX(Database!L$9:L$501,ROW(Calc!L35)-ROW(Calc!$B$7)))=0,$AD$3,INDEX(Database!L$9:L$501,ROW(Calc!L35)-ROW(Calc!$B$7))),"")</f>
        <v>Not Set</v>
      </c>
      <c r="N35" s="131" t="str">
        <f>IFERROR(IF(LEN(INDEX(Database!M$9:M$501,ROW(Calc!M35)-ROW(Calc!$B$7)))=0,"",INDEX(Database!M$9:M$501,ROW(Calc!M35)-ROW(Calc!$B$7))),"")</f>
        <v/>
      </c>
      <c r="O35" s="132" t="str">
        <f t="shared" si="9"/>
        <v/>
      </c>
      <c r="P35" s="125" t="str">
        <f t="shared" si="2"/>
        <v>Not Set</v>
      </c>
      <c r="Q35" s="125" t="str">
        <f t="shared" si="3"/>
        <v>Not Set</v>
      </c>
      <c r="R35" s="125" t="str">
        <f>IFERROR(IF(G35=$AD$3,$AD$3,INDEX(Kanban_Helper!$C$317:$C$328,MATCH(MONTH(G35),Kanban_Helper!$B$317:$B$328,0))&amp;" - "&amp;YEAR(G35)),"$AD$3")</f>
        <v>Not Set</v>
      </c>
      <c r="S35" s="125" t="str">
        <f>IFERROR(IF(I35=$AD$3,$AD$3,INDEX(Kanban_Helper!$C$317:$C$328,MATCH(MONTH(I35),Kanban_Helper!$B$317:$B$328,0))&amp;" - "&amp;YEAR(I35)),$AD$3)</f>
        <v>Not Set</v>
      </c>
      <c r="T35" s="125" t="str">
        <f t="shared" ca="1" si="10"/>
        <v/>
      </c>
      <c r="U35" s="125" t="str">
        <f t="shared" ca="1" si="11"/>
        <v/>
      </c>
      <c r="V35" s="125" t="str">
        <f t="shared" si="6"/>
        <v>Not Set</v>
      </c>
      <c r="W35" s="126" t="str">
        <f t="shared" si="12"/>
        <v/>
      </c>
      <c r="X35" s="126" t="str">
        <f t="shared" si="13"/>
        <v/>
      </c>
      <c r="Y35" s="125" t="str">
        <f>IFERROR(IF(LEN(D35)=0,"",IF(SUBTOTAL(3,E35:E35)=0,MIN($Y$7:Y34)-1,SUBTOTAL(3,$E$8:E35))),"")</f>
        <v/>
      </c>
      <c r="Z35" s="17"/>
      <c r="AA35" s="10"/>
      <c r="AB35" s="10"/>
      <c r="AC35" s="10"/>
      <c r="AD35" s="10"/>
      <c r="AE35" s="10"/>
      <c r="AF35" s="10"/>
      <c r="AG35" s="10"/>
      <c r="AH35" s="10"/>
      <c r="AI35" s="10"/>
      <c r="AJ35" s="10"/>
      <c r="AK35" s="10"/>
      <c r="AL35" s="10"/>
      <c r="AM35" s="10"/>
      <c r="AN35" s="10"/>
    </row>
    <row r="36" spans="2:40" hidden="1" x14ac:dyDescent="0.35">
      <c r="B36" s="15"/>
      <c r="C36" s="127" t="str">
        <f>IFERROR(IF(LEN(INDEX(Database!C$9:C$501,ROW(Calc!A36)-ROW(Calc!$B$7)))=0,"",INDEX(Database!C$9:C$501,ROW(Calc!A36)-ROW(Calc!$B$7))),"")</f>
        <v/>
      </c>
      <c r="D36" s="70" t="str">
        <f>IFERROR(IF(LEN(INDEX(Database!D$9:D$501,ROW(Calc!B36)-ROW(Calc!$B$7)))=0,"",INDEX(Database!D$9:D$501,ROW(Calc!B36)-ROW(Calc!$B$7))),"")</f>
        <v/>
      </c>
      <c r="E36" s="124" t="str">
        <f>IFERROR(IF(LEN(INDEX(Database!G$9:G$501,ROW(Calc!D36)-ROW(Calc!$B$7)))=0,$AD$3,INDEX(Database!G$9:G$501,ROW(Calc!D36)-ROW(Calc!$B$7))),"")</f>
        <v>Not Set</v>
      </c>
      <c r="F36" s="124" t="str">
        <f>IFERROR(IF(LEN(INDEX(Database!F$9:F$501,ROW(Calc!E36)-ROW(Calc!$B$7)))=0,$AD$3,INDEX(Database!F$9:F$501,ROW(Calc!E36)-ROW(Calc!$B$7))),"")</f>
        <v>Not Set</v>
      </c>
      <c r="G36" s="128" t="str">
        <f>IFERROR(IF(LEN(INDEX(Database!H$9:H$501,ROW(Calc!F36)-ROW(Calc!$B$7)))=0,$AD$3,INDEX(Database!H$9:H$501,ROW(Calc!F36)-ROW(Calc!$B$7))),"")</f>
        <v>Not Set</v>
      </c>
      <c r="H36" s="128" t="str">
        <f>IFERROR(IF(LEN(INDEX(Database!I$9:I$501,ROW(Calc!G36)-ROW(Calc!$B$7)))=0,$AD$3,INDEX(Database!I$9:I$501,ROW(Calc!G36)-ROW(Calc!$B$7))),"")</f>
        <v>Not Set</v>
      </c>
      <c r="I36" s="128" t="str">
        <f>IFERROR(IF(LEN(INDEX(Database!J$9:J$501,ROW(Calc!H36)-ROW(Calc!$B$7)))=0,$AD$3,INDEX(Database!J$9:J$501,ROW(Calc!H36)-ROW(Calc!$B$7))),"")</f>
        <v>Not Set</v>
      </c>
      <c r="J36" s="128" t="str">
        <f t="shared" si="0"/>
        <v>Not Set</v>
      </c>
      <c r="K36" s="124" t="str">
        <f>IFERROR(IF(LEN(INDEX(Database!E$9:E$501,ROW(Calc!I36)-ROW(Calc!$B$7)))=0,"",INDEX(Database!E$9:E$501,ROW(Calc!I36)-ROW(Calc!$B$7))),"")</f>
        <v/>
      </c>
      <c r="L36" s="129" t="str">
        <f>IFERROR(IF(LEN(INDEX(Database!K$9:K$501,ROW(Calc!K36)-ROW(Calc!$B$7)))=0,$AD$3,INDEX(Database!K$9:K$501,ROW(Calc!K36)-ROW(Calc!$B$7))),"")</f>
        <v>Not Set</v>
      </c>
      <c r="M36" s="130" t="str">
        <f>IFERROR(IF(LEN(INDEX(Database!L$9:L$501,ROW(Calc!L36)-ROW(Calc!$B$7)))=0,$AD$3,INDEX(Database!L$9:L$501,ROW(Calc!L36)-ROW(Calc!$B$7))),"")</f>
        <v>Not Set</v>
      </c>
      <c r="N36" s="131" t="str">
        <f>IFERROR(IF(LEN(INDEX(Database!M$9:M$501,ROW(Calc!M36)-ROW(Calc!$B$7)))=0,"",INDEX(Database!M$9:M$501,ROW(Calc!M36)-ROW(Calc!$B$7))),"")</f>
        <v/>
      </c>
      <c r="O36" s="132" t="str">
        <f t="shared" si="9"/>
        <v/>
      </c>
      <c r="P36" s="125" t="str">
        <f t="shared" si="2"/>
        <v>Not Set</v>
      </c>
      <c r="Q36" s="125" t="str">
        <f t="shared" si="3"/>
        <v>Not Set</v>
      </c>
      <c r="R36" s="125" t="str">
        <f>IFERROR(IF(G36=$AD$3,$AD$3,INDEX(Kanban_Helper!$C$317:$C$328,MATCH(MONTH(G36),Kanban_Helper!$B$317:$B$328,0))&amp;" - "&amp;YEAR(G36)),"$AD$3")</f>
        <v>Not Set</v>
      </c>
      <c r="S36" s="125" t="str">
        <f>IFERROR(IF(I36=$AD$3,$AD$3,INDEX(Kanban_Helper!$C$317:$C$328,MATCH(MONTH(I36),Kanban_Helper!$B$317:$B$328,0))&amp;" - "&amp;YEAR(I36)),$AD$3)</f>
        <v>Not Set</v>
      </c>
      <c r="T36" s="125" t="str">
        <f t="shared" ca="1" si="10"/>
        <v/>
      </c>
      <c r="U36" s="125" t="str">
        <f t="shared" ca="1" si="11"/>
        <v/>
      </c>
      <c r="V36" s="125" t="str">
        <f t="shared" si="6"/>
        <v>Not Set</v>
      </c>
      <c r="W36" s="126" t="str">
        <f t="shared" si="12"/>
        <v/>
      </c>
      <c r="X36" s="126" t="str">
        <f t="shared" si="13"/>
        <v/>
      </c>
      <c r="Y36" s="125" t="str">
        <f>IFERROR(IF(LEN(D36)=0,"",IF(SUBTOTAL(3,E36:E36)=0,MIN($Y$7:Y35)-1,SUBTOTAL(3,$E$8:E36))),"")</f>
        <v/>
      </c>
      <c r="Z36" s="17"/>
      <c r="AA36" s="10"/>
      <c r="AB36" s="10"/>
      <c r="AC36" s="10"/>
      <c r="AD36" s="10"/>
      <c r="AE36" s="10"/>
      <c r="AF36" s="10"/>
      <c r="AG36" s="10"/>
      <c r="AH36" s="10"/>
      <c r="AI36" s="10"/>
      <c r="AJ36" s="10"/>
      <c r="AK36" s="10"/>
      <c r="AL36" s="10"/>
      <c r="AM36" s="10"/>
      <c r="AN36" s="10"/>
    </row>
    <row r="37" spans="2:40" hidden="1" x14ac:dyDescent="0.35">
      <c r="B37" s="15"/>
      <c r="C37" s="127" t="str">
        <f>IFERROR(IF(LEN(INDEX(Database!C$9:C$501,ROW(Calc!A37)-ROW(Calc!$B$7)))=0,"",INDEX(Database!C$9:C$501,ROW(Calc!A37)-ROW(Calc!$B$7))),"")</f>
        <v/>
      </c>
      <c r="D37" s="70" t="str">
        <f>IFERROR(IF(LEN(INDEX(Database!D$9:D$501,ROW(Calc!B37)-ROW(Calc!$B$7)))=0,"",INDEX(Database!D$9:D$501,ROW(Calc!B37)-ROW(Calc!$B$7))),"")</f>
        <v/>
      </c>
      <c r="E37" s="124" t="str">
        <f>IFERROR(IF(LEN(INDEX(Database!G$9:G$501,ROW(Calc!D37)-ROW(Calc!$B$7)))=0,$AD$3,INDEX(Database!G$9:G$501,ROW(Calc!D37)-ROW(Calc!$B$7))),"")</f>
        <v>Not Set</v>
      </c>
      <c r="F37" s="124" t="str">
        <f>IFERROR(IF(LEN(INDEX(Database!F$9:F$501,ROW(Calc!E37)-ROW(Calc!$B$7)))=0,$AD$3,INDEX(Database!F$9:F$501,ROW(Calc!E37)-ROW(Calc!$B$7))),"")</f>
        <v>Not Set</v>
      </c>
      <c r="G37" s="128" t="str">
        <f>IFERROR(IF(LEN(INDEX(Database!H$9:H$501,ROW(Calc!F37)-ROW(Calc!$B$7)))=0,$AD$3,INDEX(Database!H$9:H$501,ROW(Calc!F37)-ROW(Calc!$B$7))),"")</f>
        <v>Not Set</v>
      </c>
      <c r="H37" s="128" t="str">
        <f>IFERROR(IF(LEN(INDEX(Database!I$9:I$501,ROW(Calc!G37)-ROW(Calc!$B$7)))=0,$AD$3,INDEX(Database!I$9:I$501,ROW(Calc!G37)-ROW(Calc!$B$7))),"")</f>
        <v>Not Set</v>
      </c>
      <c r="I37" s="128" t="str">
        <f>IFERROR(IF(LEN(INDEX(Database!J$9:J$501,ROW(Calc!H37)-ROW(Calc!$B$7)))=0,$AD$3,INDEX(Database!J$9:J$501,ROW(Calc!H37)-ROW(Calc!$B$7))),"")</f>
        <v>Not Set</v>
      </c>
      <c r="J37" s="128" t="str">
        <f t="shared" si="0"/>
        <v>Not Set</v>
      </c>
      <c r="K37" s="124" t="str">
        <f>IFERROR(IF(LEN(INDEX(Database!E$9:E$501,ROW(Calc!I37)-ROW(Calc!$B$7)))=0,"",INDEX(Database!E$9:E$501,ROW(Calc!I37)-ROW(Calc!$B$7))),"")</f>
        <v/>
      </c>
      <c r="L37" s="129" t="str">
        <f>IFERROR(IF(LEN(INDEX(Database!K$9:K$501,ROW(Calc!K37)-ROW(Calc!$B$7)))=0,$AD$3,INDEX(Database!K$9:K$501,ROW(Calc!K37)-ROW(Calc!$B$7))),"")</f>
        <v>Not Set</v>
      </c>
      <c r="M37" s="130" t="str">
        <f>IFERROR(IF(LEN(INDEX(Database!L$9:L$501,ROW(Calc!L37)-ROW(Calc!$B$7)))=0,$AD$3,INDEX(Database!L$9:L$501,ROW(Calc!L37)-ROW(Calc!$B$7))),"")</f>
        <v>Not Set</v>
      </c>
      <c r="N37" s="131" t="str">
        <f>IFERROR(IF(LEN(INDEX(Database!M$9:M$501,ROW(Calc!M37)-ROW(Calc!$B$7)))=0,"",INDEX(Database!M$9:M$501,ROW(Calc!M37)-ROW(Calc!$B$7))),"")</f>
        <v/>
      </c>
      <c r="O37" s="132" t="str">
        <f t="shared" si="9"/>
        <v/>
      </c>
      <c r="P37" s="125" t="str">
        <f t="shared" si="2"/>
        <v>Not Set</v>
      </c>
      <c r="Q37" s="125" t="str">
        <f t="shared" si="3"/>
        <v>Not Set</v>
      </c>
      <c r="R37" s="125" t="str">
        <f>IFERROR(IF(G37=$AD$3,$AD$3,INDEX(Kanban_Helper!$C$317:$C$328,MATCH(MONTH(G37),Kanban_Helper!$B$317:$B$328,0))&amp;" - "&amp;YEAR(G37)),"$AD$3")</f>
        <v>Not Set</v>
      </c>
      <c r="S37" s="125" t="str">
        <f>IFERROR(IF(I37=$AD$3,$AD$3,INDEX(Kanban_Helper!$C$317:$C$328,MATCH(MONTH(I37),Kanban_Helper!$B$317:$B$328,0))&amp;" - "&amp;YEAR(I37)),$AD$3)</f>
        <v>Not Set</v>
      </c>
      <c r="T37" s="125" t="str">
        <f t="shared" ca="1" si="10"/>
        <v/>
      </c>
      <c r="U37" s="125" t="str">
        <f t="shared" ca="1" si="11"/>
        <v/>
      </c>
      <c r="V37" s="125" t="str">
        <f t="shared" si="6"/>
        <v>Not Set</v>
      </c>
      <c r="W37" s="126" t="str">
        <f t="shared" si="12"/>
        <v/>
      </c>
      <c r="X37" s="126" t="str">
        <f t="shared" si="13"/>
        <v/>
      </c>
      <c r="Y37" s="125" t="str">
        <f>IFERROR(IF(LEN(D37)=0,"",IF(SUBTOTAL(3,E37:E37)=0,MIN($Y$7:Y36)-1,SUBTOTAL(3,$E$8:E37))),"")</f>
        <v/>
      </c>
      <c r="Z37" s="17"/>
      <c r="AA37" s="10"/>
      <c r="AB37" s="10"/>
      <c r="AC37" s="10"/>
      <c r="AD37" s="10"/>
      <c r="AE37" s="10"/>
      <c r="AF37" s="10"/>
      <c r="AG37" s="10"/>
      <c r="AH37" s="10"/>
      <c r="AI37" s="10"/>
      <c r="AJ37" s="10"/>
      <c r="AK37" s="10"/>
      <c r="AL37" s="10"/>
      <c r="AM37" s="10"/>
      <c r="AN37" s="10"/>
    </row>
    <row r="38" spans="2:40" hidden="1" x14ac:dyDescent="0.35">
      <c r="B38" s="15"/>
      <c r="C38" s="127" t="str">
        <f>IFERROR(IF(LEN(INDEX(Database!C$9:C$501,ROW(Calc!A38)-ROW(Calc!$B$7)))=0,"",INDEX(Database!C$9:C$501,ROW(Calc!A38)-ROW(Calc!$B$7))),"")</f>
        <v/>
      </c>
      <c r="D38" s="70" t="str">
        <f>IFERROR(IF(LEN(INDEX(Database!D$9:D$501,ROW(Calc!B38)-ROW(Calc!$B$7)))=0,"",INDEX(Database!D$9:D$501,ROW(Calc!B38)-ROW(Calc!$B$7))),"")</f>
        <v/>
      </c>
      <c r="E38" s="124" t="str">
        <f>IFERROR(IF(LEN(INDEX(Database!G$9:G$501,ROW(Calc!D38)-ROW(Calc!$B$7)))=0,$AD$3,INDEX(Database!G$9:G$501,ROW(Calc!D38)-ROW(Calc!$B$7))),"")</f>
        <v>Not Set</v>
      </c>
      <c r="F38" s="124" t="str">
        <f>IFERROR(IF(LEN(INDEX(Database!F$9:F$501,ROW(Calc!E38)-ROW(Calc!$B$7)))=0,$AD$3,INDEX(Database!F$9:F$501,ROW(Calc!E38)-ROW(Calc!$B$7))),"")</f>
        <v>Not Set</v>
      </c>
      <c r="G38" s="128" t="str">
        <f>IFERROR(IF(LEN(INDEX(Database!H$9:H$501,ROW(Calc!F38)-ROW(Calc!$B$7)))=0,$AD$3,INDEX(Database!H$9:H$501,ROW(Calc!F38)-ROW(Calc!$B$7))),"")</f>
        <v>Not Set</v>
      </c>
      <c r="H38" s="128" t="str">
        <f>IFERROR(IF(LEN(INDEX(Database!I$9:I$501,ROW(Calc!G38)-ROW(Calc!$B$7)))=0,$AD$3,INDEX(Database!I$9:I$501,ROW(Calc!G38)-ROW(Calc!$B$7))),"")</f>
        <v>Not Set</v>
      </c>
      <c r="I38" s="128" t="str">
        <f>IFERROR(IF(LEN(INDEX(Database!J$9:J$501,ROW(Calc!H38)-ROW(Calc!$B$7)))=0,$AD$3,INDEX(Database!J$9:J$501,ROW(Calc!H38)-ROW(Calc!$B$7))),"")</f>
        <v>Not Set</v>
      </c>
      <c r="J38" s="128" t="str">
        <f t="shared" si="0"/>
        <v>Not Set</v>
      </c>
      <c r="K38" s="124" t="str">
        <f>IFERROR(IF(LEN(INDEX(Database!E$9:E$501,ROW(Calc!I38)-ROW(Calc!$B$7)))=0,"",INDEX(Database!E$9:E$501,ROW(Calc!I38)-ROW(Calc!$B$7))),"")</f>
        <v/>
      </c>
      <c r="L38" s="129" t="str">
        <f>IFERROR(IF(LEN(INDEX(Database!K$9:K$501,ROW(Calc!K38)-ROW(Calc!$B$7)))=0,$AD$3,INDEX(Database!K$9:K$501,ROW(Calc!K38)-ROW(Calc!$B$7))),"")</f>
        <v>Not Set</v>
      </c>
      <c r="M38" s="130" t="str">
        <f>IFERROR(IF(LEN(INDEX(Database!L$9:L$501,ROW(Calc!L38)-ROW(Calc!$B$7)))=0,$AD$3,INDEX(Database!L$9:L$501,ROW(Calc!L38)-ROW(Calc!$B$7))),"")</f>
        <v>Not Set</v>
      </c>
      <c r="N38" s="131" t="str">
        <f>IFERROR(IF(LEN(INDEX(Database!M$9:M$501,ROW(Calc!M38)-ROW(Calc!$B$7)))=0,"",INDEX(Database!M$9:M$501,ROW(Calc!M38)-ROW(Calc!$B$7))),"")</f>
        <v/>
      </c>
      <c r="O38" s="132" t="str">
        <f t="shared" si="9"/>
        <v/>
      </c>
      <c r="P38" s="125" t="str">
        <f t="shared" si="2"/>
        <v>Not Set</v>
      </c>
      <c r="Q38" s="125" t="str">
        <f t="shared" si="3"/>
        <v>Not Set</v>
      </c>
      <c r="R38" s="125" t="str">
        <f>IFERROR(IF(G38=$AD$3,$AD$3,INDEX(Kanban_Helper!$C$317:$C$328,MATCH(MONTH(G38),Kanban_Helper!$B$317:$B$328,0))&amp;" - "&amp;YEAR(G38)),"$AD$3")</f>
        <v>Not Set</v>
      </c>
      <c r="S38" s="125" t="str">
        <f>IFERROR(IF(I38=$AD$3,$AD$3,INDEX(Kanban_Helper!$C$317:$C$328,MATCH(MONTH(I38),Kanban_Helper!$B$317:$B$328,0))&amp;" - "&amp;YEAR(I38)),$AD$3)</f>
        <v>Not Set</v>
      </c>
      <c r="T38" s="125" t="str">
        <f t="shared" ca="1" si="10"/>
        <v/>
      </c>
      <c r="U38" s="125" t="str">
        <f t="shared" ca="1" si="11"/>
        <v/>
      </c>
      <c r="V38" s="125" t="str">
        <f t="shared" si="6"/>
        <v>Not Set</v>
      </c>
      <c r="W38" s="126" t="str">
        <f t="shared" si="12"/>
        <v/>
      </c>
      <c r="X38" s="126" t="str">
        <f t="shared" si="13"/>
        <v/>
      </c>
      <c r="Y38" s="125" t="str">
        <f>IFERROR(IF(LEN(D38)=0,"",IF(SUBTOTAL(3,E38:E38)=0,MIN($Y$7:Y37)-1,SUBTOTAL(3,$E$8:E38))),"")</f>
        <v/>
      </c>
      <c r="Z38" s="17"/>
      <c r="AA38" s="10"/>
      <c r="AB38" s="10"/>
      <c r="AC38" s="10"/>
      <c r="AD38" s="10"/>
      <c r="AE38" s="10"/>
      <c r="AF38" s="10"/>
      <c r="AG38" s="10"/>
      <c r="AH38" s="10"/>
      <c r="AI38" s="10"/>
      <c r="AJ38" s="10"/>
      <c r="AK38" s="10"/>
      <c r="AL38" s="10"/>
      <c r="AM38" s="10"/>
      <c r="AN38" s="10"/>
    </row>
    <row r="39" spans="2:40" hidden="1" x14ac:dyDescent="0.35">
      <c r="B39" s="15"/>
      <c r="C39" s="127" t="str">
        <f>IFERROR(IF(LEN(INDEX(Database!C$9:C$501,ROW(Calc!A39)-ROW(Calc!$B$7)))=0,"",INDEX(Database!C$9:C$501,ROW(Calc!A39)-ROW(Calc!$B$7))),"")</f>
        <v/>
      </c>
      <c r="D39" s="70" t="str">
        <f>IFERROR(IF(LEN(INDEX(Database!D$9:D$501,ROW(Calc!B39)-ROW(Calc!$B$7)))=0,"",INDEX(Database!D$9:D$501,ROW(Calc!B39)-ROW(Calc!$B$7))),"")</f>
        <v/>
      </c>
      <c r="E39" s="124" t="str">
        <f>IFERROR(IF(LEN(INDEX(Database!G$9:G$501,ROW(Calc!D39)-ROW(Calc!$B$7)))=0,$AD$3,INDEX(Database!G$9:G$501,ROW(Calc!D39)-ROW(Calc!$B$7))),"")</f>
        <v>Not Set</v>
      </c>
      <c r="F39" s="124" t="str">
        <f>IFERROR(IF(LEN(INDEX(Database!F$9:F$501,ROW(Calc!E39)-ROW(Calc!$B$7)))=0,$AD$3,INDEX(Database!F$9:F$501,ROW(Calc!E39)-ROW(Calc!$B$7))),"")</f>
        <v>Not Set</v>
      </c>
      <c r="G39" s="128" t="str">
        <f>IFERROR(IF(LEN(INDEX(Database!H$9:H$501,ROW(Calc!F39)-ROW(Calc!$B$7)))=0,$AD$3,INDEX(Database!H$9:H$501,ROW(Calc!F39)-ROW(Calc!$B$7))),"")</f>
        <v>Not Set</v>
      </c>
      <c r="H39" s="128" t="str">
        <f>IFERROR(IF(LEN(INDEX(Database!I$9:I$501,ROW(Calc!G39)-ROW(Calc!$B$7)))=0,$AD$3,INDEX(Database!I$9:I$501,ROW(Calc!G39)-ROW(Calc!$B$7))),"")</f>
        <v>Not Set</v>
      </c>
      <c r="I39" s="128" t="str">
        <f>IFERROR(IF(LEN(INDEX(Database!J$9:J$501,ROW(Calc!H39)-ROW(Calc!$B$7)))=0,$AD$3,INDEX(Database!J$9:J$501,ROW(Calc!H39)-ROW(Calc!$B$7))),"")</f>
        <v>Not Set</v>
      </c>
      <c r="J39" s="128" t="str">
        <f t="shared" si="0"/>
        <v>Not Set</v>
      </c>
      <c r="K39" s="124" t="str">
        <f>IFERROR(IF(LEN(INDEX(Database!E$9:E$501,ROW(Calc!I39)-ROW(Calc!$B$7)))=0,"",INDEX(Database!E$9:E$501,ROW(Calc!I39)-ROW(Calc!$B$7))),"")</f>
        <v/>
      </c>
      <c r="L39" s="129" t="str">
        <f>IFERROR(IF(LEN(INDEX(Database!K$9:K$501,ROW(Calc!K39)-ROW(Calc!$B$7)))=0,$AD$3,INDEX(Database!K$9:K$501,ROW(Calc!K39)-ROW(Calc!$B$7))),"")</f>
        <v>Not Set</v>
      </c>
      <c r="M39" s="130" t="str">
        <f>IFERROR(IF(LEN(INDEX(Database!L$9:L$501,ROW(Calc!L39)-ROW(Calc!$B$7)))=0,$AD$3,INDEX(Database!L$9:L$501,ROW(Calc!L39)-ROW(Calc!$B$7))),"")</f>
        <v>Not Set</v>
      </c>
      <c r="N39" s="131" t="str">
        <f>IFERROR(IF(LEN(INDEX(Database!M$9:M$501,ROW(Calc!M39)-ROW(Calc!$B$7)))=0,"",INDEX(Database!M$9:M$501,ROW(Calc!M39)-ROW(Calc!$B$7))),"")</f>
        <v/>
      </c>
      <c r="O39" s="132" t="str">
        <f t="shared" si="9"/>
        <v/>
      </c>
      <c r="P39" s="125" t="str">
        <f t="shared" si="2"/>
        <v>Not Set</v>
      </c>
      <c r="Q39" s="125" t="str">
        <f t="shared" si="3"/>
        <v>Not Set</v>
      </c>
      <c r="R39" s="125" t="str">
        <f>IFERROR(IF(G39=$AD$3,$AD$3,INDEX(Kanban_Helper!$C$317:$C$328,MATCH(MONTH(G39),Kanban_Helper!$B$317:$B$328,0))&amp;" - "&amp;YEAR(G39)),"$AD$3")</f>
        <v>Not Set</v>
      </c>
      <c r="S39" s="125" t="str">
        <f>IFERROR(IF(I39=$AD$3,$AD$3,INDEX(Kanban_Helper!$C$317:$C$328,MATCH(MONTH(I39),Kanban_Helper!$B$317:$B$328,0))&amp;" - "&amp;YEAR(I39)),$AD$3)</f>
        <v>Not Set</v>
      </c>
      <c r="T39" s="125" t="str">
        <f t="shared" ca="1" si="10"/>
        <v/>
      </c>
      <c r="U39" s="125" t="str">
        <f t="shared" ca="1" si="11"/>
        <v/>
      </c>
      <c r="V39" s="125" t="str">
        <f t="shared" si="6"/>
        <v>Not Set</v>
      </c>
      <c r="W39" s="126" t="str">
        <f t="shared" si="12"/>
        <v/>
      </c>
      <c r="X39" s="126" t="str">
        <f t="shared" si="13"/>
        <v/>
      </c>
      <c r="Y39" s="125" t="str">
        <f>IFERROR(IF(LEN(D39)=0,"",IF(SUBTOTAL(3,E39:E39)=0,MIN($Y$7:Y38)-1,SUBTOTAL(3,$E$8:E39))),"")</f>
        <v/>
      </c>
      <c r="Z39" s="17"/>
      <c r="AA39" s="10"/>
      <c r="AB39" s="10"/>
      <c r="AC39" s="10"/>
      <c r="AD39" s="10"/>
      <c r="AE39" s="10"/>
      <c r="AF39" s="10"/>
      <c r="AG39" s="10"/>
      <c r="AH39" s="10"/>
      <c r="AI39" s="10"/>
      <c r="AJ39" s="10"/>
      <c r="AK39" s="10"/>
      <c r="AL39" s="10"/>
      <c r="AM39" s="10"/>
      <c r="AN39" s="10"/>
    </row>
    <row r="40" spans="2:40" hidden="1" x14ac:dyDescent="0.35">
      <c r="B40" s="15"/>
      <c r="C40" s="127" t="str">
        <f>IFERROR(IF(LEN(INDEX(Database!C$9:C$501,ROW(Calc!A40)-ROW(Calc!$B$7)))=0,"",INDEX(Database!C$9:C$501,ROW(Calc!A40)-ROW(Calc!$B$7))),"")</f>
        <v/>
      </c>
      <c r="D40" s="70" t="str">
        <f>IFERROR(IF(LEN(INDEX(Database!D$9:D$501,ROW(Calc!B40)-ROW(Calc!$B$7)))=0,"",INDEX(Database!D$9:D$501,ROW(Calc!B40)-ROW(Calc!$B$7))),"")</f>
        <v/>
      </c>
      <c r="E40" s="124" t="str">
        <f>IFERROR(IF(LEN(INDEX(Database!G$9:G$501,ROW(Calc!D40)-ROW(Calc!$B$7)))=0,$AD$3,INDEX(Database!G$9:G$501,ROW(Calc!D40)-ROW(Calc!$B$7))),"")</f>
        <v>Not Set</v>
      </c>
      <c r="F40" s="124" t="str">
        <f>IFERROR(IF(LEN(INDEX(Database!F$9:F$501,ROW(Calc!E40)-ROW(Calc!$B$7)))=0,$AD$3,INDEX(Database!F$9:F$501,ROW(Calc!E40)-ROW(Calc!$B$7))),"")</f>
        <v>Not Set</v>
      </c>
      <c r="G40" s="128" t="str">
        <f>IFERROR(IF(LEN(INDEX(Database!H$9:H$501,ROW(Calc!F40)-ROW(Calc!$B$7)))=0,$AD$3,INDEX(Database!H$9:H$501,ROW(Calc!F40)-ROW(Calc!$B$7))),"")</f>
        <v>Not Set</v>
      </c>
      <c r="H40" s="128" t="str">
        <f>IFERROR(IF(LEN(INDEX(Database!I$9:I$501,ROW(Calc!G40)-ROW(Calc!$B$7)))=0,$AD$3,INDEX(Database!I$9:I$501,ROW(Calc!G40)-ROW(Calc!$B$7))),"")</f>
        <v>Not Set</v>
      </c>
      <c r="I40" s="128" t="str">
        <f>IFERROR(IF(LEN(INDEX(Database!J$9:J$501,ROW(Calc!H40)-ROW(Calc!$B$7)))=0,$AD$3,INDEX(Database!J$9:J$501,ROW(Calc!H40)-ROW(Calc!$B$7))),"")</f>
        <v>Not Set</v>
      </c>
      <c r="J40" s="128" t="str">
        <f t="shared" si="0"/>
        <v>Not Set</v>
      </c>
      <c r="K40" s="124" t="str">
        <f>IFERROR(IF(LEN(INDEX(Database!E$9:E$501,ROW(Calc!I40)-ROW(Calc!$B$7)))=0,"",INDEX(Database!E$9:E$501,ROW(Calc!I40)-ROW(Calc!$B$7))),"")</f>
        <v/>
      </c>
      <c r="L40" s="129" t="str">
        <f>IFERROR(IF(LEN(INDEX(Database!K$9:K$501,ROW(Calc!K40)-ROW(Calc!$B$7)))=0,$AD$3,INDEX(Database!K$9:K$501,ROW(Calc!K40)-ROW(Calc!$B$7))),"")</f>
        <v>Not Set</v>
      </c>
      <c r="M40" s="130" t="str">
        <f>IFERROR(IF(LEN(INDEX(Database!L$9:L$501,ROW(Calc!L40)-ROW(Calc!$B$7)))=0,$AD$3,INDEX(Database!L$9:L$501,ROW(Calc!L40)-ROW(Calc!$B$7))),"")</f>
        <v>Not Set</v>
      </c>
      <c r="N40" s="131" t="str">
        <f>IFERROR(IF(LEN(INDEX(Database!M$9:M$501,ROW(Calc!M40)-ROW(Calc!$B$7)))=0,"",INDEX(Database!M$9:M$501,ROW(Calc!M40)-ROW(Calc!$B$7))),"")</f>
        <v/>
      </c>
      <c r="O40" s="132" t="str">
        <f t="shared" si="9"/>
        <v/>
      </c>
      <c r="P40" s="125" t="str">
        <f t="shared" si="2"/>
        <v>Not Set</v>
      </c>
      <c r="Q40" s="125" t="str">
        <f t="shared" si="3"/>
        <v>Not Set</v>
      </c>
      <c r="R40" s="125" t="str">
        <f>IFERROR(IF(G40=$AD$3,$AD$3,INDEX(Kanban_Helper!$C$317:$C$328,MATCH(MONTH(G40),Kanban_Helper!$B$317:$B$328,0))&amp;" - "&amp;YEAR(G40)),"$AD$3")</f>
        <v>Not Set</v>
      </c>
      <c r="S40" s="125" t="str">
        <f>IFERROR(IF(I40=$AD$3,$AD$3,INDEX(Kanban_Helper!$C$317:$C$328,MATCH(MONTH(I40),Kanban_Helper!$B$317:$B$328,0))&amp;" - "&amp;YEAR(I40)),$AD$3)</f>
        <v>Not Set</v>
      </c>
      <c r="T40" s="125" t="str">
        <f t="shared" ca="1" si="10"/>
        <v/>
      </c>
      <c r="U40" s="125" t="str">
        <f t="shared" ca="1" si="11"/>
        <v/>
      </c>
      <c r="V40" s="125" t="str">
        <f t="shared" si="6"/>
        <v>Not Set</v>
      </c>
      <c r="W40" s="126" t="str">
        <f t="shared" si="12"/>
        <v/>
      </c>
      <c r="X40" s="126" t="str">
        <f t="shared" si="13"/>
        <v/>
      </c>
      <c r="Y40" s="125" t="str">
        <f>IFERROR(IF(LEN(D40)=0,"",IF(SUBTOTAL(3,E40:E40)=0,MIN($Y$7:Y39)-1,SUBTOTAL(3,$E$8:E40))),"")</f>
        <v/>
      </c>
      <c r="Z40" s="17"/>
      <c r="AA40" s="10"/>
      <c r="AB40" s="10"/>
      <c r="AC40" s="10"/>
      <c r="AD40" s="10"/>
      <c r="AE40" s="10"/>
      <c r="AF40" s="10"/>
      <c r="AG40" s="10"/>
      <c r="AH40" s="10"/>
      <c r="AI40" s="10"/>
      <c r="AJ40" s="10"/>
      <c r="AK40" s="10"/>
      <c r="AL40" s="10"/>
      <c r="AM40" s="10"/>
      <c r="AN40" s="10"/>
    </row>
    <row r="41" spans="2:40" hidden="1" x14ac:dyDescent="0.35">
      <c r="B41" s="15"/>
      <c r="C41" s="127" t="str">
        <f>IFERROR(IF(LEN(INDEX(Database!C$9:C$501,ROW(Calc!A41)-ROW(Calc!$B$7)))=0,"",INDEX(Database!C$9:C$501,ROW(Calc!A41)-ROW(Calc!$B$7))),"")</f>
        <v/>
      </c>
      <c r="D41" s="70" t="str">
        <f>IFERROR(IF(LEN(INDEX(Database!D$9:D$501,ROW(Calc!B41)-ROW(Calc!$B$7)))=0,"",INDEX(Database!D$9:D$501,ROW(Calc!B41)-ROW(Calc!$B$7))),"")</f>
        <v/>
      </c>
      <c r="E41" s="124" t="str">
        <f>IFERROR(IF(LEN(INDEX(Database!G$9:G$501,ROW(Calc!D41)-ROW(Calc!$B$7)))=0,$AD$3,INDEX(Database!G$9:G$501,ROW(Calc!D41)-ROW(Calc!$B$7))),"")</f>
        <v>Not Set</v>
      </c>
      <c r="F41" s="124" t="str">
        <f>IFERROR(IF(LEN(INDEX(Database!F$9:F$501,ROW(Calc!E41)-ROW(Calc!$B$7)))=0,$AD$3,INDEX(Database!F$9:F$501,ROW(Calc!E41)-ROW(Calc!$B$7))),"")</f>
        <v>Not Set</v>
      </c>
      <c r="G41" s="128" t="str">
        <f>IFERROR(IF(LEN(INDEX(Database!H$9:H$501,ROW(Calc!F41)-ROW(Calc!$B$7)))=0,$AD$3,INDEX(Database!H$9:H$501,ROW(Calc!F41)-ROW(Calc!$B$7))),"")</f>
        <v>Not Set</v>
      </c>
      <c r="H41" s="128" t="str">
        <f>IFERROR(IF(LEN(INDEX(Database!I$9:I$501,ROW(Calc!G41)-ROW(Calc!$B$7)))=0,$AD$3,INDEX(Database!I$9:I$501,ROW(Calc!G41)-ROW(Calc!$B$7))),"")</f>
        <v>Not Set</v>
      </c>
      <c r="I41" s="128" t="str">
        <f>IFERROR(IF(LEN(INDEX(Database!J$9:J$501,ROW(Calc!H41)-ROW(Calc!$B$7)))=0,$AD$3,INDEX(Database!J$9:J$501,ROW(Calc!H41)-ROW(Calc!$B$7))),"")</f>
        <v>Not Set</v>
      </c>
      <c r="J41" s="128" t="str">
        <f t="shared" si="0"/>
        <v>Not Set</v>
      </c>
      <c r="K41" s="124" t="str">
        <f>IFERROR(IF(LEN(INDEX(Database!E$9:E$501,ROW(Calc!I41)-ROW(Calc!$B$7)))=0,"",INDEX(Database!E$9:E$501,ROW(Calc!I41)-ROW(Calc!$B$7))),"")</f>
        <v/>
      </c>
      <c r="L41" s="129" t="str">
        <f>IFERROR(IF(LEN(INDEX(Database!K$9:K$501,ROW(Calc!K41)-ROW(Calc!$B$7)))=0,$AD$3,INDEX(Database!K$9:K$501,ROW(Calc!K41)-ROW(Calc!$B$7))),"")</f>
        <v>Not Set</v>
      </c>
      <c r="M41" s="130" t="str">
        <f>IFERROR(IF(LEN(INDEX(Database!L$9:L$501,ROW(Calc!L41)-ROW(Calc!$B$7)))=0,$AD$3,INDEX(Database!L$9:L$501,ROW(Calc!L41)-ROW(Calc!$B$7))),"")</f>
        <v>Not Set</v>
      </c>
      <c r="N41" s="131" t="str">
        <f>IFERROR(IF(LEN(INDEX(Database!M$9:M$501,ROW(Calc!M41)-ROW(Calc!$B$7)))=0,"",INDEX(Database!M$9:M$501,ROW(Calc!M41)-ROW(Calc!$B$7))),"")</f>
        <v/>
      </c>
      <c r="O41" s="132" t="str">
        <f t="shared" si="9"/>
        <v/>
      </c>
      <c r="P41" s="125" t="str">
        <f t="shared" si="2"/>
        <v>Not Set</v>
      </c>
      <c r="Q41" s="125" t="str">
        <f t="shared" si="3"/>
        <v>Not Set</v>
      </c>
      <c r="R41" s="125" t="str">
        <f>IFERROR(IF(G41=$AD$3,$AD$3,INDEX(Kanban_Helper!$C$317:$C$328,MATCH(MONTH(G41),Kanban_Helper!$B$317:$B$328,0))&amp;" - "&amp;YEAR(G41)),"$AD$3")</f>
        <v>Not Set</v>
      </c>
      <c r="S41" s="125" t="str">
        <f>IFERROR(IF(I41=$AD$3,$AD$3,INDEX(Kanban_Helper!$C$317:$C$328,MATCH(MONTH(I41),Kanban_Helper!$B$317:$B$328,0))&amp;" - "&amp;YEAR(I41)),$AD$3)</f>
        <v>Not Set</v>
      </c>
      <c r="T41" s="125" t="str">
        <f t="shared" ca="1" si="10"/>
        <v/>
      </c>
      <c r="U41" s="125" t="str">
        <f t="shared" ca="1" si="11"/>
        <v/>
      </c>
      <c r="V41" s="125" t="str">
        <f t="shared" si="6"/>
        <v>Not Set</v>
      </c>
      <c r="W41" s="126" t="str">
        <f t="shared" si="12"/>
        <v/>
      </c>
      <c r="X41" s="126" t="str">
        <f t="shared" si="13"/>
        <v/>
      </c>
      <c r="Y41" s="125" t="str">
        <f>IFERROR(IF(LEN(D41)=0,"",IF(SUBTOTAL(3,E41:E41)=0,MIN($Y$7:Y40)-1,SUBTOTAL(3,$E$8:E41))),"")</f>
        <v/>
      </c>
      <c r="Z41" s="17"/>
      <c r="AA41" s="10"/>
      <c r="AB41" s="10"/>
      <c r="AC41" s="10"/>
      <c r="AD41" s="10"/>
      <c r="AE41" s="10"/>
      <c r="AF41" s="10"/>
      <c r="AG41" s="10"/>
      <c r="AH41" s="10"/>
      <c r="AI41" s="10"/>
      <c r="AJ41" s="10"/>
      <c r="AK41" s="10"/>
      <c r="AL41" s="10"/>
      <c r="AM41" s="10"/>
      <c r="AN41" s="10"/>
    </row>
    <row r="42" spans="2:40" hidden="1" x14ac:dyDescent="0.35">
      <c r="B42" s="15"/>
      <c r="C42" s="127" t="str">
        <f>IFERROR(IF(LEN(INDEX(Database!C$9:C$501,ROW(Calc!A42)-ROW(Calc!$B$7)))=0,"",INDEX(Database!C$9:C$501,ROW(Calc!A42)-ROW(Calc!$B$7))),"")</f>
        <v/>
      </c>
      <c r="D42" s="70" t="str">
        <f>IFERROR(IF(LEN(INDEX(Database!D$9:D$501,ROW(Calc!B42)-ROW(Calc!$B$7)))=0,"",INDEX(Database!D$9:D$501,ROW(Calc!B42)-ROW(Calc!$B$7))),"")</f>
        <v/>
      </c>
      <c r="E42" s="124" t="str">
        <f>IFERROR(IF(LEN(INDEX(Database!G$9:G$501,ROW(Calc!D42)-ROW(Calc!$B$7)))=0,$AD$3,INDEX(Database!G$9:G$501,ROW(Calc!D42)-ROW(Calc!$B$7))),"")</f>
        <v>Not Set</v>
      </c>
      <c r="F42" s="124" t="str">
        <f>IFERROR(IF(LEN(INDEX(Database!F$9:F$501,ROW(Calc!E42)-ROW(Calc!$B$7)))=0,$AD$3,INDEX(Database!F$9:F$501,ROW(Calc!E42)-ROW(Calc!$B$7))),"")</f>
        <v>Not Set</v>
      </c>
      <c r="G42" s="128" t="str">
        <f>IFERROR(IF(LEN(INDEX(Database!H$9:H$501,ROW(Calc!F42)-ROW(Calc!$B$7)))=0,$AD$3,INDEX(Database!H$9:H$501,ROW(Calc!F42)-ROW(Calc!$B$7))),"")</f>
        <v>Not Set</v>
      </c>
      <c r="H42" s="128" t="str">
        <f>IFERROR(IF(LEN(INDEX(Database!I$9:I$501,ROW(Calc!G42)-ROW(Calc!$B$7)))=0,$AD$3,INDEX(Database!I$9:I$501,ROW(Calc!G42)-ROW(Calc!$B$7))),"")</f>
        <v>Not Set</v>
      </c>
      <c r="I42" s="128" t="str">
        <f>IFERROR(IF(LEN(INDEX(Database!J$9:J$501,ROW(Calc!H42)-ROW(Calc!$B$7)))=0,$AD$3,INDEX(Database!J$9:J$501,ROW(Calc!H42)-ROW(Calc!$B$7))),"")</f>
        <v>Not Set</v>
      </c>
      <c r="J42" s="128" t="str">
        <f t="shared" si="0"/>
        <v>Not Set</v>
      </c>
      <c r="K42" s="124" t="str">
        <f>IFERROR(IF(LEN(INDEX(Database!E$9:E$501,ROW(Calc!I42)-ROW(Calc!$B$7)))=0,"",INDEX(Database!E$9:E$501,ROW(Calc!I42)-ROW(Calc!$B$7))),"")</f>
        <v/>
      </c>
      <c r="L42" s="129" t="str">
        <f>IFERROR(IF(LEN(INDEX(Database!K$9:K$501,ROW(Calc!K42)-ROW(Calc!$B$7)))=0,$AD$3,INDEX(Database!K$9:K$501,ROW(Calc!K42)-ROW(Calc!$B$7))),"")</f>
        <v>Not Set</v>
      </c>
      <c r="M42" s="130" t="str">
        <f>IFERROR(IF(LEN(INDEX(Database!L$9:L$501,ROW(Calc!L42)-ROW(Calc!$B$7)))=0,$AD$3,INDEX(Database!L$9:L$501,ROW(Calc!L42)-ROW(Calc!$B$7))),"")</f>
        <v>Not Set</v>
      </c>
      <c r="N42" s="131" t="str">
        <f>IFERROR(IF(LEN(INDEX(Database!M$9:M$501,ROW(Calc!M42)-ROW(Calc!$B$7)))=0,"",INDEX(Database!M$9:M$501,ROW(Calc!M42)-ROW(Calc!$B$7))),"")</f>
        <v/>
      </c>
      <c r="O42" s="132" t="str">
        <f t="shared" si="9"/>
        <v/>
      </c>
      <c r="P42" s="125" t="str">
        <f t="shared" si="2"/>
        <v>Not Set</v>
      </c>
      <c r="Q42" s="125" t="str">
        <f t="shared" si="3"/>
        <v>Not Set</v>
      </c>
      <c r="R42" s="125" t="str">
        <f>IFERROR(IF(G42=$AD$3,$AD$3,INDEX(Kanban_Helper!$C$317:$C$328,MATCH(MONTH(G42),Kanban_Helper!$B$317:$B$328,0))&amp;" - "&amp;YEAR(G42)),"$AD$3")</f>
        <v>Not Set</v>
      </c>
      <c r="S42" s="125" t="str">
        <f>IFERROR(IF(I42=$AD$3,$AD$3,INDEX(Kanban_Helper!$C$317:$C$328,MATCH(MONTH(I42),Kanban_Helper!$B$317:$B$328,0))&amp;" - "&amp;YEAR(I42)),$AD$3)</f>
        <v>Not Set</v>
      </c>
      <c r="T42" s="125" t="str">
        <f t="shared" ca="1" si="10"/>
        <v/>
      </c>
      <c r="U42" s="125" t="str">
        <f t="shared" ca="1" si="11"/>
        <v/>
      </c>
      <c r="V42" s="125" t="str">
        <f t="shared" si="6"/>
        <v>Not Set</v>
      </c>
      <c r="W42" s="126" t="str">
        <f t="shared" si="12"/>
        <v/>
      </c>
      <c r="X42" s="126" t="str">
        <f t="shared" si="13"/>
        <v/>
      </c>
      <c r="Y42" s="125" t="str">
        <f>IFERROR(IF(LEN(D42)=0,"",IF(SUBTOTAL(3,E42:E42)=0,MIN($Y$7:Y41)-1,SUBTOTAL(3,$E$8:E42))),"")</f>
        <v/>
      </c>
      <c r="Z42" s="17"/>
      <c r="AA42" s="10"/>
      <c r="AB42" s="10"/>
      <c r="AC42" s="10"/>
      <c r="AD42" s="10"/>
      <c r="AE42" s="10"/>
      <c r="AF42" s="10"/>
      <c r="AG42" s="10"/>
      <c r="AH42" s="10"/>
      <c r="AI42" s="10"/>
      <c r="AJ42" s="10"/>
      <c r="AK42" s="10"/>
      <c r="AL42" s="10"/>
      <c r="AM42" s="10"/>
      <c r="AN42" s="10"/>
    </row>
    <row r="43" spans="2:40" hidden="1" x14ac:dyDescent="0.35">
      <c r="B43" s="15"/>
      <c r="C43" s="127" t="str">
        <f>IFERROR(IF(LEN(INDEX(Database!C$9:C$501,ROW(Calc!A43)-ROW(Calc!$B$7)))=0,"",INDEX(Database!C$9:C$501,ROW(Calc!A43)-ROW(Calc!$B$7))),"")</f>
        <v/>
      </c>
      <c r="D43" s="70" t="str">
        <f>IFERROR(IF(LEN(INDEX(Database!D$9:D$501,ROW(Calc!B43)-ROW(Calc!$B$7)))=0,"",INDEX(Database!D$9:D$501,ROW(Calc!B43)-ROW(Calc!$B$7))),"")</f>
        <v/>
      </c>
      <c r="E43" s="124" t="str">
        <f>IFERROR(IF(LEN(INDEX(Database!G$9:G$501,ROW(Calc!D43)-ROW(Calc!$B$7)))=0,$AD$3,INDEX(Database!G$9:G$501,ROW(Calc!D43)-ROW(Calc!$B$7))),"")</f>
        <v>Not Set</v>
      </c>
      <c r="F43" s="124" t="str">
        <f>IFERROR(IF(LEN(INDEX(Database!F$9:F$501,ROW(Calc!E43)-ROW(Calc!$B$7)))=0,$AD$3,INDEX(Database!F$9:F$501,ROW(Calc!E43)-ROW(Calc!$B$7))),"")</f>
        <v>Not Set</v>
      </c>
      <c r="G43" s="128" t="str">
        <f>IFERROR(IF(LEN(INDEX(Database!H$9:H$501,ROW(Calc!F43)-ROW(Calc!$B$7)))=0,$AD$3,INDEX(Database!H$9:H$501,ROW(Calc!F43)-ROW(Calc!$B$7))),"")</f>
        <v>Not Set</v>
      </c>
      <c r="H43" s="128" t="str">
        <f>IFERROR(IF(LEN(INDEX(Database!I$9:I$501,ROW(Calc!G43)-ROW(Calc!$B$7)))=0,$AD$3,INDEX(Database!I$9:I$501,ROW(Calc!G43)-ROW(Calc!$B$7))),"")</f>
        <v>Not Set</v>
      </c>
      <c r="I43" s="128" t="str">
        <f>IFERROR(IF(LEN(INDEX(Database!J$9:J$501,ROW(Calc!H43)-ROW(Calc!$B$7)))=0,$AD$3,INDEX(Database!J$9:J$501,ROW(Calc!H43)-ROW(Calc!$B$7))),"")</f>
        <v>Not Set</v>
      </c>
      <c r="J43" s="128" t="str">
        <f t="shared" si="0"/>
        <v>Not Set</v>
      </c>
      <c r="K43" s="124" t="str">
        <f>IFERROR(IF(LEN(INDEX(Database!E$9:E$501,ROW(Calc!I43)-ROW(Calc!$B$7)))=0,"",INDEX(Database!E$9:E$501,ROW(Calc!I43)-ROW(Calc!$B$7))),"")</f>
        <v/>
      </c>
      <c r="L43" s="129" t="str">
        <f>IFERROR(IF(LEN(INDEX(Database!K$9:K$501,ROW(Calc!K43)-ROW(Calc!$B$7)))=0,$AD$3,INDEX(Database!K$9:K$501,ROW(Calc!K43)-ROW(Calc!$B$7))),"")</f>
        <v>Not Set</v>
      </c>
      <c r="M43" s="130" t="str">
        <f>IFERROR(IF(LEN(INDEX(Database!L$9:L$501,ROW(Calc!L43)-ROW(Calc!$B$7)))=0,$AD$3,INDEX(Database!L$9:L$501,ROW(Calc!L43)-ROW(Calc!$B$7))),"")</f>
        <v>Not Set</v>
      </c>
      <c r="N43" s="131" t="str">
        <f>IFERROR(IF(LEN(INDEX(Database!M$9:M$501,ROW(Calc!M43)-ROW(Calc!$B$7)))=0,"",INDEX(Database!M$9:M$501,ROW(Calc!M43)-ROW(Calc!$B$7))),"")</f>
        <v/>
      </c>
      <c r="O43" s="132" t="str">
        <f t="shared" si="9"/>
        <v/>
      </c>
      <c r="P43" s="125" t="str">
        <f t="shared" si="2"/>
        <v>Not Set</v>
      </c>
      <c r="Q43" s="125" t="str">
        <f t="shared" si="3"/>
        <v>Not Set</v>
      </c>
      <c r="R43" s="125" t="str">
        <f>IFERROR(IF(G43=$AD$3,$AD$3,INDEX(Kanban_Helper!$C$317:$C$328,MATCH(MONTH(G43),Kanban_Helper!$B$317:$B$328,0))&amp;" - "&amp;YEAR(G43)),"$AD$3")</f>
        <v>Not Set</v>
      </c>
      <c r="S43" s="125" t="str">
        <f>IFERROR(IF(I43=$AD$3,$AD$3,INDEX(Kanban_Helper!$C$317:$C$328,MATCH(MONTH(I43),Kanban_Helper!$B$317:$B$328,0))&amp;" - "&amp;YEAR(I43)),$AD$3)</f>
        <v>Not Set</v>
      </c>
      <c r="T43" s="125" t="str">
        <f t="shared" ca="1" si="10"/>
        <v/>
      </c>
      <c r="U43" s="125" t="str">
        <f t="shared" ca="1" si="11"/>
        <v/>
      </c>
      <c r="V43" s="125" t="str">
        <f t="shared" si="6"/>
        <v>Not Set</v>
      </c>
      <c r="W43" s="126" t="str">
        <f t="shared" si="12"/>
        <v/>
      </c>
      <c r="X43" s="126" t="str">
        <f t="shared" si="13"/>
        <v/>
      </c>
      <c r="Y43" s="125" t="str">
        <f>IFERROR(IF(LEN(D43)=0,"",IF(SUBTOTAL(3,E43:E43)=0,MIN($Y$7:Y42)-1,SUBTOTAL(3,$E$8:E43))),"")</f>
        <v/>
      </c>
      <c r="Z43" s="17"/>
      <c r="AA43" s="10"/>
      <c r="AB43" s="10"/>
      <c r="AC43" s="10"/>
      <c r="AD43" s="10"/>
      <c r="AE43" s="10"/>
      <c r="AF43" s="10"/>
      <c r="AG43" s="10"/>
      <c r="AH43" s="10"/>
      <c r="AI43" s="10"/>
      <c r="AJ43" s="10"/>
      <c r="AK43" s="10"/>
      <c r="AL43" s="10"/>
      <c r="AM43" s="10"/>
      <c r="AN43" s="10"/>
    </row>
    <row r="44" spans="2:40" hidden="1" x14ac:dyDescent="0.35">
      <c r="B44" s="15"/>
      <c r="C44" s="127" t="str">
        <f>IFERROR(IF(LEN(INDEX(Database!C$9:C$501,ROW(Calc!A44)-ROW(Calc!$B$7)))=0,"",INDEX(Database!C$9:C$501,ROW(Calc!A44)-ROW(Calc!$B$7))),"")</f>
        <v/>
      </c>
      <c r="D44" s="70" t="str">
        <f>IFERROR(IF(LEN(INDEX(Database!D$9:D$501,ROW(Calc!B44)-ROW(Calc!$B$7)))=0,"",INDEX(Database!D$9:D$501,ROW(Calc!B44)-ROW(Calc!$B$7))),"")</f>
        <v/>
      </c>
      <c r="E44" s="124" t="str">
        <f>IFERROR(IF(LEN(INDEX(Database!G$9:G$501,ROW(Calc!D44)-ROW(Calc!$B$7)))=0,$AD$3,INDEX(Database!G$9:G$501,ROW(Calc!D44)-ROW(Calc!$B$7))),"")</f>
        <v>Not Set</v>
      </c>
      <c r="F44" s="124" t="str">
        <f>IFERROR(IF(LEN(INDEX(Database!F$9:F$501,ROW(Calc!E44)-ROW(Calc!$B$7)))=0,$AD$3,INDEX(Database!F$9:F$501,ROW(Calc!E44)-ROW(Calc!$B$7))),"")</f>
        <v>Not Set</v>
      </c>
      <c r="G44" s="128" t="str">
        <f>IFERROR(IF(LEN(INDEX(Database!H$9:H$501,ROW(Calc!F44)-ROW(Calc!$B$7)))=0,$AD$3,INDEX(Database!H$9:H$501,ROW(Calc!F44)-ROW(Calc!$B$7))),"")</f>
        <v>Not Set</v>
      </c>
      <c r="H44" s="128" t="str">
        <f>IFERROR(IF(LEN(INDEX(Database!I$9:I$501,ROW(Calc!G44)-ROW(Calc!$B$7)))=0,$AD$3,INDEX(Database!I$9:I$501,ROW(Calc!G44)-ROW(Calc!$B$7))),"")</f>
        <v>Not Set</v>
      </c>
      <c r="I44" s="128" t="str">
        <f>IFERROR(IF(LEN(INDEX(Database!J$9:J$501,ROW(Calc!H44)-ROW(Calc!$B$7)))=0,$AD$3,INDEX(Database!J$9:J$501,ROW(Calc!H44)-ROW(Calc!$B$7))),"")</f>
        <v>Not Set</v>
      </c>
      <c r="J44" s="128" t="str">
        <f t="shared" si="0"/>
        <v>Not Set</v>
      </c>
      <c r="K44" s="124" t="str">
        <f>IFERROR(IF(LEN(INDEX(Database!E$9:E$501,ROW(Calc!I44)-ROW(Calc!$B$7)))=0,"",INDEX(Database!E$9:E$501,ROW(Calc!I44)-ROW(Calc!$B$7))),"")</f>
        <v/>
      </c>
      <c r="L44" s="129" t="str">
        <f>IFERROR(IF(LEN(INDEX(Database!K$9:K$501,ROW(Calc!K44)-ROW(Calc!$B$7)))=0,$AD$3,INDEX(Database!K$9:K$501,ROW(Calc!K44)-ROW(Calc!$B$7))),"")</f>
        <v>Not Set</v>
      </c>
      <c r="M44" s="130" t="str">
        <f>IFERROR(IF(LEN(INDEX(Database!L$9:L$501,ROW(Calc!L44)-ROW(Calc!$B$7)))=0,$AD$3,INDEX(Database!L$9:L$501,ROW(Calc!L44)-ROW(Calc!$B$7))),"")</f>
        <v>Not Set</v>
      </c>
      <c r="N44" s="131" t="str">
        <f>IFERROR(IF(LEN(INDEX(Database!M$9:M$501,ROW(Calc!M44)-ROW(Calc!$B$7)))=0,"",INDEX(Database!M$9:M$501,ROW(Calc!M44)-ROW(Calc!$B$7))),"")</f>
        <v/>
      </c>
      <c r="O44" s="132" t="str">
        <f t="shared" si="9"/>
        <v/>
      </c>
      <c r="P44" s="125" t="str">
        <f t="shared" si="2"/>
        <v>Not Set</v>
      </c>
      <c r="Q44" s="125" t="str">
        <f t="shared" si="3"/>
        <v>Not Set</v>
      </c>
      <c r="R44" s="125" t="str">
        <f>IFERROR(IF(G44=$AD$3,$AD$3,INDEX(Kanban_Helper!$C$317:$C$328,MATCH(MONTH(G44),Kanban_Helper!$B$317:$B$328,0))&amp;" - "&amp;YEAR(G44)),"$AD$3")</f>
        <v>Not Set</v>
      </c>
      <c r="S44" s="125" t="str">
        <f>IFERROR(IF(I44=$AD$3,$AD$3,INDEX(Kanban_Helper!$C$317:$C$328,MATCH(MONTH(I44),Kanban_Helper!$B$317:$B$328,0))&amp;" - "&amp;YEAR(I44)),$AD$3)</f>
        <v>Not Set</v>
      </c>
      <c r="T44" s="125" t="str">
        <f t="shared" ca="1" si="10"/>
        <v/>
      </c>
      <c r="U44" s="125" t="str">
        <f t="shared" ca="1" si="11"/>
        <v/>
      </c>
      <c r="V44" s="125" t="str">
        <f t="shared" si="6"/>
        <v>Not Set</v>
      </c>
      <c r="W44" s="126" t="str">
        <f t="shared" si="12"/>
        <v/>
      </c>
      <c r="X44" s="126" t="str">
        <f t="shared" si="13"/>
        <v/>
      </c>
      <c r="Y44" s="125" t="str">
        <f>IFERROR(IF(LEN(D44)=0,"",IF(SUBTOTAL(3,E44:E44)=0,MIN($Y$7:Y43)-1,SUBTOTAL(3,$E$8:E44))),"")</f>
        <v/>
      </c>
      <c r="Z44" s="17"/>
      <c r="AA44" s="10"/>
      <c r="AB44" s="10"/>
      <c r="AC44" s="10"/>
      <c r="AD44" s="10"/>
      <c r="AE44" s="10"/>
      <c r="AF44" s="10"/>
      <c r="AG44" s="10"/>
      <c r="AH44" s="10"/>
      <c r="AI44" s="10"/>
      <c r="AJ44" s="10"/>
      <c r="AK44" s="10"/>
      <c r="AL44" s="10"/>
      <c r="AM44" s="10"/>
      <c r="AN44" s="10"/>
    </row>
    <row r="45" spans="2:40" hidden="1" x14ac:dyDescent="0.35">
      <c r="B45" s="15"/>
      <c r="C45" s="127" t="str">
        <f>IFERROR(IF(LEN(INDEX(Database!C$9:C$501,ROW(Calc!A45)-ROW(Calc!$B$7)))=0,"",INDEX(Database!C$9:C$501,ROW(Calc!A45)-ROW(Calc!$B$7))),"")</f>
        <v/>
      </c>
      <c r="D45" s="70" t="str">
        <f>IFERROR(IF(LEN(INDEX(Database!D$9:D$501,ROW(Calc!B45)-ROW(Calc!$B$7)))=0,"",INDEX(Database!D$9:D$501,ROW(Calc!B45)-ROW(Calc!$B$7))),"")</f>
        <v/>
      </c>
      <c r="E45" s="124" t="str">
        <f>IFERROR(IF(LEN(INDEX(Database!G$9:G$501,ROW(Calc!D45)-ROW(Calc!$B$7)))=0,$AD$3,INDEX(Database!G$9:G$501,ROW(Calc!D45)-ROW(Calc!$B$7))),"")</f>
        <v>Not Set</v>
      </c>
      <c r="F45" s="124" t="str">
        <f>IFERROR(IF(LEN(INDEX(Database!F$9:F$501,ROW(Calc!E45)-ROW(Calc!$B$7)))=0,$AD$3,INDEX(Database!F$9:F$501,ROW(Calc!E45)-ROW(Calc!$B$7))),"")</f>
        <v>Not Set</v>
      </c>
      <c r="G45" s="128" t="str">
        <f>IFERROR(IF(LEN(INDEX(Database!H$9:H$501,ROW(Calc!F45)-ROW(Calc!$B$7)))=0,$AD$3,INDEX(Database!H$9:H$501,ROW(Calc!F45)-ROW(Calc!$B$7))),"")</f>
        <v>Not Set</v>
      </c>
      <c r="H45" s="128" t="str">
        <f>IFERROR(IF(LEN(INDEX(Database!I$9:I$501,ROW(Calc!G45)-ROW(Calc!$B$7)))=0,$AD$3,INDEX(Database!I$9:I$501,ROW(Calc!G45)-ROW(Calc!$B$7))),"")</f>
        <v>Not Set</v>
      </c>
      <c r="I45" s="128" t="str">
        <f>IFERROR(IF(LEN(INDEX(Database!J$9:J$501,ROW(Calc!H45)-ROW(Calc!$B$7)))=0,$AD$3,INDEX(Database!J$9:J$501,ROW(Calc!H45)-ROW(Calc!$B$7))),"")</f>
        <v>Not Set</v>
      </c>
      <c r="J45" s="128" t="str">
        <f t="shared" si="0"/>
        <v>Not Set</v>
      </c>
      <c r="K45" s="124" t="str">
        <f>IFERROR(IF(LEN(INDEX(Database!E$9:E$501,ROW(Calc!I45)-ROW(Calc!$B$7)))=0,"",INDEX(Database!E$9:E$501,ROW(Calc!I45)-ROW(Calc!$B$7))),"")</f>
        <v/>
      </c>
      <c r="L45" s="129" t="str">
        <f>IFERROR(IF(LEN(INDEX(Database!K$9:K$501,ROW(Calc!K45)-ROW(Calc!$B$7)))=0,$AD$3,INDEX(Database!K$9:K$501,ROW(Calc!K45)-ROW(Calc!$B$7))),"")</f>
        <v>Not Set</v>
      </c>
      <c r="M45" s="130" t="str">
        <f>IFERROR(IF(LEN(INDEX(Database!L$9:L$501,ROW(Calc!L45)-ROW(Calc!$B$7)))=0,$AD$3,INDEX(Database!L$9:L$501,ROW(Calc!L45)-ROW(Calc!$B$7))),"")</f>
        <v>Not Set</v>
      </c>
      <c r="N45" s="131" t="str">
        <f>IFERROR(IF(LEN(INDEX(Database!M$9:M$501,ROW(Calc!M45)-ROW(Calc!$B$7)))=0,"",INDEX(Database!M$9:M$501,ROW(Calc!M45)-ROW(Calc!$B$7))),"")</f>
        <v/>
      </c>
      <c r="O45" s="132" t="str">
        <f t="shared" si="9"/>
        <v/>
      </c>
      <c r="P45" s="125" t="str">
        <f t="shared" si="2"/>
        <v>Not Set</v>
      </c>
      <c r="Q45" s="125" t="str">
        <f t="shared" si="3"/>
        <v>Not Set</v>
      </c>
      <c r="R45" s="125" t="str">
        <f>IFERROR(IF(G45=$AD$3,$AD$3,INDEX(Kanban_Helper!$C$317:$C$328,MATCH(MONTH(G45),Kanban_Helper!$B$317:$B$328,0))&amp;" - "&amp;YEAR(G45)),"$AD$3")</f>
        <v>Not Set</v>
      </c>
      <c r="S45" s="125" t="str">
        <f>IFERROR(IF(I45=$AD$3,$AD$3,INDEX(Kanban_Helper!$C$317:$C$328,MATCH(MONTH(I45),Kanban_Helper!$B$317:$B$328,0))&amp;" - "&amp;YEAR(I45)),$AD$3)</f>
        <v>Not Set</v>
      </c>
      <c r="T45" s="125" t="str">
        <f t="shared" ca="1" si="10"/>
        <v/>
      </c>
      <c r="U45" s="125" t="str">
        <f t="shared" ca="1" si="11"/>
        <v/>
      </c>
      <c r="V45" s="125" t="str">
        <f t="shared" si="6"/>
        <v>Not Set</v>
      </c>
      <c r="W45" s="126" t="str">
        <f t="shared" si="12"/>
        <v/>
      </c>
      <c r="X45" s="126" t="str">
        <f t="shared" si="13"/>
        <v/>
      </c>
      <c r="Y45" s="125" t="str">
        <f>IFERROR(IF(LEN(D45)=0,"",IF(SUBTOTAL(3,E45:E45)=0,MIN($Y$7:Y44)-1,SUBTOTAL(3,$E$8:E45))),"")</f>
        <v/>
      </c>
      <c r="Z45" s="17"/>
      <c r="AA45" s="10"/>
      <c r="AB45" s="10"/>
      <c r="AC45" s="10"/>
      <c r="AD45" s="10"/>
      <c r="AE45" s="10"/>
      <c r="AF45" s="10"/>
      <c r="AG45" s="10"/>
      <c r="AH45" s="10"/>
      <c r="AI45" s="10"/>
      <c r="AJ45" s="10"/>
      <c r="AK45" s="10"/>
      <c r="AL45" s="10"/>
      <c r="AM45" s="10"/>
      <c r="AN45" s="10"/>
    </row>
    <row r="46" spans="2:40" hidden="1" x14ac:dyDescent="0.35">
      <c r="B46" s="15"/>
      <c r="C46" s="127" t="str">
        <f>IFERROR(IF(LEN(INDEX(Database!C$9:C$501,ROW(Calc!A46)-ROW(Calc!$B$7)))=0,"",INDEX(Database!C$9:C$501,ROW(Calc!A46)-ROW(Calc!$B$7))),"")</f>
        <v/>
      </c>
      <c r="D46" s="70" t="str">
        <f>IFERROR(IF(LEN(INDEX(Database!D$9:D$501,ROW(Calc!B46)-ROW(Calc!$B$7)))=0,"",INDEX(Database!D$9:D$501,ROW(Calc!B46)-ROW(Calc!$B$7))),"")</f>
        <v/>
      </c>
      <c r="E46" s="124" t="str">
        <f>IFERROR(IF(LEN(INDEX(Database!G$9:G$501,ROW(Calc!D46)-ROW(Calc!$B$7)))=0,$AD$3,INDEX(Database!G$9:G$501,ROW(Calc!D46)-ROW(Calc!$B$7))),"")</f>
        <v>Not Set</v>
      </c>
      <c r="F46" s="124" t="str">
        <f>IFERROR(IF(LEN(INDEX(Database!F$9:F$501,ROW(Calc!E46)-ROW(Calc!$B$7)))=0,$AD$3,INDEX(Database!F$9:F$501,ROW(Calc!E46)-ROW(Calc!$B$7))),"")</f>
        <v>Not Set</v>
      </c>
      <c r="G46" s="128" t="str">
        <f>IFERROR(IF(LEN(INDEX(Database!H$9:H$501,ROW(Calc!F46)-ROW(Calc!$B$7)))=0,$AD$3,INDEX(Database!H$9:H$501,ROW(Calc!F46)-ROW(Calc!$B$7))),"")</f>
        <v>Not Set</v>
      </c>
      <c r="H46" s="128" t="str">
        <f>IFERROR(IF(LEN(INDEX(Database!I$9:I$501,ROW(Calc!G46)-ROW(Calc!$B$7)))=0,$AD$3,INDEX(Database!I$9:I$501,ROW(Calc!G46)-ROW(Calc!$B$7))),"")</f>
        <v>Not Set</v>
      </c>
      <c r="I46" s="128" t="str">
        <f>IFERROR(IF(LEN(INDEX(Database!J$9:J$501,ROW(Calc!H46)-ROW(Calc!$B$7)))=0,$AD$3,INDEX(Database!J$9:J$501,ROW(Calc!H46)-ROW(Calc!$B$7))),"")</f>
        <v>Not Set</v>
      </c>
      <c r="J46" s="128" t="str">
        <f t="shared" si="0"/>
        <v>Not Set</v>
      </c>
      <c r="K46" s="124" t="str">
        <f>IFERROR(IF(LEN(INDEX(Database!E$9:E$501,ROW(Calc!I46)-ROW(Calc!$B$7)))=0,"",INDEX(Database!E$9:E$501,ROW(Calc!I46)-ROW(Calc!$B$7))),"")</f>
        <v/>
      </c>
      <c r="L46" s="129" t="str">
        <f>IFERROR(IF(LEN(INDEX(Database!K$9:K$501,ROW(Calc!K46)-ROW(Calc!$B$7)))=0,$AD$3,INDEX(Database!K$9:K$501,ROW(Calc!K46)-ROW(Calc!$B$7))),"")</f>
        <v>Not Set</v>
      </c>
      <c r="M46" s="130" t="str">
        <f>IFERROR(IF(LEN(INDEX(Database!L$9:L$501,ROW(Calc!L46)-ROW(Calc!$B$7)))=0,$AD$3,INDEX(Database!L$9:L$501,ROW(Calc!L46)-ROW(Calc!$B$7))),"")</f>
        <v>Not Set</v>
      </c>
      <c r="N46" s="131" t="str">
        <f>IFERROR(IF(LEN(INDEX(Database!M$9:M$501,ROW(Calc!M46)-ROW(Calc!$B$7)))=0,"",INDEX(Database!M$9:M$501,ROW(Calc!M46)-ROW(Calc!$B$7))),"")</f>
        <v/>
      </c>
      <c r="O46" s="132" t="str">
        <f t="shared" si="9"/>
        <v/>
      </c>
      <c r="P46" s="125" t="str">
        <f t="shared" si="2"/>
        <v>Not Set</v>
      </c>
      <c r="Q46" s="125" t="str">
        <f t="shared" si="3"/>
        <v>Not Set</v>
      </c>
      <c r="R46" s="125" t="str">
        <f>IFERROR(IF(G46=$AD$3,$AD$3,INDEX(Kanban_Helper!$C$317:$C$328,MATCH(MONTH(G46),Kanban_Helper!$B$317:$B$328,0))&amp;" - "&amp;YEAR(G46)),"$AD$3")</f>
        <v>Not Set</v>
      </c>
      <c r="S46" s="125" t="str">
        <f>IFERROR(IF(I46=$AD$3,$AD$3,INDEX(Kanban_Helper!$C$317:$C$328,MATCH(MONTH(I46),Kanban_Helper!$B$317:$B$328,0))&amp;" - "&amp;YEAR(I46)),$AD$3)</f>
        <v>Not Set</v>
      </c>
      <c r="T46" s="125" t="str">
        <f t="shared" ca="1" si="10"/>
        <v/>
      </c>
      <c r="U46" s="125" t="str">
        <f t="shared" ca="1" si="11"/>
        <v/>
      </c>
      <c r="V46" s="125" t="str">
        <f t="shared" si="6"/>
        <v>Not Set</v>
      </c>
      <c r="W46" s="126" t="str">
        <f t="shared" si="12"/>
        <v/>
      </c>
      <c r="X46" s="126" t="str">
        <f t="shared" si="13"/>
        <v/>
      </c>
      <c r="Y46" s="125" t="str">
        <f>IFERROR(IF(LEN(D46)=0,"",IF(SUBTOTAL(3,E46:E46)=0,MIN($Y$7:Y45)-1,SUBTOTAL(3,$E$8:E46))),"")</f>
        <v/>
      </c>
      <c r="Z46" s="17"/>
      <c r="AA46" s="10"/>
      <c r="AB46" s="10"/>
      <c r="AC46" s="10"/>
      <c r="AD46" s="10"/>
      <c r="AE46" s="10"/>
      <c r="AF46" s="10"/>
      <c r="AG46" s="10"/>
      <c r="AH46" s="10"/>
      <c r="AI46" s="10"/>
      <c r="AJ46" s="10"/>
      <c r="AK46" s="10"/>
      <c r="AL46" s="10"/>
      <c r="AM46" s="10"/>
      <c r="AN46" s="10"/>
    </row>
    <row r="47" spans="2:40" hidden="1" x14ac:dyDescent="0.35">
      <c r="B47" s="15"/>
      <c r="C47" s="127" t="str">
        <f>IFERROR(IF(LEN(INDEX(Database!C$9:C$501,ROW(Calc!A47)-ROW(Calc!$B$7)))=0,"",INDEX(Database!C$9:C$501,ROW(Calc!A47)-ROW(Calc!$B$7))),"")</f>
        <v/>
      </c>
      <c r="D47" s="70" t="str">
        <f>IFERROR(IF(LEN(INDEX(Database!D$9:D$501,ROW(Calc!B47)-ROW(Calc!$B$7)))=0,"",INDEX(Database!D$9:D$501,ROW(Calc!B47)-ROW(Calc!$B$7))),"")</f>
        <v/>
      </c>
      <c r="E47" s="124" t="str">
        <f>IFERROR(IF(LEN(INDEX(Database!G$9:G$501,ROW(Calc!D47)-ROW(Calc!$B$7)))=0,$AD$3,INDEX(Database!G$9:G$501,ROW(Calc!D47)-ROW(Calc!$B$7))),"")</f>
        <v>Not Set</v>
      </c>
      <c r="F47" s="124" t="str">
        <f>IFERROR(IF(LEN(INDEX(Database!F$9:F$501,ROW(Calc!E47)-ROW(Calc!$B$7)))=0,$AD$3,INDEX(Database!F$9:F$501,ROW(Calc!E47)-ROW(Calc!$B$7))),"")</f>
        <v>Not Set</v>
      </c>
      <c r="G47" s="128" t="str">
        <f>IFERROR(IF(LEN(INDEX(Database!H$9:H$501,ROW(Calc!F47)-ROW(Calc!$B$7)))=0,$AD$3,INDEX(Database!H$9:H$501,ROW(Calc!F47)-ROW(Calc!$B$7))),"")</f>
        <v>Not Set</v>
      </c>
      <c r="H47" s="128" t="str">
        <f>IFERROR(IF(LEN(INDEX(Database!I$9:I$501,ROW(Calc!G47)-ROW(Calc!$B$7)))=0,$AD$3,INDEX(Database!I$9:I$501,ROW(Calc!G47)-ROW(Calc!$B$7))),"")</f>
        <v>Not Set</v>
      </c>
      <c r="I47" s="128" t="str">
        <f>IFERROR(IF(LEN(INDEX(Database!J$9:J$501,ROW(Calc!H47)-ROW(Calc!$B$7)))=0,$AD$3,INDEX(Database!J$9:J$501,ROW(Calc!H47)-ROW(Calc!$B$7))),"")</f>
        <v>Not Set</v>
      </c>
      <c r="J47" s="128" t="str">
        <f t="shared" si="0"/>
        <v>Not Set</v>
      </c>
      <c r="K47" s="124" t="str">
        <f>IFERROR(IF(LEN(INDEX(Database!E$9:E$501,ROW(Calc!I47)-ROW(Calc!$B$7)))=0,"",INDEX(Database!E$9:E$501,ROW(Calc!I47)-ROW(Calc!$B$7))),"")</f>
        <v/>
      </c>
      <c r="L47" s="129" t="str">
        <f>IFERROR(IF(LEN(INDEX(Database!K$9:K$501,ROW(Calc!K47)-ROW(Calc!$B$7)))=0,$AD$3,INDEX(Database!K$9:K$501,ROW(Calc!K47)-ROW(Calc!$B$7))),"")</f>
        <v>Not Set</v>
      </c>
      <c r="M47" s="130" t="str">
        <f>IFERROR(IF(LEN(INDEX(Database!L$9:L$501,ROW(Calc!L47)-ROW(Calc!$B$7)))=0,$AD$3,INDEX(Database!L$9:L$501,ROW(Calc!L47)-ROW(Calc!$B$7))),"")</f>
        <v>Not Set</v>
      </c>
      <c r="N47" s="131" t="str">
        <f>IFERROR(IF(LEN(INDEX(Database!M$9:M$501,ROW(Calc!M47)-ROW(Calc!$B$7)))=0,"",INDEX(Database!M$9:M$501,ROW(Calc!M47)-ROW(Calc!$B$7))),"")</f>
        <v/>
      </c>
      <c r="O47" s="132" t="str">
        <f t="shared" si="9"/>
        <v/>
      </c>
      <c r="P47" s="125" t="str">
        <f t="shared" si="2"/>
        <v>Not Set</v>
      </c>
      <c r="Q47" s="125" t="str">
        <f t="shared" si="3"/>
        <v>Not Set</v>
      </c>
      <c r="R47" s="125" t="str">
        <f>IFERROR(IF(G47=$AD$3,$AD$3,INDEX(Kanban_Helper!$C$317:$C$328,MATCH(MONTH(G47),Kanban_Helper!$B$317:$B$328,0))&amp;" - "&amp;YEAR(G47)),"$AD$3")</f>
        <v>Not Set</v>
      </c>
      <c r="S47" s="125" t="str">
        <f>IFERROR(IF(I47=$AD$3,$AD$3,INDEX(Kanban_Helper!$C$317:$C$328,MATCH(MONTH(I47),Kanban_Helper!$B$317:$B$328,0))&amp;" - "&amp;YEAR(I47)),$AD$3)</f>
        <v>Not Set</v>
      </c>
      <c r="T47" s="125" t="str">
        <f t="shared" ca="1" si="10"/>
        <v/>
      </c>
      <c r="U47" s="125" t="str">
        <f t="shared" ca="1" si="11"/>
        <v/>
      </c>
      <c r="V47" s="125" t="str">
        <f t="shared" si="6"/>
        <v>Not Set</v>
      </c>
      <c r="W47" s="126" t="str">
        <f t="shared" si="12"/>
        <v/>
      </c>
      <c r="X47" s="126" t="str">
        <f t="shared" si="13"/>
        <v/>
      </c>
      <c r="Y47" s="125" t="str">
        <f>IFERROR(IF(LEN(D47)=0,"",IF(SUBTOTAL(3,E47:E47)=0,MIN($Y$7:Y46)-1,SUBTOTAL(3,$E$8:E47))),"")</f>
        <v/>
      </c>
      <c r="Z47" s="17"/>
      <c r="AA47" s="10"/>
      <c r="AB47" s="10"/>
      <c r="AC47" s="10"/>
      <c r="AD47" s="10"/>
      <c r="AE47" s="10"/>
      <c r="AF47" s="10"/>
      <c r="AG47" s="10"/>
      <c r="AH47" s="10"/>
      <c r="AI47" s="10"/>
      <c r="AJ47" s="10"/>
      <c r="AK47" s="10"/>
      <c r="AL47" s="10"/>
      <c r="AM47" s="10"/>
      <c r="AN47" s="10"/>
    </row>
    <row r="48" spans="2:40" hidden="1" x14ac:dyDescent="0.35">
      <c r="B48" s="15"/>
      <c r="C48" s="127" t="str">
        <f>IFERROR(IF(LEN(INDEX(Database!C$9:C$501,ROW(Calc!A48)-ROW(Calc!$B$7)))=0,"",INDEX(Database!C$9:C$501,ROW(Calc!A48)-ROW(Calc!$B$7))),"")</f>
        <v/>
      </c>
      <c r="D48" s="70" t="str">
        <f>IFERROR(IF(LEN(INDEX(Database!D$9:D$501,ROW(Calc!B48)-ROW(Calc!$B$7)))=0,"",INDEX(Database!D$9:D$501,ROW(Calc!B48)-ROW(Calc!$B$7))),"")</f>
        <v/>
      </c>
      <c r="E48" s="124" t="str">
        <f>IFERROR(IF(LEN(INDEX(Database!G$9:G$501,ROW(Calc!D48)-ROW(Calc!$B$7)))=0,$AD$3,INDEX(Database!G$9:G$501,ROW(Calc!D48)-ROW(Calc!$B$7))),"")</f>
        <v>Not Set</v>
      </c>
      <c r="F48" s="124" t="str">
        <f>IFERROR(IF(LEN(INDEX(Database!F$9:F$501,ROW(Calc!E48)-ROW(Calc!$B$7)))=0,$AD$3,INDEX(Database!F$9:F$501,ROW(Calc!E48)-ROW(Calc!$B$7))),"")</f>
        <v>Not Set</v>
      </c>
      <c r="G48" s="128" t="str">
        <f>IFERROR(IF(LEN(INDEX(Database!H$9:H$501,ROW(Calc!F48)-ROW(Calc!$B$7)))=0,$AD$3,INDEX(Database!H$9:H$501,ROW(Calc!F48)-ROW(Calc!$B$7))),"")</f>
        <v>Not Set</v>
      </c>
      <c r="H48" s="128" t="str">
        <f>IFERROR(IF(LEN(INDEX(Database!I$9:I$501,ROW(Calc!G48)-ROW(Calc!$B$7)))=0,$AD$3,INDEX(Database!I$9:I$501,ROW(Calc!G48)-ROW(Calc!$B$7))),"")</f>
        <v>Not Set</v>
      </c>
      <c r="I48" s="128" t="str">
        <f>IFERROR(IF(LEN(INDEX(Database!J$9:J$501,ROW(Calc!H48)-ROW(Calc!$B$7)))=0,$AD$3,INDEX(Database!J$9:J$501,ROW(Calc!H48)-ROW(Calc!$B$7))),"")</f>
        <v>Not Set</v>
      </c>
      <c r="J48" s="128" t="str">
        <f t="shared" si="0"/>
        <v>Not Set</v>
      </c>
      <c r="K48" s="124" t="str">
        <f>IFERROR(IF(LEN(INDEX(Database!E$9:E$501,ROW(Calc!I48)-ROW(Calc!$B$7)))=0,"",INDEX(Database!E$9:E$501,ROW(Calc!I48)-ROW(Calc!$B$7))),"")</f>
        <v/>
      </c>
      <c r="L48" s="129" t="str">
        <f>IFERROR(IF(LEN(INDEX(Database!K$9:K$501,ROW(Calc!K48)-ROW(Calc!$B$7)))=0,$AD$3,INDEX(Database!K$9:K$501,ROW(Calc!K48)-ROW(Calc!$B$7))),"")</f>
        <v>Not Set</v>
      </c>
      <c r="M48" s="130" t="str">
        <f>IFERROR(IF(LEN(INDEX(Database!L$9:L$501,ROW(Calc!L48)-ROW(Calc!$B$7)))=0,$AD$3,INDEX(Database!L$9:L$501,ROW(Calc!L48)-ROW(Calc!$B$7))),"")</f>
        <v>Not Set</v>
      </c>
      <c r="N48" s="131" t="str">
        <f>IFERROR(IF(LEN(INDEX(Database!M$9:M$501,ROW(Calc!M48)-ROW(Calc!$B$7)))=0,"",INDEX(Database!M$9:M$501,ROW(Calc!M48)-ROW(Calc!$B$7))),"")</f>
        <v/>
      </c>
      <c r="O48" s="132" t="str">
        <f t="shared" si="9"/>
        <v/>
      </c>
      <c r="P48" s="125" t="str">
        <f t="shared" si="2"/>
        <v>Not Set</v>
      </c>
      <c r="Q48" s="125" t="str">
        <f t="shared" si="3"/>
        <v>Not Set</v>
      </c>
      <c r="R48" s="125" t="str">
        <f>IFERROR(IF(G48=$AD$3,$AD$3,INDEX(Kanban_Helper!$C$317:$C$328,MATCH(MONTH(G48),Kanban_Helper!$B$317:$B$328,0))&amp;" - "&amp;YEAR(G48)),"$AD$3")</f>
        <v>Not Set</v>
      </c>
      <c r="S48" s="125" t="str">
        <f>IFERROR(IF(I48=$AD$3,$AD$3,INDEX(Kanban_Helper!$C$317:$C$328,MATCH(MONTH(I48),Kanban_Helper!$B$317:$B$328,0))&amp;" - "&amp;YEAR(I48)),$AD$3)</f>
        <v>Not Set</v>
      </c>
      <c r="T48" s="125" t="str">
        <f t="shared" ca="1" si="10"/>
        <v/>
      </c>
      <c r="U48" s="125" t="str">
        <f t="shared" ca="1" si="11"/>
        <v/>
      </c>
      <c r="V48" s="125" t="str">
        <f t="shared" si="6"/>
        <v>Not Set</v>
      </c>
      <c r="W48" s="126" t="str">
        <f t="shared" si="12"/>
        <v/>
      </c>
      <c r="X48" s="126" t="str">
        <f t="shared" si="13"/>
        <v/>
      </c>
      <c r="Y48" s="125" t="str">
        <f>IFERROR(IF(LEN(D48)=0,"",IF(SUBTOTAL(3,E48:E48)=0,MIN($Y$7:Y47)-1,SUBTOTAL(3,$E$8:E48))),"")</f>
        <v/>
      </c>
      <c r="Z48" s="17"/>
      <c r="AA48" s="10"/>
      <c r="AB48" s="10"/>
      <c r="AC48" s="10"/>
      <c r="AD48" s="10"/>
      <c r="AE48" s="10"/>
      <c r="AF48" s="10"/>
      <c r="AG48" s="10"/>
      <c r="AH48" s="10"/>
      <c r="AI48" s="10"/>
      <c r="AJ48" s="10"/>
      <c r="AK48" s="10"/>
      <c r="AL48" s="10"/>
      <c r="AM48" s="10"/>
      <c r="AN48" s="10"/>
    </row>
    <row r="49" spans="2:40" hidden="1" x14ac:dyDescent="0.35">
      <c r="B49" s="15"/>
      <c r="C49" s="127" t="str">
        <f>IFERROR(IF(LEN(INDEX(Database!C$9:C$501,ROW(Calc!A49)-ROW(Calc!$B$7)))=0,"",INDEX(Database!C$9:C$501,ROW(Calc!A49)-ROW(Calc!$B$7))),"")</f>
        <v/>
      </c>
      <c r="D49" s="70" t="str">
        <f>IFERROR(IF(LEN(INDEX(Database!D$9:D$501,ROW(Calc!B49)-ROW(Calc!$B$7)))=0,"",INDEX(Database!D$9:D$501,ROW(Calc!B49)-ROW(Calc!$B$7))),"")</f>
        <v/>
      </c>
      <c r="E49" s="124" t="str">
        <f>IFERROR(IF(LEN(INDEX(Database!G$9:G$501,ROW(Calc!D49)-ROW(Calc!$B$7)))=0,$AD$3,INDEX(Database!G$9:G$501,ROW(Calc!D49)-ROW(Calc!$B$7))),"")</f>
        <v>Not Set</v>
      </c>
      <c r="F49" s="124" t="str">
        <f>IFERROR(IF(LEN(INDEX(Database!F$9:F$501,ROW(Calc!E49)-ROW(Calc!$B$7)))=0,$AD$3,INDEX(Database!F$9:F$501,ROW(Calc!E49)-ROW(Calc!$B$7))),"")</f>
        <v>Not Set</v>
      </c>
      <c r="G49" s="128" t="str">
        <f>IFERROR(IF(LEN(INDEX(Database!H$9:H$501,ROW(Calc!F49)-ROW(Calc!$B$7)))=0,$AD$3,INDEX(Database!H$9:H$501,ROW(Calc!F49)-ROW(Calc!$B$7))),"")</f>
        <v>Not Set</v>
      </c>
      <c r="H49" s="128" t="str">
        <f>IFERROR(IF(LEN(INDEX(Database!I$9:I$501,ROW(Calc!G49)-ROW(Calc!$B$7)))=0,$AD$3,INDEX(Database!I$9:I$501,ROW(Calc!G49)-ROW(Calc!$B$7))),"")</f>
        <v>Not Set</v>
      </c>
      <c r="I49" s="128" t="str">
        <f>IFERROR(IF(LEN(INDEX(Database!J$9:J$501,ROW(Calc!H49)-ROW(Calc!$B$7)))=0,$AD$3,INDEX(Database!J$9:J$501,ROW(Calc!H49)-ROW(Calc!$B$7))),"")</f>
        <v>Not Set</v>
      </c>
      <c r="J49" s="128" t="str">
        <f t="shared" si="0"/>
        <v>Not Set</v>
      </c>
      <c r="K49" s="124" t="str">
        <f>IFERROR(IF(LEN(INDEX(Database!E$9:E$501,ROW(Calc!I49)-ROW(Calc!$B$7)))=0,"",INDEX(Database!E$9:E$501,ROW(Calc!I49)-ROW(Calc!$B$7))),"")</f>
        <v/>
      </c>
      <c r="L49" s="129" t="str">
        <f>IFERROR(IF(LEN(INDEX(Database!K$9:K$501,ROW(Calc!K49)-ROW(Calc!$B$7)))=0,$AD$3,INDEX(Database!K$9:K$501,ROW(Calc!K49)-ROW(Calc!$B$7))),"")</f>
        <v>Not Set</v>
      </c>
      <c r="M49" s="130" t="str">
        <f>IFERROR(IF(LEN(INDEX(Database!L$9:L$501,ROW(Calc!L49)-ROW(Calc!$B$7)))=0,$AD$3,INDEX(Database!L$9:L$501,ROW(Calc!L49)-ROW(Calc!$B$7))),"")</f>
        <v>Not Set</v>
      </c>
      <c r="N49" s="131" t="str">
        <f>IFERROR(IF(LEN(INDEX(Database!M$9:M$501,ROW(Calc!M49)-ROW(Calc!$B$7)))=0,"",INDEX(Database!M$9:M$501,ROW(Calc!M49)-ROW(Calc!$B$7))),"")</f>
        <v/>
      </c>
      <c r="O49" s="132" t="str">
        <f t="shared" si="9"/>
        <v/>
      </c>
      <c r="P49" s="125" t="str">
        <f t="shared" si="2"/>
        <v>Not Set</v>
      </c>
      <c r="Q49" s="125" t="str">
        <f t="shared" si="3"/>
        <v>Not Set</v>
      </c>
      <c r="R49" s="125" t="str">
        <f>IFERROR(IF(G49=$AD$3,$AD$3,INDEX(Kanban_Helper!$C$317:$C$328,MATCH(MONTH(G49),Kanban_Helper!$B$317:$B$328,0))&amp;" - "&amp;YEAR(G49)),"$AD$3")</f>
        <v>Not Set</v>
      </c>
      <c r="S49" s="125" t="str">
        <f>IFERROR(IF(I49=$AD$3,$AD$3,INDEX(Kanban_Helper!$C$317:$C$328,MATCH(MONTH(I49),Kanban_Helper!$B$317:$B$328,0))&amp;" - "&amp;YEAR(I49)),$AD$3)</f>
        <v>Not Set</v>
      </c>
      <c r="T49" s="125" t="str">
        <f t="shared" ca="1" si="10"/>
        <v/>
      </c>
      <c r="U49" s="125" t="str">
        <f t="shared" ca="1" si="11"/>
        <v/>
      </c>
      <c r="V49" s="125" t="str">
        <f t="shared" si="6"/>
        <v>Not Set</v>
      </c>
      <c r="W49" s="126" t="str">
        <f t="shared" si="12"/>
        <v/>
      </c>
      <c r="X49" s="126" t="str">
        <f t="shared" si="13"/>
        <v/>
      </c>
      <c r="Y49" s="125" t="str">
        <f>IFERROR(IF(LEN(D49)=0,"",IF(SUBTOTAL(3,E49:E49)=0,MIN($Y$7:Y48)-1,SUBTOTAL(3,$E$8:E49))),"")</f>
        <v/>
      </c>
      <c r="Z49" s="17"/>
      <c r="AA49" s="10"/>
      <c r="AB49" s="10"/>
      <c r="AC49" s="10"/>
      <c r="AD49" s="10"/>
      <c r="AE49" s="10"/>
      <c r="AF49" s="10"/>
      <c r="AG49" s="10"/>
      <c r="AH49" s="10"/>
      <c r="AI49" s="10"/>
      <c r="AJ49" s="10"/>
      <c r="AK49" s="10"/>
      <c r="AL49" s="10"/>
      <c r="AM49" s="10"/>
      <c r="AN49" s="10"/>
    </row>
    <row r="50" spans="2:40" hidden="1" x14ac:dyDescent="0.35">
      <c r="B50" s="15"/>
      <c r="C50" s="127" t="str">
        <f>IFERROR(IF(LEN(INDEX(Database!C$9:C$501,ROW(Calc!A50)-ROW(Calc!$B$7)))=0,"",INDEX(Database!C$9:C$501,ROW(Calc!A50)-ROW(Calc!$B$7))),"")</f>
        <v/>
      </c>
      <c r="D50" s="70" t="str">
        <f>IFERROR(IF(LEN(INDEX(Database!D$9:D$501,ROW(Calc!B50)-ROW(Calc!$B$7)))=0,"",INDEX(Database!D$9:D$501,ROW(Calc!B50)-ROW(Calc!$B$7))),"")</f>
        <v/>
      </c>
      <c r="E50" s="124" t="str">
        <f>IFERROR(IF(LEN(INDEX(Database!G$9:G$501,ROW(Calc!D50)-ROW(Calc!$B$7)))=0,$AD$3,INDEX(Database!G$9:G$501,ROW(Calc!D50)-ROW(Calc!$B$7))),"")</f>
        <v>Not Set</v>
      </c>
      <c r="F50" s="124" t="str">
        <f>IFERROR(IF(LEN(INDEX(Database!F$9:F$501,ROW(Calc!E50)-ROW(Calc!$B$7)))=0,$AD$3,INDEX(Database!F$9:F$501,ROW(Calc!E50)-ROW(Calc!$B$7))),"")</f>
        <v>Not Set</v>
      </c>
      <c r="G50" s="128" t="str">
        <f>IFERROR(IF(LEN(INDEX(Database!H$9:H$501,ROW(Calc!F50)-ROW(Calc!$B$7)))=0,$AD$3,INDEX(Database!H$9:H$501,ROW(Calc!F50)-ROW(Calc!$B$7))),"")</f>
        <v>Not Set</v>
      </c>
      <c r="H50" s="128" t="str">
        <f>IFERROR(IF(LEN(INDEX(Database!I$9:I$501,ROW(Calc!G50)-ROW(Calc!$B$7)))=0,$AD$3,INDEX(Database!I$9:I$501,ROW(Calc!G50)-ROW(Calc!$B$7))),"")</f>
        <v>Not Set</v>
      </c>
      <c r="I50" s="128" t="str">
        <f>IFERROR(IF(LEN(INDEX(Database!J$9:J$501,ROW(Calc!H50)-ROW(Calc!$B$7)))=0,$AD$3,INDEX(Database!J$9:J$501,ROW(Calc!H50)-ROW(Calc!$B$7))),"")</f>
        <v>Not Set</v>
      </c>
      <c r="J50" s="128" t="str">
        <f t="shared" si="0"/>
        <v>Not Set</v>
      </c>
      <c r="K50" s="124" t="str">
        <f>IFERROR(IF(LEN(INDEX(Database!E$9:E$501,ROW(Calc!I50)-ROW(Calc!$B$7)))=0,"",INDEX(Database!E$9:E$501,ROW(Calc!I50)-ROW(Calc!$B$7))),"")</f>
        <v/>
      </c>
      <c r="L50" s="129" t="str">
        <f>IFERROR(IF(LEN(INDEX(Database!K$9:K$501,ROW(Calc!K50)-ROW(Calc!$B$7)))=0,$AD$3,INDEX(Database!K$9:K$501,ROW(Calc!K50)-ROW(Calc!$B$7))),"")</f>
        <v>Not Set</v>
      </c>
      <c r="M50" s="130" t="str">
        <f>IFERROR(IF(LEN(INDEX(Database!L$9:L$501,ROW(Calc!L50)-ROW(Calc!$B$7)))=0,$AD$3,INDEX(Database!L$9:L$501,ROW(Calc!L50)-ROW(Calc!$B$7))),"")</f>
        <v>Not Set</v>
      </c>
      <c r="N50" s="131" t="str">
        <f>IFERROR(IF(LEN(INDEX(Database!M$9:M$501,ROW(Calc!M50)-ROW(Calc!$B$7)))=0,"",INDEX(Database!M$9:M$501,ROW(Calc!M50)-ROW(Calc!$B$7))),"")</f>
        <v/>
      </c>
      <c r="O50" s="132" t="str">
        <f t="shared" si="9"/>
        <v/>
      </c>
      <c r="P50" s="125" t="str">
        <f t="shared" si="2"/>
        <v>Not Set</v>
      </c>
      <c r="Q50" s="125" t="str">
        <f t="shared" si="3"/>
        <v>Not Set</v>
      </c>
      <c r="R50" s="125" t="str">
        <f>IFERROR(IF(G50=$AD$3,$AD$3,INDEX(Kanban_Helper!$C$317:$C$328,MATCH(MONTH(G50),Kanban_Helper!$B$317:$B$328,0))&amp;" - "&amp;YEAR(G50)),"$AD$3")</f>
        <v>Not Set</v>
      </c>
      <c r="S50" s="125" t="str">
        <f>IFERROR(IF(I50=$AD$3,$AD$3,INDEX(Kanban_Helper!$C$317:$C$328,MATCH(MONTH(I50),Kanban_Helper!$B$317:$B$328,0))&amp;" - "&amp;YEAR(I50)),$AD$3)</f>
        <v>Not Set</v>
      </c>
      <c r="T50" s="125" t="str">
        <f t="shared" ca="1" si="10"/>
        <v/>
      </c>
      <c r="U50" s="125" t="str">
        <f t="shared" ca="1" si="11"/>
        <v/>
      </c>
      <c r="V50" s="125" t="str">
        <f t="shared" si="6"/>
        <v>Not Set</v>
      </c>
      <c r="W50" s="126" t="str">
        <f t="shared" si="12"/>
        <v/>
      </c>
      <c r="X50" s="126" t="str">
        <f t="shared" si="13"/>
        <v/>
      </c>
      <c r="Y50" s="125" t="str">
        <f>IFERROR(IF(LEN(D50)=0,"",IF(SUBTOTAL(3,E50:E50)=0,MIN($Y$7:Y49)-1,SUBTOTAL(3,$E$8:E50))),"")</f>
        <v/>
      </c>
      <c r="Z50" s="17"/>
      <c r="AA50" s="10"/>
      <c r="AB50" s="10"/>
      <c r="AC50" s="10"/>
      <c r="AD50" s="10"/>
      <c r="AE50" s="10"/>
      <c r="AF50" s="10"/>
      <c r="AG50" s="10"/>
      <c r="AH50" s="10"/>
      <c r="AI50" s="10"/>
      <c r="AJ50" s="10"/>
      <c r="AK50" s="10"/>
      <c r="AL50" s="10"/>
      <c r="AM50" s="10"/>
      <c r="AN50" s="10"/>
    </row>
    <row r="51" spans="2:40" hidden="1" x14ac:dyDescent="0.35">
      <c r="B51" s="15"/>
      <c r="C51" s="127" t="str">
        <f>IFERROR(IF(LEN(INDEX(Database!C$9:C$501,ROW(Calc!A51)-ROW(Calc!$B$7)))=0,"",INDEX(Database!C$9:C$501,ROW(Calc!A51)-ROW(Calc!$B$7))),"")</f>
        <v/>
      </c>
      <c r="D51" s="70" t="str">
        <f>IFERROR(IF(LEN(INDEX(Database!D$9:D$501,ROW(Calc!B51)-ROW(Calc!$B$7)))=0,"",INDEX(Database!D$9:D$501,ROW(Calc!B51)-ROW(Calc!$B$7))),"")</f>
        <v/>
      </c>
      <c r="E51" s="124" t="str">
        <f>IFERROR(IF(LEN(INDEX(Database!G$9:G$501,ROW(Calc!D51)-ROW(Calc!$B$7)))=0,$AD$3,INDEX(Database!G$9:G$501,ROW(Calc!D51)-ROW(Calc!$B$7))),"")</f>
        <v>Not Set</v>
      </c>
      <c r="F51" s="124" t="str">
        <f>IFERROR(IF(LEN(INDEX(Database!F$9:F$501,ROW(Calc!E51)-ROW(Calc!$B$7)))=0,$AD$3,INDEX(Database!F$9:F$501,ROW(Calc!E51)-ROW(Calc!$B$7))),"")</f>
        <v>Not Set</v>
      </c>
      <c r="G51" s="128" t="str">
        <f>IFERROR(IF(LEN(INDEX(Database!H$9:H$501,ROW(Calc!F51)-ROW(Calc!$B$7)))=0,$AD$3,INDEX(Database!H$9:H$501,ROW(Calc!F51)-ROW(Calc!$B$7))),"")</f>
        <v>Not Set</v>
      </c>
      <c r="H51" s="128" t="str">
        <f>IFERROR(IF(LEN(INDEX(Database!I$9:I$501,ROW(Calc!G51)-ROW(Calc!$B$7)))=0,$AD$3,INDEX(Database!I$9:I$501,ROW(Calc!G51)-ROW(Calc!$B$7))),"")</f>
        <v>Not Set</v>
      </c>
      <c r="I51" s="128" t="str">
        <f>IFERROR(IF(LEN(INDEX(Database!J$9:J$501,ROW(Calc!H51)-ROW(Calc!$B$7)))=0,$AD$3,INDEX(Database!J$9:J$501,ROW(Calc!H51)-ROW(Calc!$B$7))),"")</f>
        <v>Not Set</v>
      </c>
      <c r="J51" s="128" t="str">
        <f t="shared" si="0"/>
        <v>Not Set</v>
      </c>
      <c r="K51" s="124" t="str">
        <f>IFERROR(IF(LEN(INDEX(Database!E$9:E$501,ROW(Calc!I51)-ROW(Calc!$B$7)))=0,"",INDEX(Database!E$9:E$501,ROW(Calc!I51)-ROW(Calc!$B$7))),"")</f>
        <v/>
      </c>
      <c r="L51" s="129" t="str">
        <f>IFERROR(IF(LEN(INDEX(Database!K$9:K$501,ROW(Calc!K51)-ROW(Calc!$B$7)))=0,$AD$3,INDEX(Database!K$9:K$501,ROW(Calc!K51)-ROW(Calc!$B$7))),"")</f>
        <v>Not Set</v>
      </c>
      <c r="M51" s="130" t="str">
        <f>IFERROR(IF(LEN(INDEX(Database!L$9:L$501,ROW(Calc!L51)-ROW(Calc!$B$7)))=0,$AD$3,INDEX(Database!L$9:L$501,ROW(Calc!L51)-ROW(Calc!$B$7))),"")</f>
        <v>Not Set</v>
      </c>
      <c r="N51" s="131" t="str">
        <f>IFERROR(IF(LEN(INDEX(Database!M$9:M$501,ROW(Calc!M51)-ROW(Calc!$B$7)))=0,"",INDEX(Database!M$9:M$501,ROW(Calc!M51)-ROW(Calc!$B$7))),"")</f>
        <v/>
      </c>
      <c r="O51" s="132" t="str">
        <f t="shared" si="9"/>
        <v/>
      </c>
      <c r="P51" s="125" t="str">
        <f t="shared" si="2"/>
        <v>Not Set</v>
      </c>
      <c r="Q51" s="125" t="str">
        <f t="shared" si="3"/>
        <v>Not Set</v>
      </c>
      <c r="R51" s="125" t="str">
        <f>IFERROR(IF(G51=$AD$3,$AD$3,INDEX(Kanban_Helper!$C$317:$C$328,MATCH(MONTH(G51),Kanban_Helper!$B$317:$B$328,0))&amp;" - "&amp;YEAR(G51)),"$AD$3")</f>
        <v>Not Set</v>
      </c>
      <c r="S51" s="125" t="str">
        <f>IFERROR(IF(I51=$AD$3,$AD$3,INDEX(Kanban_Helper!$C$317:$C$328,MATCH(MONTH(I51),Kanban_Helper!$B$317:$B$328,0))&amp;" - "&amp;YEAR(I51)),$AD$3)</f>
        <v>Not Set</v>
      </c>
      <c r="T51" s="125" t="str">
        <f t="shared" ca="1" si="10"/>
        <v/>
      </c>
      <c r="U51" s="125" t="str">
        <f t="shared" ca="1" si="11"/>
        <v/>
      </c>
      <c r="V51" s="125" t="str">
        <f t="shared" si="6"/>
        <v>Not Set</v>
      </c>
      <c r="W51" s="126" t="str">
        <f t="shared" si="12"/>
        <v/>
      </c>
      <c r="X51" s="126" t="str">
        <f t="shared" si="13"/>
        <v/>
      </c>
      <c r="Y51" s="125" t="str">
        <f>IFERROR(IF(LEN(D51)=0,"",IF(SUBTOTAL(3,E51:E51)=0,MIN($Y$7:Y50)-1,SUBTOTAL(3,$E$8:E51))),"")</f>
        <v/>
      </c>
      <c r="Z51" s="17"/>
      <c r="AA51" s="10"/>
      <c r="AB51" s="10"/>
      <c r="AC51" s="10"/>
      <c r="AD51" s="10"/>
      <c r="AE51" s="10"/>
      <c r="AF51" s="10"/>
      <c r="AG51" s="10"/>
      <c r="AH51" s="10"/>
      <c r="AI51" s="10"/>
      <c r="AJ51" s="10"/>
      <c r="AK51" s="10"/>
      <c r="AL51" s="10"/>
      <c r="AM51" s="10"/>
      <c r="AN51" s="10"/>
    </row>
    <row r="52" spans="2:40" hidden="1" x14ac:dyDescent="0.35">
      <c r="B52" s="15"/>
      <c r="C52" s="127" t="str">
        <f>IFERROR(IF(LEN(INDEX(Database!C$9:C$501,ROW(Calc!A52)-ROW(Calc!$B$7)))=0,"",INDEX(Database!C$9:C$501,ROW(Calc!A52)-ROW(Calc!$B$7))),"")</f>
        <v/>
      </c>
      <c r="D52" s="70" t="str">
        <f>IFERROR(IF(LEN(INDEX(Database!D$9:D$501,ROW(Calc!B52)-ROW(Calc!$B$7)))=0,"",INDEX(Database!D$9:D$501,ROW(Calc!B52)-ROW(Calc!$B$7))),"")</f>
        <v/>
      </c>
      <c r="E52" s="124" t="str">
        <f>IFERROR(IF(LEN(INDEX(Database!G$9:G$501,ROW(Calc!D52)-ROW(Calc!$B$7)))=0,$AD$3,INDEX(Database!G$9:G$501,ROW(Calc!D52)-ROW(Calc!$B$7))),"")</f>
        <v>Not Set</v>
      </c>
      <c r="F52" s="124" t="str">
        <f>IFERROR(IF(LEN(INDEX(Database!F$9:F$501,ROW(Calc!E52)-ROW(Calc!$B$7)))=0,$AD$3,INDEX(Database!F$9:F$501,ROW(Calc!E52)-ROW(Calc!$B$7))),"")</f>
        <v>Not Set</v>
      </c>
      <c r="G52" s="128" t="str">
        <f>IFERROR(IF(LEN(INDEX(Database!H$9:H$501,ROW(Calc!F52)-ROW(Calc!$B$7)))=0,$AD$3,INDEX(Database!H$9:H$501,ROW(Calc!F52)-ROW(Calc!$B$7))),"")</f>
        <v>Not Set</v>
      </c>
      <c r="H52" s="128" t="str">
        <f>IFERROR(IF(LEN(INDEX(Database!I$9:I$501,ROW(Calc!G52)-ROW(Calc!$B$7)))=0,$AD$3,INDEX(Database!I$9:I$501,ROW(Calc!G52)-ROW(Calc!$B$7))),"")</f>
        <v>Not Set</v>
      </c>
      <c r="I52" s="128" t="str">
        <f>IFERROR(IF(LEN(INDEX(Database!J$9:J$501,ROW(Calc!H52)-ROW(Calc!$B$7)))=0,$AD$3,INDEX(Database!J$9:J$501,ROW(Calc!H52)-ROW(Calc!$B$7))),"")</f>
        <v>Not Set</v>
      </c>
      <c r="J52" s="128" t="str">
        <f t="shared" si="0"/>
        <v>Not Set</v>
      </c>
      <c r="K52" s="124" t="str">
        <f>IFERROR(IF(LEN(INDEX(Database!E$9:E$501,ROW(Calc!I52)-ROW(Calc!$B$7)))=0,"",INDEX(Database!E$9:E$501,ROW(Calc!I52)-ROW(Calc!$B$7))),"")</f>
        <v/>
      </c>
      <c r="L52" s="129" t="str">
        <f>IFERROR(IF(LEN(INDEX(Database!K$9:K$501,ROW(Calc!K52)-ROW(Calc!$B$7)))=0,$AD$3,INDEX(Database!K$9:K$501,ROW(Calc!K52)-ROW(Calc!$B$7))),"")</f>
        <v>Not Set</v>
      </c>
      <c r="M52" s="130" t="str">
        <f>IFERROR(IF(LEN(INDEX(Database!L$9:L$501,ROW(Calc!L52)-ROW(Calc!$B$7)))=0,$AD$3,INDEX(Database!L$9:L$501,ROW(Calc!L52)-ROW(Calc!$B$7))),"")</f>
        <v>Not Set</v>
      </c>
      <c r="N52" s="131" t="str">
        <f>IFERROR(IF(LEN(INDEX(Database!M$9:M$501,ROW(Calc!M52)-ROW(Calc!$B$7)))=0,"",INDEX(Database!M$9:M$501,ROW(Calc!M52)-ROW(Calc!$B$7))),"")</f>
        <v/>
      </c>
      <c r="O52" s="132" t="str">
        <f t="shared" si="9"/>
        <v/>
      </c>
      <c r="P52" s="125" t="str">
        <f t="shared" si="2"/>
        <v>Not Set</v>
      </c>
      <c r="Q52" s="125" t="str">
        <f t="shared" si="3"/>
        <v>Not Set</v>
      </c>
      <c r="R52" s="125" t="str">
        <f>IFERROR(IF(G52=$AD$3,$AD$3,INDEX(Kanban_Helper!$C$317:$C$328,MATCH(MONTH(G52),Kanban_Helper!$B$317:$B$328,0))&amp;" - "&amp;YEAR(G52)),"$AD$3")</f>
        <v>Not Set</v>
      </c>
      <c r="S52" s="125" t="str">
        <f>IFERROR(IF(I52=$AD$3,$AD$3,INDEX(Kanban_Helper!$C$317:$C$328,MATCH(MONTH(I52),Kanban_Helper!$B$317:$B$328,0))&amp;" - "&amp;YEAR(I52)),$AD$3)</f>
        <v>Not Set</v>
      </c>
      <c r="T52" s="125" t="str">
        <f t="shared" ca="1" si="10"/>
        <v/>
      </c>
      <c r="U52" s="125" t="str">
        <f t="shared" ca="1" si="11"/>
        <v/>
      </c>
      <c r="V52" s="125" t="str">
        <f t="shared" si="6"/>
        <v>Not Set</v>
      </c>
      <c r="W52" s="126" t="str">
        <f t="shared" si="12"/>
        <v/>
      </c>
      <c r="X52" s="126" t="str">
        <f t="shared" si="13"/>
        <v/>
      </c>
      <c r="Y52" s="125" t="str">
        <f>IFERROR(IF(LEN(D52)=0,"",IF(SUBTOTAL(3,E52:E52)=0,MIN($Y$7:Y51)-1,SUBTOTAL(3,$E$8:E52))),"")</f>
        <v/>
      </c>
      <c r="Z52" s="17"/>
      <c r="AA52" s="10"/>
      <c r="AB52" s="10"/>
      <c r="AC52" s="10"/>
      <c r="AD52" s="10"/>
      <c r="AE52" s="10"/>
      <c r="AF52" s="10"/>
      <c r="AG52" s="10"/>
      <c r="AH52" s="10"/>
      <c r="AI52" s="10"/>
      <c r="AJ52" s="10"/>
      <c r="AK52" s="10"/>
      <c r="AL52" s="10"/>
      <c r="AM52" s="10"/>
      <c r="AN52" s="10"/>
    </row>
    <row r="53" spans="2:40" hidden="1" x14ac:dyDescent="0.35">
      <c r="B53" s="15"/>
      <c r="C53" s="127" t="str">
        <f>IFERROR(IF(LEN(INDEX(Database!C$9:C$501,ROW(Calc!A53)-ROW(Calc!$B$7)))=0,"",INDEX(Database!C$9:C$501,ROW(Calc!A53)-ROW(Calc!$B$7))),"")</f>
        <v/>
      </c>
      <c r="D53" s="70" t="str">
        <f>IFERROR(IF(LEN(INDEX(Database!D$9:D$501,ROW(Calc!B53)-ROW(Calc!$B$7)))=0,"",INDEX(Database!D$9:D$501,ROW(Calc!B53)-ROW(Calc!$B$7))),"")</f>
        <v/>
      </c>
      <c r="E53" s="124" t="str">
        <f>IFERROR(IF(LEN(INDEX(Database!G$9:G$501,ROW(Calc!D53)-ROW(Calc!$B$7)))=0,$AD$3,INDEX(Database!G$9:G$501,ROW(Calc!D53)-ROW(Calc!$B$7))),"")</f>
        <v>Not Set</v>
      </c>
      <c r="F53" s="124" t="str">
        <f>IFERROR(IF(LEN(INDEX(Database!F$9:F$501,ROW(Calc!E53)-ROW(Calc!$B$7)))=0,$AD$3,INDEX(Database!F$9:F$501,ROW(Calc!E53)-ROW(Calc!$B$7))),"")</f>
        <v>Not Set</v>
      </c>
      <c r="G53" s="128" t="str">
        <f>IFERROR(IF(LEN(INDEX(Database!H$9:H$501,ROW(Calc!F53)-ROW(Calc!$B$7)))=0,$AD$3,INDEX(Database!H$9:H$501,ROW(Calc!F53)-ROW(Calc!$B$7))),"")</f>
        <v>Not Set</v>
      </c>
      <c r="H53" s="128" t="str">
        <f>IFERROR(IF(LEN(INDEX(Database!I$9:I$501,ROW(Calc!G53)-ROW(Calc!$B$7)))=0,$AD$3,INDEX(Database!I$9:I$501,ROW(Calc!G53)-ROW(Calc!$B$7))),"")</f>
        <v>Not Set</v>
      </c>
      <c r="I53" s="128" t="str">
        <f>IFERROR(IF(LEN(INDEX(Database!J$9:J$501,ROW(Calc!H53)-ROW(Calc!$B$7)))=0,$AD$3,INDEX(Database!J$9:J$501,ROW(Calc!H53)-ROW(Calc!$B$7))),"")</f>
        <v>Not Set</v>
      </c>
      <c r="J53" s="128" t="str">
        <f t="shared" si="0"/>
        <v>Not Set</v>
      </c>
      <c r="K53" s="124" t="str">
        <f>IFERROR(IF(LEN(INDEX(Database!E$9:E$501,ROW(Calc!I53)-ROW(Calc!$B$7)))=0,"",INDEX(Database!E$9:E$501,ROW(Calc!I53)-ROW(Calc!$B$7))),"")</f>
        <v/>
      </c>
      <c r="L53" s="129" t="str">
        <f>IFERROR(IF(LEN(INDEX(Database!K$9:K$501,ROW(Calc!K53)-ROW(Calc!$B$7)))=0,$AD$3,INDEX(Database!K$9:K$501,ROW(Calc!K53)-ROW(Calc!$B$7))),"")</f>
        <v>Not Set</v>
      </c>
      <c r="M53" s="130" t="str">
        <f>IFERROR(IF(LEN(INDEX(Database!L$9:L$501,ROW(Calc!L53)-ROW(Calc!$B$7)))=0,$AD$3,INDEX(Database!L$9:L$501,ROW(Calc!L53)-ROW(Calc!$B$7))),"")</f>
        <v>Not Set</v>
      </c>
      <c r="N53" s="131" t="str">
        <f>IFERROR(IF(LEN(INDEX(Database!M$9:M$501,ROW(Calc!M53)-ROW(Calc!$B$7)))=0,"",INDEX(Database!M$9:M$501,ROW(Calc!M53)-ROW(Calc!$B$7))),"")</f>
        <v/>
      </c>
      <c r="O53" s="132" t="str">
        <f t="shared" si="9"/>
        <v/>
      </c>
      <c r="P53" s="125" t="str">
        <f t="shared" si="2"/>
        <v>Not Set</v>
      </c>
      <c r="Q53" s="125" t="str">
        <f t="shared" si="3"/>
        <v>Not Set</v>
      </c>
      <c r="R53" s="125" t="str">
        <f>IFERROR(IF(G53=$AD$3,$AD$3,INDEX(Kanban_Helper!$C$317:$C$328,MATCH(MONTH(G53),Kanban_Helper!$B$317:$B$328,0))&amp;" - "&amp;YEAR(G53)),"$AD$3")</f>
        <v>Not Set</v>
      </c>
      <c r="S53" s="125" t="str">
        <f>IFERROR(IF(I53=$AD$3,$AD$3,INDEX(Kanban_Helper!$C$317:$C$328,MATCH(MONTH(I53),Kanban_Helper!$B$317:$B$328,0))&amp;" - "&amp;YEAR(I53)),$AD$3)</f>
        <v>Not Set</v>
      </c>
      <c r="T53" s="125" t="str">
        <f t="shared" ca="1" si="10"/>
        <v/>
      </c>
      <c r="U53" s="125" t="str">
        <f t="shared" ca="1" si="11"/>
        <v/>
      </c>
      <c r="V53" s="125" t="str">
        <f t="shared" si="6"/>
        <v>Not Set</v>
      </c>
      <c r="W53" s="126" t="str">
        <f t="shared" si="12"/>
        <v/>
      </c>
      <c r="X53" s="126" t="str">
        <f t="shared" si="13"/>
        <v/>
      </c>
      <c r="Y53" s="125" t="str">
        <f>IFERROR(IF(LEN(D53)=0,"",IF(SUBTOTAL(3,E53:E53)=0,MIN($Y$7:Y52)-1,SUBTOTAL(3,$E$8:E53))),"")</f>
        <v/>
      </c>
      <c r="Z53" s="17"/>
      <c r="AA53" s="10"/>
      <c r="AB53" s="10"/>
      <c r="AC53" s="10"/>
      <c r="AD53" s="10"/>
      <c r="AE53" s="10"/>
      <c r="AF53" s="10"/>
      <c r="AG53" s="10"/>
      <c r="AH53" s="10"/>
      <c r="AI53" s="10"/>
      <c r="AJ53" s="10"/>
      <c r="AK53" s="10"/>
      <c r="AL53" s="10"/>
      <c r="AM53" s="10"/>
      <c r="AN53" s="10"/>
    </row>
    <row r="54" spans="2:40" hidden="1" x14ac:dyDescent="0.35">
      <c r="B54" s="15"/>
      <c r="C54" s="127" t="str">
        <f>IFERROR(IF(LEN(INDEX(Database!C$9:C$501,ROW(Calc!A54)-ROW(Calc!$B$7)))=0,"",INDEX(Database!C$9:C$501,ROW(Calc!A54)-ROW(Calc!$B$7))),"")</f>
        <v/>
      </c>
      <c r="D54" s="70" t="str">
        <f>IFERROR(IF(LEN(INDEX(Database!D$9:D$501,ROW(Calc!B54)-ROW(Calc!$B$7)))=0,"",INDEX(Database!D$9:D$501,ROW(Calc!B54)-ROW(Calc!$B$7))),"")</f>
        <v/>
      </c>
      <c r="E54" s="124" t="str">
        <f>IFERROR(IF(LEN(INDEX(Database!G$9:G$501,ROW(Calc!D54)-ROW(Calc!$B$7)))=0,$AD$3,INDEX(Database!G$9:G$501,ROW(Calc!D54)-ROW(Calc!$B$7))),"")</f>
        <v>Not Set</v>
      </c>
      <c r="F54" s="124" t="str">
        <f>IFERROR(IF(LEN(INDEX(Database!F$9:F$501,ROW(Calc!E54)-ROW(Calc!$B$7)))=0,$AD$3,INDEX(Database!F$9:F$501,ROW(Calc!E54)-ROW(Calc!$B$7))),"")</f>
        <v>Not Set</v>
      </c>
      <c r="G54" s="128" t="str">
        <f>IFERROR(IF(LEN(INDEX(Database!H$9:H$501,ROW(Calc!F54)-ROW(Calc!$B$7)))=0,$AD$3,INDEX(Database!H$9:H$501,ROW(Calc!F54)-ROW(Calc!$B$7))),"")</f>
        <v>Not Set</v>
      </c>
      <c r="H54" s="128" t="str">
        <f>IFERROR(IF(LEN(INDEX(Database!I$9:I$501,ROW(Calc!G54)-ROW(Calc!$B$7)))=0,$AD$3,INDEX(Database!I$9:I$501,ROW(Calc!G54)-ROW(Calc!$B$7))),"")</f>
        <v>Not Set</v>
      </c>
      <c r="I54" s="128" t="str">
        <f>IFERROR(IF(LEN(INDEX(Database!J$9:J$501,ROW(Calc!H54)-ROW(Calc!$B$7)))=0,$AD$3,INDEX(Database!J$9:J$501,ROW(Calc!H54)-ROW(Calc!$B$7))),"")</f>
        <v>Not Set</v>
      </c>
      <c r="J54" s="128" t="str">
        <f t="shared" si="0"/>
        <v>Not Set</v>
      </c>
      <c r="K54" s="124" t="str">
        <f>IFERROR(IF(LEN(INDEX(Database!E$9:E$501,ROW(Calc!I54)-ROW(Calc!$B$7)))=0,"",INDEX(Database!E$9:E$501,ROW(Calc!I54)-ROW(Calc!$B$7))),"")</f>
        <v/>
      </c>
      <c r="L54" s="129" t="str">
        <f>IFERROR(IF(LEN(INDEX(Database!K$9:K$501,ROW(Calc!K54)-ROW(Calc!$B$7)))=0,$AD$3,INDEX(Database!K$9:K$501,ROW(Calc!K54)-ROW(Calc!$B$7))),"")</f>
        <v>Not Set</v>
      </c>
      <c r="M54" s="130" t="str">
        <f>IFERROR(IF(LEN(INDEX(Database!L$9:L$501,ROW(Calc!L54)-ROW(Calc!$B$7)))=0,$AD$3,INDEX(Database!L$9:L$501,ROW(Calc!L54)-ROW(Calc!$B$7))),"")</f>
        <v>Not Set</v>
      </c>
      <c r="N54" s="131" t="str">
        <f>IFERROR(IF(LEN(INDEX(Database!M$9:M$501,ROW(Calc!M54)-ROW(Calc!$B$7)))=0,"",INDEX(Database!M$9:M$501,ROW(Calc!M54)-ROW(Calc!$B$7))),"")</f>
        <v/>
      </c>
      <c r="O54" s="132" t="str">
        <f t="shared" si="9"/>
        <v/>
      </c>
      <c r="P54" s="125" t="str">
        <f t="shared" si="2"/>
        <v>Not Set</v>
      </c>
      <c r="Q54" s="125" t="str">
        <f t="shared" si="3"/>
        <v>Not Set</v>
      </c>
      <c r="R54" s="125" t="str">
        <f>IFERROR(IF(G54=$AD$3,$AD$3,INDEX(Kanban_Helper!$C$317:$C$328,MATCH(MONTH(G54),Kanban_Helper!$B$317:$B$328,0))&amp;" - "&amp;YEAR(G54)),"$AD$3")</f>
        <v>Not Set</v>
      </c>
      <c r="S54" s="125" t="str">
        <f>IFERROR(IF(I54=$AD$3,$AD$3,INDEX(Kanban_Helper!$C$317:$C$328,MATCH(MONTH(I54),Kanban_Helper!$B$317:$B$328,0))&amp;" - "&amp;YEAR(I54)),$AD$3)</f>
        <v>Not Set</v>
      </c>
      <c r="T54" s="125" t="str">
        <f t="shared" ca="1" si="10"/>
        <v/>
      </c>
      <c r="U54" s="125" t="str">
        <f t="shared" ca="1" si="11"/>
        <v/>
      </c>
      <c r="V54" s="125" t="str">
        <f t="shared" si="6"/>
        <v>Not Set</v>
      </c>
      <c r="W54" s="126" t="str">
        <f t="shared" si="12"/>
        <v/>
      </c>
      <c r="X54" s="126" t="str">
        <f t="shared" si="13"/>
        <v/>
      </c>
      <c r="Y54" s="125" t="str">
        <f>IFERROR(IF(LEN(D54)=0,"",IF(SUBTOTAL(3,E54:E54)=0,MIN($Y$7:Y53)-1,SUBTOTAL(3,$E$8:E54))),"")</f>
        <v/>
      </c>
      <c r="Z54" s="17"/>
      <c r="AA54" s="10"/>
      <c r="AB54" s="10"/>
      <c r="AC54" s="10"/>
      <c r="AD54" s="10"/>
      <c r="AE54" s="10"/>
      <c r="AF54" s="10"/>
      <c r="AG54" s="10"/>
      <c r="AH54" s="10"/>
      <c r="AI54" s="10"/>
      <c r="AJ54" s="10"/>
      <c r="AK54" s="10"/>
      <c r="AL54" s="10"/>
      <c r="AM54" s="10"/>
      <c r="AN54" s="10"/>
    </row>
    <row r="55" spans="2:40" hidden="1" x14ac:dyDescent="0.35">
      <c r="B55" s="15"/>
      <c r="C55" s="127" t="str">
        <f>IFERROR(IF(LEN(INDEX(Database!C$9:C$501,ROW(Calc!A55)-ROW(Calc!$B$7)))=0,"",INDEX(Database!C$9:C$501,ROW(Calc!A55)-ROW(Calc!$B$7))),"")</f>
        <v/>
      </c>
      <c r="D55" s="70" t="str">
        <f>IFERROR(IF(LEN(INDEX(Database!D$9:D$501,ROW(Calc!B55)-ROW(Calc!$B$7)))=0,"",INDEX(Database!D$9:D$501,ROW(Calc!B55)-ROW(Calc!$B$7))),"")</f>
        <v/>
      </c>
      <c r="E55" s="124" t="str">
        <f>IFERROR(IF(LEN(INDEX(Database!G$9:G$501,ROW(Calc!D55)-ROW(Calc!$B$7)))=0,$AD$3,INDEX(Database!G$9:G$501,ROW(Calc!D55)-ROW(Calc!$B$7))),"")</f>
        <v>Not Set</v>
      </c>
      <c r="F55" s="124" t="str">
        <f>IFERROR(IF(LEN(INDEX(Database!F$9:F$501,ROW(Calc!E55)-ROW(Calc!$B$7)))=0,$AD$3,INDEX(Database!F$9:F$501,ROW(Calc!E55)-ROW(Calc!$B$7))),"")</f>
        <v>Not Set</v>
      </c>
      <c r="G55" s="128" t="str">
        <f>IFERROR(IF(LEN(INDEX(Database!H$9:H$501,ROW(Calc!F55)-ROW(Calc!$B$7)))=0,$AD$3,INDEX(Database!H$9:H$501,ROW(Calc!F55)-ROW(Calc!$B$7))),"")</f>
        <v>Not Set</v>
      </c>
      <c r="H55" s="128" t="str">
        <f>IFERROR(IF(LEN(INDEX(Database!I$9:I$501,ROW(Calc!G55)-ROW(Calc!$B$7)))=0,$AD$3,INDEX(Database!I$9:I$501,ROW(Calc!G55)-ROW(Calc!$B$7))),"")</f>
        <v>Not Set</v>
      </c>
      <c r="I55" s="128" t="str">
        <f>IFERROR(IF(LEN(INDEX(Database!J$9:J$501,ROW(Calc!H55)-ROW(Calc!$B$7)))=0,$AD$3,INDEX(Database!J$9:J$501,ROW(Calc!H55)-ROW(Calc!$B$7))),"")</f>
        <v>Not Set</v>
      </c>
      <c r="J55" s="128" t="str">
        <f t="shared" si="0"/>
        <v>Not Set</v>
      </c>
      <c r="K55" s="124" t="str">
        <f>IFERROR(IF(LEN(INDEX(Database!E$9:E$501,ROW(Calc!I55)-ROW(Calc!$B$7)))=0,"",INDEX(Database!E$9:E$501,ROW(Calc!I55)-ROW(Calc!$B$7))),"")</f>
        <v/>
      </c>
      <c r="L55" s="129" t="str">
        <f>IFERROR(IF(LEN(INDEX(Database!K$9:K$501,ROW(Calc!K55)-ROW(Calc!$B$7)))=0,$AD$3,INDEX(Database!K$9:K$501,ROW(Calc!K55)-ROW(Calc!$B$7))),"")</f>
        <v>Not Set</v>
      </c>
      <c r="M55" s="130" t="str">
        <f>IFERROR(IF(LEN(INDEX(Database!L$9:L$501,ROW(Calc!L55)-ROW(Calc!$B$7)))=0,$AD$3,INDEX(Database!L$9:L$501,ROW(Calc!L55)-ROW(Calc!$B$7))),"")</f>
        <v>Not Set</v>
      </c>
      <c r="N55" s="131" t="str">
        <f>IFERROR(IF(LEN(INDEX(Database!M$9:M$501,ROW(Calc!M55)-ROW(Calc!$B$7)))=0,"",INDEX(Database!M$9:M$501,ROW(Calc!M55)-ROW(Calc!$B$7))),"")</f>
        <v/>
      </c>
      <c r="O55" s="132" t="str">
        <f t="shared" si="9"/>
        <v/>
      </c>
      <c r="P55" s="125" t="str">
        <f t="shared" si="2"/>
        <v>Not Set</v>
      </c>
      <c r="Q55" s="125" t="str">
        <f t="shared" si="3"/>
        <v>Not Set</v>
      </c>
      <c r="R55" s="125" t="str">
        <f>IFERROR(IF(G55=$AD$3,$AD$3,INDEX(Kanban_Helper!$C$317:$C$328,MATCH(MONTH(G55),Kanban_Helper!$B$317:$B$328,0))&amp;" - "&amp;YEAR(G55)),"$AD$3")</f>
        <v>Not Set</v>
      </c>
      <c r="S55" s="125" t="str">
        <f>IFERROR(IF(I55=$AD$3,$AD$3,INDEX(Kanban_Helper!$C$317:$C$328,MATCH(MONTH(I55),Kanban_Helper!$B$317:$B$328,0))&amp;" - "&amp;YEAR(I55)),$AD$3)</f>
        <v>Not Set</v>
      </c>
      <c r="T55" s="125" t="str">
        <f t="shared" ca="1" si="10"/>
        <v/>
      </c>
      <c r="U55" s="125" t="str">
        <f t="shared" ca="1" si="11"/>
        <v/>
      </c>
      <c r="V55" s="125" t="str">
        <f t="shared" si="6"/>
        <v>Not Set</v>
      </c>
      <c r="W55" s="126" t="str">
        <f t="shared" si="12"/>
        <v/>
      </c>
      <c r="X55" s="126" t="str">
        <f t="shared" si="13"/>
        <v/>
      </c>
      <c r="Y55" s="125" t="str">
        <f>IFERROR(IF(LEN(D55)=0,"",IF(SUBTOTAL(3,E55:E55)=0,MIN($Y$7:Y54)-1,SUBTOTAL(3,$E$8:E55))),"")</f>
        <v/>
      </c>
      <c r="Z55" s="17"/>
      <c r="AA55" s="10"/>
      <c r="AB55" s="10"/>
      <c r="AC55" s="10"/>
      <c r="AD55" s="10"/>
      <c r="AE55" s="10"/>
      <c r="AF55" s="10"/>
      <c r="AG55" s="10"/>
      <c r="AH55" s="10"/>
      <c r="AI55" s="10"/>
      <c r="AJ55" s="10"/>
      <c r="AK55" s="10"/>
      <c r="AL55" s="10"/>
      <c r="AM55" s="10"/>
      <c r="AN55" s="10"/>
    </row>
    <row r="56" spans="2:40" hidden="1" x14ac:dyDescent="0.35">
      <c r="B56" s="15"/>
      <c r="C56" s="127" t="str">
        <f>IFERROR(IF(LEN(INDEX(Database!C$9:C$501,ROW(Calc!A56)-ROW(Calc!$B$7)))=0,"",INDEX(Database!C$9:C$501,ROW(Calc!A56)-ROW(Calc!$B$7))),"")</f>
        <v/>
      </c>
      <c r="D56" s="70" t="str">
        <f>IFERROR(IF(LEN(INDEX(Database!D$9:D$501,ROW(Calc!B56)-ROW(Calc!$B$7)))=0,"",INDEX(Database!D$9:D$501,ROW(Calc!B56)-ROW(Calc!$B$7))),"")</f>
        <v/>
      </c>
      <c r="E56" s="124" t="str">
        <f>IFERROR(IF(LEN(INDEX(Database!G$9:G$501,ROW(Calc!D56)-ROW(Calc!$B$7)))=0,$AD$3,INDEX(Database!G$9:G$501,ROW(Calc!D56)-ROW(Calc!$B$7))),"")</f>
        <v>Not Set</v>
      </c>
      <c r="F56" s="124" t="str">
        <f>IFERROR(IF(LEN(INDEX(Database!F$9:F$501,ROW(Calc!E56)-ROW(Calc!$B$7)))=0,$AD$3,INDEX(Database!F$9:F$501,ROW(Calc!E56)-ROW(Calc!$B$7))),"")</f>
        <v>Not Set</v>
      </c>
      <c r="G56" s="128" t="str">
        <f>IFERROR(IF(LEN(INDEX(Database!H$9:H$501,ROW(Calc!F56)-ROW(Calc!$B$7)))=0,$AD$3,INDEX(Database!H$9:H$501,ROW(Calc!F56)-ROW(Calc!$B$7))),"")</f>
        <v>Not Set</v>
      </c>
      <c r="H56" s="128" t="str">
        <f>IFERROR(IF(LEN(INDEX(Database!I$9:I$501,ROW(Calc!G56)-ROW(Calc!$B$7)))=0,$AD$3,INDEX(Database!I$9:I$501,ROW(Calc!G56)-ROW(Calc!$B$7))),"")</f>
        <v>Not Set</v>
      </c>
      <c r="I56" s="128" t="str">
        <f>IFERROR(IF(LEN(INDEX(Database!J$9:J$501,ROW(Calc!H56)-ROW(Calc!$B$7)))=0,$AD$3,INDEX(Database!J$9:J$501,ROW(Calc!H56)-ROW(Calc!$B$7))),"")</f>
        <v>Not Set</v>
      </c>
      <c r="J56" s="128" t="str">
        <f t="shared" si="0"/>
        <v>Not Set</v>
      </c>
      <c r="K56" s="124" t="str">
        <f>IFERROR(IF(LEN(INDEX(Database!E$9:E$501,ROW(Calc!I56)-ROW(Calc!$B$7)))=0,"",INDEX(Database!E$9:E$501,ROW(Calc!I56)-ROW(Calc!$B$7))),"")</f>
        <v/>
      </c>
      <c r="L56" s="129" t="str">
        <f>IFERROR(IF(LEN(INDEX(Database!K$9:K$501,ROW(Calc!K56)-ROW(Calc!$B$7)))=0,$AD$3,INDEX(Database!K$9:K$501,ROW(Calc!K56)-ROW(Calc!$B$7))),"")</f>
        <v>Not Set</v>
      </c>
      <c r="M56" s="130" t="str">
        <f>IFERROR(IF(LEN(INDEX(Database!L$9:L$501,ROW(Calc!L56)-ROW(Calc!$B$7)))=0,$AD$3,INDEX(Database!L$9:L$501,ROW(Calc!L56)-ROW(Calc!$B$7))),"")</f>
        <v>Not Set</v>
      </c>
      <c r="N56" s="131" t="str">
        <f>IFERROR(IF(LEN(INDEX(Database!M$9:M$501,ROW(Calc!M56)-ROW(Calc!$B$7)))=0,"",INDEX(Database!M$9:M$501,ROW(Calc!M56)-ROW(Calc!$B$7))),"")</f>
        <v/>
      </c>
      <c r="O56" s="132" t="str">
        <f t="shared" si="9"/>
        <v/>
      </c>
      <c r="P56" s="125" t="str">
        <f t="shared" si="2"/>
        <v>Not Set</v>
      </c>
      <c r="Q56" s="125" t="str">
        <f t="shared" si="3"/>
        <v>Not Set</v>
      </c>
      <c r="R56" s="125" t="str">
        <f>IFERROR(IF(G56=$AD$3,$AD$3,INDEX(Kanban_Helper!$C$317:$C$328,MATCH(MONTH(G56),Kanban_Helper!$B$317:$B$328,0))&amp;" - "&amp;YEAR(G56)),"$AD$3")</f>
        <v>Not Set</v>
      </c>
      <c r="S56" s="125" t="str">
        <f>IFERROR(IF(I56=$AD$3,$AD$3,INDEX(Kanban_Helper!$C$317:$C$328,MATCH(MONTH(I56),Kanban_Helper!$B$317:$B$328,0))&amp;" - "&amp;YEAR(I56)),$AD$3)</f>
        <v>Not Set</v>
      </c>
      <c r="T56" s="125" t="str">
        <f t="shared" ca="1" si="10"/>
        <v/>
      </c>
      <c r="U56" s="125" t="str">
        <f t="shared" ca="1" si="11"/>
        <v/>
      </c>
      <c r="V56" s="125" t="str">
        <f t="shared" si="6"/>
        <v>Not Set</v>
      </c>
      <c r="W56" s="126" t="str">
        <f t="shared" si="12"/>
        <v/>
      </c>
      <c r="X56" s="126" t="str">
        <f t="shared" si="13"/>
        <v/>
      </c>
      <c r="Y56" s="125" t="str">
        <f>IFERROR(IF(LEN(D56)=0,"",IF(SUBTOTAL(3,E56:E56)=0,MIN($Y$7:Y55)-1,SUBTOTAL(3,$E$8:E56))),"")</f>
        <v/>
      </c>
      <c r="Z56" s="17"/>
      <c r="AA56" s="10"/>
      <c r="AB56" s="10"/>
      <c r="AC56" s="10"/>
      <c r="AD56" s="10"/>
      <c r="AE56" s="10"/>
      <c r="AF56" s="10"/>
      <c r="AG56" s="10"/>
      <c r="AH56" s="10"/>
      <c r="AI56" s="10"/>
      <c r="AJ56" s="10"/>
      <c r="AK56" s="10"/>
      <c r="AL56" s="10"/>
      <c r="AM56" s="10"/>
      <c r="AN56" s="10"/>
    </row>
    <row r="57" spans="2:40" hidden="1" x14ac:dyDescent="0.35">
      <c r="B57" s="15"/>
      <c r="C57" s="127" t="str">
        <f>IFERROR(IF(LEN(INDEX(Database!C$9:C$501,ROW(Calc!A57)-ROW(Calc!$B$7)))=0,"",INDEX(Database!C$9:C$501,ROW(Calc!A57)-ROW(Calc!$B$7))),"")</f>
        <v/>
      </c>
      <c r="D57" s="70" t="str">
        <f>IFERROR(IF(LEN(INDEX(Database!D$9:D$501,ROW(Calc!B57)-ROW(Calc!$B$7)))=0,"",INDEX(Database!D$9:D$501,ROW(Calc!B57)-ROW(Calc!$B$7))),"")</f>
        <v/>
      </c>
      <c r="E57" s="124" t="str">
        <f>IFERROR(IF(LEN(INDEX(Database!G$9:G$501,ROW(Calc!D57)-ROW(Calc!$B$7)))=0,$AD$3,INDEX(Database!G$9:G$501,ROW(Calc!D57)-ROW(Calc!$B$7))),"")</f>
        <v>Not Set</v>
      </c>
      <c r="F57" s="124" t="str">
        <f>IFERROR(IF(LEN(INDEX(Database!F$9:F$501,ROW(Calc!E57)-ROW(Calc!$B$7)))=0,$AD$3,INDEX(Database!F$9:F$501,ROW(Calc!E57)-ROW(Calc!$B$7))),"")</f>
        <v>Not Set</v>
      </c>
      <c r="G57" s="128" t="str">
        <f>IFERROR(IF(LEN(INDEX(Database!H$9:H$501,ROW(Calc!F57)-ROW(Calc!$B$7)))=0,$AD$3,INDEX(Database!H$9:H$501,ROW(Calc!F57)-ROW(Calc!$B$7))),"")</f>
        <v>Not Set</v>
      </c>
      <c r="H57" s="128" t="str">
        <f>IFERROR(IF(LEN(INDEX(Database!I$9:I$501,ROW(Calc!G57)-ROW(Calc!$B$7)))=0,$AD$3,INDEX(Database!I$9:I$501,ROW(Calc!G57)-ROW(Calc!$B$7))),"")</f>
        <v>Not Set</v>
      </c>
      <c r="I57" s="128" t="str">
        <f>IFERROR(IF(LEN(INDEX(Database!J$9:J$501,ROW(Calc!H57)-ROW(Calc!$B$7)))=0,$AD$3,INDEX(Database!J$9:J$501,ROW(Calc!H57)-ROW(Calc!$B$7))),"")</f>
        <v>Not Set</v>
      </c>
      <c r="J57" s="128" t="str">
        <f t="shared" si="0"/>
        <v>Not Set</v>
      </c>
      <c r="K57" s="124" t="str">
        <f>IFERROR(IF(LEN(INDEX(Database!E$9:E$501,ROW(Calc!I57)-ROW(Calc!$B$7)))=0,"",INDEX(Database!E$9:E$501,ROW(Calc!I57)-ROW(Calc!$B$7))),"")</f>
        <v/>
      </c>
      <c r="L57" s="129" t="str">
        <f>IFERROR(IF(LEN(INDEX(Database!K$9:K$501,ROW(Calc!K57)-ROW(Calc!$B$7)))=0,$AD$3,INDEX(Database!K$9:K$501,ROW(Calc!K57)-ROW(Calc!$B$7))),"")</f>
        <v>Not Set</v>
      </c>
      <c r="M57" s="130" t="str">
        <f>IFERROR(IF(LEN(INDEX(Database!L$9:L$501,ROW(Calc!L57)-ROW(Calc!$B$7)))=0,$AD$3,INDEX(Database!L$9:L$501,ROW(Calc!L57)-ROW(Calc!$B$7))),"")</f>
        <v>Not Set</v>
      </c>
      <c r="N57" s="131" t="str">
        <f>IFERROR(IF(LEN(INDEX(Database!M$9:M$501,ROW(Calc!M57)-ROW(Calc!$B$7)))=0,"",INDEX(Database!M$9:M$501,ROW(Calc!M57)-ROW(Calc!$B$7))),"")</f>
        <v/>
      </c>
      <c r="O57" s="132" t="str">
        <f t="shared" si="9"/>
        <v/>
      </c>
      <c r="P57" s="125" t="str">
        <f t="shared" si="2"/>
        <v>Not Set</v>
      </c>
      <c r="Q57" s="125" t="str">
        <f t="shared" si="3"/>
        <v>Not Set</v>
      </c>
      <c r="R57" s="125" t="str">
        <f>IFERROR(IF(G57=$AD$3,$AD$3,INDEX(Kanban_Helper!$C$317:$C$328,MATCH(MONTH(G57),Kanban_Helper!$B$317:$B$328,0))&amp;" - "&amp;YEAR(G57)),"$AD$3")</f>
        <v>Not Set</v>
      </c>
      <c r="S57" s="125" t="str">
        <f>IFERROR(IF(I57=$AD$3,$AD$3,INDEX(Kanban_Helper!$C$317:$C$328,MATCH(MONTH(I57),Kanban_Helper!$B$317:$B$328,0))&amp;" - "&amp;YEAR(I57)),$AD$3)</f>
        <v>Not Set</v>
      </c>
      <c r="T57" s="125" t="str">
        <f t="shared" ca="1" si="10"/>
        <v/>
      </c>
      <c r="U57" s="125" t="str">
        <f t="shared" ca="1" si="11"/>
        <v/>
      </c>
      <c r="V57" s="125" t="str">
        <f t="shared" si="6"/>
        <v>Not Set</v>
      </c>
      <c r="W57" s="126" t="str">
        <f t="shared" si="12"/>
        <v/>
      </c>
      <c r="X57" s="126" t="str">
        <f t="shared" si="13"/>
        <v/>
      </c>
      <c r="Y57" s="125" t="str">
        <f>IFERROR(IF(LEN(D57)=0,"",IF(SUBTOTAL(3,E57:E57)=0,MIN($Y$7:Y56)-1,SUBTOTAL(3,$E$8:E57))),"")</f>
        <v/>
      </c>
      <c r="Z57" s="17"/>
      <c r="AA57" s="10"/>
      <c r="AB57" s="10"/>
      <c r="AC57" s="10"/>
      <c r="AD57" s="10"/>
      <c r="AE57" s="10"/>
      <c r="AF57" s="10"/>
      <c r="AG57" s="10"/>
      <c r="AH57" s="10"/>
      <c r="AI57" s="10"/>
      <c r="AJ57" s="10"/>
      <c r="AK57" s="10"/>
      <c r="AL57" s="10"/>
      <c r="AM57" s="10"/>
      <c r="AN57" s="10"/>
    </row>
    <row r="58" spans="2:40" hidden="1" x14ac:dyDescent="0.35">
      <c r="B58" s="15"/>
      <c r="C58" s="127" t="str">
        <f>IFERROR(IF(LEN(INDEX(Database!C$9:C$501,ROW(Calc!A58)-ROW(Calc!$B$7)))=0,"",INDEX(Database!C$9:C$501,ROW(Calc!A58)-ROW(Calc!$B$7))),"")</f>
        <v/>
      </c>
      <c r="D58" s="70" t="str">
        <f>IFERROR(IF(LEN(INDEX(Database!D$9:D$501,ROW(Calc!B58)-ROW(Calc!$B$7)))=0,"",INDEX(Database!D$9:D$501,ROW(Calc!B58)-ROW(Calc!$B$7))),"")</f>
        <v/>
      </c>
      <c r="E58" s="124" t="str">
        <f>IFERROR(IF(LEN(INDEX(Database!G$9:G$501,ROW(Calc!D58)-ROW(Calc!$B$7)))=0,$AD$3,INDEX(Database!G$9:G$501,ROW(Calc!D58)-ROW(Calc!$B$7))),"")</f>
        <v>Not Set</v>
      </c>
      <c r="F58" s="124" t="str">
        <f>IFERROR(IF(LEN(INDEX(Database!F$9:F$501,ROW(Calc!E58)-ROW(Calc!$B$7)))=0,$AD$3,INDEX(Database!F$9:F$501,ROW(Calc!E58)-ROW(Calc!$B$7))),"")</f>
        <v>Not Set</v>
      </c>
      <c r="G58" s="128" t="str">
        <f>IFERROR(IF(LEN(INDEX(Database!H$9:H$501,ROW(Calc!F58)-ROW(Calc!$B$7)))=0,$AD$3,INDEX(Database!H$9:H$501,ROW(Calc!F58)-ROW(Calc!$B$7))),"")</f>
        <v>Not Set</v>
      </c>
      <c r="H58" s="128" t="str">
        <f>IFERROR(IF(LEN(INDEX(Database!I$9:I$501,ROW(Calc!G58)-ROW(Calc!$B$7)))=0,$AD$3,INDEX(Database!I$9:I$501,ROW(Calc!G58)-ROW(Calc!$B$7))),"")</f>
        <v>Not Set</v>
      </c>
      <c r="I58" s="128" t="str">
        <f>IFERROR(IF(LEN(INDEX(Database!J$9:J$501,ROW(Calc!H58)-ROW(Calc!$B$7)))=0,$AD$3,INDEX(Database!J$9:J$501,ROW(Calc!H58)-ROW(Calc!$B$7))),"")</f>
        <v>Not Set</v>
      </c>
      <c r="J58" s="128" t="str">
        <f t="shared" si="0"/>
        <v>Not Set</v>
      </c>
      <c r="K58" s="124" t="str">
        <f>IFERROR(IF(LEN(INDEX(Database!E$9:E$501,ROW(Calc!I58)-ROW(Calc!$B$7)))=0,"",INDEX(Database!E$9:E$501,ROW(Calc!I58)-ROW(Calc!$B$7))),"")</f>
        <v/>
      </c>
      <c r="L58" s="129" t="str">
        <f>IFERROR(IF(LEN(INDEX(Database!K$9:K$501,ROW(Calc!K58)-ROW(Calc!$B$7)))=0,$AD$3,INDEX(Database!K$9:K$501,ROW(Calc!K58)-ROW(Calc!$B$7))),"")</f>
        <v>Not Set</v>
      </c>
      <c r="M58" s="130" t="str">
        <f>IFERROR(IF(LEN(INDEX(Database!L$9:L$501,ROW(Calc!L58)-ROW(Calc!$B$7)))=0,$AD$3,INDEX(Database!L$9:L$501,ROW(Calc!L58)-ROW(Calc!$B$7))),"")</f>
        <v>Not Set</v>
      </c>
      <c r="N58" s="131" t="str">
        <f>IFERROR(IF(LEN(INDEX(Database!M$9:M$501,ROW(Calc!M58)-ROW(Calc!$B$7)))=0,"",INDEX(Database!M$9:M$501,ROW(Calc!M58)-ROW(Calc!$B$7))),"")</f>
        <v/>
      </c>
      <c r="O58" s="132" t="str">
        <f t="shared" si="9"/>
        <v/>
      </c>
      <c r="P58" s="125" t="str">
        <f t="shared" si="2"/>
        <v>Not Set</v>
      </c>
      <c r="Q58" s="125" t="str">
        <f t="shared" si="3"/>
        <v>Not Set</v>
      </c>
      <c r="R58" s="125" t="str">
        <f>IFERROR(IF(G58=$AD$3,$AD$3,INDEX(Kanban_Helper!$C$317:$C$328,MATCH(MONTH(G58),Kanban_Helper!$B$317:$B$328,0))&amp;" - "&amp;YEAR(G58)),"$AD$3")</f>
        <v>Not Set</v>
      </c>
      <c r="S58" s="125" t="str">
        <f>IFERROR(IF(I58=$AD$3,$AD$3,INDEX(Kanban_Helper!$C$317:$C$328,MATCH(MONTH(I58),Kanban_Helper!$B$317:$B$328,0))&amp;" - "&amp;YEAR(I58)),$AD$3)</f>
        <v>Not Set</v>
      </c>
      <c r="T58" s="125" t="str">
        <f t="shared" ca="1" si="10"/>
        <v/>
      </c>
      <c r="U58" s="125" t="str">
        <f t="shared" ca="1" si="11"/>
        <v/>
      </c>
      <c r="V58" s="125" t="str">
        <f t="shared" si="6"/>
        <v>Not Set</v>
      </c>
      <c r="W58" s="126" t="str">
        <f t="shared" si="12"/>
        <v/>
      </c>
      <c r="X58" s="126" t="str">
        <f t="shared" si="13"/>
        <v/>
      </c>
      <c r="Y58" s="125" t="str">
        <f>IFERROR(IF(LEN(D58)=0,"",IF(SUBTOTAL(3,E58:E58)=0,MIN($Y$7:Y57)-1,SUBTOTAL(3,$E$8:E58))),"")</f>
        <v/>
      </c>
      <c r="Z58" s="17"/>
      <c r="AA58" s="10"/>
      <c r="AB58" s="10"/>
      <c r="AC58" s="10"/>
      <c r="AD58" s="10"/>
      <c r="AE58" s="10"/>
      <c r="AF58" s="10"/>
      <c r="AG58" s="10"/>
      <c r="AH58" s="10"/>
      <c r="AI58" s="10"/>
      <c r="AJ58" s="10"/>
      <c r="AK58" s="10"/>
      <c r="AL58" s="10"/>
      <c r="AM58" s="10"/>
      <c r="AN58" s="10"/>
    </row>
    <row r="59" spans="2:40" hidden="1" x14ac:dyDescent="0.35">
      <c r="B59" s="15"/>
      <c r="C59" s="127" t="str">
        <f>IFERROR(IF(LEN(INDEX(Database!C$9:C$501,ROW(Calc!A59)-ROW(Calc!$B$7)))=0,"",INDEX(Database!C$9:C$501,ROW(Calc!A59)-ROW(Calc!$B$7))),"")</f>
        <v/>
      </c>
      <c r="D59" s="70" t="str">
        <f>IFERROR(IF(LEN(INDEX(Database!D$9:D$501,ROW(Calc!B59)-ROW(Calc!$B$7)))=0,"",INDEX(Database!D$9:D$501,ROW(Calc!B59)-ROW(Calc!$B$7))),"")</f>
        <v/>
      </c>
      <c r="E59" s="124" t="str">
        <f>IFERROR(IF(LEN(INDEX(Database!G$9:G$501,ROW(Calc!D59)-ROW(Calc!$B$7)))=0,$AD$3,INDEX(Database!G$9:G$501,ROW(Calc!D59)-ROW(Calc!$B$7))),"")</f>
        <v>Not Set</v>
      </c>
      <c r="F59" s="124" t="str">
        <f>IFERROR(IF(LEN(INDEX(Database!F$9:F$501,ROW(Calc!E59)-ROW(Calc!$B$7)))=0,$AD$3,INDEX(Database!F$9:F$501,ROW(Calc!E59)-ROW(Calc!$B$7))),"")</f>
        <v>Not Set</v>
      </c>
      <c r="G59" s="128" t="str">
        <f>IFERROR(IF(LEN(INDEX(Database!H$9:H$501,ROW(Calc!F59)-ROW(Calc!$B$7)))=0,$AD$3,INDEX(Database!H$9:H$501,ROW(Calc!F59)-ROW(Calc!$B$7))),"")</f>
        <v>Not Set</v>
      </c>
      <c r="H59" s="128" t="str">
        <f>IFERROR(IF(LEN(INDEX(Database!I$9:I$501,ROW(Calc!G59)-ROW(Calc!$B$7)))=0,$AD$3,INDEX(Database!I$9:I$501,ROW(Calc!G59)-ROW(Calc!$B$7))),"")</f>
        <v>Not Set</v>
      </c>
      <c r="I59" s="128" t="str">
        <f>IFERROR(IF(LEN(INDEX(Database!J$9:J$501,ROW(Calc!H59)-ROW(Calc!$B$7)))=0,$AD$3,INDEX(Database!J$9:J$501,ROW(Calc!H59)-ROW(Calc!$B$7))),"")</f>
        <v>Not Set</v>
      </c>
      <c r="J59" s="128" t="str">
        <f t="shared" si="0"/>
        <v>Not Set</v>
      </c>
      <c r="K59" s="124" t="str">
        <f>IFERROR(IF(LEN(INDEX(Database!E$9:E$501,ROW(Calc!I59)-ROW(Calc!$B$7)))=0,"",INDEX(Database!E$9:E$501,ROW(Calc!I59)-ROW(Calc!$B$7))),"")</f>
        <v/>
      </c>
      <c r="L59" s="129" t="str">
        <f>IFERROR(IF(LEN(INDEX(Database!K$9:K$501,ROW(Calc!K59)-ROW(Calc!$B$7)))=0,$AD$3,INDEX(Database!K$9:K$501,ROW(Calc!K59)-ROW(Calc!$B$7))),"")</f>
        <v>Not Set</v>
      </c>
      <c r="M59" s="130" t="str">
        <f>IFERROR(IF(LEN(INDEX(Database!L$9:L$501,ROW(Calc!L59)-ROW(Calc!$B$7)))=0,$AD$3,INDEX(Database!L$9:L$501,ROW(Calc!L59)-ROW(Calc!$B$7))),"")</f>
        <v>Not Set</v>
      </c>
      <c r="N59" s="131" t="str">
        <f>IFERROR(IF(LEN(INDEX(Database!M$9:M$501,ROW(Calc!M59)-ROW(Calc!$B$7)))=0,"",INDEX(Database!M$9:M$501,ROW(Calc!M59)-ROW(Calc!$B$7))),"")</f>
        <v/>
      </c>
      <c r="O59" s="132" t="str">
        <f t="shared" si="9"/>
        <v/>
      </c>
      <c r="P59" s="125" t="str">
        <f t="shared" si="2"/>
        <v>Not Set</v>
      </c>
      <c r="Q59" s="125" t="str">
        <f t="shared" si="3"/>
        <v>Not Set</v>
      </c>
      <c r="R59" s="125" t="str">
        <f>IFERROR(IF(G59=$AD$3,$AD$3,INDEX(Kanban_Helper!$C$317:$C$328,MATCH(MONTH(G59),Kanban_Helper!$B$317:$B$328,0))&amp;" - "&amp;YEAR(G59)),"$AD$3")</f>
        <v>Not Set</v>
      </c>
      <c r="S59" s="125" t="str">
        <f>IFERROR(IF(I59=$AD$3,$AD$3,INDEX(Kanban_Helper!$C$317:$C$328,MATCH(MONTH(I59),Kanban_Helper!$B$317:$B$328,0))&amp;" - "&amp;YEAR(I59)),$AD$3)</f>
        <v>Not Set</v>
      </c>
      <c r="T59" s="125" t="str">
        <f t="shared" ca="1" si="10"/>
        <v/>
      </c>
      <c r="U59" s="125" t="str">
        <f t="shared" ca="1" si="11"/>
        <v/>
      </c>
      <c r="V59" s="125" t="str">
        <f t="shared" si="6"/>
        <v>Not Set</v>
      </c>
      <c r="W59" s="126" t="str">
        <f t="shared" si="12"/>
        <v/>
      </c>
      <c r="X59" s="126" t="str">
        <f t="shared" si="13"/>
        <v/>
      </c>
      <c r="Y59" s="125" t="str">
        <f>IFERROR(IF(LEN(D59)=0,"",IF(SUBTOTAL(3,E59:E59)=0,MIN($Y$7:Y58)-1,SUBTOTAL(3,$E$8:E59))),"")</f>
        <v/>
      </c>
      <c r="Z59" s="17"/>
      <c r="AA59" s="10"/>
      <c r="AB59" s="10"/>
      <c r="AC59" s="10"/>
      <c r="AD59" s="10"/>
      <c r="AE59" s="10"/>
      <c r="AF59" s="10"/>
      <c r="AG59" s="10"/>
      <c r="AH59" s="10"/>
      <c r="AI59" s="10"/>
      <c r="AJ59" s="10"/>
      <c r="AK59" s="10"/>
      <c r="AL59" s="10"/>
      <c r="AM59" s="10"/>
      <c r="AN59" s="10"/>
    </row>
    <row r="60" spans="2:40" hidden="1" x14ac:dyDescent="0.35">
      <c r="B60" s="15"/>
      <c r="C60" s="127" t="str">
        <f>IFERROR(IF(LEN(INDEX(Database!C$9:C$501,ROW(Calc!A60)-ROW(Calc!$B$7)))=0,"",INDEX(Database!C$9:C$501,ROW(Calc!A60)-ROW(Calc!$B$7))),"")</f>
        <v/>
      </c>
      <c r="D60" s="70" t="str">
        <f>IFERROR(IF(LEN(INDEX(Database!D$9:D$501,ROW(Calc!B60)-ROW(Calc!$B$7)))=0,"",INDEX(Database!D$9:D$501,ROW(Calc!B60)-ROW(Calc!$B$7))),"")</f>
        <v/>
      </c>
      <c r="E60" s="124" t="str">
        <f>IFERROR(IF(LEN(INDEX(Database!G$9:G$501,ROW(Calc!D60)-ROW(Calc!$B$7)))=0,$AD$3,INDEX(Database!G$9:G$501,ROW(Calc!D60)-ROW(Calc!$B$7))),"")</f>
        <v>Not Set</v>
      </c>
      <c r="F60" s="124" t="str">
        <f>IFERROR(IF(LEN(INDEX(Database!F$9:F$501,ROW(Calc!E60)-ROW(Calc!$B$7)))=0,$AD$3,INDEX(Database!F$9:F$501,ROW(Calc!E60)-ROW(Calc!$B$7))),"")</f>
        <v>Not Set</v>
      </c>
      <c r="G60" s="128" t="str">
        <f>IFERROR(IF(LEN(INDEX(Database!H$9:H$501,ROW(Calc!F60)-ROW(Calc!$B$7)))=0,$AD$3,INDEX(Database!H$9:H$501,ROW(Calc!F60)-ROW(Calc!$B$7))),"")</f>
        <v>Not Set</v>
      </c>
      <c r="H60" s="128" t="str">
        <f>IFERROR(IF(LEN(INDEX(Database!I$9:I$501,ROW(Calc!G60)-ROW(Calc!$B$7)))=0,$AD$3,INDEX(Database!I$9:I$501,ROW(Calc!G60)-ROW(Calc!$B$7))),"")</f>
        <v>Not Set</v>
      </c>
      <c r="I60" s="128" t="str">
        <f>IFERROR(IF(LEN(INDEX(Database!J$9:J$501,ROW(Calc!H60)-ROW(Calc!$B$7)))=0,$AD$3,INDEX(Database!J$9:J$501,ROW(Calc!H60)-ROW(Calc!$B$7))),"")</f>
        <v>Not Set</v>
      </c>
      <c r="J60" s="128" t="str">
        <f t="shared" si="0"/>
        <v>Not Set</v>
      </c>
      <c r="K60" s="124" t="str">
        <f>IFERROR(IF(LEN(INDEX(Database!E$9:E$501,ROW(Calc!I60)-ROW(Calc!$B$7)))=0,"",INDEX(Database!E$9:E$501,ROW(Calc!I60)-ROW(Calc!$B$7))),"")</f>
        <v/>
      </c>
      <c r="L60" s="129" t="str">
        <f>IFERROR(IF(LEN(INDEX(Database!K$9:K$501,ROW(Calc!K60)-ROW(Calc!$B$7)))=0,$AD$3,INDEX(Database!K$9:K$501,ROW(Calc!K60)-ROW(Calc!$B$7))),"")</f>
        <v>Not Set</v>
      </c>
      <c r="M60" s="130" t="str">
        <f>IFERROR(IF(LEN(INDEX(Database!L$9:L$501,ROW(Calc!L60)-ROW(Calc!$B$7)))=0,$AD$3,INDEX(Database!L$9:L$501,ROW(Calc!L60)-ROW(Calc!$B$7))),"")</f>
        <v>Not Set</v>
      </c>
      <c r="N60" s="131" t="str">
        <f>IFERROR(IF(LEN(INDEX(Database!M$9:M$501,ROW(Calc!M60)-ROW(Calc!$B$7)))=0,"",INDEX(Database!M$9:M$501,ROW(Calc!M60)-ROW(Calc!$B$7))),"")</f>
        <v/>
      </c>
      <c r="O60" s="132" t="str">
        <f t="shared" si="9"/>
        <v/>
      </c>
      <c r="P60" s="125" t="str">
        <f t="shared" si="2"/>
        <v>Not Set</v>
      </c>
      <c r="Q60" s="125" t="str">
        <f t="shared" si="3"/>
        <v>Not Set</v>
      </c>
      <c r="R60" s="125" t="str">
        <f>IFERROR(IF(G60=$AD$3,$AD$3,INDEX(Kanban_Helper!$C$317:$C$328,MATCH(MONTH(G60),Kanban_Helper!$B$317:$B$328,0))&amp;" - "&amp;YEAR(G60)),"$AD$3")</f>
        <v>Not Set</v>
      </c>
      <c r="S60" s="125" t="str">
        <f>IFERROR(IF(I60=$AD$3,$AD$3,INDEX(Kanban_Helper!$C$317:$C$328,MATCH(MONTH(I60),Kanban_Helper!$B$317:$B$328,0))&amp;" - "&amp;YEAR(I60)),$AD$3)</f>
        <v>Not Set</v>
      </c>
      <c r="T60" s="125" t="str">
        <f t="shared" ca="1" si="10"/>
        <v/>
      </c>
      <c r="U60" s="125" t="str">
        <f t="shared" ca="1" si="11"/>
        <v/>
      </c>
      <c r="V60" s="125" t="str">
        <f t="shared" si="6"/>
        <v>Not Set</v>
      </c>
      <c r="W60" s="126" t="str">
        <f t="shared" si="12"/>
        <v/>
      </c>
      <c r="X60" s="126" t="str">
        <f t="shared" si="13"/>
        <v/>
      </c>
      <c r="Y60" s="125" t="str">
        <f>IFERROR(IF(LEN(D60)=0,"",IF(SUBTOTAL(3,E60:E60)=0,MIN($Y$7:Y59)-1,SUBTOTAL(3,$E$8:E60))),"")</f>
        <v/>
      </c>
      <c r="Z60" s="17"/>
      <c r="AA60" s="10"/>
      <c r="AB60" s="10"/>
      <c r="AC60" s="10"/>
      <c r="AD60" s="10"/>
      <c r="AE60" s="10"/>
      <c r="AF60" s="10"/>
      <c r="AG60" s="10"/>
      <c r="AH60" s="10"/>
      <c r="AI60" s="10"/>
      <c r="AJ60" s="10"/>
      <c r="AK60" s="10"/>
      <c r="AL60" s="10"/>
      <c r="AM60" s="10"/>
      <c r="AN60" s="10"/>
    </row>
    <row r="61" spans="2:40" hidden="1" x14ac:dyDescent="0.35">
      <c r="B61" s="15"/>
      <c r="C61" s="127" t="str">
        <f>IFERROR(IF(LEN(INDEX(Database!C$9:C$501,ROW(Calc!A61)-ROW(Calc!$B$7)))=0,"",INDEX(Database!C$9:C$501,ROW(Calc!A61)-ROW(Calc!$B$7))),"")</f>
        <v/>
      </c>
      <c r="D61" s="70" t="str">
        <f>IFERROR(IF(LEN(INDEX(Database!D$9:D$501,ROW(Calc!B61)-ROW(Calc!$B$7)))=0,"",INDEX(Database!D$9:D$501,ROW(Calc!B61)-ROW(Calc!$B$7))),"")</f>
        <v/>
      </c>
      <c r="E61" s="124" t="str">
        <f>IFERROR(IF(LEN(INDEX(Database!G$9:G$501,ROW(Calc!D61)-ROW(Calc!$B$7)))=0,$AD$3,INDEX(Database!G$9:G$501,ROW(Calc!D61)-ROW(Calc!$B$7))),"")</f>
        <v>Not Set</v>
      </c>
      <c r="F61" s="124" t="str">
        <f>IFERROR(IF(LEN(INDEX(Database!F$9:F$501,ROW(Calc!E61)-ROW(Calc!$B$7)))=0,$AD$3,INDEX(Database!F$9:F$501,ROW(Calc!E61)-ROW(Calc!$B$7))),"")</f>
        <v>Not Set</v>
      </c>
      <c r="G61" s="128" t="str">
        <f>IFERROR(IF(LEN(INDEX(Database!H$9:H$501,ROW(Calc!F61)-ROW(Calc!$B$7)))=0,$AD$3,INDEX(Database!H$9:H$501,ROW(Calc!F61)-ROW(Calc!$B$7))),"")</f>
        <v>Not Set</v>
      </c>
      <c r="H61" s="128" t="str">
        <f>IFERROR(IF(LEN(INDEX(Database!I$9:I$501,ROW(Calc!G61)-ROW(Calc!$B$7)))=0,$AD$3,INDEX(Database!I$9:I$501,ROW(Calc!G61)-ROW(Calc!$B$7))),"")</f>
        <v>Not Set</v>
      </c>
      <c r="I61" s="128" t="str">
        <f>IFERROR(IF(LEN(INDEX(Database!J$9:J$501,ROW(Calc!H61)-ROW(Calc!$B$7)))=0,$AD$3,INDEX(Database!J$9:J$501,ROW(Calc!H61)-ROW(Calc!$B$7))),"")</f>
        <v>Not Set</v>
      </c>
      <c r="J61" s="128" t="str">
        <f t="shared" si="0"/>
        <v>Not Set</v>
      </c>
      <c r="K61" s="124" t="str">
        <f>IFERROR(IF(LEN(INDEX(Database!E$9:E$501,ROW(Calc!I61)-ROW(Calc!$B$7)))=0,"",INDEX(Database!E$9:E$501,ROW(Calc!I61)-ROW(Calc!$B$7))),"")</f>
        <v/>
      </c>
      <c r="L61" s="129" t="str">
        <f>IFERROR(IF(LEN(INDEX(Database!K$9:K$501,ROW(Calc!K61)-ROW(Calc!$B$7)))=0,$AD$3,INDEX(Database!K$9:K$501,ROW(Calc!K61)-ROW(Calc!$B$7))),"")</f>
        <v>Not Set</v>
      </c>
      <c r="M61" s="130" t="str">
        <f>IFERROR(IF(LEN(INDEX(Database!L$9:L$501,ROW(Calc!L61)-ROW(Calc!$B$7)))=0,$AD$3,INDEX(Database!L$9:L$501,ROW(Calc!L61)-ROW(Calc!$B$7))),"")</f>
        <v>Not Set</v>
      </c>
      <c r="N61" s="131" t="str">
        <f>IFERROR(IF(LEN(INDEX(Database!M$9:M$501,ROW(Calc!M61)-ROW(Calc!$B$7)))=0,"",INDEX(Database!M$9:M$501,ROW(Calc!M61)-ROW(Calc!$B$7))),"")</f>
        <v/>
      </c>
      <c r="O61" s="132" t="str">
        <f t="shared" si="9"/>
        <v/>
      </c>
      <c r="P61" s="125" t="str">
        <f t="shared" si="2"/>
        <v>Not Set</v>
      </c>
      <c r="Q61" s="125" t="str">
        <f t="shared" si="3"/>
        <v>Not Set</v>
      </c>
      <c r="R61" s="125" t="str">
        <f>IFERROR(IF(G61=$AD$3,$AD$3,INDEX(Kanban_Helper!$C$317:$C$328,MATCH(MONTH(G61),Kanban_Helper!$B$317:$B$328,0))&amp;" - "&amp;YEAR(G61)),"$AD$3")</f>
        <v>Not Set</v>
      </c>
      <c r="S61" s="125" t="str">
        <f>IFERROR(IF(I61=$AD$3,$AD$3,INDEX(Kanban_Helper!$C$317:$C$328,MATCH(MONTH(I61),Kanban_Helper!$B$317:$B$328,0))&amp;" - "&amp;YEAR(I61)),$AD$3)</f>
        <v>Not Set</v>
      </c>
      <c r="T61" s="125" t="str">
        <f t="shared" ca="1" si="10"/>
        <v/>
      </c>
      <c r="U61" s="125" t="str">
        <f t="shared" ca="1" si="11"/>
        <v/>
      </c>
      <c r="V61" s="125" t="str">
        <f t="shared" si="6"/>
        <v>Not Set</v>
      </c>
      <c r="W61" s="126" t="str">
        <f t="shared" si="12"/>
        <v/>
      </c>
      <c r="X61" s="126" t="str">
        <f t="shared" si="13"/>
        <v/>
      </c>
      <c r="Y61" s="125" t="str">
        <f>IFERROR(IF(LEN(D61)=0,"",IF(SUBTOTAL(3,E61:E61)=0,MIN($Y$7:Y60)-1,SUBTOTAL(3,$E$8:E61))),"")</f>
        <v/>
      </c>
      <c r="Z61" s="17"/>
      <c r="AA61" s="10"/>
      <c r="AB61" s="10"/>
      <c r="AC61" s="10"/>
      <c r="AD61" s="10"/>
      <c r="AE61" s="10"/>
      <c r="AF61" s="10"/>
      <c r="AG61" s="10"/>
      <c r="AH61" s="10"/>
      <c r="AI61" s="10"/>
      <c r="AJ61" s="10"/>
      <c r="AK61" s="10"/>
      <c r="AL61" s="10"/>
      <c r="AM61" s="10"/>
      <c r="AN61" s="10"/>
    </row>
    <row r="62" spans="2:40" hidden="1" x14ac:dyDescent="0.35">
      <c r="B62" s="15"/>
      <c r="C62" s="127" t="str">
        <f>IFERROR(IF(LEN(INDEX(Database!C$9:C$501,ROW(Calc!A62)-ROW(Calc!$B$7)))=0,"",INDEX(Database!C$9:C$501,ROW(Calc!A62)-ROW(Calc!$B$7))),"")</f>
        <v/>
      </c>
      <c r="D62" s="70" t="str">
        <f>IFERROR(IF(LEN(INDEX(Database!D$9:D$501,ROW(Calc!B62)-ROW(Calc!$B$7)))=0,"",INDEX(Database!D$9:D$501,ROW(Calc!B62)-ROW(Calc!$B$7))),"")</f>
        <v/>
      </c>
      <c r="E62" s="124" t="str">
        <f>IFERROR(IF(LEN(INDEX(Database!G$9:G$501,ROW(Calc!D62)-ROW(Calc!$B$7)))=0,$AD$3,INDEX(Database!G$9:G$501,ROW(Calc!D62)-ROW(Calc!$B$7))),"")</f>
        <v>Not Set</v>
      </c>
      <c r="F62" s="124" t="str">
        <f>IFERROR(IF(LEN(INDEX(Database!F$9:F$501,ROW(Calc!E62)-ROW(Calc!$B$7)))=0,$AD$3,INDEX(Database!F$9:F$501,ROW(Calc!E62)-ROW(Calc!$B$7))),"")</f>
        <v>Not Set</v>
      </c>
      <c r="G62" s="128" t="str">
        <f>IFERROR(IF(LEN(INDEX(Database!H$9:H$501,ROW(Calc!F62)-ROW(Calc!$B$7)))=0,$AD$3,INDEX(Database!H$9:H$501,ROW(Calc!F62)-ROW(Calc!$B$7))),"")</f>
        <v>Not Set</v>
      </c>
      <c r="H62" s="128" t="str">
        <f>IFERROR(IF(LEN(INDEX(Database!I$9:I$501,ROW(Calc!G62)-ROW(Calc!$B$7)))=0,$AD$3,INDEX(Database!I$9:I$501,ROW(Calc!G62)-ROW(Calc!$B$7))),"")</f>
        <v>Not Set</v>
      </c>
      <c r="I62" s="128" t="str">
        <f>IFERROR(IF(LEN(INDEX(Database!J$9:J$501,ROW(Calc!H62)-ROW(Calc!$B$7)))=0,$AD$3,INDEX(Database!J$9:J$501,ROW(Calc!H62)-ROW(Calc!$B$7))),"")</f>
        <v>Not Set</v>
      </c>
      <c r="J62" s="128" t="str">
        <f t="shared" si="0"/>
        <v>Not Set</v>
      </c>
      <c r="K62" s="124" t="str">
        <f>IFERROR(IF(LEN(INDEX(Database!E$9:E$501,ROW(Calc!I62)-ROW(Calc!$B$7)))=0,"",INDEX(Database!E$9:E$501,ROW(Calc!I62)-ROW(Calc!$B$7))),"")</f>
        <v/>
      </c>
      <c r="L62" s="129" t="str">
        <f>IFERROR(IF(LEN(INDEX(Database!K$9:K$501,ROW(Calc!K62)-ROW(Calc!$B$7)))=0,$AD$3,INDEX(Database!K$9:K$501,ROW(Calc!K62)-ROW(Calc!$B$7))),"")</f>
        <v>Not Set</v>
      </c>
      <c r="M62" s="130" t="str">
        <f>IFERROR(IF(LEN(INDEX(Database!L$9:L$501,ROW(Calc!L62)-ROW(Calc!$B$7)))=0,$AD$3,INDEX(Database!L$9:L$501,ROW(Calc!L62)-ROW(Calc!$B$7))),"")</f>
        <v>Not Set</v>
      </c>
      <c r="N62" s="131" t="str">
        <f>IFERROR(IF(LEN(INDEX(Database!M$9:M$501,ROW(Calc!M62)-ROW(Calc!$B$7)))=0,"",INDEX(Database!M$9:M$501,ROW(Calc!M62)-ROW(Calc!$B$7))),"")</f>
        <v/>
      </c>
      <c r="O62" s="132" t="str">
        <f t="shared" si="9"/>
        <v/>
      </c>
      <c r="P62" s="125" t="str">
        <f t="shared" si="2"/>
        <v>Not Set</v>
      </c>
      <c r="Q62" s="125" t="str">
        <f t="shared" si="3"/>
        <v>Not Set</v>
      </c>
      <c r="R62" s="125" t="str">
        <f>IFERROR(IF(G62=$AD$3,$AD$3,INDEX(Kanban_Helper!$C$317:$C$328,MATCH(MONTH(G62),Kanban_Helper!$B$317:$B$328,0))&amp;" - "&amp;YEAR(G62)),"$AD$3")</f>
        <v>Not Set</v>
      </c>
      <c r="S62" s="125" t="str">
        <f>IFERROR(IF(I62=$AD$3,$AD$3,INDEX(Kanban_Helper!$C$317:$C$328,MATCH(MONTH(I62),Kanban_Helper!$B$317:$B$328,0))&amp;" - "&amp;YEAR(I62)),$AD$3)</f>
        <v>Not Set</v>
      </c>
      <c r="T62" s="125" t="str">
        <f t="shared" ca="1" si="10"/>
        <v/>
      </c>
      <c r="U62" s="125" t="str">
        <f t="shared" ca="1" si="11"/>
        <v/>
      </c>
      <c r="V62" s="125" t="str">
        <f t="shared" si="6"/>
        <v>Not Set</v>
      </c>
      <c r="W62" s="126" t="str">
        <f t="shared" si="12"/>
        <v/>
      </c>
      <c r="X62" s="126" t="str">
        <f t="shared" si="13"/>
        <v/>
      </c>
      <c r="Y62" s="125" t="str">
        <f>IFERROR(IF(LEN(D62)=0,"",IF(SUBTOTAL(3,E62:E62)=0,MIN($Y$7:Y61)-1,SUBTOTAL(3,$E$8:E62))),"")</f>
        <v/>
      </c>
      <c r="Z62" s="17"/>
      <c r="AA62" s="10"/>
      <c r="AB62" s="10"/>
      <c r="AC62" s="10"/>
      <c r="AD62" s="10"/>
      <c r="AE62" s="10"/>
      <c r="AF62" s="10"/>
      <c r="AG62" s="10"/>
      <c r="AH62" s="10"/>
      <c r="AI62" s="10"/>
      <c r="AJ62" s="10"/>
      <c r="AK62" s="10"/>
      <c r="AL62" s="10"/>
      <c r="AM62" s="10"/>
      <c r="AN62" s="10"/>
    </row>
    <row r="63" spans="2:40" hidden="1" x14ac:dyDescent="0.35">
      <c r="B63" s="15"/>
      <c r="C63" s="127" t="str">
        <f>IFERROR(IF(LEN(INDEX(Database!C$9:C$501,ROW(Calc!A63)-ROW(Calc!$B$7)))=0,"",INDEX(Database!C$9:C$501,ROW(Calc!A63)-ROW(Calc!$B$7))),"")</f>
        <v/>
      </c>
      <c r="D63" s="70" t="str">
        <f>IFERROR(IF(LEN(INDEX(Database!D$9:D$501,ROW(Calc!B63)-ROW(Calc!$B$7)))=0,"",INDEX(Database!D$9:D$501,ROW(Calc!B63)-ROW(Calc!$B$7))),"")</f>
        <v/>
      </c>
      <c r="E63" s="124" t="str">
        <f>IFERROR(IF(LEN(INDEX(Database!G$9:G$501,ROW(Calc!D63)-ROW(Calc!$B$7)))=0,$AD$3,INDEX(Database!G$9:G$501,ROW(Calc!D63)-ROW(Calc!$B$7))),"")</f>
        <v>Not Set</v>
      </c>
      <c r="F63" s="124" t="str">
        <f>IFERROR(IF(LEN(INDEX(Database!F$9:F$501,ROW(Calc!E63)-ROW(Calc!$B$7)))=0,$AD$3,INDEX(Database!F$9:F$501,ROW(Calc!E63)-ROW(Calc!$B$7))),"")</f>
        <v>Not Set</v>
      </c>
      <c r="G63" s="128" t="str">
        <f>IFERROR(IF(LEN(INDEX(Database!H$9:H$501,ROW(Calc!F63)-ROW(Calc!$B$7)))=0,$AD$3,INDEX(Database!H$9:H$501,ROW(Calc!F63)-ROW(Calc!$B$7))),"")</f>
        <v>Not Set</v>
      </c>
      <c r="H63" s="128" t="str">
        <f>IFERROR(IF(LEN(INDEX(Database!I$9:I$501,ROW(Calc!G63)-ROW(Calc!$B$7)))=0,$AD$3,INDEX(Database!I$9:I$501,ROW(Calc!G63)-ROW(Calc!$B$7))),"")</f>
        <v>Not Set</v>
      </c>
      <c r="I63" s="128" t="str">
        <f>IFERROR(IF(LEN(INDEX(Database!J$9:J$501,ROW(Calc!H63)-ROW(Calc!$B$7)))=0,$AD$3,INDEX(Database!J$9:J$501,ROW(Calc!H63)-ROW(Calc!$B$7))),"")</f>
        <v>Not Set</v>
      </c>
      <c r="J63" s="128" t="str">
        <f t="shared" si="0"/>
        <v>Not Set</v>
      </c>
      <c r="K63" s="124" t="str">
        <f>IFERROR(IF(LEN(INDEX(Database!E$9:E$501,ROW(Calc!I63)-ROW(Calc!$B$7)))=0,"",INDEX(Database!E$9:E$501,ROW(Calc!I63)-ROW(Calc!$B$7))),"")</f>
        <v/>
      </c>
      <c r="L63" s="129" t="str">
        <f>IFERROR(IF(LEN(INDEX(Database!K$9:K$501,ROW(Calc!K63)-ROW(Calc!$B$7)))=0,$AD$3,INDEX(Database!K$9:K$501,ROW(Calc!K63)-ROW(Calc!$B$7))),"")</f>
        <v>Not Set</v>
      </c>
      <c r="M63" s="130" t="str">
        <f>IFERROR(IF(LEN(INDEX(Database!L$9:L$501,ROW(Calc!L63)-ROW(Calc!$B$7)))=0,$AD$3,INDEX(Database!L$9:L$501,ROW(Calc!L63)-ROW(Calc!$B$7))),"")</f>
        <v>Not Set</v>
      </c>
      <c r="N63" s="131" t="str">
        <f>IFERROR(IF(LEN(INDEX(Database!M$9:M$501,ROW(Calc!M63)-ROW(Calc!$B$7)))=0,"",INDEX(Database!M$9:M$501,ROW(Calc!M63)-ROW(Calc!$B$7))),"")</f>
        <v/>
      </c>
      <c r="O63" s="132" t="str">
        <f t="shared" si="9"/>
        <v/>
      </c>
      <c r="P63" s="125" t="str">
        <f t="shared" si="2"/>
        <v>Not Set</v>
      </c>
      <c r="Q63" s="125" t="str">
        <f t="shared" si="3"/>
        <v>Not Set</v>
      </c>
      <c r="R63" s="125" t="str">
        <f>IFERROR(IF(G63=$AD$3,$AD$3,INDEX(Kanban_Helper!$C$317:$C$328,MATCH(MONTH(G63),Kanban_Helper!$B$317:$B$328,0))&amp;" - "&amp;YEAR(G63)),"$AD$3")</f>
        <v>Not Set</v>
      </c>
      <c r="S63" s="125" t="str">
        <f>IFERROR(IF(I63=$AD$3,$AD$3,INDEX(Kanban_Helper!$C$317:$C$328,MATCH(MONTH(I63),Kanban_Helper!$B$317:$B$328,0))&amp;" - "&amp;YEAR(I63)),$AD$3)</f>
        <v>Not Set</v>
      </c>
      <c r="T63" s="125" t="str">
        <f t="shared" ca="1" si="10"/>
        <v/>
      </c>
      <c r="U63" s="125" t="str">
        <f t="shared" ca="1" si="11"/>
        <v/>
      </c>
      <c r="V63" s="125" t="str">
        <f t="shared" si="6"/>
        <v>Not Set</v>
      </c>
      <c r="W63" s="126" t="str">
        <f t="shared" si="12"/>
        <v/>
      </c>
      <c r="X63" s="126" t="str">
        <f t="shared" si="13"/>
        <v/>
      </c>
      <c r="Y63" s="125" t="str">
        <f>IFERROR(IF(LEN(D63)=0,"",IF(SUBTOTAL(3,E63:E63)=0,MIN($Y$7:Y62)-1,SUBTOTAL(3,$E$8:E63))),"")</f>
        <v/>
      </c>
      <c r="Z63" s="17"/>
      <c r="AA63" s="10"/>
      <c r="AB63" s="10"/>
      <c r="AC63" s="10"/>
      <c r="AD63" s="10"/>
      <c r="AE63" s="10"/>
      <c r="AF63" s="10"/>
      <c r="AG63" s="10"/>
      <c r="AH63" s="10"/>
      <c r="AI63" s="10"/>
      <c r="AJ63" s="10"/>
      <c r="AK63" s="10"/>
      <c r="AL63" s="10"/>
      <c r="AM63" s="10"/>
      <c r="AN63" s="10"/>
    </row>
    <row r="64" spans="2:40" hidden="1" x14ac:dyDescent="0.35">
      <c r="B64" s="15"/>
      <c r="C64" s="127" t="str">
        <f>IFERROR(IF(LEN(INDEX(Database!C$9:C$501,ROW(Calc!A64)-ROW(Calc!$B$7)))=0,"",INDEX(Database!C$9:C$501,ROW(Calc!A64)-ROW(Calc!$B$7))),"")</f>
        <v/>
      </c>
      <c r="D64" s="70" t="str">
        <f>IFERROR(IF(LEN(INDEX(Database!D$9:D$501,ROW(Calc!B64)-ROW(Calc!$B$7)))=0,"",INDEX(Database!D$9:D$501,ROW(Calc!B64)-ROW(Calc!$B$7))),"")</f>
        <v/>
      </c>
      <c r="E64" s="124" t="str">
        <f>IFERROR(IF(LEN(INDEX(Database!G$9:G$501,ROW(Calc!D64)-ROW(Calc!$B$7)))=0,$AD$3,INDEX(Database!G$9:G$501,ROW(Calc!D64)-ROW(Calc!$B$7))),"")</f>
        <v>Not Set</v>
      </c>
      <c r="F64" s="124" t="str">
        <f>IFERROR(IF(LEN(INDEX(Database!F$9:F$501,ROW(Calc!E64)-ROW(Calc!$B$7)))=0,$AD$3,INDEX(Database!F$9:F$501,ROW(Calc!E64)-ROW(Calc!$B$7))),"")</f>
        <v>Not Set</v>
      </c>
      <c r="G64" s="128" t="str">
        <f>IFERROR(IF(LEN(INDEX(Database!H$9:H$501,ROW(Calc!F64)-ROW(Calc!$B$7)))=0,$AD$3,INDEX(Database!H$9:H$501,ROW(Calc!F64)-ROW(Calc!$B$7))),"")</f>
        <v>Not Set</v>
      </c>
      <c r="H64" s="128" t="str">
        <f>IFERROR(IF(LEN(INDEX(Database!I$9:I$501,ROW(Calc!G64)-ROW(Calc!$B$7)))=0,$AD$3,INDEX(Database!I$9:I$501,ROW(Calc!G64)-ROW(Calc!$B$7))),"")</f>
        <v>Not Set</v>
      </c>
      <c r="I64" s="128" t="str">
        <f>IFERROR(IF(LEN(INDEX(Database!J$9:J$501,ROW(Calc!H64)-ROW(Calc!$B$7)))=0,$AD$3,INDEX(Database!J$9:J$501,ROW(Calc!H64)-ROW(Calc!$B$7))),"")</f>
        <v>Not Set</v>
      </c>
      <c r="J64" s="128" t="str">
        <f t="shared" si="0"/>
        <v>Not Set</v>
      </c>
      <c r="K64" s="124" t="str">
        <f>IFERROR(IF(LEN(INDEX(Database!E$9:E$501,ROW(Calc!I64)-ROW(Calc!$B$7)))=0,"",INDEX(Database!E$9:E$501,ROW(Calc!I64)-ROW(Calc!$B$7))),"")</f>
        <v/>
      </c>
      <c r="L64" s="129" t="str">
        <f>IFERROR(IF(LEN(INDEX(Database!K$9:K$501,ROW(Calc!K64)-ROW(Calc!$B$7)))=0,$AD$3,INDEX(Database!K$9:K$501,ROW(Calc!K64)-ROW(Calc!$B$7))),"")</f>
        <v>Not Set</v>
      </c>
      <c r="M64" s="130" t="str">
        <f>IFERROR(IF(LEN(INDEX(Database!L$9:L$501,ROW(Calc!L64)-ROW(Calc!$B$7)))=0,$AD$3,INDEX(Database!L$9:L$501,ROW(Calc!L64)-ROW(Calc!$B$7))),"")</f>
        <v>Not Set</v>
      </c>
      <c r="N64" s="131" t="str">
        <f>IFERROR(IF(LEN(INDEX(Database!M$9:M$501,ROW(Calc!M64)-ROW(Calc!$B$7)))=0,"",INDEX(Database!M$9:M$501,ROW(Calc!M64)-ROW(Calc!$B$7))),"")</f>
        <v/>
      </c>
      <c r="O64" s="132" t="str">
        <f t="shared" si="9"/>
        <v/>
      </c>
      <c r="P64" s="125" t="str">
        <f t="shared" si="2"/>
        <v>Not Set</v>
      </c>
      <c r="Q64" s="125" t="str">
        <f t="shared" si="3"/>
        <v>Not Set</v>
      </c>
      <c r="R64" s="125" t="str">
        <f>IFERROR(IF(G64=$AD$3,$AD$3,INDEX(Kanban_Helper!$C$317:$C$328,MATCH(MONTH(G64),Kanban_Helper!$B$317:$B$328,0))&amp;" - "&amp;YEAR(G64)),"$AD$3")</f>
        <v>Not Set</v>
      </c>
      <c r="S64" s="125" t="str">
        <f>IFERROR(IF(I64=$AD$3,$AD$3,INDEX(Kanban_Helper!$C$317:$C$328,MATCH(MONTH(I64),Kanban_Helper!$B$317:$B$328,0))&amp;" - "&amp;YEAR(I64)),$AD$3)</f>
        <v>Not Set</v>
      </c>
      <c r="T64" s="125" t="str">
        <f t="shared" ca="1" si="10"/>
        <v/>
      </c>
      <c r="U64" s="125" t="str">
        <f t="shared" ca="1" si="11"/>
        <v/>
      </c>
      <c r="V64" s="125" t="str">
        <f t="shared" si="6"/>
        <v>Not Set</v>
      </c>
      <c r="W64" s="126" t="str">
        <f t="shared" si="12"/>
        <v/>
      </c>
      <c r="X64" s="126" t="str">
        <f t="shared" si="13"/>
        <v/>
      </c>
      <c r="Y64" s="125" t="str">
        <f>IFERROR(IF(LEN(D64)=0,"",IF(SUBTOTAL(3,E64:E64)=0,MIN($Y$7:Y63)-1,SUBTOTAL(3,$E$8:E64))),"")</f>
        <v/>
      </c>
      <c r="Z64" s="17"/>
      <c r="AA64" s="10"/>
      <c r="AB64" s="10"/>
      <c r="AC64" s="10"/>
      <c r="AD64" s="10"/>
      <c r="AE64" s="10"/>
      <c r="AF64" s="10"/>
      <c r="AG64" s="10"/>
      <c r="AH64" s="10"/>
      <c r="AI64" s="10"/>
      <c r="AJ64" s="10"/>
      <c r="AK64" s="10"/>
      <c r="AL64" s="10"/>
      <c r="AM64" s="10"/>
      <c r="AN64" s="10"/>
    </row>
    <row r="65" spans="2:40" hidden="1" x14ac:dyDescent="0.35">
      <c r="B65" s="15"/>
      <c r="C65" s="127" t="str">
        <f>IFERROR(IF(LEN(INDEX(Database!C$9:C$501,ROW(Calc!A65)-ROW(Calc!$B$7)))=0,"",INDEX(Database!C$9:C$501,ROW(Calc!A65)-ROW(Calc!$B$7))),"")</f>
        <v/>
      </c>
      <c r="D65" s="70" t="str">
        <f>IFERROR(IF(LEN(INDEX(Database!D$9:D$501,ROW(Calc!B65)-ROW(Calc!$B$7)))=0,"",INDEX(Database!D$9:D$501,ROW(Calc!B65)-ROW(Calc!$B$7))),"")</f>
        <v/>
      </c>
      <c r="E65" s="124" t="str">
        <f>IFERROR(IF(LEN(INDEX(Database!G$9:G$501,ROW(Calc!D65)-ROW(Calc!$B$7)))=0,$AD$3,INDEX(Database!G$9:G$501,ROW(Calc!D65)-ROW(Calc!$B$7))),"")</f>
        <v>Not Set</v>
      </c>
      <c r="F65" s="124" t="str">
        <f>IFERROR(IF(LEN(INDEX(Database!F$9:F$501,ROW(Calc!E65)-ROW(Calc!$B$7)))=0,$AD$3,INDEX(Database!F$9:F$501,ROW(Calc!E65)-ROW(Calc!$B$7))),"")</f>
        <v>Not Set</v>
      </c>
      <c r="G65" s="128" t="str">
        <f>IFERROR(IF(LEN(INDEX(Database!H$9:H$501,ROW(Calc!F65)-ROW(Calc!$B$7)))=0,$AD$3,INDEX(Database!H$9:H$501,ROW(Calc!F65)-ROW(Calc!$B$7))),"")</f>
        <v>Not Set</v>
      </c>
      <c r="H65" s="128" t="str">
        <f>IFERROR(IF(LEN(INDEX(Database!I$9:I$501,ROW(Calc!G65)-ROW(Calc!$B$7)))=0,$AD$3,INDEX(Database!I$9:I$501,ROW(Calc!G65)-ROW(Calc!$B$7))),"")</f>
        <v>Not Set</v>
      </c>
      <c r="I65" s="128" t="str">
        <f>IFERROR(IF(LEN(INDEX(Database!J$9:J$501,ROW(Calc!H65)-ROW(Calc!$B$7)))=0,$AD$3,INDEX(Database!J$9:J$501,ROW(Calc!H65)-ROW(Calc!$B$7))),"")</f>
        <v>Not Set</v>
      </c>
      <c r="J65" s="128" t="str">
        <f t="shared" si="0"/>
        <v>Not Set</v>
      </c>
      <c r="K65" s="124" t="str">
        <f>IFERROR(IF(LEN(INDEX(Database!E$9:E$501,ROW(Calc!I65)-ROW(Calc!$B$7)))=0,"",INDEX(Database!E$9:E$501,ROW(Calc!I65)-ROW(Calc!$B$7))),"")</f>
        <v/>
      </c>
      <c r="L65" s="129" t="str">
        <f>IFERROR(IF(LEN(INDEX(Database!K$9:K$501,ROW(Calc!K65)-ROW(Calc!$B$7)))=0,$AD$3,INDEX(Database!K$9:K$501,ROW(Calc!K65)-ROW(Calc!$B$7))),"")</f>
        <v>Not Set</v>
      </c>
      <c r="M65" s="130" t="str">
        <f>IFERROR(IF(LEN(INDEX(Database!L$9:L$501,ROW(Calc!L65)-ROW(Calc!$B$7)))=0,$AD$3,INDEX(Database!L$9:L$501,ROW(Calc!L65)-ROW(Calc!$B$7))),"")</f>
        <v>Not Set</v>
      </c>
      <c r="N65" s="131" t="str">
        <f>IFERROR(IF(LEN(INDEX(Database!M$9:M$501,ROW(Calc!M65)-ROW(Calc!$B$7)))=0,"",INDEX(Database!M$9:M$501,ROW(Calc!M65)-ROW(Calc!$B$7))),"")</f>
        <v/>
      </c>
      <c r="O65" s="132" t="str">
        <f t="shared" si="9"/>
        <v/>
      </c>
      <c r="P65" s="125" t="str">
        <f t="shared" si="2"/>
        <v>Not Set</v>
      </c>
      <c r="Q65" s="125" t="str">
        <f t="shared" si="3"/>
        <v>Not Set</v>
      </c>
      <c r="R65" s="125" t="str">
        <f>IFERROR(IF(G65=$AD$3,$AD$3,INDEX(Kanban_Helper!$C$317:$C$328,MATCH(MONTH(G65),Kanban_Helper!$B$317:$B$328,0))&amp;" - "&amp;YEAR(G65)),"$AD$3")</f>
        <v>Not Set</v>
      </c>
      <c r="S65" s="125" t="str">
        <f>IFERROR(IF(I65=$AD$3,$AD$3,INDEX(Kanban_Helper!$C$317:$C$328,MATCH(MONTH(I65),Kanban_Helper!$B$317:$B$328,0))&amp;" - "&amp;YEAR(I65)),$AD$3)</f>
        <v>Not Set</v>
      </c>
      <c r="T65" s="125" t="str">
        <f t="shared" ca="1" si="10"/>
        <v/>
      </c>
      <c r="U65" s="125" t="str">
        <f t="shared" ca="1" si="11"/>
        <v/>
      </c>
      <c r="V65" s="125" t="str">
        <f t="shared" si="6"/>
        <v>Not Set</v>
      </c>
      <c r="W65" s="126" t="str">
        <f t="shared" si="12"/>
        <v/>
      </c>
      <c r="X65" s="126" t="str">
        <f t="shared" si="13"/>
        <v/>
      </c>
      <c r="Y65" s="125" t="str">
        <f>IFERROR(IF(LEN(D65)=0,"",IF(SUBTOTAL(3,E65:E65)=0,MIN($Y$7:Y64)-1,SUBTOTAL(3,$E$8:E65))),"")</f>
        <v/>
      </c>
      <c r="Z65" s="17"/>
      <c r="AA65" s="10"/>
      <c r="AB65" s="10"/>
      <c r="AC65" s="10"/>
      <c r="AD65" s="10"/>
      <c r="AE65" s="10"/>
      <c r="AF65" s="10"/>
      <c r="AG65" s="10"/>
      <c r="AH65" s="10"/>
      <c r="AI65" s="10"/>
      <c r="AJ65" s="10"/>
      <c r="AK65" s="10"/>
      <c r="AL65" s="10"/>
      <c r="AM65" s="10"/>
      <c r="AN65" s="10"/>
    </row>
    <row r="66" spans="2:40" hidden="1" x14ac:dyDescent="0.35">
      <c r="B66" s="15"/>
      <c r="C66" s="127" t="str">
        <f>IFERROR(IF(LEN(INDEX(Database!C$9:C$501,ROW(Calc!A66)-ROW(Calc!$B$7)))=0,"",INDEX(Database!C$9:C$501,ROW(Calc!A66)-ROW(Calc!$B$7))),"")</f>
        <v/>
      </c>
      <c r="D66" s="70" t="str">
        <f>IFERROR(IF(LEN(INDEX(Database!D$9:D$501,ROW(Calc!B66)-ROW(Calc!$B$7)))=0,"",INDEX(Database!D$9:D$501,ROW(Calc!B66)-ROW(Calc!$B$7))),"")</f>
        <v/>
      </c>
      <c r="E66" s="124" t="str">
        <f>IFERROR(IF(LEN(INDEX(Database!G$9:G$501,ROW(Calc!D66)-ROW(Calc!$B$7)))=0,$AD$3,INDEX(Database!G$9:G$501,ROW(Calc!D66)-ROW(Calc!$B$7))),"")</f>
        <v>Not Set</v>
      </c>
      <c r="F66" s="124" t="str">
        <f>IFERROR(IF(LEN(INDEX(Database!F$9:F$501,ROW(Calc!E66)-ROW(Calc!$B$7)))=0,$AD$3,INDEX(Database!F$9:F$501,ROW(Calc!E66)-ROW(Calc!$B$7))),"")</f>
        <v>Not Set</v>
      </c>
      <c r="G66" s="128" t="str">
        <f>IFERROR(IF(LEN(INDEX(Database!H$9:H$501,ROW(Calc!F66)-ROW(Calc!$B$7)))=0,$AD$3,INDEX(Database!H$9:H$501,ROW(Calc!F66)-ROW(Calc!$B$7))),"")</f>
        <v>Not Set</v>
      </c>
      <c r="H66" s="128" t="str">
        <f>IFERROR(IF(LEN(INDEX(Database!I$9:I$501,ROW(Calc!G66)-ROW(Calc!$B$7)))=0,$AD$3,INDEX(Database!I$9:I$501,ROW(Calc!G66)-ROW(Calc!$B$7))),"")</f>
        <v>Not Set</v>
      </c>
      <c r="I66" s="128" t="str">
        <f>IFERROR(IF(LEN(INDEX(Database!J$9:J$501,ROW(Calc!H66)-ROW(Calc!$B$7)))=0,$AD$3,INDEX(Database!J$9:J$501,ROW(Calc!H66)-ROW(Calc!$B$7))),"")</f>
        <v>Not Set</v>
      </c>
      <c r="J66" s="128" t="str">
        <f t="shared" si="0"/>
        <v>Not Set</v>
      </c>
      <c r="K66" s="124" t="str">
        <f>IFERROR(IF(LEN(INDEX(Database!E$9:E$501,ROW(Calc!I66)-ROW(Calc!$B$7)))=0,"",INDEX(Database!E$9:E$501,ROW(Calc!I66)-ROW(Calc!$B$7))),"")</f>
        <v/>
      </c>
      <c r="L66" s="129" t="str">
        <f>IFERROR(IF(LEN(INDEX(Database!K$9:K$501,ROW(Calc!K66)-ROW(Calc!$B$7)))=0,$AD$3,INDEX(Database!K$9:K$501,ROW(Calc!K66)-ROW(Calc!$B$7))),"")</f>
        <v>Not Set</v>
      </c>
      <c r="M66" s="130" t="str">
        <f>IFERROR(IF(LEN(INDEX(Database!L$9:L$501,ROW(Calc!L66)-ROW(Calc!$B$7)))=0,$AD$3,INDEX(Database!L$9:L$501,ROW(Calc!L66)-ROW(Calc!$B$7))),"")</f>
        <v>Not Set</v>
      </c>
      <c r="N66" s="131" t="str">
        <f>IFERROR(IF(LEN(INDEX(Database!M$9:M$501,ROW(Calc!M66)-ROW(Calc!$B$7)))=0,"",INDEX(Database!M$9:M$501,ROW(Calc!M66)-ROW(Calc!$B$7))),"")</f>
        <v/>
      </c>
      <c r="O66" s="132" t="str">
        <f t="shared" si="9"/>
        <v/>
      </c>
      <c r="P66" s="125" t="str">
        <f t="shared" si="2"/>
        <v>Not Set</v>
      </c>
      <c r="Q66" s="125" t="str">
        <f t="shared" si="3"/>
        <v>Not Set</v>
      </c>
      <c r="R66" s="125" t="str">
        <f>IFERROR(IF(G66=$AD$3,$AD$3,INDEX(Kanban_Helper!$C$317:$C$328,MATCH(MONTH(G66),Kanban_Helper!$B$317:$B$328,0))&amp;" - "&amp;YEAR(G66)),"$AD$3")</f>
        <v>Not Set</v>
      </c>
      <c r="S66" s="125" t="str">
        <f>IFERROR(IF(I66=$AD$3,$AD$3,INDEX(Kanban_Helper!$C$317:$C$328,MATCH(MONTH(I66),Kanban_Helper!$B$317:$B$328,0))&amp;" - "&amp;YEAR(I66)),$AD$3)</f>
        <v>Not Set</v>
      </c>
      <c r="T66" s="125" t="str">
        <f t="shared" ca="1" si="10"/>
        <v/>
      </c>
      <c r="U66" s="125" t="str">
        <f t="shared" ca="1" si="11"/>
        <v/>
      </c>
      <c r="V66" s="125" t="str">
        <f t="shared" si="6"/>
        <v>Not Set</v>
      </c>
      <c r="W66" s="126" t="str">
        <f t="shared" si="12"/>
        <v/>
      </c>
      <c r="X66" s="126" t="str">
        <f t="shared" si="13"/>
        <v/>
      </c>
      <c r="Y66" s="125" t="str">
        <f>IFERROR(IF(LEN(D66)=0,"",IF(SUBTOTAL(3,E66:E66)=0,MIN($Y$7:Y65)-1,SUBTOTAL(3,$E$8:E66))),"")</f>
        <v/>
      </c>
      <c r="Z66" s="17"/>
      <c r="AA66" s="10"/>
      <c r="AB66" s="10"/>
      <c r="AC66" s="10"/>
      <c r="AD66" s="10"/>
      <c r="AE66" s="10"/>
      <c r="AF66" s="10"/>
      <c r="AG66" s="10"/>
      <c r="AH66" s="10"/>
      <c r="AI66" s="10"/>
      <c r="AJ66" s="10"/>
      <c r="AK66" s="10"/>
      <c r="AL66" s="10"/>
      <c r="AM66" s="10"/>
      <c r="AN66" s="10"/>
    </row>
    <row r="67" spans="2:40" hidden="1" x14ac:dyDescent="0.35">
      <c r="B67" s="15"/>
      <c r="C67" s="127" t="str">
        <f>IFERROR(IF(LEN(INDEX(Database!C$9:C$501,ROW(Calc!A67)-ROW(Calc!$B$7)))=0,"",INDEX(Database!C$9:C$501,ROW(Calc!A67)-ROW(Calc!$B$7))),"")</f>
        <v/>
      </c>
      <c r="D67" s="70" t="str">
        <f>IFERROR(IF(LEN(INDEX(Database!D$9:D$501,ROW(Calc!B67)-ROW(Calc!$B$7)))=0,"",INDEX(Database!D$9:D$501,ROW(Calc!B67)-ROW(Calc!$B$7))),"")</f>
        <v/>
      </c>
      <c r="E67" s="124" t="str">
        <f>IFERROR(IF(LEN(INDEX(Database!G$9:G$501,ROW(Calc!D67)-ROW(Calc!$B$7)))=0,$AD$3,INDEX(Database!G$9:G$501,ROW(Calc!D67)-ROW(Calc!$B$7))),"")</f>
        <v>Not Set</v>
      </c>
      <c r="F67" s="124" t="str">
        <f>IFERROR(IF(LEN(INDEX(Database!F$9:F$501,ROW(Calc!E67)-ROW(Calc!$B$7)))=0,$AD$3,INDEX(Database!F$9:F$501,ROW(Calc!E67)-ROW(Calc!$B$7))),"")</f>
        <v>Not Set</v>
      </c>
      <c r="G67" s="128" t="str">
        <f>IFERROR(IF(LEN(INDEX(Database!H$9:H$501,ROW(Calc!F67)-ROW(Calc!$B$7)))=0,$AD$3,INDEX(Database!H$9:H$501,ROW(Calc!F67)-ROW(Calc!$B$7))),"")</f>
        <v>Not Set</v>
      </c>
      <c r="H67" s="128" t="str">
        <f>IFERROR(IF(LEN(INDEX(Database!I$9:I$501,ROW(Calc!G67)-ROW(Calc!$B$7)))=0,$AD$3,INDEX(Database!I$9:I$501,ROW(Calc!G67)-ROW(Calc!$B$7))),"")</f>
        <v>Not Set</v>
      </c>
      <c r="I67" s="128" t="str">
        <f>IFERROR(IF(LEN(INDEX(Database!J$9:J$501,ROW(Calc!H67)-ROW(Calc!$B$7)))=0,$AD$3,INDEX(Database!J$9:J$501,ROW(Calc!H67)-ROW(Calc!$B$7))),"")</f>
        <v>Not Set</v>
      </c>
      <c r="J67" s="128" t="str">
        <f t="shared" si="0"/>
        <v>Not Set</v>
      </c>
      <c r="K67" s="124" t="str">
        <f>IFERROR(IF(LEN(INDEX(Database!E$9:E$501,ROW(Calc!I67)-ROW(Calc!$B$7)))=0,"",INDEX(Database!E$9:E$501,ROW(Calc!I67)-ROW(Calc!$B$7))),"")</f>
        <v/>
      </c>
      <c r="L67" s="129" t="str">
        <f>IFERROR(IF(LEN(INDEX(Database!K$9:K$501,ROW(Calc!K67)-ROW(Calc!$B$7)))=0,$AD$3,INDEX(Database!K$9:K$501,ROW(Calc!K67)-ROW(Calc!$B$7))),"")</f>
        <v>Not Set</v>
      </c>
      <c r="M67" s="130" t="str">
        <f>IFERROR(IF(LEN(INDEX(Database!L$9:L$501,ROW(Calc!L67)-ROW(Calc!$B$7)))=0,$AD$3,INDEX(Database!L$9:L$501,ROW(Calc!L67)-ROW(Calc!$B$7))),"")</f>
        <v>Not Set</v>
      </c>
      <c r="N67" s="131" t="str">
        <f>IFERROR(IF(LEN(INDEX(Database!M$9:M$501,ROW(Calc!M67)-ROW(Calc!$B$7)))=0,"",INDEX(Database!M$9:M$501,ROW(Calc!M67)-ROW(Calc!$B$7))),"")</f>
        <v/>
      </c>
      <c r="O67" s="132" t="str">
        <f t="shared" si="9"/>
        <v/>
      </c>
      <c r="P67" s="125" t="str">
        <f t="shared" si="2"/>
        <v>Not Set</v>
      </c>
      <c r="Q67" s="125" t="str">
        <f t="shared" si="3"/>
        <v>Not Set</v>
      </c>
      <c r="R67" s="125" t="str">
        <f>IFERROR(IF(G67=$AD$3,$AD$3,INDEX(Kanban_Helper!$C$317:$C$328,MATCH(MONTH(G67),Kanban_Helper!$B$317:$B$328,0))&amp;" - "&amp;YEAR(G67)),"$AD$3")</f>
        <v>Not Set</v>
      </c>
      <c r="S67" s="125" t="str">
        <f>IFERROR(IF(I67=$AD$3,$AD$3,INDEX(Kanban_Helper!$C$317:$C$328,MATCH(MONTH(I67),Kanban_Helper!$B$317:$B$328,0))&amp;" - "&amp;YEAR(I67)),$AD$3)</f>
        <v>Not Set</v>
      </c>
      <c r="T67" s="125" t="str">
        <f t="shared" ca="1" si="10"/>
        <v/>
      </c>
      <c r="U67" s="125" t="str">
        <f t="shared" ca="1" si="11"/>
        <v/>
      </c>
      <c r="V67" s="125" t="str">
        <f t="shared" si="6"/>
        <v>Not Set</v>
      </c>
      <c r="W67" s="126" t="str">
        <f t="shared" si="12"/>
        <v/>
      </c>
      <c r="X67" s="126" t="str">
        <f t="shared" si="13"/>
        <v/>
      </c>
      <c r="Y67" s="125" t="str">
        <f>IFERROR(IF(LEN(D67)=0,"",IF(SUBTOTAL(3,E67:E67)=0,MIN($Y$7:Y66)-1,SUBTOTAL(3,$E$8:E67))),"")</f>
        <v/>
      </c>
      <c r="Z67" s="17"/>
      <c r="AA67" s="10"/>
      <c r="AB67" s="10"/>
      <c r="AC67" s="10"/>
      <c r="AD67" s="10"/>
      <c r="AE67" s="10"/>
      <c r="AF67" s="10"/>
      <c r="AG67" s="10"/>
      <c r="AH67" s="10"/>
      <c r="AI67" s="10"/>
      <c r="AJ67" s="10"/>
      <c r="AK67" s="10"/>
      <c r="AL67" s="10"/>
      <c r="AM67" s="10"/>
      <c r="AN67" s="10"/>
    </row>
    <row r="68" spans="2:40" hidden="1" x14ac:dyDescent="0.35">
      <c r="B68" s="15"/>
      <c r="C68" s="127" t="str">
        <f>IFERROR(IF(LEN(INDEX(Database!C$9:C$501,ROW(Calc!A68)-ROW(Calc!$B$7)))=0,"",INDEX(Database!C$9:C$501,ROW(Calc!A68)-ROW(Calc!$B$7))),"")</f>
        <v/>
      </c>
      <c r="D68" s="70" t="str">
        <f>IFERROR(IF(LEN(INDEX(Database!D$9:D$501,ROW(Calc!B68)-ROW(Calc!$B$7)))=0,"",INDEX(Database!D$9:D$501,ROW(Calc!B68)-ROW(Calc!$B$7))),"")</f>
        <v/>
      </c>
      <c r="E68" s="124" t="str">
        <f>IFERROR(IF(LEN(INDEX(Database!G$9:G$501,ROW(Calc!D68)-ROW(Calc!$B$7)))=0,$AD$3,INDEX(Database!G$9:G$501,ROW(Calc!D68)-ROW(Calc!$B$7))),"")</f>
        <v>Not Set</v>
      </c>
      <c r="F68" s="124" t="str">
        <f>IFERROR(IF(LEN(INDEX(Database!F$9:F$501,ROW(Calc!E68)-ROW(Calc!$B$7)))=0,$AD$3,INDEX(Database!F$9:F$501,ROW(Calc!E68)-ROW(Calc!$B$7))),"")</f>
        <v>Not Set</v>
      </c>
      <c r="G68" s="128" t="str">
        <f>IFERROR(IF(LEN(INDEX(Database!H$9:H$501,ROW(Calc!F68)-ROW(Calc!$B$7)))=0,$AD$3,INDEX(Database!H$9:H$501,ROW(Calc!F68)-ROW(Calc!$B$7))),"")</f>
        <v>Not Set</v>
      </c>
      <c r="H68" s="128" t="str">
        <f>IFERROR(IF(LEN(INDEX(Database!I$9:I$501,ROW(Calc!G68)-ROW(Calc!$B$7)))=0,$AD$3,INDEX(Database!I$9:I$501,ROW(Calc!G68)-ROW(Calc!$B$7))),"")</f>
        <v>Not Set</v>
      </c>
      <c r="I68" s="128" t="str">
        <f>IFERROR(IF(LEN(INDEX(Database!J$9:J$501,ROW(Calc!H68)-ROW(Calc!$B$7)))=0,$AD$3,INDEX(Database!J$9:J$501,ROW(Calc!H68)-ROW(Calc!$B$7))),"")</f>
        <v>Not Set</v>
      </c>
      <c r="J68" s="128" t="str">
        <f t="shared" si="0"/>
        <v>Not Set</v>
      </c>
      <c r="K68" s="124" t="str">
        <f>IFERROR(IF(LEN(INDEX(Database!E$9:E$501,ROW(Calc!I68)-ROW(Calc!$B$7)))=0,"",INDEX(Database!E$9:E$501,ROW(Calc!I68)-ROW(Calc!$B$7))),"")</f>
        <v/>
      </c>
      <c r="L68" s="129" t="str">
        <f>IFERROR(IF(LEN(INDEX(Database!K$9:K$501,ROW(Calc!K68)-ROW(Calc!$B$7)))=0,$AD$3,INDEX(Database!K$9:K$501,ROW(Calc!K68)-ROW(Calc!$B$7))),"")</f>
        <v>Not Set</v>
      </c>
      <c r="M68" s="130" t="str">
        <f>IFERROR(IF(LEN(INDEX(Database!L$9:L$501,ROW(Calc!L68)-ROW(Calc!$B$7)))=0,$AD$3,INDEX(Database!L$9:L$501,ROW(Calc!L68)-ROW(Calc!$B$7))),"")</f>
        <v>Not Set</v>
      </c>
      <c r="N68" s="131" t="str">
        <f>IFERROR(IF(LEN(INDEX(Database!M$9:M$501,ROW(Calc!M68)-ROW(Calc!$B$7)))=0,"",INDEX(Database!M$9:M$501,ROW(Calc!M68)-ROW(Calc!$B$7))),"")</f>
        <v/>
      </c>
      <c r="O68" s="132" t="str">
        <f t="shared" si="9"/>
        <v/>
      </c>
      <c r="P68" s="125" t="str">
        <f t="shared" si="2"/>
        <v>Not Set</v>
      </c>
      <c r="Q68" s="125" t="str">
        <f t="shared" si="3"/>
        <v>Not Set</v>
      </c>
      <c r="R68" s="125" t="str">
        <f>IFERROR(IF(G68=$AD$3,$AD$3,INDEX(Kanban_Helper!$C$317:$C$328,MATCH(MONTH(G68),Kanban_Helper!$B$317:$B$328,0))&amp;" - "&amp;YEAR(G68)),"$AD$3")</f>
        <v>Not Set</v>
      </c>
      <c r="S68" s="125" t="str">
        <f>IFERROR(IF(I68=$AD$3,$AD$3,INDEX(Kanban_Helper!$C$317:$C$328,MATCH(MONTH(I68),Kanban_Helper!$B$317:$B$328,0))&amp;" - "&amp;YEAR(I68)),$AD$3)</f>
        <v>Not Set</v>
      </c>
      <c r="T68" s="125" t="str">
        <f t="shared" ca="1" si="10"/>
        <v/>
      </c>
      <c r="U68" s="125" t="str">
        <f t="shared" ca="1" si="11"/>
        <v/>
      </c>
      <c r="V68" s="125" t="str">
        <f t="shared" si="6"/>
        <v>Not Set</v>
      </c>
      <c r="W68" s="126" t="str">
        <f t="shared" si="12"/>
        <v/>
      </c>
      <c r="X68" s="126" t="str">
        <f t="shared" si="13"/>
        <v/>
      </c>
      <c r="Y68" s="125" t="str">
        <f>IFERROR(IF(LEN(D68)=0,"",IF(SUBTOTAL(3,E68:E68)=0,MIN($Y$7:Y67)-1,SUBTOTAL(3,$E$8:E68))),"")</f>
        <v/>
      </c>
      <c r="Z68" s="17"/>
      <c r="AA68" s="10"/>
      <c r="AB68" s="10"/>
      <c r="AC68" s="10"/>
      <c r="AD68" s="10"/>
      <c r="AE68" s="10"/>
      <c r="AF68" s="10"/>
      <c r="AG68" s="10"/>
      <c r="AH68" s="10"/>
      <c r="AI68" s="10"/>
      <c r="AJ68" s="10"/>
      <c r="AK68" s="10"/>
      <c r="AL68" s="10"/>
      <c r="AM68" s="10"/>
      <c r="AN68" s="10"/>
    </row>
    <row r="69" spans="2:40" hidden="1" x14ac:dyDescent="0.35">
      <c r="B69" s="15"/>
      <c r="C69" s="127" t="str">
        <f>IFERROR(IF(LEN(INDEX(Database!C$9:C$501,ROW(Calc!A69)-ROW(Calc!$B$7)))=0,"",INDEX(Database!C$9:C$501,ROW(Calc!A69)-ROW(Calc!$B$7))),"")</f>
        <v/>
      </c>
      <c r="D69" s="70" t="str">
        <f>IFERROR(IF(LEN(INDEX(Database!D$9:D$501,ROW(Calc!B69)-ROW(Calc!$B$7)))=0,"",INDEX(Database!D$9:D$501,ROW(Calc!B69)-ROW(Calc!$B$7))),"")</f>
        <v/>
      </c>
      <c r="E69" s="124" t="str">
        <f>IFERROR(IF(LEN(INDEX(Database!G$9:G$501,ROW(Calc!D69)-ROW(Calc!$B$7)))=0,$AD$3,INDEX(Database!G$9:G$501,ROW(Calc!D69)-ROW(Calc!$B$7))),"")</f>
        <v>Not Set</v>
      </c>
      <c r="F69" s="124" t="str">
        <f>IFERROR(IF(LEN(INDEX(Database!F$9:F$501,ROW(Calc!E69)-ROW(Calc!$B$7)))=0,$AD$3,INDEX(Database!F$9:F$501,ROW(Calc!E69)-ROW(Calc!$B$7))),"")</f>
        <v>Not Set</v>
      </c>
      <c r="G69" s="128" t="str">
        <f>IFERROR(IF(LEN(INDEX(Database!H$9:H$501,ROW(Calc!F69)-ROW(Calc!$B$7)))=0,$AD$3,INDEX(Database!H$9:H$501,ROW(Calc!F69)-ROW(Calc!$B$7))),"")</f>
        <v>Not Set</v>
      </c>
      <c r="H69" s="128" t="str">
        <f>IFERROR(IF(LEN(INDEX(Database!I$9:I$501,ROW(Calc!G69)-ROW(Calc!$B$7)))=0,$AD$3,INDEX(Database!I$9:I$501,ROW(Calc!G69)-ROW(Calc!$B$7))),"")</f>
        <v>Not Set</v>
      </c>
      <c r="I69" s="128" t="str">
        <f>IFERROR(IF(LEN(INDEX(Database!J$9:J$501,ROW(Calc!H69)-ROW(Calc!$B$7)))=0,$AD$3,INDEX(Database!J$9:J$501,ROW(Calc!H69)-ROW(Calc!$B$7))),"")</f>
        <v>Not Set</v>
      </c>
      <c r="J69" s="128" t="str">
        <f t="shared" si="0"/>
        <v>Not Set</v>
      </c>
      <c r="K69" s="124" t="str">
        <f>IFERROR(IF(LEN(INDEX(Database!E$9:E$501,ROW(Calc!I69)-ROW(Calc!$B$7)))=0,"",INDEX(Database!E$9:E$501,ROW(Calc!I69)-ROW(Calc!$B$7))),"")</f>
        <v/>
      </c>
      <c r="L69" s="129" t="str">
        <f>IFERROR(IF(LEN(INDEX(Database!K$9:K$501,ROW(Calc!K69)-ROW(Calc!$B$7)))=0,$AD$3,INDEX(Database!K$9:K$501,ROW(Calc!K69)-ROW(Calc!$B$7))),"")</f>
        <v>Not Set</v>
      </c>
      <c r="M69" s="130" t="str">
        <f>IFERROR(IF(LEN(INDEX(Database!L$9:L$501,ROW(Calc!L69)-ROW(Calc!$B$7)))=0,$AD$3,INDEX(Database!L$9:L$501,ROW(Calc!L69)-ROW(Calc!$B$7))),"")</f>
        <v>Not Set</v>
      </c>
      <c r="N69" s="131" t="str">
        <f>IFERROR(IF(LEN(INDEX(Database!M$9:M$501,ROW(Calc!M69)-ROW(Calc!$B$7)))=0,"",INDEX(Database!M$9:M$501,ROW(Calc!M69)-ROW(Calc!$B$7))),"")</f>
        <v/>
      </c>
      <c r="O69" s="132" t="str">
        <f t="shared" si="9"/>
        <v/>
      </c>
      <c r="P69" s="125" t="str">
        <f t="shared" si="2"/>
        <v>Not Set</v>
      </c>
      <c r="Q69" s="125" t="str">
        <f t="shared" si="3"/>
        <v>Not Set</v>
      </c>
      <c r="R69" s="125" t="str">
        <f>IFERROR(IF(G69=$AD$3,$AD$3,INDEX(Kanban_Helper!$C$317:$C$328,MATCH(MONTH(G69),Kanban_Helper!$B$317:$B$328,0))&amp;" - "&amp;YEAR(G69)),"$AD$3")</f>
        <v>Not Set</v>
      </c>
      <c r="S69" s="125" t="str">
        <f>IFERROR(IF(I69=$AD$3,$AD$3,INDEX(Kanban_Helper!$C$317:$C$328,MATCH(MONTH(I69),Kanban_Helper!$B$317:$B$328,0))&amp;" - "&amp;YEAR(I69)),$AD$3)</f>
        <v>Not Set</v>
      </c>
      <c r="T69" s="125" t="str">
        <f t="shared" ca="1" si="10"/>
        <v/>
      </c>
      <c r="U69" s="125" t="str">
        <f t="shared" ca="1" si="11"/>
        <v/>
      </c>
      <c r="V69" s="125" t="str">
        <f t="shared" si="6"/>
        <v>Not Set</v>
      </c>
      <c r="W69" s="126" t="str">
        <f t="shared" si="12"/>
        <v/>
      </c>
      <c r="X69" s="126" t="str">
        <f t="shared" si="13"/>
        <v/>
      </c>
      <c r="Y69" s="125" t="str">
        <f>IFERROR(IF(LEN(D69)=0,"",IF(SUBTOTAL(3,E69:E69)=0,MIN($Y$7:Y68)-1,SUBTOTAL(3,$E$8:E69))),"")</f>
        <v/>
      </c>
      <c r="Z69" s="17"/>
      <c r="AA69" s="10"/>
      <c r="AB69" s="10"/>
      <c r="AC69" s="10"/>
      <c r="AD69" s="10"/>
      <c r="AE69" s="10"/>
      <c r="AF69" s="10"/>
      <c r="AG69" s="10"/>
      <c r="AH69" s="10"/>
      <c r="AI69" s="10"/>
      <c r="AJ69" s="10"/>
      <c r="AK69" s="10"/>
      <c r="AL69" s="10"/>
      <c r="AM69" s="10"/>
      <c r="AN69" s="10"/>
    </row>
    <row r="70" spans="2:40" hidden="1" x14ac:dyDescent="0.35">
      <c r="B70" s="15"/>
      <c r="C70" s="127" t="str">
        <f>IFERROR(IF(LEN(INDEX(Database!C$9:C$501,ROW(Calc!A70)-ROW(Calc!$B$7)))=0,"",INDEX(Database!C$9:C$501,ROW(Calc!A70)-ROW(Calc!$B$7))),"")</f>
        <v/>
      </c>
      <c r="D70" s="70" t="str">
        <f>IFERROR(IF(LEN(INDEX(Database!D$9:D$501,ROW(Calc!B70)-ROW(Calc!$B$7)))=0,"",INDEX(Database!D$9:D$501,ROW(Calc!B70)-ROW(Calc!$B$7))),"")</f>
        <v/>
      </c>
      <c r="E70" s="124" t="str">
        <f>IFERROR(IF(LEN(INDEX(Database!G$9:G$501,ROW(Calc!D70)-ROW(Calc!$B$7)))=0,$AD$3,INDEX(Database!G$9:G$501,ROW(Calc!D70)-ROW(Calc!$B$7))),"")</f>
        <v>Not Set</v>
      </c>
      <c r="F70" s="124" t="str">
        <f>IFERROR(IF(LEN(INDEX(Database!F$9:F$501,ROW(Calc!E70)-ROW(Calc!$B$7)))=0,$AD$3,INDEX(Database!F$9:F$501,ROW(Calc!E70)-ROW(Calc!$B$7))),"")</f>
        <v>Not Set</v>
      </c>
      <c r="G70" s="128" t="str">
        <f>IFERROR(IF(LEN(INDEX(Database!H$9:H$501,ROW(Calc!F70)-ROW(Calc!$B$7)))=0,$AD$3,INDEX(Database!H$9:H$501,ROW(Calc!F70)-ROW(Calc!$B$7))),"")</f>
        <v>Not Set</v>
      </c>
      <c r="H70" s="128" t="str">
        <f>IFERROR(IF(LEN(INDEX(Database!I$9:I$501,ROW(Calc!G70)-ROW(Calc!$B$7)))=0,$AD$3,INDEX(Database!I$9:I$501,ROW(Calc!G70)-ROW(Calc!$B$7))),"")</f>
        <v>Not Set</v>
      </c>
      <c r="I70" s="128" t="str">
        <f>IFERROR(IF(LEN(INDEX(Database!J$9:J$501,ROW(Calc!H70)-ROW(Calc!$B$7)))=0,$AD$3,INDEX(Database!J$9:J$501,ROW(Calc!H70)-ROW(Calc!$B$7))),"")</f>
        <v>Not Set</v>
      </c>
      <c r="J70" s="128" t="str">
        <f t="shared" si="0"/>
        <v>Not Set</v>
      </c>
      <c r="K70" s="124" t="str">
        <f>IFERROR(IF(LEN(INDEX(Database!E$9:E$501,ROW(Calc!I70)-ROW(Calc!$B$7)))=0,"",INDEX(Database!E$9:E$501,ROW(Calc!I70)-ROW(Calc!$B$7))),"")</f>
        <v/>
      </c>
      <c r="L70" s="129" t="str">
        <f>IFERROR(IF(LEN(INDEX(Database!K$9:K$501,ROW(Calc!K70)-ROW(Calc!$B$7)))=0,$AD$3,INDEX(Database!K$9:K$501,ROW(Calc!K70)-ROW(Calc!$B$7))),"")</f>
        <v>Not Set</v>
      </c>
      <c r="M70" s="130" t="str">
        <f>IFERROR(IF(LEN(INDEX(Database!L$9:L$501,ROW(Calc!L70)-ROW(Calc!$B$7)))=0,$AD$3,INDEX(Database!L$9:L$501,ROW(Calc!L70)-ROW(Calc!$B$7))),"")</f>
        <v>Not Set</v>
      </c>
      <c r="N70" s="131" t="str">
        <f>IFERROR(IF(LEN(INDEX(Database!M$9:M$501,ROW(Calc!M70)-ROW(Calc!$B$7)))=0,"",INDEX(Database!M$9:M$501,ROW(Calc!M70)-ROW(Calc!$B$7))),"")</f>
        <v/>
      </c>
      <c r="O70" s="132" t="str">
        <f t="shared" si="9"/>
        <v/>
      </c>
      <c r="P70" s="125" t="str">
        <f t="shared" si="2"/>
        <v>Not Set</v>
      </c>
      <c r="Q70" s="125" t="str">
        <f t="shared" si="3"/>
        <v>Not Set</v>
      </c>
      <c r="R70" s="125" t="str">
        <f>IFERROR(IF(G70=$AD$3,$AD$3,INDEX(Kanban_Helper!$C$317:$C$328,MATCH(MONTH(G70),Kanban_Helper!$B$317:$B$328,0))&amp;" - "&amp;YEAR(G70)),"$AD$3")</f>
        <v>Not Set</v>
      </c>
      <c r="S70" s="125" t="str">
        <f>IFERROR(IF(I70=$AD$3,$AD$3,INDEX(Kanban_Helper!$C$317:$C$328,MATCH(MONTH(I70),Kanban_Helper!$B$317:$B$328,0))&amp;" - "&amp;YEAR(I70)),$AD$3)</f>
        <v>Not Set</v>
      </c>
      <c r="T70" s="125" t="str">
        <f t="shared" ca="1" si="10"/>
        <v/>
      </c>
      <c r="U70" s="125" t="str">
        <f t="shared" ca="1" si="11"/>
        <v/>
      </c>
      <c r="V70" s="125" t="str">
        <f t="shared" si="6"/>
        <v>Not Set</v>
      </c>
      <c r="W70" s="126" t="str">
        <f t="shared" si="12"/>
        <v/>
      </c>
      <c r="X70" s="126" t="str">
        <f t="shared" si="13"/>
        <v/>
      </c>
      <c r="Y70" s="125" t="str">
        <f>IFERROR(IF(LEN(D70)=0,"",IF(SUBTOTAL(3,E70:E70)=0,MIN($Y$7:Y69)-1,SUBTOTAL(3,$E$8:E70))),"")</f>
        <v/>
      </c>
      <c r="Z70" s="17"/>
      <c r="AA70" s="10"/>
      <c r="AB70" s="10"/>
      <c r="AC70" s="10"/>
      <c r="AD70" s="10"/>
      <c r="AE70" s="10"/>
      <c r="AF70" s="10"/>
      <c r="AG70" s="10"/>
      <c r="AH70" s="10"/>
      <c r="AI70" s="10"/>
      <c r="AJ70" s="10"/>
      <c r="AK70" s="10"/>
      <c r="AL70" s="10"/>
      <c r="AM70" s="10"/>
      <c r="AN70" s="10"/>
    </row>
    <row r="71" spans="2:40" hidden="1" x14ac:dyDescent="0.35">
      <c r="B71" s="15"/>
      <c r="C71" s="127" t="str">
        <f>IFERROR(IF(LEN(INDEX(Database!C$9:C$501,ROW(Calc!A71)-ROW(Calc!$B$7)))=0,"",INDEX(Database!C$9:C$501,ROW(Calc!A71)-ROW(Calc!$B$7))),"")</f>
        <v/>
      </c>
      <c r="D71" s="70" t="str">
        <f>IFERROR(IF(LEN(INDEX(Database!D$9:D$501,ROW(Calc!B71)-ROW(Calc!$B$7)))=0,"",INDEX(Database!D$9:D$501,ROW(Calc!B71)-ROW(Calc!$B$7))),"")</f>
        <v/>
      </c>
      <c r="E71" s="124" t="str">
        <f>IFERROR(IF(LEN(INDEX(Database!G$9:G$501,ROW(Calc!D71)-ROW(Calc!$B$7)))=0,$AD$3,INDEX(Database!G$9:G$501,ROW(Calc!D71)-ROW(Calc!$B$7))),"")</f>
        <v>Not Set</v>
      </c>
      <c r="F71" s="124" t="str">
        <f>IFERROR(IF(LEN(INDEX(Database!F$9:F$501,ROW(Calc!E71)-ROW(Calc!$B$7)))=0,$AD$3,INDEX(Database!F$9:F$501,ROW(Calc!E71)-ROW(Calc!$B$7))),"")</f>
        <v>Not Set</v>
      </c>
      <c r="G71" s="128" t="str">
        <f>IFERROR(IF(LEN(INDEX(Database!H$9:H$501,ROW(Calc!F71)-ROW(Calc!$B$7)))=0,$AD$3,INDEX(Database!H$9:H$501,ROW(Calc!F71)-ROW(Calc!$B$7))),"")</f>
        <v>Not Set</v>
      </c>
      <c r="H71" s="128" t="str">
        <f>IFERROR(IF(LEN(INDEX(Database!I$9:I$501,ROW(Calc!G71)-ROW(Calc!$B$7)))=0,$AD$3,INDEX(Database!I$9:I$501,ROW(Calc!G71)-ROW(Calc!$B$7))),"")</f>
        <v>Not Set</v>
      </c>
      <c r="I71" s="128" t="str">
        <f>IFERROR(IF(LEN(INDEX(Database!J$9:J$501,ROW(Calc!H71)-ROW(Calc!$B$7)))=0,$AD$3,INDEX(Database!J$9:J$501,ROW(Calc!H71)-ROW(Calc!$B$7))),"")</f>
        <v>Not Set</v>
      </c>
      <c r="J71" s="128" t="str">
        <f t="shared" si="0"/>
        <v>Not Set</v>
      </c>
      <c r="K71" s="124" t="str">
        <f>IFERROR(IF(LEN(INDEX(Database!E$9:E$501,ROW(Calc!I71)-ROW(Calc!$B$7)))=0,"",INDEX(Database!E$9:E$501,ROW(Calc!I71)-ROW(Calc!$B$7))),"")</f>
        <v/>
      </c>
      <c r="L71" s="129" t="str">
        <f>IFERROR(IF(LEN(INDEX(Database!K$9:K$501,ROW(Calc!K71)-ROW(Calc!$B$7)))=0,$AD$3,INDEX(Database!K$9:K$501,ROW(Calc!K71)-ROW(Calc!$B$7))),"")</f>
        <v>Not Set</v>
      </c>
      <c r="M71" s="130" t="str">
        <f>IFERROR(IF(LEN(INDEX(Database!L$9:L$501,ROW(Calc!L71)-ROW(Calc!$B$7)))=0,$AD$3,INDEX(Database!L$9:L$501,ROW(Calc!L71)-ROW(Calc!$B$7))),"")</f>
        <v>Not Set</v>
      </c>
      <c r="N71" s="131" t="str">
        <f>IFERROR(IF(LEN(INDEX(Database!M$9:M$501,ROW(Calc!M71)-ROW(Calc!$B$7)))=0,"",INDEX(Database!M$9:M$501,ROW(Calc!M71)-ROW(Calc!$B$7))),"")</f>
        <v/>
      </c>
      <c r="O71" s="132" t="str">
        <f t="shared" si="9"/>
        <v/>
      </c>
      <c r="P71" s="125" t="str">
        <f t="shared" si="2"/>
        <v>Not Set</v>
      </c>
      <c r="Q71" s="125" t="str">
        <f t="shared" si="3"/>
        <v>Not Set</v>
      </c>
      <c r="R71" s="125" t="str">
        <f>IFERROR(IF(G71=$AD$3,$AD$3,INDEX(Kanban_Helper!$C$317:$C$328,MATCH(MONTH(G71),Kanban_Helper!$B$317:$B$328,0))&amp;" - "&amp;YEAR(G71)),"$AD$3")</f>
        <v>Not Set</v>
      </c>
      <c r="S71" s="125" t="str">
        <f>IFERROR(IF(I71=$AD$3,$AD$3,INDEX(Kanban_Helper!$C$317:$C$328,MATCH(MONTH(I71),Kanban_Helper!$B$317:$B$328,0))&amp;" - "&amp;YEAR(I71)),$AD$3)</f>
        <v>Not Set</v>
      </c>
      <c r="T71" s="125" t="str">
        <f t="shared" ca="1" si="10"/>
        <v/>
      </c>
      <c r="U71" s="125" t="str">
        <f t="shared" ca="1" si="11"/>
        <v/>
      </c>
      <c r="V71" s="125" t="str">
        <f t="shared" si="6"/>
        <v>Not Set</v>
      </c>
      <c r="W71" s="126" t="str">
        <f t="shared" si="12"/>
        <v/>
      </c>
      <c r="X71" s="126" t="str">
        <f t="shared" si="13"/>
        <v/>
      </c>
      <c r="Y71" s="125" t="str">
        <f>IFERROR(IF(LEN(D71)=0,"",IF(SUBTOTAL(3,E71:E71)=0,MIN($Y$7:Y70)-1,SUBTOTAL(3,$E$8:E71))),"")</f>
        <v/>
      </c>
      <c r="Z71" s="17"/>
      <c r="AA71" s="10"/>
      <c r="AB71" s="10"/>
      <c r="AC71" s="10"/>
      <c r="AD71" s="10"/>
      <c r="AE71" s="10"/>
      <c r="AF71" s="10"/>
      <c r="AG71" s="10"/>
      <c r="AH71" s="10"/>
      <c r="AI71" s="10"/>
      <c r="AJ71" s="10"/>
      <c r="AK71" s="10"/>
      <c r="AL71" s="10"/>
      <c r="AM71" s="10"/>
      <c r="AN71" s="10"/>
    </row>
    <row r="72" spans="2:40" hidden="1" x14ac:dyDescent="0.35">
      <c r="B72" s="15"/>
      <c r="C72" s="127" t="str">
        <f>IFERROR(IF(LEN(INDEX(Database!C$9:C$501,ROW(Calc!A72)-ROW(Calc!$B$7)))=0,"",INDEX(Database!C$9:C$501,ROW(Calc!A72)-ROW(Calc!$B$7))),"")</f>
        <v/>
      </c>
      <c r="D72" s="70" t="str">
        <f>IFERROR(IF(LEN(INDEX(Database!D$9:D$501,ROW(Calc!B72)-ROW(Calc!$B$7)))=0,"",INDEX(Database!D$9:D$501,ROW(Calc!B72)-ROW(Calc!$B$7))),"")</f>
        <v/>
      </c>
      <c r="E72" s="124" t="str">
        <f>IFERROR(IF(LEN(INDEX(Database!G$9:G$501,ROW(Calc!D72)-ROW(Calc!$B$7)))=0,$AD$3,INDEX(Database!G$9:G$501,ROW(Calc!D72)-ROW(Calc!$B$7))),"")</f>
        <v>Not Set</v>
      </c>
      <c r="F72" s="124" t="str">
        <f>IFERROR(IF(LEN(INDEX(Database!F$9:F$501,ROW(Calc!E72)-ROW(Calc!$B$7)))=0,$AD$3,INDEX(Database!F$9:F$501,ROW(Calc!E72)-ROW(Calc!$B$7))),"")</f>
        <v>Not Set</v>
      </c>
      <c r="G72" s="128" t="str">
        <f>IFERROR(IF(LEN(INDEX(Database!H$9:H$501,ROW(Calc!F72)-ROW(Calc!$B$7)))=0,$AD$3,INDEX(Database!H$9:H$501,ROW(Calc!F72)-ROW(Calc!$B$7))),"")</f>
        <v>Not Set</v>
      </c>
      <c r="H72" s="128" t="str">
        <f>IFERROR(IF(LEN(INDEX(Database!I$9:I$501,ROW(Calc!G72)-ROW(Calc!$B$7)))=0,$AD$3,INDEX(Database!I$9:I$501,ROW(Calc!G72)-ROW(Calc!$B$7))),"")</f>
        <v>Not Set</v>
      </c>
      <c r="I72" s="128" t="str">
        <f>IFERROR(IF(LEN(INDEX(Database!J$9:J$501,ROW(Calc!H72)-ROW(Calc!$B$7)))=0,$AD$3,INDEX(Database!J$9:J$501,ROW(Calc!H72)-ROW(Calc!$B$7))),"")</f>
        <v>Not Set</v>
      </c>
      <c r="J72" s="128" t="str">
        <f t="shared" ref="J72:J135" si="14">IFERROR(IF(I72=$AD$3,$AD$3,CONCATENATE(DAY(I72),".",MONTH(I72),".",YEAR(I72))),"")</f>
        <v>Not Set</v>
      </c>
      <c r="K72" s="124" t="str">
        <f>IFERROR(IF(LEN(INDEX(Database!E$9:E$501,ROW(Calc!I72)-ROW(Calc!$B$7)))=0,"",INDEX(Database!E$9:E$501,ROW(Calc!I72)-ROW(Calc!$B$7))),"")</f>
        <v/>
      </c>
      <c r="L72" s="129" t="str">
        <f>IFERROR(IF(LEN(INDEX(Database!K$9:K$501,ROW(Calc!K72)-ROW(Calc!$B$7)))=0,$AD$3,INDEX(Database!K$9:K$501,ROW(Calc!K72)-ROW(Calc!$B$7))),"")</f>
        <v>Not Set</v>
      </c>
      <c r="M72" s="130" t="str">
        <f>IFERROR(IF(LEN(INDEX(Database!L$9:L$501,ROW(Calc!L72)-ROW(Calc!$B$7)))=0,$AD$3,INDEX(Database!L$9:L$501,ROW(Calc!L72)-ROW(Calc!$B$7))),"")</f>
        <v>Not Set</v>
      </c>
      <c r="N72" s="131" t="str">
        <f>IFERROR(IF(LEN(INDEX(Database!M$9:M$501,ROW(Calc!M72)-ROW(Calc!$B$7)))=0,"",INDEX(Database!M$9:M$501,ROW(Calc!M72)-ROW(Calc!$B$7))),"")</f>
        <v/>
      </c>
      <c r="O72" s="132" t="str">
        <f t="shared" si="9"/>
        <v/>
      </c>
      <c r="P72" s="125" t="str">
        <f t="shared" ref="P72:P135" si="15">IFERROR(IF(G72=$AD$3,$AD$3,MONTH(G72)),"")</f>
        <v>Not Set</v>
      </c>
      <c r="Q72" s="125" t="str">
        <f t="shared" ref="Q72:Q135" si="16">IFERROR(IF(I72=$AD$3,$AD$3,MONTH(I72)),"")</f>
        <v>Not Set</v>
      </c>
      <c r="R72" s="125" t="str">
        <f>IFERROR(IF(G72=$AD$3,$AD$3,INDEX(Kanban_Helper!$C$317:$C$328,MATCH(MONTH(G72),Kanban_Helper!$B$317:$B$328,0))&amp;" - "&amp;YEAR(G72)),"$AD$3")</f>
        <v>Not Set</v>
      </c>
      <c r="S72" s="125" t="str">
        <f>IFERROR(IF(I72=$AD$3,$AD$3,INDEX(Kanban_Helper!$C$317:$C$328,MATCH(MONTH(I72),Kanban_Helper!$B$317:$B$328,0))&amp;" - "&amp;YEAR(I72)),$AD$3)</f>
        <v>Not Set</v>
      </c>
      <c r="T72" s="125" t="str">
        <f t="shared" ca="1" si="10"/>
        <v/>
      </c>
      <c r="U72" s="125" t="str">
        <f t="shared" ca="1" si="11"/>
        <v/>
      </c>
      <c r="V72" s="125" t="str">
        <f t="shared" ref="V72:V135" si="17">IFERROR(IF(OR(G72=$AD$3,H72=$AD$3),$AD$3,IF(H72&lt;=I72,"No","Yes")),$AD$3)</f>
        <v>Not Set</v>
      </c>
      <c r="W72" s="126" t="str">
        <f t="shared" si="12"/>
        <v/>
      </c>
      <c r="X72" s="126" t="str">
        <f t="shared" si="13"/>
        <v/>
      </c>
      <c r="Y72" s="125" t="str">
        <f>IFERROR(IF(LEN(D72)=0,"",IF(SUBTOTAL(3,E72:E72)=0,MIN($Y$7:Y71)-1,SUBTOTAL(3,$E$8:E72))),"")</f>
        <v/>
      </c>
      <c r="Z72" s="17"/>
      <c r="AA72" s="10"/>
      <c r="AB72" s="10"/>
      <c r="AC72" s="10"/>
      <c r="AD72" s="10"/>
      <c r="AE72" s="10"/>
      <c r="AF72" s="10"/>
      <c r="AG72" s="10"/>
      <c r="AH72" s="10"/>
      <c r="AI72" s="10"/>
      <c r="AJ72" s="10"/>
      <c r="AK72" s="10"/>
      <c r="AL72" s="10"/>
      <c r="AM72" s="10"/>
      <c r="AN72" s="10"/>
    </row>
    <row r="73" spans="2:40" hidden="1" x14ac:dyDescent="0.35">
      <c r="B73" s="15"/>
      <c r="C73" s="127" t="str">
        <f>IFERROR(IF(LEN(INDEX(Database!C$9:C$501,ROW(Calc!A73)-ROW(Calc!$B$7)))=0,"",INDEX(Database!C$9:C$501,ROW(Calc!A73)-ROW(Calc!$B$7))),"")</f>
        <v/>
      </c>
      <c r="D73" s="70" t="str">
        <f>IFERROR(IF(LEN(INDEX(Database!D$9:D$501,ROW(Calc!B73)-ROW(Calc!$B$7)))=0,"",INDEX(Database!D$9:D$501,ROW(Calc!B73)-ROW(Calc!$B$7))),"")</f>
        <v/>
      </c>
      <c r="E73" s="124" t="str">
        <f>IFERROR(IF(LEN(INDEX(Database!G$9:G$501,ROW(Calc!D73)-ROW(Calc!$B$7)))=0,$AD$3,INDEX(Database!G$9:G$501,ROW(Calc!D73)-ROW(Calc!$B$7))),"")</f>
        <v>Not Set</v>
      </c>
      <c r="F73" s="124" t="str">
        <f>IFERROR(IF(LEN(INDEX(Database!F$9:F$501,ROW(Calc!E73)-ROW(Calc!$B$7)))=0,$AD$3,INDEX(Database!F$9:F$501,ROW(Calc!E73)-ROW(Calc!$B$7))),"")</f>
        <v>Not Set</v>
      </c>
      <c r="G73" s="128" t="str">
        <f>IFERROR(IF(LEN(INDEX(Database!H$9:H$501,ROW(Calc!F73)-ROW(Calc!$B$7)))=0,$AD$3,INDEX(Database!H$9:H$501,ROW(Calc!F73)-ROW(Calc!$B$7))),"")</f>
        <v>Not Set</v>
      </c>
      <c r="H73" s="128" t="str">
        <f>IFERROR(IF(LEN(INDEX(Database!I$9:I$501,ROW(Calc!G73)-ROW(Calc!$B$7)))=0,$AD$3,INDEX(Database!I$9:I$501,ROW(Calc!G73)-ROW(Calc!$B$7))),"")</f>
        <v>Not Set</v>
      </c>
      <c r="I73" s="128" t="str">
        <f>IFERROR(IF(LEN(INDEX(Database!J$9:J$501,ROW(Calc!H73)-ROW(Calc!$B$7)))=0,$AD$3,INDEX(Database!J$9:J$501,ROW(Calc!H73)-ROW(Calc!$B$7))),"")</f>
        <v>Not Set</v>
      </c>
      <c r="J73" s="128" t="str">
        <f t="shared" si="14"/>
        <v>Not Set</v>
      </c>
      <c r="K73" s="124" t="str">
        <f>IFERROR(IF(LEN(INDEX(Database!E$9:E$501,ROW(Calc!I73)-ROW(Calc!$B$7)))=0,"",INDEX(Database!E$9:E$501,ROW(Calc!I73)-ROW(Calc!$B$7))),"")</f>
        <v/>
      </c>
      <c r="L73" s="129" t="str">
        <f>IFERROR(IF(LEN(INDEX(Database!K$9:K$501,ROW(Calc!K73)-ROW(Calc!$B$7)))=0,$AD$3,INDEX(Database!K$9:K$501,ROW(Calc!K73)-ROW(Calc!$B$7))),"")</f>
        <v>Not Set</v>
      </c>
      <c r="M73" s="130" t="str">
        <f>IFERROR(IF(LEN(INDEX(Database!L$9:L$501,ROW(Calc!L73)-ROW(Calc!$B$7)))=0,$AD$3,INDEX(Database!L$9:L$501,ROW(Calc!L73)-ROW(Calc!$B$7))),"")</f>
        <v>Not Set</v>
      </c>
      <c r="N73" s="131" t="str">
        <f>IFERROR(IF(LEN(INDEX(Database!M$9:M$501,ROW(Calc!M73)-ROW(Calc!$B$7)))=0,"",INDEX(Database!M$9:M$501,ROW(Calc!M73)-ROW(Calc!$B$7))),"")</f>
        <v/>
      </c>
      <c r="O73" s="132" t="str">
        <f t="shared" ref="O73:O136" si="18">IFERROR(IF(LEN(D73)=0,"",ROW(D73)-ROW($D$7)),"")</f>
        <v/>
      </c>
      <c r="P73" s="125" t="str">
        <f t="shared" si="15"/>
        <v>Not Set</v>
      </c>
      <c r="Q73" s="125" t="str">
        <f t="shared" si="16"/>
        <v>Not Set</v>
      </c>
      <c r="R73" s="125" t="str">
        <f>IFERROR(IF(G73=$AD$3,$AD$3,INDEX(Kanban_Helper!$C$317:$C$328,MATCH(MONTH(G73),Kanban_Helper!$B$317:$B$328,0))&amp;" - "&amp;YEAR(G73)),"$AD$3")</f>
        <v>Not Set</v>
      </c>
      <c r="S73" s="125" t="str">
        <f>IFERROR(IF(I73=$AD$3,$AD$3,INDEX(Kanban_Helper!$C$317:$C$328,MATCH(MONTH(I73),Kanban_Helper!$B$317:$B$328,0))&amp;" - "&amp;YEAR(I73)),$AD$3)</f>
        <v>Not Set</v>
      </c>
      <c r="T73" s="125" t="str">
        <f t="shared" ref="T73:T136" ca="1" si="19">IFERROR(IF(LEN(G73)=0,"",IF(LEN(H73)=0,TODAY()-G73,H73-G73)),"")</f>
        <v/>
      </c>
      <c r="U73" s="125" t="str">
        <f t="shared" ref="U73:U136" ca="1" si="20">IFERROR(IF(LEN(I73)=0,"",IF(LEN(H73)=0,IF(TODAY()&gt;=I73,TODAY()-I73,""),IF(H73&gt;I73,H73-I73,""))),"")</f>
        <v/>
      </c>
      <c r="V73" s="125" t="str">
        <f t="shared" si="17"/>
        <v>Not Set</v>
      </c>
      <c r="W73" s="126" t="str">
        <f t="shared" ref="W73:W136" si="21">IFERROR(IF(OR(LEN(L73)=0,LEN(M73)=0),"",L73*M73),"")</f>
        <v/>
      </c>
      <c r="X73" s="126" t="str">
        <f t="shared" ref="X73:X136" si="22">IFERROR(IF(OR(LEN(W73)=0,LEN(M73)=0),"",M73-W73),"")</f>
        <v/>
      </c>
      <c r="Y73" s="125" t="str">
        <f>IFERROR(IF(LEN(D73)=0,"",IF(SUBTOTAL(3,E73:E73)=0,MIN($Y$7:Y72)-1,SUBTOTAL(3,$E$8:E73))),"")</f>
        <v/>
      </c>
      <c r="Z73" s="17"/>
      <c r="AA73" s="10"/>
      <c r="AB73" s="10"/>
      <c r="AC73" s="10"/>
      <c r="AD73" s="10"/>
      <c r="AE73" s="10"/>
      <c r="AF73" s="10"/>
      <c r="AG73" s="10"/>
      <c r="AH73" s="10"/>
      <c r="AI73" s="10"/>
      <c r="AJ73" s="10"/>
      <c r="AK73" s="10"/>
      <c r="AL73" s="10"/>
      <c r="AM73" s="10"/>
      <c r="AN73" s="10"/>
    </row>
    <row r="74" spans="2:40" hidden="1" x14ac:dyDescent="0.35">
      <c r="B74" s="15"/>
      <c r="C74" s="127" t="str">
        <f>IFERROR(IF(LEN(INDEX(Database!C$9:C$501,ROW(Calc!A74)-ROW(Calc!$B$7)))=0,"",INDEX(Database!C$9:C$501,ROW(Calc!A74)-ROW(Calc!$B$7))),"")</f>
        <v/>
      </c>
      <c r="D74" s="70" t="str">
        <f>IFERROR(IF(LEN(INDEX(Database!D$9:D$501,ROW(Calc!B74)-ROW(Calc!$B$7)))=0,"",INDEX(Database!D$9:D$501,ROW(Calc!B74)-ROW(Calc!$B$7))),"")</f>
        <v/>
      </c>
      <c r="E74" s="124" t="str">
        <f>IFERROR(IF(LEN(INDEX(Database!G$9:G$501,ROW(Calc!D74)-ROW(Calc!$B$7)))=0,$AD$3,INDEX(Database!G$9:G$501,ROW(Calc!D74)-ROW(Calc!$B$7))),"")</f>
        <v>Not Set</v>
      </c>
      <c r="F74" s="124" t="str">
        <f>IFERROR(IF(LEN(INDEX(Database!F$9:F$501,ROW(Calc!E74)-ROW(Calc!$B$7)))=0,$AD$3,INDEX(Database!F$9:F$501,ROW(Calc!E74)-ROW(Calc!$B$7))),"")</f>
        <v>Not Set</v>
      </c>
      <c r="G74" s="128" t="str">
        <f>IFERROR(IF(LEN(INDEX(Database!H$9:H$501,ROW(Calc!F74)-ROW(Calc!$B$7)))=0,$AD$3,INDEX(Database!H$9:H$501,ROW(Calc!F74)-ROW(Calc!$B$7))),"")</f>
        <v>Not Set</v>
      </c>
      <c r="H74" s="128" t="str">
        <f>IFERROR(IF(LEN(INDEX(Database!I$9:I$501,ROW(Calc!G74)-ROW(Calc!$B$7)))=0,$AD$3,INDEX(Database!I$9:I$501,ROW(Calc!G74)-ROW(Calc!$B$7))),"")</f>
        <v>Not Set</v>
      </c>
      <c r="I74" s="128" t="str">
        <f>IFERROR(IF(LEN(INDEX(Database!J$9:J$501,ROW(Calc!H74)-ROW(Calc!$B$7)))=0,$AD$3,INDEX(Database!J$9:J$501,ROW(Calc!H74)-ROW(Calc!$B$7))),"")</f>
        <v>Not Set</v>
      </c>
      <c r="J74" s="128" t="str">
        <f t="shared" si="14"/>
        <v>Not Set</v>
      </c>
      <c r="K74" s="124" t="str">
        <f>IFERROR(IF(LEN(INDEX(Database!E$9:E$501,ROW(Calc!I74)-ROW(Calc!$B$7)))=0,"",INDEX(Database!E$9:E$501,ROW(Calc!I74)-ROW(Calc!$B$7))),"")</f>
        <v/>
      </c>
      <c r="L74" s="129" t="str">
        <f>IFERROR(IF(LEN(INDEX(Database!K$9:K$501,ROW(Calc!K74)-ROW(Calc!$B$7)))=0,$AD$3,INDEX(Database!K$9:K$501,ROW(Calc!K74)-ROW(Calc!$B$7))),"")</f>
        <v>Not Set</v>
      </c>
      <c r="M74" s="130" t="str">
        <f>IFERROR(IF(LEN(INDEX(Database!L$9:L$501,ROW(Calc!L74)-ROW(Calc!$B$7)))=0,$AD$3,INDEX(Database!L$9:L$501,ROW(Calc!L74)-ROW(Calc!$B$7))),"")</f>
        <v>Not Set</v>
      </c>
      <c r="N74" s="131" t="str">
        <f>IFERROR(IF(LEN(INDEX(Database!M$9:M$501,ROW(Calc!M74)-ROW(Calc!$B$7)))=0,"",INDEX(Database!M$9:M$501,ROW(Calc!M74)-ROW(Calc!$B$7))),"")</f>
        <v/>
      </c>
      <c r="O74" s="132" t="str">
        <f t="shared" si="18"/>
        <v/>
      </c>
      <c r="P74" s="125" t="str">
        <f t="shared" si="15"/>
        <v>Not Set</v>
      </c>
      <c r="Q74" s="125" t="str">
        <f t="shared" si="16"/>
        <v>Not Set</v>
      </c>
      <c r="R74" s="125" t="str">
        <f>IFERROR(IF(G74=$AD$3,$AD$3,INDEX(Kanban_Helper!$C$317:$C$328,MATCH(MONTH(G74),Kanban_Helper!$B$317:$B$328,0))&amp;" - "&amp;YEAR(G74)),"$AD$3")</f>
        <v>Not Set</v>
      </c>
      <c r="S74" s="125" t="str">
        <f>IFERROR(IF(I74=$AD$3,$AD$3,INDEX(Kanban_Helper!$C$317:$C$328,MATCH(MONTH(I74),Kanban_Helper!$B$317:$B$328,0))&amp;" - "&amp;YEAR(I74)),$AD$3)</f>
        <v>Not Set</v>
      </c>
      <c r="T74" s="125" t="str">
        <f t="shared" ca="1" si="19"/>
        <v/>
      </c>
      <c r="U74" s="125" t="str">
        <f t="shared" ca="1" si="20"/>
        <v/>
      </c>
      <c r="V74" s="125" t="str">
        <f t="shared" si="17"/>
        <v>Not Set</v>
      </c>
      <c r="W74" s="126" t="str">
        <f t="shared" si="21"/>
        <v/>
      </c>
      <c r="X74" s="126" t="str">
        <f t="shared" si="22"/>
        <v/>
      </c>
      <c r="Y74" s="125" t="str">
        <f>IFERROR(IF(LEN(D74)=0,"",IF(SUBTOTAL(3,E74:E74)=0,MIN($Y$7:Y73)-1,SUBTOTAL(3,$E$8:E74))),"")</f>
        <v/>
      </c>
      <c r="Z74" s="17"/>
      <c r="AA74" s="10"/>
      <c r="AB74" s="10"/>
      <c r="AC74" s="10"/>
      <c r="AD74" s="10"/>
      <c r="AE74" s="10"/>
      <c r="AF74" s="10"/>
      <c r="AG74" s="10"/>
      <c r="AH74" s="10"/>
      <c r="AI74" s="10"/>
      <c r="AJ74" s="10"/>
      <c r="AK74" s="10"/>
      <c r="AL74" s="10"/>
      <c r="AM74" s="10"/>
      <c r="AN74" s="10"/>
    </row>
    <row r="75" spans="2:40" hidden="1" x14ac:dyDescent="0.35">
      <c r="B75" s="15"/>
      <c r="C75" s="127" t="str">
        <f>IFERROR(IF(LEN(INDEX(Database!C$9:C$501,ROW(Calc!A75)-ROW(Calc!$B$7)))=0,"",INDEX(Database!C$9:C$501,ROW(Calc!A75)-ROW(Calc!$B$7))),"")</f>
        <v/>
      </c>
      <c r="D75" s="70" t="str">
        <f>IFERROR(IF(LEN(INDEX(Database!D$9:D$501,ROW(Calc!B75)-ROW(Calc!$B$7)))=0,"",INDEX(Database!D$9:D$501,ROW(Calc!B75)-ROW(Calc!$B$7))),"")</f>
        <v/>
      </c>
      <c r="E75" s="124" t="str">
        <f>IFERROR(IF(LEN(INDEX(Database!G$9:G$501,ROW(Calc!D75)-ROW(Calc!$B$7)))=0,$AD$3,INDEX(Database!G$9:G$501,ROW(Calc!D75)-ROW(Calc!$B$7))),"")</f>
        <v>Not Set</v>
      </c>
      <c r="F75" s="124" t="str">
        <f>IFERROR(IF(LEN(INDEX(Database!F$9:F$501,ROW(Calc!E75)-ROW(Calc!$B$7)))=0,$AD$3,INDEX(Database!F$9:F$501,ROW(Calc!E75)-ROW(Calc!$B$7))),"")</f>
        <v>Not Set</v>
      </c>
      <c r="G75" s="128" t="str">
        <f>IFERROR(IF(LEN(INDEX(Database!H$9:H$501,ROW(Calc!F75)-ROW(Calc!$B$7)))=0,$AD$3,INDEX(Database!H$9:H$501,ROW(Calc!F75)-ROW(Calc!$B$7))),"")</f>
        <v>Not Set</v>
      </c>
      <c r="H75" s="128" t="str">
        <f>IFERROR(IF(LEN(INDEX(Database!I$9:I$501,ROW(Calc!G75)-ROW(Calc!$B$7)))=0,$AD$3,INDEX(Database!I$9:I$501,ROW(Calc!G75)-ROW(Calc!$B$7))),"")</f>
        <v>Not Set</v>
      </c>
      <c r="I75" s="128" t="str">
        <f>IFERROR(IF(LEN(INDEX(Database!J$9:J$501,ROW(Calc!H75)-ROW(Calc!$B$7)))=0,$AD$3,INDEX(Database!J$9:J$501,ROW(Calc!H75)-ROW(Calc!$B$7))),"")</f>
        <v>Not Set</v>
      </c>
      <c r="J75" s="128" t="str">
        <f t="shared" si="14"/>
        <v>Not Set</v>
      </c>
      <c r="K75" s="124" t="str">
        <f>IFERROR(IF(LEN(INDEX(Database!E$9:E$501,ROW(Calc!I75)-ROW(Calc!$B$7)))=0,"",INDEX(Database!E$9:E$501,ROW(Calc!I75)-ROW(Calc!$B$7))),"")</f>
        <v/>
      </c>
      <c r="L75" s="129" t="str">
        <f>IFERROR(IF(LEN(INDEX(Database!K$9:K$501,ROW(Calc!K75)-ROW(Calc!$B$7)))=0,$AD$3,INDEX(Database!K$9:K$501,ROW(Calc!K75)-ROW(Calc!$B$7))),"")</f>
        <v>Not Set</v>
      </c>
      <c r="M75" s="130" t="str">
        <f>IFERROR(IF(LEN(INDEX(Database!L$9:L$501,ROW(Calc!L75)-ROW(Calc!$B$7)))=0,$AD$3,INDEX(Database!L$9:L$501,ROW(Calc!L75)-ROW(Calc!$B$7))),"")</f>
        <v>Not Set</v>
      </c>
      <c r="N75" s="131" t="str">
        <f>IFERROR(IF(LEN(INDEX(Database!M$9:M$501,ROW(Calc!M75)-ROW(Calc!$B$7)))=0,"",INDEX(Database!M$9:M$501,ROW(Calc!M75)-ROW(Calc!$B$7))),"")</f>
        <v/>
      </c>
      <c r="O75" s="132" t="str">
        <f t="shared" si="18"/>
        <v/>
      </c>
      <c r="P75" s="125" t="str">
        <f t="shared" si="15"/>
        <v>Not Set</v>
      </c>
      <c r="Q75" s="125" t="str">
        <f t="shared" si="16"/>
        <v>Not Set</v>
      </c>
      <c r="R75" s="125" t="str">
        <f>IFERROR(IF(G75=$AD$3,$AD$3,INDEX(Kanban_Helper!$C$317:$C$328,MATCH(MONTH(G75),Kanban_Helper!$B$317:$B$328,0))&amp;" - "&amp;YEAR(G75)),"$AD$3")</f>
        <v>Not Set</v>
      </c>
      <c r="S75" s="125" t="str">
        <f>IFERROR(IF(I75=$AD$3,$AD$3,INDEX(Kanban_Helper!$C$317:$C$328,MATCH(MONTH(I75),Kanban_Helper!$B$317:$B$328,0))&amp;" - "&amp;YEAR(I75)),$AD$3)</f>
        <v>Not Set</v>
      </c>
      <c r="T75" s="125" t="str">
        <f t="shared" ca="1" si="19"/>
        <v/>
      </c>
      <c r="U75" s="125" t="str">
        <f t="shared" ca="1" si="20"/>
        <v/>
      </c>
      <c r="V75" s="125" t="str">
        <f t="shared" si="17"/>
        <v>Not Set</v>
      </c>
      <c r="W75" s="126" t="str">
        <f t="shared" si="21"/>
        <v/>
      </c>
      <c r="X75" s="126" t="str">
        <f t="shared" si="22"/>
        <v/>
      </c>
      <c r="Y75" s="125" t="str">
        <f>IFERROR(IF(LEN(D75)=0,"",IF(SUBTOTAL(3,E75:E75)=0,MIN($Y$7:Y74)-1,SUBTOTAL(3,$E$8:E75))),"")</f>
        <v/>
      </c>
      <c r="Z75" s="17"/>
      <c r="AA75" s="10"/>
      <c r="AB75" s="10"/>
      <c r="AC75" s="10"/>
      <c r="AD75" s="10"/>
      <c r="AE75" s="10"/>
      <c r="AF75" s="10"/>
      <c r="AG75" s="10"/>
      <c r="AH75" s="10"/>
      <c r="AI75" s="10"/>
      <c r="AJ75" s="10"/>
      <c r="AK75" s="10"/>
      <c r="AL75" s="10"/>
      <c r="AM75" s="10"/>
      <c r="AN75" s="10"/>
    </row>
    <row r="76" spans="2:40" hidden="1" x14ac:dyDescent="0.35">
      <c r="B76" s="15"/>
      <c r="C76" s="127" t="str">
        <f>IFERROR(IF(LEN(INDEX(Database!C$9:C$501,ROW(Calc!A76)-ROW(Calc!$B$7)))=0,"",INDEX(Database!C$9:C$501,ROW(Calc!A76)-ROW(Calc!$B$7))),"")</f>
        <v/>
      </c>
      <c r="D76" s="70" t="str">
        <f>IFERROR(IF(LEN(INDEX(Database!D$9:D$501,ROW(Calc!B76)-ROW(Calc!$B$7)))=0,"",INDEX(Database!D$9:D$501,ROW(Calc!B76)-ROW(Calc!$B$7))),"")</f>
        <v/>
      </c>
      <c r="E76" s="124" t="str">
        <f>IFERROR(IF(LEN(INDEX(Database!G$9:G$501,ROW(Calc!D76)-ROW(Calc!$B$7)))=0,$AD$3,INDEX(Database!G$9:G$501,ROW(Calc!D76)-ROW(Calc!$B$7))),"")</f>
        <v>Not Set</v>
      </c>
      <c r="F76" s="124" t="str">
        <f>IFERROR(IF(LEN(INDEX(Database!F$9:F$501,ROW(Calc!E76)-ROW(Calc!$B$7)))=0,$AD$3,INDEX(Database!F$9:F$501,ROW(Calc!E76)-ROW(Calc!$B$7))),"")</f>
        <v>Not Set</v>
      </c>
      <c r="G76" s="128" t="str">
        <f>IFERROR(IF(LEN(INDEX(Database!H$9:H$501,ROW(Calc!F76)-ROW(Calc!$B$7)))=0,$AD$3,INDEX(Database!H$9:H$501,ROW(Calc!F76)-ROW(Calc!$B$7))),"")</f>
        <v>Not Set</v>
      </c>
      <c r="H76" s="128" t="str">
        <f>IFERROR(IF(LEN(INDEX(Database!I$9:I$501,ROW(Calc!G76)-ROW(Calc!$B$7)))=0,$AD$3,INDEX(Database!I$9:I$501,ROW(Calc!G76)-ROW(Calc!$B$7))),"")</f>
        <v>Not Set</v>
      </c>
      <c r="I76" s="128" t="str">
        <f>IFERROR(IF(LEN(INDEX(Database!J$9:J$501,ROW(Calc!H76)-ROW(Calc!$B$7)))=0,$AD$3,INDEX(Database!J$9:J$501,ROW(Calc!H76)-ROW(Calc!$B$7))),"")</f>
        <v>Not Set</v>
      </c>
      <c r="J76" s="128" t="str">
        <f t="shared" si="14"/>
        <v>Not Set</v>
      </c>
      <c r="K76" s="124" t="str">
        <f>IFERROR(IF(LEN(INDEX(Database!E$9:E$501,ROW(Calc!I76)-ROW(Calc!$B$7)))=0,"",INDEX(Database!E$9:E$501,ROW(Calc!I76)-ROW(Calc!$B$7))),"")</f>
        <v/>
      </c>
      <c r="L76" s="129" t="str">
        <f>IFERROR(IF(LEN(INDEX(Database!K$9:K$501,ROW(Calc!K76)-ROW(Calc!$B$7)))=0,$AD$3,INDEX(Database!K$9:K$501,ROW(Calc!K76)-ROW(Calc!$B$7))),"")</f>
        <v>Not Set</v>
      </c>
      <c r="M76" s="130" t="str">
        <f>IFERROR(IF(LEN(INDEX(Database!L$9:L$501,ROW(Calc!L76)-ROW(Calc!$B$7)))=0,$AD$3,INDEX(Database!L$9:L$501,ROW(Calc!L76)-ROW(Calc!$B$7))),"")</f>
        <v>Not Set</v>
      </c>
      <c r="N76" s="131" t="str">
        <f>IFERROR(IF(LEN(INDEX(Database!M$9:M$501,ROW(Calc!M76)-ROW(Calc!$B$7)))=0,"",INDEX(Database!M$9:M$501,ROW(Calc!M76)-ROW(Calc!$B$7))),"")</f>
        <v/>
      </c>
      <c r="O76" s="132" t="str">
        <f t="shared" si="18"/>
        <v/>
      </c>
      <c r="P76" s="125" t="str">
        <f t="shared" si="15"/>
        <v>Not Set</v>
      </c>
      <c r="Q76" s="125" t="str">
        <f t="shared" si="16"/>
        <v>Not Set</v>
      </c>
      <c r="R76" s="125" t="str">
        <f>IFERROR(IF(G76=$AD$3,$AD$3,INDEX(Kanban_Helper!$C$317:$C$328,MATCH(MONTH(G76),Kanban_Helper!$B$317:$B$328,0))&amp;" - "&amp;YEAR(G76)),"$AD$3")</f>
        <v>Not Set</v>
      </c>
      <c r="S76" s="125" t="str">
        <f>IFERROR(IF(I76=$AD$3,$AD$3,INDEX(Kanban_Helper!$C$317:$C$328,MATCH(MONTH(I76),Kanban_Helper!$B$317:$B$328,0))&amp;" - "&amp;YEAR(I76)),$AD$3)</f>
        <v>Not Set</v>
      </c>
      <c r="T76" s="125" t="str">
        <f t="shared" ca="1" si="19"/>
        <v/>
      </c>
      <c r="U76" s="125" t="str">
        <f t="shared" ca="1" si="20"/>
        <v/>
      </c>
      <c r="V76" s="125" t="str">
        <f t="shared" si="17"/>
        <v>Not Set</v>
      </c>
      <c r="W76" s="126" t="str">
        <f t="shared" si="21"/>
        <v/>
      </c>
      <c r="X76" s="126" t="str">
        <f t="shared" si="22"/>
        <v/>
      </c>
      <c r="Y76" s="125" t="str">
        <f>IFERROR(IF(LEN(D76)=0,"",IF(SUBTOTAL(3,E76:E76)=0,MIN($Y$7:Y75)-1,SUBTOTAL(3,$E$8:E76))),"")</f>
        <v/>
      </c>
      <c r="Z76" s="17"/>
      <c r="AA76" s="10"/>
      <c r="AB76" s="10"/>
      <c r="AC76" s="10"/>
      <c r="AD76" s="10"/>
      <c r="AE76" s="10"/>
      <c r="AF76" s="10"/>
      <c r="AG76" s="10"/>
      <c r="AH76" s="10"/>
      <c r="AI76" s="10"/>
      <c r="AJ76" s="10"/>
      <c r="AK76" s="10"/>
      <c r="AL76" s="10"/>
      <c r="AM76" s="10"/>
      <c r="AN76" s="10"/>
    </row>
    <row r="77" spans="2:40" hidden="1" x14ac:dyDescent="0.35">
      <c r="B77" s="15"/>
      <c r="C77" s="127" t="str">
        <f>IFERROR(IF(LEN(INDEX(Database!C$9:C$501,ROW(Calc!A77)-ROW(Calc!$B$7)))=0,"",INDEX(Database!C$9:C$501,ROW(Calc!A77)-ROW(Calc!$B$7))),"")</f>
        <v/>
      </c>
      <c r="D77" s="70" t="str">
        <f>IFERROR(IF(LEN(INDEX(Database!D$9:D$501,ROW(Calc!B77)-ROW(Calc!$B$7)))=0,"",INDEX(Database!D$9:D$501,ROW(Calc!B77)-ROW(Calc!$B$7))),"")</f>
        <v/>
      </c>
      <c r="E77" s="124" t="str">
        <f>IFERROR(IF(LEN(INDEX(Database!G$9:G$501,ROW(Calc!D77)-ROW(Calc!$B$7)))=0,$AD$3,INDEX(Database!G$9:G$501,ROW(Calc!D77)-ROW(Calc!$B$7))),"")</f>
        <v>Not Set</v>
      </c>
      <c r="F77" s="124" t="str">
        <f>IFERROR(IF(LEN(INDEX(Database!F$9:F$501,ROW(Calc!E77)-ROW(Calc!$B$7)))=0,$AD$3,INDEX(Database!F$9:F$501,ROW(Calc!E77)-ROW(Calc!$B$7))),"")</f>
        <v>Not Set</v>
      </c>
      <c r="G77" s="128" t="str">
        <f>IFERROR(IF(LEN(INDEX(Database!H$9:H$501,ROW(Calc!F77)-ROW(Calc!$B$7)))=0,$AD$3,INDEX(Database!H$9:H$501,ROW(Calc!F77)-ROW(Calc!$B$7))),"")</f>
        <v>Not Set</v>
      </c>
      <c r="H77" s="128" t="str">
        <f>IFERROR(IF(LEN(INDEX(Database!I$9:I$501,ROW(Calc!G77)-ROW(Calc!$B$7)))=0,$AD$3,INDEX(Database!I$9:I$501,ROW(Calc!G77)-ROW(Calc!$B$7))),"")</f>
        <v>Not Set</v>
      </c>
      <c r="I77" s="128" t="str">
        <f>IFERROR(IF(LEN(INDEX(Database!J$9:J$501,ROW(Calc!H77)-ROW(Calc!$B$7)))=0,$AD$3,INDEX(Database!J$9:J$501,ROW(Calc!H77)-ROW(Calc!$B$7))),"")</f>
        <v>Not Set</v>
      </c>
      <c r="J77" s="128" t="str">
        <f t="shared" si="14"/>
        <v>Not Set</v>
      </c>
      <c r="K77" s="124" t="str">
        <f>IFERROR(IF(LEN(INDEX(Database!E$9:E$501,ROW(Calc!I77)-ROW(Calc!$B$7)))=0,"",INDEX(Database!E$9:E$501,ROW(Calc!I77)-ROW(Calc!$B$7))),"")</f>
        <v/>
      </c>
      <c r="L77" s="129" t="str">
        <f>IFERROR(IF(LEN(INDEX(Database!K$9:K$501,ROW(Calc!K77)-ROW(Calc!$B$7)))=0,$AD$3,INDEX(Database!K$9:K$501,ROW(Calc!K77)-ROW(Calc!$B$7))),"")</f>
        <v>Not Set</v>
      </c>
      <c r="M77" s="130" t="str">
        <f>IFERROR(IF(LEN(INDEX(Database!L$9:L$501,ROW(Calc!L77)-ROW(Calc!$B$7)))=0,$AD$3,INDEX(Database!L$9:L$501,ROW(Calc!L77)-ROW(Calc!$B$7))),"")</f>
        <v>Not Set</v>
      </c>
      <c r="N77" s="131" t="str">
        <f>IFERROR(IF(LEN(INDEX(Database!M$9:M$501,ROW(Calc!M77)-ROW(Calc!$B$7)))=0,"",INDEX(Database!M$9:M$501,ROW(Calc!M77)-ROW(Calc!$B$7))),"")</f>
        <v/>
      </c>
      <c r="O77" s="132" t="str">
        <f t="shared" si="18"/>
        <v/>
      </c>
      <c r="P77" s="125" t="str">
        <f t="shared" si="15"/>
        <v>Not Set</v>
      </c>
      <c r="Q77" s="125" t="str">
        <f t="shared" si="16"/>
        <v>Not Set</v>
      </c>
      <c r="R77" s="125" t="str">
        <f>IFERROR(IF(G77=$AD$3,$AD$3,INDEX(Kanban_Helper!$C$317:$C$328,MATCH(MONTH(G77),Kanban_Helper!$B$317:$B$328,0))&amp;" - "&amp;YEAR(G77)),"$AD$3")</f>
        <v>Not Set</v>
      </c>
      <c r="S77" s="125" t="str">
        <f>IFERROR(IF(I77=$AD$3,$AD$3,INDEX(Kanban_Helper!$C$317:$C$328,MATCH(MONTH(I77),Kanban_Helper!$B$317:$B$328,0))&amp;" - "&amp;YEAR(I77)),$AD$3)</f>
        <v>Not Set</v>
      </c>
      <c r="T77" s="125" t="str">
        <f t="shared" ca="1" si="19"/>
        <v/>
      </c>
      <c r="U77" s="125" t="str">
        <f t="shared" ca="1" si="20"/>
        <v/>
      </c>
      <c r="V77" s="125" t="str">
        <f t="shared" si="17"/>
        <v>Not Set</v>
      </c>
      <c r="W77" s="126" t="str">
        <f t="shared" si="21"/>
        <v/>
      </c>
      <c r="X77" s="126" t="str">
        <f t="shared" si="22"/>
        <v/>
      </c>
      <c r="Y77" s="125" t="str">
        <f>IFERROR(IF(LEN(D77)=0,"",IF(SUBTOTAL(3,E77:E77)=0,MIN($Y$7:Y76)-1,SUBTOTAL(3,$E$8:E77))),"")</f>
        <v/>
      </c>
      <c r="Z77" s="17"/>
      <c r="AA77" s="10"/>
      <c r="AB77" s="10"/>
      <c r="AC77" s="10"/>
      <c r="AD77" s="10"/>
      <c r="AE77" s="10"/>
      <c r="AF77" s="10"/>
      <c r="AG77" s="10"/>
      <c r="AH77" s="10"/>
      <c r="AI77" s="10"/>
      <c r="AJ77" s="10"/>
      <c r="AK77" s="10"/>
      <c r="AL77" s="10"/>
      <c r="AM77" s="10"/>
      <c r="AN77" s="10"/>
    </row>
    <row r="78" spans="2:40" hidden="1" x14ac:dyDescent="0.35">
      <c r="B78" s="15"/>
      <c r="C78" s="127" t="str">
        <f>IFERROR(IF(LEN(INDEX(Database!C$9:C$501,ROW(Calc!A78)-ROW(Calc!$B$7)))=0,"",INDEX(Database!C$9:C$501,ROW(Calc!A78)-ROW(Calc!$B$7))),"")</f>
        <v/>
      </c>
      <c r="D78" s="70" t="str">
        <f>IFERROR(IF(LEN(INDEX(Database!D$9:D$501,ROW(Calc!B78)-ROW(Calc!$B$7)))=0,"",INDEX(Database!D$9:D$501,ROW(Calc!B78)-ROW(Calc!$B$7))),"")</f>
        <v/>
      </c>
      <c r="E78" s="124" t="str">
        <f>IFERROR(IF(LEN(INDEX(Database!G$9:G$501,ROW(Calc!D78)-ROW(Calc!$B$7)))=0,$AD$3,INDEX(Database!G$9:G$501,ROW(Calc!D78)-ROW(Calc!$B$7))),"")</f>
        <v>Not Set</v>
      </c>
      <c r="F78" s="124" t="str">
        <f>IFERROR(IF(LEN(INDEX(Database!F$9:F$501,ROW(Calc!E78)-ROW(Calc!$B$7)))=0,$AD$3,INDEX(Database!F$9:F$501,ROW(Calc!E78)-ROW(Calc!$B$7))),"")</f>
        <v>Not Set</v>
      </c>
      <c r="G78" s="128" t="str">
        <f>IFERROR(IF(LEN(INDEX(Database!H$9:H$501,ROW(Calc!F78)-ROW(Calc!$B$7)))=0,$AD$3,INDEX(Database!H$9:H$501,ROW(Calc!F78)-ROW(Calc!$B$7))),"")</f>
        <v>Not Set</v>
      </c>
      <c r="H78" s="128" t="str">
        <f>IFERROR(IF(LEN(INDEX(Database!I$9:I$501,ROW(Calc!G78)-ROW(Calc!$B$7)))=0,$AD$3,INDEX(Database!I$9:I$501,ROW(Calc!G78)-ROW(Calc!$B$7))),"")</f>
        <v>Not Set</v>
      </c>
      <c r="I78" s="128" t="str">
        <f>IFERROR(IF(LEN(INDEX(Database!J$9:J$501,ROW(Calc!H78)-ROW(Calc!$B$7)))=0,$AD$3,INDEX(Database!J$9:J$501,ROW(Calc!H78)-ROW(Calc!$B$7))),"")</f>
        <v>Not Set</v>
      </c>
      <c r="J78" s="128" t="str">
        <f t="shared" si="14"/>
        <v>Not Set</v>
      </c>
      <c r="K78" s="124" t="str">
        <f>IFERROR(IF(LEN(INDEX(Database!E$9:E$501,ROW(Calc!I78)-ROW(Calc!$B$7)))=0,"",INDEX(Database!E$9:E$501,ROW(Calc!I78)-ROW(Calc!$B$7))),"")</f>
        <v/>
      </c>
      <c r="L78" s="129" t="str">
        <f>IFERROR(IF(LEN(INDEX(Database!K$9:K$501,ROW(Calc!K78)-ROW(Calc!$B$7)))=0,$AD$3,INDEX(Database!K$9:K$501,ROW(Calc!K78)-ROW(Calc!$B$7))),"")</f>
        <v>Not Set</v>
      </c>
      <c r="M78" s="130" t="str">
        <f>IFERROR(IF(LEN(INDEX(Database!L$9:L$501,ROW(Calc!L78)-ROW(Calc!$B$7)))=0,$AD$3,INDEX(Database!L$9:L$501,ROW(Calc!L78)-ROW(Calc!$B$7))),"")</f>
        <v>Not Set</v>
      </c>
      <c r="N78" s="131" t="str">
        <f>IFERROR(IF(LEN(INDEX(Database!M$9:M$501,ROW(Calc!M78)-ROW(Calc!$B$7)))=0,"",INDEX(Database!M$9:M$501,ROW(Calc!M78)-ROW(Calc!$B$7))),"")</f>
        <v/>
      </c>
      <c r="O78" s="132" t="str">
        <f t="shared" si="18"/>
        <v/>
      </c>
      <c r="P78" s="125" t="str">
        <f t="shared" si="15"/>
        <v>Not Set</v>
      </c>
      <c r="Q78" s="125" t="str">
        <f t="shared" si="16"/>
        <v>Not Set</v>
      </c>
      <c r="R78" s="125" t="str">
        <f>IFERROR(IF(G78=$AD$3,$AD$3,INDEX(Kanban_Helper!$C$317:$C$328,MATCH(MONTH(G78),Kanban_Helper!$B$317:$B$328,0))&amp;" - "&amp;YEAR(G78)),"$AD$3")</f>
        <v>Not Set</v>
      </c>
      <c r="S78" s="125" t="str">
        <f>IFERROR(IF(I78=$AD$3,$AD$3,INDEX(Kanban_Helper!$C$317:$C$328,MATCH(MONTH(I78),Kanban_Helper!$B$317:$B$328,0))&amp;" - "&amp;YEAR(I78)),$AD$3)</f>
        <v>Not Set</v>
      </c>
      <c r="T78" s="125" t="str">
        <f t="shared" ca="1" si="19"/>
        <v/>
      </c>
      <c r="U78" s="125" t="str">
        <f t="shared" ca="1" si="20"/>
        <v/>
      </c>
      <c r="V78" s="125" t="str">
        <f t="shared" si="17"/>
        <v>Not Set</v>
      </c>
      <c r="W78" s="126" t="str">
        <f t="shared" si="21"/>
        <v/>
      </c>
      <c r="X78" s="126" t="str">
        <f t="shared" si="22"/>
        <v/>
      </c>
      <c r="Y78" s="125" t="str">
        <f>IFERROR(IF(LEN(D78)=0,"",IF(SUBTOTAL(3,E78:E78)=0,MIN($Y$7:Y77)-1,SUBTOTAL(3,$E$8:E78))),"")</f>
        <v/>
      </c>
      <c r="Z78" s="17"/>
      <c r="AA78" s="10"/>
      <c r="AB78" s="10"/>
      <c r="AC78" s="10"/>
      <c r="AD78" s="10"/>
      <c r="AE78" s="10"/>
      <c r="AF78" s="10"/>
      <c r="AG78" s="10"/>
      <c r="AH78" s="10"/>
      <c r="AI78" s="10"/>
      <c r="AJ78" s="10"/>
      <c r="AK78" s="10"/>
      <c r="AL78" s="10"/>
      <c r="AM78" s="10"/>
      <c r="AN78" s="10"/>
    </row>
    <row r="79" spans="2:40" hidden="1" x14ac:dyDescent="0.35">
      <c r="B79" s="15"/>
      <c r="C79" s="127" t="str">
        <f>IFERROR(IF(LEN(INDEX(Database!C$9:C$501,ROW(Calc!A79)-ROW(Calc!$B$7)))=0,"",INDEX(Database!C$9:C$501,ROW(Calc!A79)-ROW(Calc!$B$7))),"")</f>
        <v/>
      </c>
      <c r="D79" s="70" t="str">
        <f>IFERROR(IF(LEN(INDEX(Database!D$9:D$501,ROW(Calc!B79)-ROW(Calc!$B$7)))=0,"",INDEX(Database!D$9:D$501,ROW(Calc!B79)-ROW(Calc!$B$7))),"")</f>
        <v/>
      </c>
      <c r="E79" s="124" t="str">
        <f>IFERROR(IF(LEN(INDEX(Database!G$9:G$501,ROW(Calc!D79)-ROW(Calc!$B$7)))=0,$AD$3,INDEX(Database!G$9:G$501,ROW(Calc!D79)-ROW(Calc!$B$7))),"")</f>
        <v>Not Set</v>
      </c>
      <c r="F79" s="124" t="str">
        <f>IFERROR(IF(LEN(INDEX(Database!F$9:F$501,ROW(Calc!E79)-ROW(Calc!$B$7)))=0,$AD$3,INDEX(Database!F$9:F$501,ROW(Calc!E79)-ROW(Calc!$B$7))),"")</f>
        <v>Not Set</v>
      </c>
      <c r="G79" s="128" t="str">
        <f>IFERROR(IF(LEN(INDEX(Database!H$9:H$501,ROW(Calc!F79)-ROW(Calc!$B$7)))=0,$AD$3,INDEX(Database!H$9:H$501,ROW(Calc!F79)-ROW(Calc!$B$7))),"")</f>
        <v>Not Set</v>
      </c>
      <c r="H79" s="128" t="str">
        <f>IFERROR(IF(LEN(INDEX(Database!I$9:I$501,ROW(Calc!G79)-ROW(Calc!$B$7)))=0,$AD$3,INDEX(Database!I$9:I$501,ROW(Calc!G79)-ROW(Calc!$B$7))),"")</f>
        <v>Not Set</v>
      </c>
      <c r="I79" s="128" t="str">
        <f>IFERROR(IF(LEN(INDEX(Database!J$9:J$501,ROW(Calc!H79)-ROW(Calc!$B$7)))=0,$AD$3,INDEX(Database!J$9:J$501,ROW(Calc!H79)-ROW(Calc!$B$7))),"")</f>
        <v>Not Set</v>
      </c>
      <c r="J79" s="128" t="str">
        <f t="shared" si="14"/>
        <v>Not Set</v>
      </c>
      <c r="K79" s="124" t="str">
        <f>IFERROR(IF(LEN(INDEX(Database!E$9:E$501,ROW(Calc!I79)-ROW(Calc!$B$7)))=0,"",INDEX(Database!E$9:E$501,ROW(Calc!I79)-ROW(Calc!$B$7))),"")</f>
        <v/>
      </c>
      <c r="L79" s="129" t="str">
        <f>IFERROR(IF(LEN(INDEX(Database!K$9:K$501,ROW(Calc!K79)-ROW(Calc!$B$7)))=0,$AD$3,INDEX(Database!K$9:K$501,ROW(Calc!K79)-ROW(Calc!$B$7))),"")</f>
        <v>Not Set</v>
      </c>
      <c r="M79" s="130" t="str">
        <f>IFERROR(IF(LEN(INDEX(Database!L$9:L$501,ROW(Calc!L79)-ROW(Calc!$B$7)))=0,$AD$3,INDEX(Database!L$9:L$501,ROW(Calc!L79)-ROW(Calc!$B$7))),"")</f>
        <v>Not Set</v>
      </c>
      <c r="N79" s="131" t="str">
        <f>IFERROR(IF(LEN(INDEX(Database!M$9:M$501,ROW(Calc!M79)-ROW(Calc!$B$7)))=0,"",INDEX(Database!M$9:M$501,ROW(Calc!M79)-ROW(Calc!$B$7))),"")</f>
        <v/>
      </c>
      <c r="O79" s="132" t="str">
        <f t="shared" si="18"/>
        <v/>
      </c>
      <c r="P79" s="125" t="str">
        <f t="shared" si="15"/>
        <v>Not Set</v>
      </c>
      <c r="Q79" s="125" t="str">
        <f t="shared" si="16"/>
        <v>Not Set</v>
      </c>
      <c r="R79" s="125" t="str">
        <f>IFERROR(IF(G79=$AD$3,$AD$3,INDEX(Kanban_Helper!$C$317:$C$328,MATCH(MONTH(G79),Kanban_Helper!$B$317:$B$328,0))&amp;" - "&amp;YEAR(G79)),"$AD$3")</f>
        <v>Not Set</v>
      </c>
      <c r="S79" s="125" t="str">
        <f>IFERROR(IF(I79=$AD$3,$AD$3,INDEX(Kanban_Helper!$C$317:$C$328,MATCH(MONTH(I79),Kanban_Helper!$B$317:$B$328,0))&amp;" - "&amp;YEAR(I79)),$AD$3)</f>
        <v>Not Set</v>
      </c>
      <c r="T79" s="125" t="str">
        <f t="shared" ca="1" si="19"/>
        <v/>
      </c>
      <c r="U79" s="125" t="str">
        <f t="shared" ca="1" si="20"/>
        <v/>
      </c>
      <c r="V79" s="125" t="str">
        <f t="shared" si="17"/>
        <v>Not Set</v>
      </c>
      <c r="W79" s="126" t="str">
        <f t="shared" si="21"/>
        <v/>
      </c>
      <c r="X79" s="126" t="str">
        <f t="shared" si="22"/>
        <v/>
      </c>
      <c r="Y79" s="125" t="str">
        <f>IFERROR(IF(LEN(D79)=0,"",IF(SUBTOTAL(3,E79:E79)=0,MIN($Y$7:Y78)-1,SUBTOTAL(3,$E$8:E79))),"")</f>
        <v/>
      </c>
      <c r="Z79" s="17"/>
      <c r="AA79" s="10"/>
      <c r="AB79" s="10"/>
      <c r="AC79" s="10"/>
      <c r="AD79" s="10"/>
      <c r="AE79" s="10"/>
      <c r="AF79" s="10"/>
      <c r="AG79" s="10"/>
      <c r="AH79" s="10"/>
      <c r="AI79" s="10"/>
      <c r="AJ79" s="10"/>
      <c r="AK79" s="10"/>
      <c r="AL79" s="10"/>
      <c r="AM79" s="10"/>
      <c r="AN79" s="10"/>
    </row>
    <row r="80" spans="2:40" hidden="1" x14ac:dyDescent="0.35">
      <c r="B80" s="15"/>
      <c r="C80" s="127" t="str">
        <f>IFERROR(IF(LEN(INDEX(Database!C$9:C$501,ROW(Calc!A80)-ROW(Calc!$B$7)))=0,"",INDEX(Database!C$9:C$501,ROW(Calc!A80)-ROW(Calc!$B$7))),"")</f>
        <v/>
      </c>
      <c r="D80" s="70" t="str">
        <f>IFERROR(IF(LEN(INDEX(Database!D$9:D$501,ROW(Calc!B80)-ROW(Calc!$B$7)))=0,"",INDEX(Database!D$9:D$501,ROW(Calc!B80)-ROW(Calc!$B$7))),"")</f>
        <v/>
      </c>
      <c r="E80" s="124" t="str">
        <f>IFERROR(IF(LEN(INDEX(Database!G$9:G$501,ROW(Calc!D80)-ROW(Calc!$B$7)))=0,$AD$3,INDEX(Database!G$9:G$501,ROW(Calc!D80)-ROW(Calc!$B$7))),"")</f>
        <v>Not Set</v>
      </c>
      <c r="F80" s="124" t="str">
        <f>IFERROR(IF(LEN(INDEX(Database!F$9:F$501,ROW(Calc!E80)-ROW(Calc!$B$7)))=0,$AD$3,INDEX(Database!F$9:F$501,ROW(Calc!E80)-ROW(Calc!$B$7))),"")</f>
        <v>Not Set</v>
      </c>
      <c r="G80" s="128" t="str">
        <f>IFERROR(IF(LEN(INDEX(Database!H$9:H$501,ROW(Calc!F80)-ROW(Calc!$B$7)))=0,$AD$3,INDEX(Database!H$9:H$501,ROW(Calc!F80)-ROW(Calc!$B$7))),"")</f>
        <v>Not Set</v>
      </c>
      <c r="H80" s="128" t="str">
        <f>IFERROR(IF(LEN(INDEX(Database!I$9:I$501,ROW(Calc!G80)-ROW(Calc!$B$7)))=0,$AD$3,INDEX(Database!I$9:I$501,ROW(Calc!G80)-ROW(Calc!$B$7))),"")</f>
        <v>Not Set</v>
      </c>
      <c r="I80" s="128" t="str">
        <f>IFERROR(IF(LEN(INDEX(Database!J$9:J$501,ROW(Calc!H80)-ROW(Calc!$B$7)))=0,$AD$3,INDEX(Database!J$9:J$501,ROW(Calc!H80)-ROW(Calc!$B$7))),"")</f>
        <v>Not Set</v>
      </c>
      <c r="J80" s="128" t="str">
        <f t="shared" si="14"/>
        <v>Not Set</v>
      </c>
      <c r="K80" s="124" t="str">
        <f>IFERROR(IF(LEN(INDEX(Database!E$9:E$501,ROW(Calc!I80)-ROW(Calc!$B$7)))=0,"",INDEX(Database!E$9:E$501,ROW(Calc!I80)-ROW(Calc!$B$7))),"")</f>
        <v/>
      </c>
      <c r="L80" s="129" t="str">
        <f>IFERROR(IF(LEN(INDEX(Database!K$9:K$501,ROW(Calc!K80)-ROW(Calc!$B$7)))=0,$AD$3,INDEX(Database!K$9:K$501,ROW(Calc!K80)-ROW(Calc!$B$7))),"")</f>
        <v>Not Set</v>
      </c>
      <c r="M80" s="130" t="str">
        <f>IFERROR(IF(LEN(INDEX(Database!L$9:L$501,ROW(Calc!L80)-ROW(Calc!$B$7)))=0,$AD$3,INDEX(Database!L$9:L$501,ROW(Calc!L80)-ROW(Calc!$B$7))),"")</f>
        <v>Not Set</v>
      </c>
      <c r="N80" s="131" t="str">
        <f>IFERROR(IF(LEN(INDEX(Database!M$9:M$501,ROW(Calc!M80)-ROW(Calc!$B$7)))=0,"",INDEX(Database!M$9:M$501,ROW(Calc!M80)-ROW(Calc!$B$7))),"")</f>
        <v/>
      </c>
      <c r="O80" s="132" t="str">
        <f t="shared" si="18"/>
        <v/>
      </c>
      <c r="P80" s="125" t="str">
        <f t="shared" si="15"/>
        <v>Not Set</v>
      </c>
      <c r="Q80" s="125" t="str">
        <f t="shared" si="16"/>
        <v>Not Set</v>
      </c>
      <c r="R80" s="125" t="str">
        <f>IFERROR(IF(G80=$AD$3,$AD$3,INDEX(Kanban_Helper!$C$317:$C$328,MATCH(MONTH(G80),Kanban_Helper!$B$317:$B$328,0))&amp;" - "&amp;YEAR(G80)),"$AD$3")</f>
        <v>Not Set</v>
      </c>
      <c r="S80" s="125" t="str">
        <f>IFERROR(IF(I80=$AD$3,$AD$3,INDEX(Kanban_Helper!$C$317:$C$328,MATCH(MONTH(I80),Kanban_Helper!$B$317:$B$328,0))&amp;" - "&amp;YEAR(I80)),$AD$3)</f>
        <v>Not Set</v>
      </c>
      <c r="T80" s="125" t="str">
        <f t="shared" ca="1" si="19"/>
        <v/>
      </c>
      <c r="U80" s="125" t="str">
        <f t="shared" ca="1" si="20"/>
        <v/>
      </c>
      <c r="V80" s="125" t="str">
        <f t="shared" si="17"/>
        <v>Not Set</v>
      </c>
      <c r="W80" s="126" t="str">
        <f t="shared" si="21"/>
        <v/>
      </c>
      <c r="X80" s="126" t="str">
        <f t="shared" si="22"/>
        <v/>
      </c>
      <c r="Y80" s="125" t="str">
        <f>IFERROR(IF(LEN(D80)=0,"",IF(SUBTOTAL(3,E80:E80)=0,MIN($Y$7:Y79)-1,SUBTOTAL(3,$E$8:E80))),"")</f>
        <v/>
      </c>
      <c r="Z80" s="17"/>
      <c r="AA80" s="10"/>
      <c r="AB80" s="10"/>
      <c r="AC80" s="10"/>
      <c r="AD80" s="10"/>
      <c r="AE80" s="10"/>
      <c r="AF80" s="10"/>
      <c r="AG80" s="10"/>
      <c r="AH80" s="10"/>
      <c r="AI80" s="10"/>
      <c r="AJ80" s="10"/>
      <c r="AK80" s="10"/>
      <c r="AL80" s="10"/>
      <c r="AM80" s="10"/>
      <c r="AN80" s="10"/>
    </row>
    <row r="81" spans="2:40" hidden="1" x14ac:dyDescent="0.35">
      <c r="B81" s="15"/>
      <c r="C81" s="127" t="str">
        <f>IFERROR(IF(LEN(INDEX(Database!C$9:C$501,ROW(Calc!A81)-ROW(Calc!$B$7)))=0,"",INDEX(Database!C$9:C$501,ROW(Calc!A81)-ROW(Calc!$B$7))),"")</f>
        <v/>
      </c>
      <c r="D81" s="70" t="str">
        <f>IFERROR(IF(LEN(INDEX(Database!D$9:D$501,ROW(Calc!B81)-ROW(Calc!$B$7)))=0,"",INDEX(Database!D$9:D$501,ROW(Calc!B81)-ROW(Calc!$B$7))),"")</f>
        <v/>
      </c>
      <c r="E81" s="124" t="str">
        <f>IFERROR(IF(LEN(INDEX(Database!G$9:G$501,ROW(Calc!D81)-ROW(Calc!$B$7)))=0,$AD$3,INDEX(Database!G$9:G$501,ROW(Calc!D81)-ROW(Calc!$B$7))),"")</f>
        <v>Not Set</v>
      </c>
      <c r="F81" s="124" t="str">
        <f>IFERROR(IF(LEN(INDEX(Database!F$9:F$501,ROW(Calc!E81)-ROW(Calc!$B$7)))=0,$AD$3,INDEX(Database!F$9:F$501,ROW(Calc!E81)-ROW(Calc!$B$7))),"")</f>
        <v>Not Set</v>
      </c>
      <c r="G81" s="128" t="str">
        <f>IFERROR(IF(LEN(INDEX(Database!H$9:H$501,ROW(Calc!F81)-ROW(Calc!$B$7)))=0,$AD$3,INDEX(Database!H$9:H$501,ROW(Calc!F81)-ROW(Calc!$B$7))),"")</f>
        <v>Not Set</v>
      </c>
      <c r="H81" s="128" t="str">
        <f>IFERROR(IF(LEN(INDEX(Database!I$9:I$501,ROW(Calc!G81)-ROW(Calc!$B$7)))=0,$AD$3,INDEX(Database!I$9:I$501,ROW(Calc!G81)-ROW(Calc!$B$7))),"")</f>
        <v>Not Set</v>
      </c>
      <c r="I81" s="128" t="str">
        <f>IFERROR(IF(LEN(INDEX(Database!J$9:J$501,ROW(Calc!H81)-ROW(Calc!$B$7)))=0,$AD$3,INDEX(Database!J$9:J$501,ROW(Calc!H81)-ROW(Calc!$B$7))),"")</f>
        <v>Not Set</v>
      </c>
      <c r="J81" s="128" t="str">
        <f t="shared" si="14"/>
        <v>Not Set</v>
      </c>
      <c r="K81" s="124" t="str">
        <f>IFERROR(IF(LEN(INDEX(Database!E$9:E$501,ROW(Calc!I81)-ROW(Calc!$B$7)))=0,"",INDEX(Database!E$9:E$501,ROW(Calc!I81)-ROW(Calc!$B$7))),"")</f>
        <v/>
      </c>
      <c r="L81" s="129" t="str">
        <f>IFERROR(IF(LEN(INDEX(Database!K$9:K$501,ROW(Calc!K81)-ROW(Calc!$B$7)))=0,$AD$3,INDEX(Database!K$9:K$501,ROW(Calc!K81)-ROW(Calc!$B$7))),"")</f>
        <v>Not Set</v>
      </c>
      <c r="M81" s="130" t="str">
        <f>IFERROR(IF(LEN(INDEX(Database!L$9:L$501,ROW(Calc!L81)-ROW(Calc!$B$7)))=0,$AD$3,INDEX(Database!L$9:L$501,ROW(Calc!L81)-ROW(Calc!$B$7))),"")</f>
        <v>Not Set</v>
      </c>
      <c r="N81" s="131" t="str">
        <f>IFERROR(IF(LEN(INDEX(Database!M$9:M$501,ROW(Calc!M81)-ROW(Calc!$B$7)))=0,"",INDEX(Database!M$9:M$501,ROW(Calc!M81)-ROW(Calc!$B$7))),"")</f>
        <v/>
      </c>
      <c r="O81" s="132" t="str">
        <f t="shared" si="18"/>
        <v/>
      </c>
      <c r="P81" s="125" t="str">
        <f t="shared" si="15"/>
        <v>Not Set</v>
      </c>
      <c r="Q81" s="125" t="str">
        <f t="shared" si="16"/>
        <v>Not Set</v>
      </c>
      <c r="R81" s="125" t="str">
        <f>IFERROR(IF(G81=$AD$3,$AD$3,INDEX(Kanban_Helper!$C$317:$C$328,MATCH(MONTH(G81),Kanban_Helper!$B$317:$B$328,0))&amp;" - "&amp;YEAR(G81)),"$AD$3")</f>
        <v>Not Set</v>
      </c>
      <c r="S81" s="125" t="str">
        <f>IFERROR(IF(I81=$AD$3,$AD$3,INDEX(Kanban_Helper!$C$317:$C$328,MATCH(MONTH(I81),Kanban_Helper!$B$317:$B$328,0))&amp;" - "&amp;YEAR(I81)),$AD$3)</f>
        <v>Not Set</v>
      </c>
      <c r="T81" s="125" t="str">
        <f t="shared" ca="1" si="19"/>
        <v/>
      </c>
      <c r="U81" s="125" t="str">
        <f t="shared" ca="1" si="20"/>
        <v/>
      </c>
      <c r="V81" s="125" t="str">
        <f t="shared" si="17"/>
        <v>Not Set</v>
      </c>
      <c r="W81" s="126" t="str">
        <f t="shared" si="21"/>
        <v/>
      </c>
      <c r="X81" s="126" t="str">
        <f t="shared" si="22"/>
        <v/>
      </c>
      <c r="Y81" s="125" t="str">
        <f>IFERROR(IF(LEN(D81)=0,"",IF(SUBTOTAL(3,E81:E81)=0,MIN($Y$7:Y80)-1,SUBTOTAL(3,$E$8:E81))),"")</f>
        <v/>
      </c>
      <c r="Z81" s="17"/>
      <c r="AA81" s="10"/>
      <c r="AB81" s="10"/>
      <c r="AC81" s="10"/>
      <c r="AD81" s="10"/>
      <c r="AE81" s="10"/>
      <c r="AF81" s="10"/>
      <c r="AG81" s="10"/>
      <c r="AH81" s="10"/>
      <c r="AI81" s="10"/>
      <c r="AJ81" s="10"/>
      <c r="AK81" s="10"/>
      <c r="AL81" s="10"/>
      <c r="AM81" s="10"/>
      <c r="AN81" s="10"/>
    </row>
    <row r="82" spans="2:40" hidden="1" x14ac:dyDescent="0.35">
      <c r="B82" s="15"/>
      <c r="C82" s="127" t="str">
        <f>IFERROR(IF(LEN(INDEX(Database!C$9:C$501,ROW(Calc!A82)-ROW(Calc!$B$7)))=0,"",INDEX(Database!C$9:C$501,ROW(Calc!A82)-ROW(Calc!$B$7))),"")</f>
        <v/>
      </c>
      <c r="D82" s="70" t="str">
        <f>IFERROR(IF(LEN(INDEX(Database!D$9:D$501,ROW(Calc!B82)-ROW(Calc!$B$7)))=0,"",INDEX(Database!D$9:D$501,ROW(Calc!B82)-ROW(Calc!$B$7))),"")</f>
        <v/>
      </c>
      <c r="E82" s="124" t="str">
        <f>IFERROR(IF(LEN(INDEX(Database!G$9:G$501,ROW(Calc!D82)-ROW(Calc!$B$7)))=0,$AD$3,INDEX(Database!G$9:G$501,ROW(Calc!D82)-ROW(Calc!$B$7))),"")</f>
        <v>Not Set</v>
      </c>
      <c r="F82" s="124" t="str">
        <f>IFERROR(IF(LEN(INDEX(Database!F$9:F$501,ROW(Calc!E82)-ROW(Calc!$B$7)))=0,$AD$3,INDEX(Database!F$9:F$501,ROW(Calc!E82)-ROW(Calc!$B$7))),"")</f>
        <v>Not Set</v>
      </c>
      <c r="G82" s="128" t="str">
        <f>IFERROR(IF(LEN(INDEX(Database!H$9:H$501,ROW(Calc!F82)-ROW(Calc!$B$7)))=0,$AD$3,INDEX(Database!H$9:H$501,ROW(Calc!F82)-ROW(Calc!$B$7))),"")</f>
        <v>Not Set</v>
      </c>
      <c r="H82" s="128" t="str">
        <f>IFERROR(IF(LEN(INDEX(Database!I$9:I$501,ROW(Calc!G82)-ROW(Calc!$B$7)))=0,$AD$3,INDEX(Database!I$9:I$501,ROW(Calc!G82)-ROW(Calc!$B$7))),"")</f>
        <v>Not Set</v>
      </c>
      <c r="I82" s="128" t="str">
        <f>IFERROR(IF(LEN(INDEX(Database!J$9:J$501,ROW(Calc!H82)-ROW(Calc!$B$7)))=0,$AD$3,INDEX(Database!J$9:J$501,ROW(Calc!H82)-ROW(Calc!$B$7))),"")</f>
        <v>Not Set</v>
      </c>
      <c r="J82" s="128" t="str">
        <f t="shared" si="14"/>
        <v>Not Set</v>
      </c>
      <c r="K82" s="124" t="str">
        <f>IFERROR(IF(LEN(INDEX(Database!E$9:E$501,ROW(Calc!I82)-ROW(Calc!$B$7)))=0,"",INDEX(Database!E$9:E$501,ROW(Calc!I82)-ROW(Calc!$B$7))),"")</f>
        <v/>
      </c>
      <c r="L82" s="129" t="str">
        <f>IFERROR(IF(LEN(INDEX(Database!K$9:K$501,ROW(Calc!K82)-ROW(Calc!$B$7)))=0,$AD$3,INDEX(Database!K$9:K$501,ROW(Calc!K82)-ROW(Calc!$B$7))),"")</f>
        <v>Not Set</v>
      </c>
      <c r="M82" s="130" t="str">
        <f>IFERROR(IF(LEN(INDEX(Database!L$9:L$501,ROW(Calc!L82)-ROW(Calc!$B$7)))=0,$AD$3,INDEX(Database!L$9:L$501,ROW(Calc!L82)-ROW(Calc!$B$7))),"")</f>
        <v>Not Set</v>
      </c>
      <c r="N82" s="131" t="str">
        <f>IFERROR(IF(LEN(INDEX(Database!M$9:M$501,ROW(Calc!M82)-ROW(Calc!$B$7)))=0,"",INDEX(Database!M$9:M$501,ROW(Calc!M82)-ROW(Calc!$B$7))),"")</f>
        <v/>
      </c>
      <c r="O82" s="132" t="str">
        <f t="shared" si="18"/>
        <v/>
      </c>
      <c r="P82" s="125" t="str">
        <f t="shared" si="15"/>
        <v>Not Set</v>
      </c>
      <c r="Q82" s="125" t="str">
        <f t="shared" si="16"/>
        <v>Not Set</v>
      </c>
      <c r="R82" s="125" t="str">
        <f>IFERROR(IF(G82=$AD$3,$AD$3,INDEX(Kanban_Helper!$C$317:$C$328,MATCH(MONTH(G82),Kanban_Helper!$B$317:$B$328,0))&amp;" - "&amp;YEAR(G82)),"$AD$3")</f>
        <v>Not Set</v>
      </c>
      <c r="S82" s="125" t="str">
        <f>IFERROR(IF(I82=$AD$3,$AD$3,INDEX(Kanban_Helper!$C$317:$C$328,MATCH(MONTH(I82),Kanban_Helper!$B$317:$B$328,0))&amp;" - "&amp;YEAR(I82)),$AD$3)</f>
        <v>Not Set</v>
      </c>
      <c r="T82" s="125" t="str">
        <f t="shared" ca="1" si="19"/>
        <v/>
      </c>
      <c r="U82" s="125" t="str">
        <f t="shared" ca="1" si="20"/>
        <v/>
      </c>
      <c r="V82" s="125" t="str">
        <f t="shared" si="17"/>
        <v>Not Set</v>
      </c>
      <c r="W82" s="126" t="str">
        <f t="shared" si="21"/>
        <v/>
      </c>
      <c r="X82" s="126" t="str">
        <f t="shared" si="22"/>
        <v/>
      </c>
      <c r="Y82" s="125" t="str">
        <f>IFERROR(IF(LEN(D82)=0,"",IF(SUBTOTAL(3,E82:E82)=0,MIN($Y$7:Y81)-1,SUBTOTAL(3,$E$8:E82))),"")</f>
        <v/>
      </c>
      <c r="Z82" s="17"/>
      <c r="AA82" s="10"/>
      <c r="AB82" s="10"/>
      <c r="AC82" s="10"/>
      <c r="AD82" s="10"/>
      <c r="AE82" s="10"/>
      <c r="AF82" s="10"/>
      <c r="AG82" s="10"/>
      <c r="AH82" s="10"/>
      <c r="AI82" s="10"/>
      <c r="AJ82" s="10"/>
      <c r="AK82" s="10"/>
      <c r="AL82" s="10"/>
      <c r="AM82" s="10"/>
      <c r="AN82" s="10"/>
    </row>
    <row r="83" spans="2:40" hidden="1" x14ac:dyDescent="0.35">
      <c r="B83" s="15"/>
      <c r="C83" s="127" t="str">
        <f>IFERROR(IF(LEN(INDEX(Database!C$9:C$501,ROW(Calc!A83)-ROW(Calc!$B$7)))=0,"",INDEX(Database!C$9:C$501,ROW(Calc!A83)-ROW(Calc!$B$7))),"")</f>
        <v/>
      </c>
      <c r="D83" s="70" t="str">
        <f>IFERROR(IF(LEN(INDEX(Database!D$9:D$501,ROW(Calc!B83)-ROW(Calc!$B$7)))=0,"",INDEX(Database!D$9:D$501,ROW(Calc!B83)-ROW(Calc!$B$7))),"")</f>
        <v/>
      </c>
      <c r="E83" s="124" t="str">
        <f>IFERROR(IF(LEN(INDEX(Database!G$9:G$501,ROW(Calc!D83)-ROW(Calc!$B$7)))=0,$AD$3,INDEX(Database!G$9:G$501,ROW(Calc!D83)-ROW(Calc!$B$7))),"")</f>
        <v>Not Set</v>
      </c>
      <c r="F83" s="124" t="str">
        <f>IFERROR(IF(LEN(INDEX(Database!F$9:F$501,ROW(Calc!E83)-ROW(Calc!$B$7)))=0,$AD$3,INDEX(Database!F$9:F$501,ROW(Calc!E83)-ROW(Calc!$B$7))),"")</f>
        <v>Not Set</v>
      </c>
      <c r="G83" s="128" t="str">
        <f>IFERROR(IF(LEN(INDEX(Database!H$9:H$501,ROW(Calc!F83)-ROW(Calc!$B$7)))=0,$AD$3,INDEX(Database!H$9:H$501,ROW(Calc!F83)-ROW(Calc!$B$7))),"")</f>
        <v>Not Set</v>
      </c>
      <c r="H83" s="128" t="str">
        <f>IFERROR(IF(LEN(INDEX(Database!I$9:I$501,ROW(Calc!G83)-ROW(Calc!$B$7)))=0,$AD$3,INDEX(Database!I$9:I$501,ROW(Calc!G83)-ROW(Calc!$B$7))),"")</f>
        <v>Not Set</v>
      </c>
      <c r="I83" s="128" t="str">
        <f>IFERROR(IF(LEN(INDEX(Database!J$9:J$501,ROW(Calc!H83)-ROW(Calc!$B$7)))=0,$AD$3,INDEX(Database!J$9:J$501,ROW(Calc!H83)-ROW(Calc!$B$7))),"")</f>
        <v>Not Set</v>
      </c>
      <c r="J83" s="128" t="str">
        <f t="shared" si="14"/>
        <v>Not Set</v>
      </c>
      <c r="K83" s="124" t="str">
        <f>IFERROR(IF(LEN(INDEX(Database!E$9:E$501,ROW(Calc!I83)-ROW(Calc!$B$7)))=0,"",INDEX(Database!E$9:E$501,ROW(Calc!I83)-ROW(Calc!$B$7))),"")</f>
        <v/>
      </c>
      <c r="L83" s="129" t="str">
        <f>IFERROR(IF(LEN(INDEX(Database!K$9:K$501,ROW(Calc!K83)-ROW(Calc!$B$7)))=0,$AD$3,INDEX(Database!K$9:K$501,ROW(Calc!K83)-ROW(Calc!$B$7))),"")</f>
        <v>Not Set</v>
      </c>
      <c r="M83" s="130" t="str">
        <f>IFERROR(IF(LEN(INDEX(Database!L$9:L$501,ROW(Calc!L83)-ROW(Calc!$B$7)))=0,$AD$3,INDEX(Database!L$9:L$501,ROW(Calc!L83)-ROW(Calc!$B$7))),"")</f>
        <v>Not Set</v>
      </c>
      <c r="N83" s="131" t="str">
        <f>IFERROR(IF(LEN(INDEX(Database!M$9:M$501,ROW(Calc!M83)-ROW(Calc!$B$7)))=0,"",INDEX(Database!M$9:M$501,ROW(Calc!M83)-ROW(Calc!$B$7))),"")</f>
        <v/>
      </c>
      <c r="O83" s="132" t="str">
        <f t="shared" si="18"/>
        <v/>
      </c>
      <c r="P83" s="125" t="str">
        <f t="shared" si="15"/>
        <v>Not Set</v>
      </c>
      <c r="Q83" s="125" t="str">
        <f t="shared" si="16"/>
        <v>Not Set</v>
      </c>
      <c r="R83" s="125" t="str">
        <f>IFERROR(IF(G83=$AD$3,$AD$3,INDEX(Kanban_Helper!$C$317:$C$328,MATCH(MONTH(G83),Kanban_Helper!$B$317:$B$328,0))&amp;" - "&amp;YEAR(G83)),"$AD$3")</f>
        <v>Not Set</v>
      </c>
      <c r="S83" s="125" t="str">
        <f>IFERROR(IF(I83=$AD$3,$AD$3,INDEX(Kanban_Helper!$C$317:$C$328,MATCH(MONTH(I83),Kanban_Helper!$B$317:$B$328,0))&amp;" - "&amp;YEAR(I83)),$AD$3)</f>
        <v>Not Set</v>
      </c>
      <c r="T83" s="125" t="str">
        <f t="shared" ca="1" si="19"/>
        <v/>
      </c>
      <c r="U83" s="125" t="str">
        <f t="shared" ca="1" si="20"/>
        <v/>
      </c>
      <c r="V83" s="125" t="str">
        <f t="shared" si="17"/>
        <v>Not Set</v>
      </c>
      <c r="W83" s="126" t="str">
        <f t="shared" si="21"/>
        <v/>
      </c>
      <c r="X83" s="126" t="str">
        <f t="shared" si="22"/>
        <v/>
      </c>
      <c r="Y83" s="125" t="str">
        <f>IFERROR(IF(LEN(D83)=0,"",IF(SUBTOTAL(3,E83:E83)=0,MIN($Y$7:Y82)-1,SUBTOTAL(3,$E$8:E83))),"")</f>
        <v/>
      </c>
      <c r="Z83" s="17"/>
      <c r="AA83" s="10"/>
      <c r="AB83" s="10"/>
      <c r="AC83" s="10"/>
      <c r="AD83" s="10"/>
      <c r="AE83" s="10"/>
      <c r="AF83" s="10"/>
      <c r="AG83" s="10"/>
      <c r="AH83" s="10"/>
      <c r="AI83" s="10"/>
      <c r="AJ83" s="10"/>
      <c r="AK83" s="10"/>
      <c r="AL83" s="10"/>
      <c r="AM83" s="10"/>
      <c r="AN83" s="10"/>
    </row>
    <row r="84" spans="2:40" hidden="1" x14ac:dyDescent="0.35">
      <c r="B84" s="15"/>
      <c r="C84" s="127" t="str">
        <f>IFERROR(IF(LEN(INDEX(Database!C$9:C$501,ROW(Calc!A84)-ROW(Calc!$B$7)))=0,"",INDEX(Database!C$9:C$501,ROW(Calc!A84)-ROW(Calc!$B$7))),"")</f>
        <v/>
      </c>
      <c r="D84" s="70" t="str">
        <f>IFERROR(IF(LEN(INDEX(Database!D$9:D$501,ROW(Calc!B84)-ROW(Calc!$B$7)))=0,"",INDEX(Database!D$9:D$501,ROW(Calc!B84)-ROW(Calc!$B$7))),"")</f>
        <v/>
      </c>
      <c r="E84" s="124" t="str">
        <f>IFERROR(IF(LEN(INDEX(Database!G$9:G$501,ROW(Calc!D84)-ROW(Calc!$B$7)))=0,$AD$3,INDEX(Database!G$9:G$501,ROW(Calc!D84)-ROW(Calc!$B$7))),"")</f>
        <v>Not Set</v>
      </c>
      <c r="F84" s="124" t="str">
        <f>IFERROR(IF(LEN(INDEX(Database!F$9:F$501,ROW(Calc!E84)-ROW(Calc!$B$7)))=0,$AD$3,INDEX(Database!F$9:F$501,ROW(Calc!E84)-ROW(Calc!$B$7))),"")</f>
        <v>Not Set</v>
      </c>
      <c r="G84" s="128" t="str">
        <f>IFERROR(IF(LEN(INDEX(Database!H$9:H$501,ROW(Calc!F84)-ROW(Calc!$B$7)))=0,$AD$3,INDEX(Database!H$9:H$501,ROW(Calc!F84)-ROW(Calc!$B$7))),"")</f>
        <v>Not Set</v>
      </c>
      <c r="H84" s="128" t="str">
        <f>IFERROR(IF(LEN(INDEX(Database!I$9:I$501,ROW(Calc!G84)-ROW(Calc!$B$7)))=0,$AD$3,INDEX(Database!I$9:I$501,ROW(Calc!G84)-ROW(Calc!$B$7))),"")</f>
        <v>Not Set</v>
      </c>
      <c r="I84" s="128" t="str">
        <f>IFERROR(IF(LEN(INDEX(Database!J$9:J$501,ROW(Calc!H84)-ROW(Calc!$B$7)))=0,$AD$3,INDEX(Database!J$9:J$501,ROW(Calc!H84)-ROW(Calc!$B$7))),"")</f>
        <v>Not Set</v>
      </c>
      <c r="J84" s="128" t="str">
        <f t="shared" si="14"/>
        <v>Not Set</v>
      </c>
      <c r="K84" s="124" t="str">
        <f>IFERROR(IF(LEN(INDEX(Database!E$9:E$501,ROW(Calc!I84)-ROW(Calc!$B$7)))=0,"",INDEX(Database!E$9:E$501,ROW(Calc!I84)-ROW(Calc!$B$7))),"")</f>
        <v/>
      </c>
      <c r="L84" s="129" t="str">
        <f>IFERROR(IF(LEN(INDEX(Database!K$9:K$501,ROW(Calc!K84)-ROW(Calc!$B$7)))=0,$AD$3,INDEX(Database!K$9:K$501,ROW(Calc!K84)-ROW(Calc!$B$7))),"")</f>
        <v>Not Set</v>
      </c>
      <c r="M84" s="130" t="str">
        <f>IFERROR(IF(LEN(INDEX(Database!L$9:L$501,ROW(Calc!L84)-ROW(Calc!$B$7)))=0,$AD$3,INDEX(Database!L$9:L$501,ROW(Calc!L84)-ROW(Calc!$B$7))),"")</f>
        <v>Not Set</v>
      </c>
      <c r="N84" s="131" t="str">
        <f>IFERROR(IF(LEN(INDEX(Database!M$9:M$501,ROW(Calc!M84)-ROW(Calc!$B$7)))=0,"",INDEX(Database!M$9:M$501,ROW(Calc!M84)-ROW(Calc!$B$7))),"")</f>
        <v/>
      </c>
      <c r="O84" s="132" t="str">
        <f t="shared" si="18"/>
        <v/>
      </c>
      <c r="P84" s="125" t="str">
        <f t="shared" si="15"/>
        <v>Not Set</v>
      </c>
      <c r="Q84" s="125" t="str">
        <f t="shared" si="16"/>
        <v>Not Set</v>
      </c>
      <c r="R84" s="125" t="str">
        <f>IFERROR(IF(G84=$AD$3,$AD$3,INDEX(Kanban_Helper!$C$317:$C$328,MATCH(MONTH(G84),Kanban_Helper!$B$317:$B$328,0))&amp;" - "&amp;YEAR(G84)),"$AD$3")</f>
        <v>Not Set</v>
      </c>
      <c r="S84" s="125" t="str">
        <f>IFERROR(IF(I84=$AD$3,$AD$3,INDEX(Kanban_Helper!$C$317:$C$328,MATCH(MONTH(I84),Kanban_Helper!$B$317:$B$328,0))&amp;" - "&amp;YEAR(I84)),$AD$3)</f>
        <v>Not Set</v>
      </c>
      <c r="T84" s="125" t="str">
        <f t="shared" ca="1" si="19"/>
        <v/>
      </c>
      <c r="U84" s="125" t="str">
        <f t="shared" ca="1" si="20"/>
        <v/>
      </c>
      <c r="V84" s="125" t="str">
        <f t="shared" si="17"/>
        <v>Not Set</v>
      </c>
      <c r="W84" s="126" t="str">
        <f t="shared" si="21"/>
        <v/>
      </c>
      <c r="X84" s="126" t="str">
        <f t="shared" si="22"/>
        <v/>
      </c>
      <c r="Y84" s="125" t="str">
        <f>IFERROR(IF(LEN(D84)=0,"",IF(SUBTOTAL(3,E84:E84)=0,MIN($Y$7:Y83)-1,SUBTOTAL(3,$E$8:E84))),"")</f>
        <v/>
      </c>
      <c r="Z84" s="17"/>
      <c r="AA84" s="10"/>
      <c r="AB84" s="10"/>
      <c r="AC84" s="10"/>
      <c r="AD84" s="10"/>
      <c r="AE84" s="10"/>
      <c r="AF84" s="10"/>
      <c r="AG84" s="10"/>
      <c r="AH84" s="10"/>
      <c r="AI84" s="10"/>
      <c r="AJ84" s="10"/>
      <c r="AK84" s="10"/>
      <c r="AL84" s="10"/>
      <c r="AM84" s="10"/>
      <c r="AN84" s="10"/>
    </row>
    <row r="85" spans="2:40" hidden="1" x14ac:dyDescent="0.35">
      <c r="B85" s="15"/>
      <c r="C85" s="127" t="str">
        <f>IFERROR(IF(LEN(INDEX(Database!C$9:C$501,ROW(Calc!A85)-ROW(Calc!$B$7)))=0,"",INDEX(Database!C$9:C$501,ROW(Calc!A85)-ROW(Calc!$B$7))),"")</f>
        <v/>
      </c>
      <c r="D85" s="70" t="str">
        <f>IFERROR(IF(LEN(INDEX(Database!D$9:D$501,ROW(Calc!B85)-ROW(Calc!$B$7)))=0,"",INDEX(Database!D$9:D$501,ROW(Calc!B85)-ROW(Calc!$B$7))),"")</f>
        <v/>
      </c>
      <c r="E85" s="124" t="str">
        <f>IFERROR(IF(LEN(INDEX(Database!G$9:G$501,ROW(Calc!D85)-ROW(Calc!$B$7)))=0,$AD$3,INDEX(Database!G$9:G$501,ROW(Calc!D85)-ROW(Calc!$B$7))),"")</f>
        <v>Not Set</v>
      </c>
      <c r="F85" s="124" t="str">
        <f>IFERROR(IF(LEN(INDEX(Database!F$9:F$501,ROW(Calc!E85)-ROW(Calc!$B$7)))=0,$AD$3,INDEX(Database!F$9:F$501,ROW(Calc!E85)-ROW(Calc!$B$7))),"")</f>
        <v>Not Set</v>
      </c>
      <c r="G85" s="128" t="str">
        <f>IFERROR(IF(LEN(INDEX(Database!H$9:H$501,ROW(Calc!F85)-ROW(Calc!$B$7)))=0,$AD$3,INDEX(Database!H$9:H$501,ROW(Calc!F85)-ROW(Calc!$B$7))),"")</f>
        <v>Not Set</v>
      </c>
      <c r="H85" s="128" t="str">
        <f>IFERROR(IF(LEN(INDEX(Database!I$9:I$501,ROW(Calc!G85)-ROW(Calc!$B$7)))=0,$AD$3,INDEX(Database!I$9:I$501,ROW(Calc!G85)-ROW(Calc!$B$7))),"")</f>
        <v>Not Set</v>
      </c>
      <c r="I85" s="128" t="str">
        <f>IFERROR(IF(LEN(INDEX(Database!J$9:J$501,ROW(Calc!H85)-ROW(Calc!$B$7)))=0,$AD$3,INDEX(Database!J$9:J$501,ROW(Calc!H85)-ROW(Calc!$B$7))),"")</f>
        <v>Not Set</v>
      </c>
      <c r="J85" s="128" t="str">
        <f t="shared" si="14"/>
        <v>Not Set</v>
      </c>
      <c r="K85" s="124" t="str">
        <f>IFERROR(IF(LEN(INDEX(Database!E$9:E$501,ROW(Calc!I85)-ROW(Calc!$B$7)))=0,"",INDEX(Database!E$9:E$501,ROW(Calc!I85)-ROW(Calc!$B$7))),"")</f>
        <v/>
      </c>
      <c r="L85" s="129" t="str">
        <f>IFERROR(IF(LEN(INDEX(Database!K$9:K$501,ROW(Calc!K85)-ROW(Calc!$B$7)))=0,$AD$3,INDEX(Database!K$9:K$501,ROW(Calc!K85)-ROW(Calc!$B$7))),"")</f>
        <v>Not Set</v>
      </c>
      <c r="M85" s="130" t="str">
        <f>IFERROR(IF(LEN(INDEX(Database!L$9:L$501,ROW(Calc!L85)-ROW(Calc!$B$7)))=0,$AD$3,INDEX(Database!L$9:L$501,ROW(Calc!L85)-ROW(Calc!$B$7))),"")</f>
        <v>Not Set</v>
      </c>
      <c r="N85" s="131" t="str">
        <f>IFERROR(IF(LEN(INDEX(Database!M$9:M$501,ROW(Calc!M85)-ROW(Calc!$B$7)))=0,"",INDEX(Database!M$9:M$501,ROW(Calc!M85)-ROW(Calc!$B$7))),"")</f>
        <v/>
      </c>
      <c r="O85" s="132" t="str">
        <f t="shared" si="18"/>
        <v/>
      </c>
      <c r="P85" s="125" t="str">
        <f t="shared" si="15"/>
        <v>Not Set</v>
      </c>
      <c r="Q85" s="125" t="str">
        <f t="shared" si="16"/>
        <v>Not Set</v>
      </c>
      <c r="R85" s="125" t="str">
        <f>IFERROR(IF(G85=$AD$3,$AD$3,INDEX(Kanban_Helper!$C$317:$C$328,MATCH(MONTH(G85),Kanban_Helper!$B$317:$B$328,0))&amp;" - "&amp;YEAR(G85)),"$AD$3")</f>
        <v>Not Set</v>
      </c>
      <c r="S85" s="125" t="str">
        <f>IFERROR(IF(I85=$AD$3,$AD$3,INDEX(Kanban_Helper!$C$317:$C$328,MATCH(MONTH(I85),Kanban_Helper!$B$317:$B$328,0))&amp;" - "&amp;YEAR(I85)),$AD$3)</f>
        <v>Not Set</v>
      </c>
      <c r="T85" s="125" t="str">
        <f t="shared" ca="1" si="19"/>
        <v/>
      </c>
      <c r="U85" s="125" t="str">
        <f t="shared" ca="1" si="20"/>
        <v/>
      </c>
      <c r="V85" s="125" t="str">
        <f t="shared" si="17"/>
        <v>Not Set</v>
      </c>
      <c r="W85" s="126" t="str">
        <f t="shared" si="21"/>
        <v/>
      </c>
      <c r="X85" s="126" t="str">
        <f t="shared" si="22"/>
        <v/>
      </c>
      <c r="Y85" s="125" t="str">
        <f>IFERROR(IF(LEN(D85)=0,"",IF(SUBTOTAL(3,E85:E85)=0,MIN($Y$7:Y84)-1,SUBTOTAL(3,$E$8:E85))),"")</f>
        <v/>
      </c>
      <c r="Z85" s="17"/>
      <c r="AA85" s="10"/>
      <c r="AB85" s="10"/>
      <c r="AC85" s="10"/>
      <c r="AD85" s="10"/>
      <c r="AE85" s="10"/>
      <c r="AF85" s="10"/>
      <c r="AG85" s="10"/>
      <c r="AH85" s="10"/>
      <c r="AI85" s="10"/>
      <c r="AJ85" s="10"/>
      <c r="AK85" s="10"/>
      <c r="AL85" s="10"/>
      <c r="AM85" s="10"/>
      <c r="AN85" s="10"/>
    </row>
    <row r="86" spans="2:40" hidden="1" x14ac:dyDescent="0.35">
      <c r="B86" s="15"/>
      <c r="C86" s="127" t="str">
        <f>IFERROR(IF(LEN(INDEX(Database!C$9:C$501,ROW(Calc!A86)-ROW(Calc!$B$7)))=0,"",INDEX(Database!C$9:C$501,ROW(Calc!A86)-ROW(Calc!$B$7))),"")</f>
        <v/>
      </c>
      <c r="D86" s="70" t="str">
        <f>IFERROR(IF(LEN(INDEX(Database!D$9:D$501,ROW(Calc!B86)-ROW(Calc!$B$7)))=0,"",INDEX(Database!D$9:D$501,ROW(Calc!B86)-ROW(Calc!$B$7))),"")</f>
        <v/>
      </c>
      <c r="E86" s="124" t="str">
        <f>IFERROR(IF(LEN(INDEX(Database!G$9:G$501,ROW(Calc!D86)-ROW(Calc!$B$7)))=0,$AD$3,INDEX(Database!G$9:G$501,ROW(Calc!D86)-ROW(Calc!$B$7))),"")</f>
        <v>Not Set</v>
      </c>
      <c r="F86" s="124" t="str">
        <f>IFERROR(IF(LEN(INDEX(Database!F$9:F$501,ROW(Calc!E86)-ROW(Calc!$B$7)))=0,$AD$3,INDEX(Database!F$9:F$501,ROW(Calc!E86)-ROW(Calc!$B$7))),"")</f>
        <v>Not Set</v>
      </c>
      <c r="G86" s="128" t="str">
        <f>IFERROR(IF(LEN(INDEX(Database!H$9:H$501,ROW(Calc!F86)-ROW(Calc!$B$7)))=0,$AD$3,INDEX(Database!H$9:H$501,ROW(Calc!F86)-ROW(Calc!$B$7))),"")</f>
        <v>Not Set</v>
      </c>
      <c r="H86" s="128" t="str">
        <f>IFERROR(IF(LEN(INDEX(Database!I$9:I$501,ROW(Calc!G86)-ROW(Calc!$B$7)))=0,$AD$3,INDEX(Database!I$9:I$501,ROW(Calc!G86)-ROW(Calc!$B$7))),"")</f>
        <v>Not Set</v>
      </c>
      <c r="I86" s="128" t="str">
        <f>IFERROR(IF(LEN(INDEX(Database!J$9:J$501,ROW(Calc!H86)-ROW(Calc!$B$7)))=0,$AD$3,INDEX(Database!J$9:J$501,ROW(Calc!H86)-ROW(Calc!$B$7))),"")</f>
        <v>Not Set</v>
      </c>
      <c r="J86" s="128" t="str">
        <f t="shared" si="14"/>
        <v>Not Set</v>
      </c>
      <c r="K86" s="124" t="str">
        <f>IFERROR(IF(LEN(INDEX(Database!E$9:E$501,ROW(Calc!I86)-ROW(Calc!$B$7)))=0,"",INDEX(Database!E$9:E$501,ROW(Calc!I86)-ROW(Calc!$B$7))),"")</f>
        <v/>
      </c>
      <c r="L86" s="129" t="str">
        <f>IFERROR(IF(LEN(INDEX(Database!K$9:K$501,ROW(Calc!K86)-ROW(Calc!$B$7)))=0,$AD$3,INDEX(Database!K$9:K$501,ROW(Calc!K86)-ROW(Calc!$B$7))),"")</f>
        <v>Not Set</v>
      </c>
      <c r="M86" s="130" t="str">
        <f>IFERROR(IF(LEN(INDEX(Database!L$9:L$501,ROW(Calc!L86)-ROW(Calc!$B$7)))=0,$AD$3,INDEX(Database!L$9:L$501,ROW(Calc!L86)-ROW(Calc!$B$7))),"")</f>
        <v>Not Set</v>
      </c>
      <c r="N86" s="131" t="str">
        <f>IFERROR(IF(LEN(INDEX(Database!M$9:M$501,ROW(Calc!M86)-ROW(Calc!$B$7)))=0,"",INDEX(Database!M$9:M$501,ROW(Calc!M86)-ROW(Calc!$B$7))),"")</f>
        <v/>
      </c>
      <c r="O86" s="132" t="str">
        <f t="shared" si="18"/>
        <v/>
      </c>
      <c r="P86" s="125" t="str">
        <f t="shared" si="15"/>
        <v>Not Set</v>
      </c>
      <c r="Q86" s="125" t="str">
        <f t="shared" si="16"/>
        <v>Not Set</v>
      </c>
      <c r="R86" s="125" t="str">
        <f>IFERROR(IF(G86=$AD$3,$AD$3,INDEX(Kanban_Helper!$C$317:$C$328,MATCH(MONTH(G86),Kanban_Helper!$B$317:$B$328,0))&amp;" - "&amp;YEAR(G86)),"$AD$3")</f>
        <v>Not Set</v>
      </c>
      <c r="S86" s="125" t="str">
        <f>IFERROR(IF(I86=$AD$3,$AD$3,INDEX(Kanban_Helper!$C$317:$C$328,MATCH(MONTH(I86),Kanban_Helper!$B$317:$B$328,0))&amp;" - "&amp;YEAR(I86)),$AD$3)</f>
        <v>Not Set</v>
      </c>
      <c r="T86" s="125" t="str">
        <f t="shared" ca="1" si="19"/>
        <v/>
      </c>
      <c r="U86" s="125" t="str">
        <f t="shared" ca="1" si="20"/>
        <v/>
      </c>
      <c r="V86" s="125" t="str">
        <f t="shared" si="17"/>
        <v>Not Set</v>
      </c>
      <c r="W86" s="126" t="str">
        <f t="shared" si="21"/>
        <v/>
      </c>
      <c r="X86" s="126" t="str">
        <f t="shared" si="22"/>
        <v/>
      </c>
      <c r="Y86" s="125" t="str">
        <f>IFERROR(IF(LEN(D86)=0,"",IF(SUBTOTAL(3,E86:E86)=0,MIN($Y$7:Y85)-1,SUBTOTAL(3,$E$8:E86))),"")</f>
        <v/>
      </c>
      <c r="Z86" s="17"/>
      <c r="AA86" s="10"/>
      <c r="AB86" s="10"/>
      <c r="AC86" s="10"/>
      <c r="AD86" s="10"/>
      <c r="AE86" s="10"/>
      <c r="AF86" s="10"/>
      <c r="AG86" s="10"/>
      <c r="AH86" s="10"/>
      <c r="AI86" s="10"/>
      <c r="AJ86" s="10"/>
      <c r="AK86" s="10"/>
      <c r="AL86" s="10"/>
      <c r="AM86" s="10"/>
      <c r="AN86" s="10"/>
    </row>
    <row r="87" spans="2:40" hidden="1" x14ac:dyDescent="0.35">
      <c r="B87" s="15"/>
      <c r="C87" s="127" t="str">
        <f>IFERROR(IF(LEN(INDEX(Database!C$9:C$501,ROW(Calc!A87)-ROW(Calc!$B$7)))=0,"",INDEX(Database!C$9:C$501,ROW(Calc!A87)-ROW(Calc!$B$7))),"")</f>
        <v/>
      </c>
      <c r="D87" s="70" t="str">
        <f>IFERROR(IF(LEN(INDEX(Database!D$9:D$501,ROW(Calc!B87)-ROW(Calc!$B$7)))=0,"",INDEX(Database!D$9:D$501,ROW(Calc!B87)-ROW(Calc!$B$7))),"")</f>
        <v/>
      </c>
      <c r="E87" s="124" t="str">
        <f>IFERROR(IF(LEN(INDEX(Database!G$9:G$501,ROW(Calc!D87)-ROW(Calc!$B$7)))=0,$AD$3,INDEX(Database!G$9:G$501,ROW(Calc!D87)-ROW(Calc!$B$7))),"")</f>
        <v>Not Set</v>
      </c>
      <c r="F87" s="124" t="str">
        <f>IFERROR(IF(LEN(INDEX(Database!F$9:F$501,ROW(Calc!E87)-ROW(Calc!$B$7)))=0,$AD$3,INDEX(Database!F$9:F$501,ROW(Calc!E87)-ROW(Calc!$B$7))),"")</f>
        <v>Not Set</v>
      </c>
      <c r="G87" s="128" t="str">
        <f>IFERROR(IF(LEN(INDEX(Database!H$9:H$501,ROW(Calc!F87)-ROW(Calc!$B$7)))=0,$AD$3,INDEX(Database!H$9:H$501,ROW(Calc!F87)-ROW(Calc!$B$7))),"")</f>
        <v>Not Set</v>
      </c>
      <c r="H87" s="128" t="str">
        <f>IFERROR(IF(LEN(INDEX(Database!I$9:I$501,ROW(Calc!G87)-ROW(Calc!$B$7)))=0,$AD$3,INDEX(Database!I$9:I$501,ROW(Calc!G87)-ROW(Calc!$B$7))),"")</f>
        <v>Not Set</v>
      </c>
      <c r="I87" s="128" t="str">
        <f>IFERROR(IF(LEN(INDEX(Database!J$9:J$501,ROW(Calc!H87)-ROW(Calc!$B$7)))=0,$AD$3,INDEX(Database!J$9:J$501,ROW(Calc!H87)-ROW(Calc!$B$7))),"")</f>
        <v>Not Set</v>
      </c>
      <c r="J87" s="128" t="str">
        <f t="shared" si="14"/>
        <v>Not Set</v>
      </c>
      <c r="K87" s="124" t="str">
        <f>IFERROR(IF(LEN(INDEX(Database!E$9:E$501,ROW(Calc!I87)-ROW(Calc!$B$7)))=0,"",INDEX(Database!E$9:E$501,ROW(Calc!I87)-ROW(Calc!$B$7))),"")</f>
        <v/>
      </c>
      <c r="L87" s="129" t="str">
        <f>IFERROR(IF(LEN(INDEX(Database!K$9:K$501,ROW(Calc!K87)-ROW(Calc!$B$7)))=0,$AD$3,INDEX(Database!K$9:K$501,ROW(Calc!K87)-ROW(Calc!$B$7))),"")</f>
        <v>Not Set</v>
      </c>
      <c r="M87" s="130" t="str">
        <f>IFERROR(IF(LEN(INDEX(Database!L$9:L$501,ROW(Calc!L87)-ROW(Calc!$B$7)))=0,$AD$3,INDEX(Database!L$9:L$501,ROW(Calc!L87)-ROW(Calc!$B$7))),"")</f>
        <v>Not Set</v>
      </c>
      <c r="N87" s="131" t="str">
        <f>IFERROR(IF(LEN(INDEX(Database!M$9:M$501,ROW(Calc!M87)-ROW(Calc!$B$7)))=0,"",INDEX(Database!M$9:M$501,ROW(Calc!M87)-ROW(Calc!$B$7))),"")</f>
        <v/>
      </c>
      <c r="O87" s="132" t="str">
        <f t="shared" si="18"/>
        <v/>
      </c>
      <c r="P87" s="125" t="str">
        <f t="shared" si="15"/>
        <v>Not Set</v>
      </c>
      <c r="Q87" s="125" t="str">
        <f t="shared" si="16"/>
        <v>Not Set</v>
      </c>
      <c r="R87" s="125" t="str">
        <f>IFERROR(IF(G87=$AD$3,$AD$3,INDEX(Kanban_Helper!$C$317:$C$328,MATCH(MONTH(G87),Kanban_Helper!$B$317:$B$328,0))&amp;" - "&amp;YEAR(G87)),"$AD$3")</f>
        <v>Not Set</v>
      </c>
      <c r="S87" s="125" t="str">
        <f>IFERROR(IF(I87=$AD$3,$AD$3,INDEX(Kanban_Helper!$C$317:$C$328,MATCH(MONTH(I87),Kanban_Helper!$B$317:$B$328,0))&amp;" - "&amp;YEAR(I87)),$AD$3)</f>
        <v>Not Set</v>
      </c>
      <c r="T87" s="125" t="str">
        <f t="shared" ca="1" si="19"/>
        <v/>
      </c>
      <c r="U87" s="125" t="str">
        <f t="shared" ca="1" si="20"/>
        <v/>
      </c>
      <c r="V87" s="125" t="str">
        <f t="shared" si="17"/>
        <v>Not Set</v>
      </c>
      <c r="W87" s="126" t="str">
        <f t="shared" si="21"/>
        <v/>
      </c>
      <c r="X87" s="126" t="str">
        <f t="shared" si="22"/>
        <v/>
      </c>
      <c r="Y87" s="125" t="str">
        <f>IFERROR(IF(LEN(D87)=0,"",IF(SUBTOTAL(3,E87:E87)=0,MIN($Y$7:Y86)-1,SUBTOTAL(3,$E$8:E87))),"")</f>
        <v/>
      </c>
      <c r="Z87" s="17"/>
      <c r="AA87" s="10"/>
      <c r="AB87" s="10"/>
      <c r="AC87" s="10"/>
      <c r="AD87" s="10"/>
      <c r="AE87" s="10"/>
      <c r="AF87" s="10"/>
      <c r="AG87" s="10"/>
      <c r="AH87" s="10"/>
      <c r="AI87" s="10"/>
      <c r="AJ87" s="10"/>
      <c r="AK87" s="10"/>
      <c r="AL87" s="10"/>
      <c r="AM87" s="10"/>
      <c r="AN87" s="10"/>
    </row>
    <row r="88" spans="2:40" hidden="1" x14ac:dyDescent="0.35">
      <c r="B88" s="15"/>
      <c r="C88" s="127" t="str">
        <f>IFERROR(IF(LEN(INDEX(Database!C$9:C$501,ROW(Calc!A88)-ROW(Calc!$B$7)))=0,"",INDEX(Database!C$9:C$501,ROW(Calc!A88)-ROW(Calc!$B$7))),"")</f>
        <v/>
      </c>
      <c r="D88" s="70" t="str">
        <f>IFERROR(IF(LEN(INDEX(Database!D$9:D$501,ROW(Calc!B88)-ROW(Calc!$B$7)))=0,"",INDEX(Database!D$9:D$501,ROW(Calc!B88)-ROW(Calc!$B$7))),"")</f>
        <v/>
      </c>
      <c r="E88" s="124" t="str">
        <f>IFERROR(IF(LEN(INDEX(Database!G$9:G$501,ROW(Calc!D88)-ROW(Calc!$B$7)))=0,$AD$3,INDEX(Database!G$9:G$501,ROW(Calc!D88)-ROW(Calc!$B$7))),"")</f>
        <v>Not Set</v>
      </c>
      <c r="F88" s="124" t="str">
        <f>IFERROR(IF(LEN(INDEX(Database!F$9:F$501,ROW(Calc!E88)-ROW(Calc!$B$7)))=0,$AD$3,INDEX(Database!F$9:F$501,ROW(Calc!E88)-ROW(Calc!$B$7))),"")</f>
        <v>Not Set</v>
      </c>
      <c r="G88" s="128" t="str">
        <f>IFERROR(IF(LEN(INDEX(Database!H$9:H$501,ROW(Calc!F88)-ROW(Calc!$B$7)))=0,$AD$3,INDEX(Database!H$9:H$501,ROW(Calc!F88)-ROW(Calc!$B$7))),"")</f>
        <v>Not Set</v>
      </c>
      <c r="H88" s="128" t="str">
        <f>IFERROR(IF(LEN(INDEX(Database!I$9:I$501,ROW(Calc!G88)-ROW(Calc!$B$7)))=0,$AD$3,INDEX(Database!I$9:I$501,ROW(Calc!G88)-ROW(Calc!$B$7))),"")</f>
        <v>Not Set</v>
      </c>
      <c r="I88" s="128" t="str">
        <f>IFERROR(IF(LEN(INDEX(Database!J$9:J$501,ROW(Calc!H88)-ROW(Calc!$B$7)))=0,$AD$3,INDEX(Database!J$9:J$501,ROW(Calc!H88)-ROW(Calc!$B$7))),"")</f>
        <v>Not Set</v>
      </c>
      <c r="J88" s="128" t="str">
        <f t="shared" si="14"/>
        <v>Not Set</v>
      </c>
      <c r="K88" s="124" t="str">
        <f>IFERROR(IF(LEN(INDEX(Database!E$9:E$501,ROW(Calc!I88)-ROW(Calc!$B$7)))=0,"",INDEX(Database!E$9:E$501,ROW(Calc!I88)-ROW(Calc!$B$7))),"")</f>
        <v/>
      </c>
      <c r="L88" s="129" t="str">
        <f>IFERROR(IF(LEN(INDEX(Database!K$9:K$501,ROW(Calc!K88)-ROW(Calc!$B$7)))=0,$AD$3,INDEX(Database!K$9:K$501,ROW(Calc!K88)-ROW(Calc!$B$7))),"")</f>
        <v>Not Set</v>
      </c>
      <c r="M88" s="130" t="str">
        <f>IFERROR(IF(LEN(INDEX(Database!L$9:L$501,ROW(Calc!L88)-ROW(Calc!$B$7)))=0,$AD$3,INDEX(Database!L$9:L$501,ROW(Calc!L88)-ROW(Calc!$B$7))),"")</f>
        <v>Not Set</v>
      </c>
      <c r="N88" s="131" t="str">
        <f>IFERROR(IF(LEN(INDEX(Database!M$9:M$501,ROW(Calc!M88)-ROW(Calc!$B$7)))=0,"",INDEX(Database!M$9:M$501,ROW(Calc!M88)-ROW(Calc!$B$7))),"")</f>
        <v/>
      </c>
      <c r="O88" s="132" t="str">
        <f t="shared" si="18"/>
        <v/>
      </c>
      <c r="P88" s="125" t="str">
        <f t="shared" si="15"/>
        <v>Not Set</v>
      </c>
      <c r="Q88" s="125" t="str">
        <f t="shared" si="16"/>
        <v>Not Set</v>
      </c>
      <c r="R88" s="125" t="str">
        <f>IFERROR(IF(G88=$AD$3,$AD$3,INDEX(Kanban_Helper!$C$317:$C$328,MATCH(MONTH(G88),Kanban_Helper!$B$317:$B$328,0))&amp;" - "&amp;YEAR(G88)),"$AD$3")</f>
        <v>Not Set</v>
      </c>
      <c r="S88" s="125" t="str">
        <f>IFERROR(IF(I88=$AD$3,$AD$3,INDEX(Kanban_Helper!$C$317:$C$328,MATCH(MONTH(I88),Kanban_Helper!$B$317:$B$328,0))&amp;" - "&amp;YEAR(I88)),$AD$3)</f>
        <v>Not Set</v>
      </c>
      <c r="T88" s="125" t="str">
        <f t="shared" ca="1" si="19"/>
        <v/>
      </c>
      <c r="U88" s="125" t="str">
        <f t="shared" ca="1" si="20"/>
        <v/>
      </c>
      <c r="V88" s="125" t="str">
        <f t="shared" si="17"/>
        <v>Not Set</v>
      </c>
      <c r="W88" s="126" t="str">
        <f t="shared" si="21"/>
        <v/>
      </c>
      <c r="X88" s="126" t="str">
        <f t="shared" si="22"/>
        <v/>
      </c>
      <c r="Y88" s="125" t="str">
        <f>IFERROR(IF(LEN(D88)=0,"",IF(SUBTOTAL(3,E88:E88)=0,MIN($Y$7:Y87)-1,SUBTOTAL(3,$E$8:E88))),"")</f>
        <v/>
      </c>
      <c r="Z88" s="17"/>
      <c r="AA88" s="10"/>
      <c r="AB88" s="10"/>
      <c r="AC88" s="10"/>
      <c r="AD88" s="10"/>
      <c r="AE88" s="10"/>
      <c r="AF88" s="10"/>
      <c r="AG88" s="10"/>
      <c r="AH88" s="10"/>
      <c r="AI88" s="10"/>
      <c r="AJ88" s="10"/>
      <c r="AK88" s="10"/>
      <c r="AL88" s="10"/>
      <c r="AM88" s="10"/>
      <c r="AN88" s="10"/>
    </row>
    <row r="89" spans="2:40" hidden="1" x14ac:dyDescent="0.35">
      <c r="B89" s="15"/>
      <c r="C89" s="127" t="str">
        <f>IFERROR(IF(LEN(INDEX(Database!C$9:C$501,ROW(Calc!A89)-ROW(Calc!$B$7)))=0,"",INDEX(Database!C$9:C$501,ROW(Calc!A89)-ROW(Calc!$B$7))),"")</f>
        <v/>
      </c>
      <c r="D89" s="70" t="str">
        <f>IFERROR(IF(LEN(INDEX(Database!D$9:D$501,ROW(Calc!B89)-ROW(Calc!$B$7)))=0,"",INDEX(Database!D$9:D$501,ROW(Calc!B89)-ROW(Calc!$B$7))),"")</f>
        <v/>
      </c>
      <c r="E89" s="124" t="str">
        <f>IFERROR(IF(LEN(INDEX(Database!G$9:G$501,ROW(Calc!D89)-ROW(Calc!$B$7)))=0,$AD$3,INDEX(Database!G$9:G$501,ROW(Calc!D89)-ROW(Calc!$B$7))),"")</f>
        <v>Not Set</v>
      </c>
      <c r="F89" s="124" t="str">
        <f>IFERROR(IF(LEN(INDEX(Database!F$9:F$501,ROW(Calc!E89)-ROW(Calc!$B$7)))=0,$AD$3,INDEX(Database!F$9:F$501,ROW(Calc!E89)-ROW(Calc!$B$7))),"")</f>
        <v>Not Set</v>
      </c>
      <c r="G89" s="128" t="str">
        <f>IFERROR(IF(LEN(INDEX(Database!H$9:H$501,ROW(Calc!F89)-ROW(Calc!$B$7)))=0,$AD$3,INDEX(Database!H$9:H$501,ROW(Calc!F89)-ROW(Calc!$B$7))),"")</f>
        <v>Not Set</v>
      </c>
      <c r="H89" s="128" t="str">
        <f>IFERROR(IF(LEN(INDEX(Database!I$9:I$501,ROW(Calc!G89)-ROW(Calc!$B$7)))=0,$AD$3,INDEX(Database!I$9:I$501,ROW(Calc!G89)-ROW(Calc!$B$7))),"")</f>
        <v>Not Set</v>
      </c>
      <c r="I89" s="128" t="str">
        <f>IFERROR(IF(LEN(INDEX(Database!J$9:J$501,ROW(Calc!H89)-ROW(Calc!$B$7)))=0,$AD$3,INDEX(Database!J$9:J$501,ROW(Calc!H89)-ROW(Calc!$B$7))),"")</f>
        <v>Not Set</v>
      </c>
      <c r="J89" s="128" t="str">
        <f t="shared" si="14"/>
        <v>Not Set</v>
      </c>
      <c r="K89" s="124" t="str">
        <f>IFERROR(IF(LEN(INDEX(Database!E$9:E$501,ROW(Calc!I89)-ROW(Calc!$B$7)))=0,"",INDEX(Database!E$9:E$501,ROW(Calc!I89)-ROW(Calc!$B$7))),"")</f>
        <v/>
      </c>
      <c r="L89" s="129" t="str">
        <f>IFERROR(IF(LEN(INDEX(Database!K$9:K$501,ROW(Calc!K89)-ROW(Calc!$B$7)))=0,$AD$3,INDEX(Database!K$9:K$501,ROW(Calc!K89)-ROW(Calc!$B$7))),"")</f>
        <v>Not Set</v>
      </c>
      <c r="M89" s="130" t="str">
        <f>IFERROR(IF(LEN(INDEX(Database!L$9:L$501,ROW(Calc!L89)-ROW(Calc!$B$7)))=0,$AD$3,INDEX(Database!L$9:L$501,ROW(Calc!L89)-ROW(Calc!$B$7))),"")</f>
        <v>Not Set</v>
      </c>
      <c r="N89" s="131" t="str">
        <f>IFERROR(IF(LEN(INDEX(Database!M$9:M$501,ROW(Calc!M89)-ROW(Calc!$B$7)))=0,"",INDEX(Database!M$9:M$501,ROW(Calc!M89)-ROW(Calc!$B$7))),"")</f>
        <v/>
      </c>
      <c r="O89" s="132" t="str">
        <f t="shared" si="18"/>
        <v/>
      </c>
      <c r="P89" s="125" t="str">
        <f t="shared" si="15"/>
        <v>Not Set</v>
      </c>
      <c r="Q89" s="125" t="str">
        <f t="shared" si="16"/>
        <v>Not Set</v>
      </c>
      <c r="R89" s="125" t="str">
        <f>IFERROR(IF(G89=$AD$3,$AD$3,INDEX(Kanban_Helper!$C$317:$C$328,MATCH(MONTH(G89),Kanban_Helper!$B$317:$B$328,0))&amp;" - "&amp;YEAR(G89)),"$AD$3")</f>
        <v>Not Set</v>
      </c>
      <c r="S89" s="125" t="str">
        <f>IFERROR(IF(I89=$AD$3,$AD$3,INDEX(Kanban_Helper!$C$317:$C$328,MATCH(MONTH(I89),Kanban_Helper!$B$317:$B$328,0))&amp;" - "&amp;YEAR(I89)),$AD$3)</f>
        <v>Not Set</v>
      </c>
      <c r="T89" s="125" t="str">
        <f t="shared" ca="1" si="19"/>
        <v/>
      </c>
      <c r="U89" s="125" t="str">
        <f t="shared" ca="1" si="20"/>
        <v/>
      </c>
      <c r="V89" s="125" t="str">
        <f t="shared" si="17"/>
        <v>Not Set</v>
      </c>
      <c r="W89" s="126" t="str">
        <f t="shared" si="21"/>
        <v/>
      </c>
      <c r="X89" s="126" t="str">
        <f t="shared" si="22"/>
        <v/>
      </c>
      <c r="Y89" s="125" t="str">
        <f>IFERROR(IF(LEN(D89)=0,"",IF(SUBTOTAL(3,E89:E89)=0,MIN($Y$7:Y88)-1,SUBTOTAL(3,$E$8:E89))),"")</f>
        <v/>
      </c>
      <c r="Z89" s="17"/>
      <c r="AA89" s="10"/>
      <c r="AB89" s="10"/>
      <c r="AC89" s="10"/>
      <c r="AD89" s="10"/>
      <c r="AE89" s="10"/>
      <c r="AF89" s="10"/>
      <c r="AG89" s="10"/>
      <c r="AH89" s="10"/>
      <c r="AI89" s="10"/>
      <c r="AJ89" s="10"/>
      <c r="AK89" s="10"/>
      <c r="AL89" s="10"/>
      <c r="AM89" s="10"/>
      <c r="AN89" s="10"/>
    </row>
    <row r="90" spans="2:40" hidden="1" x14ac:dyDescent="0.35">
      <c r="B90" s="15"/>
      <c r="C90" s="127" t="str">
        <f>IFERROR(IF(LEN(INDEX(Database!C$9:C$501,ROW(Calc!A90)-ROW(Calc!$B$7)))=0,"",INDEX(Database!C$9:C$501,ROW(Calc!A90)-ROW(Calc!$B$7))),"")</f>
        <v/>
      </c>
      <c r="D90" s="70" t="str">
        <f>IFERROR(IF(LEN(INDEX(Database!D$9:D$501,ROW(Calc!B90)-ROW(Calc!$B$7)))=0,"",INDEX(Database!D$9:D$501,ROW(Calc!B90)-ROW(Calc!$B$7))),"")</f>
        <v/>
      </c>
      <c r="E90" s="124" t="str">
        <f>IFERROR(IF(LEN(INDEX(Database!G$9:G$501,ROW(Calc!D90)-ROW(Calc!$B$7)))=0,$AD$3,INDEX(Database!G$9:G$501,ROW(Calc!D90)-ROW(Calc!$B$7))),"")</f>
        <v>Not Set</v>
      </c>
      <c r="F90" s="124" t="str">
        <f>IFERROR(IF(LEN(INDEX(Database!F$9:F$501,ROW(Calc!E90)-ROW(Calc!$B$7)))=0,$AD$3,INDEX(Database!F$9:F$501,ROW(Calc!E90)-ROW(Calc!$B$7))),"")</f>
        <v>Not Set</v>
      </c>
      <c r="G90" s="128" t="str">
        <f>IFERROR(IF(LEN(INDEX(Database!H$9:H$501,ROW(Calc!F90)-ROW(Calc!$B$7)))=0,$AD$3,INDEX(Database!H$9:H$501,ROW(Calc!F90)-ROW(Calc!$B$7))),"")</f>
        <v>Not Set</v>
      </c>
      <c r="H90" s="128" t="str">
        <f>IFERROR(IF(LEN(INDEX(Database!I$9:I$501,ROW(Calc!G90)-ROW(Calc!$B$7)))=0,$AD$3,INDEX(Database!I$9:I$501,ROW(Calc!G90)-ROW(Calc!$B$7))),"")</f>
        <v>Not Set</v>
      </c>
      <c r="I90" s="128" t="str">
        <f>IFERROR(IF(LEN(INDEX(Database!J$9:J$501,ROW(Calc!H90)-ROW(Calc!$B$7)))=0,$AD$3,INDEX(Database!J$9:J$501,ROW(Calc!H90)-ROW(Calc!$B$7))),"")</f>
        <v>Not Set</v>
      </c>
      <c r="J90" s="128" t="str">
        <f t="shared" si="14"/>
        <v>Not Set</v>
      </c>
      <c r="K90" s="124" t="str">
        <f>IFERROR(IF(LEN(INDEX(Database!E$9:E$501,ROW(Calc!I90)-ROW(Calc!$B$7)))=0,"",INDEX(Database!E$9:E$501,ROW(Calc!I90)-ROW(Calc!$B$7))),"")</f>
        <v/>
      </c>
      <c r="L90" s="129" t="str">
        <f>IFERROR(IF(LEN(INDEX(Database!K$9:K$501,ROW(Calc!K90)-ROW(Calc!$B$7)))=0,$AD$3,INDEX(Database!K$9:K$501,ROW(Calc!K90)-ROW(Calc!$B$7))),"")</f>
        <v>Not Set</v>
      </c>
      <c r="M90" s="130" t="str">
        <f>IFERROR(IF(LEN(INDEX(Database!L$9:L$501,ROW(Calc!L90)-ROW(Calc!$B$7)))=0,$AD$3,INDEX(Database!L$9:L$501,ROW(Calc!L90)-ROW(Calc!$B$7))),"")</f>
        <v>Not Set</v>
      </c>
      <c r="N90" s="131" t="str">
        <f>IFERROR(IF(LEN(INDEX(Database!M$9:M$501,ROW(Calc!M90)-ROW(Calc!$B$7)))=0,"",INDEX(Database!M$9:M$501,ROW(Calc!M90)-ROW(Calc!$B$7))),"")</f>
        <v/>
      </c>
      <c r="O90" s="132" t="str">
        <f t="shared" si="18"/>
        <v/>
      </c>
      <c r="P90" s="125" t="str">
        <f t="shared" si="15"/>
        <v>Not Set</v>
      </c>
      <c r="Q90" s="125" t="str">
        <f t="shared" si="16"/>
        <v>Not Set</v>
      </c>
      <c r="R90" s="125" t="str">
        <f>IFERROR(IF(G90=$AD$3,$AD$3,INDEX(Kanban_Helper!$C$317:$C$328,MATCH(MONTH(G90),Kanban_Helper!$B$317:$B$328,0))&amp;" - "&amp;YEAR(G90)),"$AD$3")</f>
        <v>Not Set</v>
      </c>
      <c r="S90" s="125" t="str">
        <f>IFERROR(IF(I90=$AD$3,$AD$3,INDEX(Kanban_Helper!$C$317:$C$328,MATCH(MONTH(I90),Kanban_Helper!$B$317:$B$328,0))&amp;" - "&amp;YEAR(I90)),$AD$3)</f>
        <v>Not Set</v>
      </c>
      <c r="T90" s="125" t="str">
        <f t="shared" ca="1" si="19"/>
        <v/>
      </c>
      <c r="U90" s="125" t="str">
        <f t="shared" ca="1" si="20"/>
        <v/>
      </c>
      <c r="V90" s="125" t="str">
        <f t="shared" si="17"/>
        <v>Not Set</v>
      </c>
      <c r="W90" s="126" t="str">
        <f t="shared" si="21"/>
        <v/>
      </c>
      <c r="X90" s="126" t="str">
        <f t="shared" si="22"/>
        <v/>
      </c>
      <c r="Y90" s="125" t="str">
        <f>IFERROR(IF(LEN(D90)=0,"",IF(SUBTOTAL(3,E90:E90)=0,MIN($Y$7:Y89)-1,SUBTOTAL(3,$E$8:E90))),"")</f>
        <v/>
      </c>
      <c r="Z90" s="17"/>
      <c r="AA90" s="10"/>
      <c r="AB90" s="10"/>
      <c r="AC90" s="10"/>
      <c r="AD90" s="10"/>
      <c r="AE90" s="10"/>
      <c r="AF90" s="10"/>
      <c r="AG90" s="10"/>
      <c r="AH90" s="10"/>
      <c r="AI90" s="10"/>
      <c r="AJ90" s="10"/>
      <c r="AK90" s="10"/>
      <c r="AL90" s="10"/>
      <c r="AM90" s="10"/>
      <c r="AN90" s="10"/>
    </row>
    <row r="91" spans="2:40" hidden="1" x14ac:dyDescent="0.35">
      <c r="B91" s="15"/>
      <c r="C91" s="127" t="str">
        <f>IFERROR(IF(LEN(INDEX(Database!C$9:C$501,ROW(Calc!A91)-ROW(Calc!$B$7)))=0,"",INDEX(Database!C$9:C$501,ROW(Calc!A91)-ROW(Calc!$B$7))),"")</f>
        <v/>
      </c>
      <c r="D91" s="70" t="str">
        <f>IFERROR(IF(LEN(INDEX(Database!D$9:D$501,ROW(Calc!B91)-ROW(Calc!$B$7)))=0,"",INDEX(Database!D$9:D$501,ROW(Calc!B91)-ROW(Calc!$B$7))),"")</f>
        <v/>
      </c>
      <c r="E91" s="124" t="str">
        <f>IFERROR(IF(LEN(INDEX(Database!G$9:G$501,ROW(Calc!D91)-ROW(Calc!$B$7)))=0,$AD$3,INDEX(Database!G$9:G$501,ROW(Calc!D91)-ROW(Calc!$B$7))),"")</f>
        <v>Not Set</v>
      </c>
      <c r="F91" s="124" t="str">
        <f>IFERROR(IF(LEN(INDEX(Database!F$9:F$501,ROW(Calc!E91)-ROW(Calc!$B$7)))=0,$AD$3,INDEX(Database!F$9:F$501,ROW(Calc!E91)-ROW(Calc!$B$7))),"")</f>
        <v>Not Set</v>
      </c>
      <c r="G91" s="128" t="str">
        <f>IFERROR(IF(LEN(INDEX(Database!H$9:H$501,ROW(Calc!F91)-ROW(Calc!$B$7)))=0,$AD$3,INDEX(Database!H$9:H$501,ROW(Calc!F91)-ROW(Calc!$B$7))),"")</f>
        <v>Not Set</v>
      </c>
      <c r="H91" s="128" t="str">
        <f>IFERROR(IF(LEN(INDEX(Database!I$9:I$501,ROW(Calc!G91)-ROW(Calc!$B$7)))=0,$AD$3,INDEX(Database!I$9:I$501,ROW(Calc!G91)-ROW(Calc!$B$7))),"")</f>
        <v>Not Set</v>
      </c>
      <c r="I91" s="128" t="str">
        <f>IFERROR(IF(LEN(INDEX(Database!J$9:J$501,ROW(Calc!H91)-ROW(Calc!$B$7)))=0,$AD$3,INDEX(Database!J$9:J$501,ROW(Calc!H91)-ROW(Calc!$B$7))),"")</f>
        <v>Not Set</v>
      </c>
      <c r="J91" s="128" t="str">
        <f t="shared" si="14"/>
        <v>Not Set</v>
      </c>
      <c r="K91" s="124" t="str">
        <f>IFERROR(IF(LEN(INDEX(Database!E$9:E$501,ROW(Calc!I91)-ROW(Calc!$B$7)))=0,"",INDEX(Database!E$9:E$501,ROW(Calc!I91)-ROW(Calc!$B$7))),"")</f>
        <v/>
      </c>
      <c r="L91" s="129" t="str">
        <f>IFERROR(IF(LEN(INDEX(Database!K$9:K$501,ROW(Calc!K91)-ROW(Calc!$B$7)))=0,$AD$3,INDEX(Database!K$9:K$501,ROW(Calc!K91)-ROW(Calc!$B$7))),"")</f>
        <v>Not Set</v>
      </c>
      <c r="M91" s="130" t="str">
        <f>IFERROR(IF(LEN(INDEX(Database!L$9:L$501,ROW(Calc!L91)-ROW(Calc!$B$7)))=0,$AD$3,INDEX(Database!L$9:L$501,ROW(Calc!L91)-ROW(Calc!$B$7))),"")</f>
        <v>Not Set</v>
      </c>
      <c r="N91" s="131" t="str">
        <f>IFERROR(IF(LEN(INDEX(Database!M$9:M$501,ROW(Calc!M91)-ROW(Calc!$B$7)))=0,"",INDEX(Database!M$9:M$501,ROW(Calc!M91)-ROW(Calc!$B$7))),"")</f>
        <v/>
      </c>
      <c r="O91" s="132" t="str">
        <f t="shared" si="18"/>
        <v/>
      </c>
      <c r="P91" s="125" t="str">
        <f t="shared" si="15"/>
        <v>Not Set</v>
      </c>
      <c r="Q91" s="125" t="str">
        <f t="shared" si="16"/>
        <v>Not Set</v>
      </c>
      <c r="R91" s="125" t="str">
        <f>IFERROR(IF(G91=$AD$3,$AD$3,INDEX(Kanban_Helper!$C$317:$C$328,MATCH(MONTH(G91),Kanban_Helper!$B$317:$B$328,0))&amp;" - "&amp;YEAR(G91)),"$AD$3")</f>
        <v>Not Set</v>
      </c>
      <c r="S91" s="125" t="str">
        <f>IFERROR(IF(I91=$AD$3,$AD$3,INDEX(Kanban_Helper!$C$317:$C$328,MATCH(MONTH(I91),Kanban_Helper!$B$317:$B$328,0))&amp;" - "&amp;YEAR(I91)),$AD$3)</f>
        <v>Not Set</v>
      </c>
      <c r="T91" s="125" t="str">
        <f t="shared" ca="1" si="19"/>
        <v/>
      </c>
      <c r="U91" s="125" t="str">
        <f t="shared" ca="1" si="20"/>
        <v/>
      </c>
      <c r="V91" s="125" t="str">
        <f t="shared" si="17"/>
        <v>Not Set</v>
      </c>
      <c r="W91" s="126" t="str">
        <f t="shared" si="21"/>
        <v/>
      </c>
      <c r="X91" s="126" t="str">
        <f t="shared" si="22"/>
        <v/>
      </c>
      <c r="Y91" s="125" t="str">
        <f>IFERROR(IF(LEN(D91)=0,"",IF(SUBTOTAL(3,E91:E91)=0,MIN($Y$7:Y90)-1,SUBTOTAL(3,$E$8:E91))),"")</f>
        <v/>
      </c>
      <c r="Z91" s="17"/>
      <c r="AA91" s="10"/>
      <c r="AB91" s="10"/>
      <c r="AC91" s="10"/>
      <c r="AD91" s="10"/>
      <c r="AE91" s="10"/>
      <c r="AF91" s="10"/>
      <c r="AG91" s="10"/>
      <c r="AH91" s="10"/>
      <c r="AI91" s="10"/>
      <c r="AJ91" s="10"/>
      <c r="AK91" s="10"/>
      <c r="AL91" s="10"/>
      <c r="AM91" s="10"/>
      <c r="AN91" s="10"/>
    </row>
    <row r="92" spans="2:40" hidden="1" x14ac:dyDescent="0.35">
      <c r="B92" s="15"/>
      <c r="C92" s="127" t="str">
        <f>IFERROR(IF(LEN(INDEX(Database!C$9:C$501,ROW(Calc!A92)-ROW(Calc!$B$7)))=0,"",INDEX(Database!C$9:C$501,ROW(Calc!A92)-ROW(Calc!$B$7))),"")</f>
        <v/>
      </c>
      <c r="D92" s="70" t="str">
        <f>IFERROR(IF(LEN(INDEX(Database!D$9:D$501,ROW(Calc!B92)-ROW(Calc!$B$7)))=0,"",INDEX(Database!D$9:D$501,ROW(Calc!B92)-ROW(Calc!$B$7))),"")</f>
        <v/>
      </c>
      <c r="E92" s="124" t="str">
        <f>IFERROR(IF(LEN(INDEX(Database!G$9:G$501,ROW(Calc!D92)-ROW(Calc!$B$7)))=0,$AD$3,INDEX(Database!G$9:G$501,ROW(Calc!D92)-ROW(Calc!$B$7))),"")</f>
        <v>Not Set</v>
      </c>
      <c r="F92" s="124" t="str">
        <f>IFERROR(IF(LEN(INDEX(Database!F$9:F$501,ROW(Calc!E92)-ROW(Calc!$B$7)))=0,$AD$3,INDEX(Database!F$9:F$501,ROW(Calc!E92)-ROW(Calc!$B$7))),"")</f>
        <v>Not Set</v>
      </c>
      <c r="G92" s="128" t="str">
        <f>IFERROR(IF(LEN(INDEX(Database!H$9:H$501,ROW(Calc!F92)-ROW(Calc!$B$7)))=0,$AD$3,INDEX(Database!H$9:H$501,ROW(Calc!F92)-ROW(Calc!$B$7))),"")</f>
        <v>Not Set</v>
      </c>
      <c r="H92" s="128" t="str">
        <f>IFERROR(IF(LEN(INDEX(Database!I$9:I$501,ROW(Calc!G92)-ROW(Calc!$B$7)))=0,$AD$3,INDEX(Database!I$9:I$501,ROW(Calc!G92)-ROW(Calc!$B$7))),"")</f>
        <v>Not Set</v>
      </c>
      <c r="I92" s="128" t="str">
        <f>IFERROR(IF(LEN(INDEX(Database!J$9:J$501,ROW(Calc!H92)-ROW(Calc!$B$7)))=0,$AD$3,INDEX(Database!J$9:J$501,ROW(Calc!H92)-ROW(Calc!$B$7))),"")</f>
        <v>Not Set</v>
      </c>
      <c r="J92" s="128" t="str">
        <f t="shared" si="14"/>
        <v>Not Set</v>
      </c>
      <c r="K92" s="124" t="str">
        <f>IFERROR(IF(LEN(INDEX(Database!E$9:E$501,ROW(Calc!I92)-ROW(Calc!$B$7)))=0,"",INDEX(Database!E$9:E$501,ROW(Calc!I92)-ROW(Calc!$B$7))),"")</f>
        <v/>
      </c>
      <c r="L92" s="129" t="str">
        <f>IFERROR(IF(LEN(INDEX(Database!K$9:K$501,ROW(Calc!K92)-ROW(Calc!$B$7)))=0,$AD$3,INDEX(Database!K$9:K$501,ROW(Calc!K92)-ROW(Calc!$B$7))),"")</f>
        <v>Not Set</v>
      </c>
      <c r="M92" s="130" t="str">
        <f>IFERROR(IF(LEN(INDEX(Database!L$9:L$501,ROW(Calc!L92)-ROW(Calc!$B$7)))=0,$AD$3,INDEX(Database!L$9:L$501,ROW(Calc!L92)-ROW(Calc!$B$7))),"")</f>
        <v>Not Set</v>
      </c>
      <c r="N92" s="131" t="str">
        <f>IFERROR(IF(LEN(INDEX(Database!M$9:M$501,ROW(Calc!M92)-ROW(Calc!$B$7)))=0,"",INDEX(Database!M$9:M$501,ROW(Calc!M92)-ROW(Calc!$B$7))),"")</f>
        <v/>
      </c>
      <c r="O92" s="132" t="str">
        <f t="shared" si="18"/>
        <v/>
      </c>
      <c r="P92" s="125" t="str">
        <f t="shared" si="15"/>
        <v>Not Set</v>
      </c>
      <c r="Q92" s="125" t="str">
        <f t="shared" si="16"/>
        <v>Not Set</v>
      </c>
      <c r="R92" s="125" t="str">
        <f>IFERROR(IF(G92=$AD$3,$AD$3,INDEX(Kanban_Helper!$C$317:$C$328,MATCH(MONTH(G92),Kanban_Helper!$B$317:$B$328,0))&amp;" - "&amp;YEAR(G92)),"$AD$3")</f>
        <v>Not Set</v>
      </c>
      <c r="S92" s="125" t="str">
        <f>IFERROR(IF(I92=$AD$3,$AD$3,INDEX(Kanban_Helper!$C$317:$C$328,MATCH(MONTH(I92),Kanban_Helper!$B$317:$B$328,0))&amp;" - "&amp;YEAR(I92)),$AD$3)</f>
        <v>Not Set</v>
      </c>
      <c r="T92" s="125" t="str">
        <f t="shared" ca="1" si="19"/>
        <v/>
      </c>
      <c r="U92" s="125" t="str">
        <f t="shared" ca="1" si="20"/>
        <v/>
      </c>
      <c r="V92" s="125" t="str">
        <f t="shared" si="17"/>
        <v>Not Set</v>
      </c>
      <c r="W92" s="126" t="str">
        <f t="shared" si="21"/>
        <v/>
      </c>
      <c r="X92" s="126" t="str">
        <f t="shared" si="22"/>
        <v/>
      </c>
      <c r="Y92" s="125" t="str">
        <f>IFERROR(IF(LEN(D92)=0,"",IF(SUBTOTAL(3,E92:E92)=0,MIN($Y$7:Y91)-1,SUBTOTAL(3,$E$8:E92))),"")</f>
        <v/>
      </c>
      <c r="Z92" s="17"/>
      <c r="AA92" s="10"/>
      <c r="AB92" s="10"/>
      <c r="AC92" s="10"/>
      <c r="AD92" s="10"/>
      <c r="AE92" s="10"/>
      <c r="AF92" s="10"/>
      <c r="AG92" s="10"/>
      <c r="AH92" s="10"/>
      <c r="AI92" s="10"/>
      <c r="AJ92" s="10"/>
      <c r="AK92" s="10"/>
      <c r="AL92" s="10"/>
      <c r="AM92" s="10"/>
      <c r="AN92" s="10"/>
    </row>
    <row r="93" spans="2:40" hidden="1" x14ac:dyDescent="0.35">
      <c r="B93" s="15"/>
      <c r="C93" s="127" t="str">
        <f>IFERROR(IF(LEN(INDEX(Database!C$9:C$501,ROW(Calc!A93)-ROW(Calc!$B$7)))=0,"",INDEX(Database!C$9:C$501,ROW(Calc!A93)-ROW(Calc!$B$7))),"")</f>
        <v/>
      </c>
      <c r="D93" s="70" t="str">
        <f>IFERROR(IF(LEN(INDEX(Database!D$9:D$501,ROW(Calc!B93)-ROW(Calc!$B$7)))=0,"",INDEX(Database!D$9:D$501,ROW(Calc!B93)-ROW(Calc!$B$7))),"")</f>
        <v/>
      </c>
      <c r="E93" s="124" t="str">
        <f>IFERROR(IF(LEN(INDEX(Database!G$9:G$501,ROW(Calc!D93)-ROW(Calc!$B$7)))=0,$AD$3,INDEX(Database!G$9:G$501,ROW(Calc!D93)-ROW(Calc!$B$7))),"")</f>
        <v>Not Set</v>
      </c>
      <c r="F93" s="124" t="str">
        <f>IFERROR(IF(LEN(INDEX(Database!F$9:F$501,ROW(Calc!E93)-ROW(Calc!$B$7)))=0,$AD$3,INDEX(Database!F$9:F$501,ROW(Calc!E93)-ROW(Calc!$B$7))),"")</f>
        <v>Not Set</v>
      </c>
      <c r="G93" s="128" t="str">
        <f>IFERROR(IF(LEN(INDEX(Database!H$9:H$501,ROW(Calc!F93)-ROW(Calc!$B$7)))=0,$AD$3,INDEX(Database!H$9:H$501,ROW(Calc!F93)-ROW(Calc!$B$7))),"")</f>
        <v>Not Set</v>
      </c>
      <c r="H93" s="128" t="str">
        <f>IFERROR(IF(LEN(INDEX(Database!I$9:I$501,ROW(Calc!G93)-ROW(Calc!$B$7)))=0,$AD$3,INDEX(Database!I$9:I$501,ROW(Calc!G93)-ROW(Calc!$B$7))),"")</f>
        <v>Not Set</v>
      </c>
      <c r="I93" s="128" t="str">
        <f>IFERROR(IF(LEN(INDEX(Database!J$9:J$501,ROW(Calc!H93)-ROW(Calc!$B$7)))=0,$AD$3,INDEX(Database!J$9:J$501,ROW(Calc!H93)-ROW(Calc!$B$7))),"")</f>
        <v>Not Set</v>
      </c>
      <c r="J93" s="128" t="str">
        <f t="shared" si="14"/>
        <v>Not Set</v>
      </c>
      <c r="K93" s="124" t="str">
        <f>IFERROR(IF(LEN(INDEX(Database!E$9:E$501,ROW(Calc!I93)-ROW(Calc!$B$7)))=0,"",INDEX(Database!E$9:E$501,ROW(Calc!I93)-ROW(Calc!$B$7))),"")</f>
        <v/>
      </c>
      <c r="L93" s="129" t="str">
        <f>IFERROR(IF(LEN(INDEX(Database!K$9:K$501,ROW(Calc!K93)-ROW(Calc!$B$7)))=0,$AD$3,INDEX(Database!K$9:K$501,ROW(Calc!K93)-ROW(Calc!$B$7))),"")</f>
        <v>Not Set</v>
      </c>
      <c r="M93" s="130" t="str">
        <f>IFERROR(IF(LEN(INDEX(Database!L$9:L$501,ROW(Calc!L93)-ROW(Calc!$B$7)))=0,$AD$3,INDEX(Database!L$9:L$501,ROW(Calc!L93)-ROW(Calc!$B$7))),"")</f>
        <v>Not Set</v>
      </c>
      <c r="N93" s="131" t="str">
        <f>IFERROR(IF(LEN(INDEX(Database!M$9:M$501,ROW(Calc!M93)-ROW(Calc!$B$7)))=0,"",INDEX(Database!M$9:M$501,ROW(Calc!M93)-ROW(Calc!$B$7))),"")</f>
        <v/>
      </c>
      <c r="O93" s="132" t="str">
        <f t="shared" si="18"/>
        <v/>
      </c>
      <c r="P93" s="125" t="str">
        <f t="shared" si="15"/>
        <v>Not Set</v>
      </c>
      <c r="Q93" s="125" t="str">
        <f t="shared" si="16"/>
        <v>Not Set</v>
      </c>
      <c r="R93" s="125" t="str">
        <f>IFERROR(IF(G93=$AD$3,$AD$3,INDEX(Kanban_Helper!$C$317:$C$328,MATCH(MONTH(G93),Kanban_Helper!$B$317:$B$328,0))&amp;" - "&amp;YEAR(G93)),"$AD$3")</f>
        <v>Not Set</v>
      </c>
      <c r="S93" s="125" t="str">
        <f>IFERROR(IF(I93=$AD$3,$AD$3,INDEX(Kanban_Helper!$C$317:$C$328,MATCH(MONTH(I93),Kanban_Helper!$B$317:$B$328,0))&amp;" - "&amp;YEAR(I93)),$AD$3)</f>
        <v>Not Set</v>
      </c>
      <c r="T93" s="125" t="str">
        <f t="shared" ca="1" si="19"/>
        <v/>
      </c>
      <c r="U93" s="125" t="str">
        <f t="shared" ca="1" si="20"/>
        <v/>
      </c>
      <c r="V93" s="125" t="str">
        <f t="shared" si="17"/>
        <v>Not Set</v>
      </c>
      <c r="W93" s="126" t="str">
        <f t="shared" si="21"/>
        <v/>
      </c>
      <c r="X93" s="126" t="str">
        <f t="shared" si="22"/>
        <v/>
      </c>
      <c r="Y93" s="125" t="str">
        <f>IFERROR(IF(LEN(D93)=0,"",IF(SUBTOTAL(3,E93:E93)=0,MIN($Y$7:Y92)-1,SUBTOTAL(3,$E$8:E93))),"")</f>
        <v/>
      </c>
      <c r="Z93" s="17"/>
      <c r="AA93" s="10"/>
      <c r="AB93" s="10"/>
      <c r="AC93" s="10"/>
      <c r="AD93" s="10"/>
      <c r="AE93" s="10"/>
      <c r="AF93" s="10"/>
      <c r="AG93" s="10"/>
      <c r="AH93" s="10"/>
      <c r="AI93" s="10"/>
      <c r="AJ93" s="10"/>
      <c r="AK93" s="10"/>
      <c r="AL93" s="10"/>
      <c r="AM93" s="10"/>
      <c r="AN93" s="10"/>
    </row>
    <row r="94" spans="2:40" hidden="1" x14ac:dyDescent="0.35">
      <c r="B94" s="15"/>
      <c r="C94" s="127" t="str">
        <f>IFERROR(IF(LEN(INDEX(Database!C$9:C$501,ROW(Calc!A94)-ROW(Calc!$B$7)))=0,"",INDEX(Database!C$9:C$501,ROW(Calc!A94)-ROW(Calc!$B$7))),"")</f>
        <v/>
      </c>
      <c r="D94" s="70" t="str">
        <f>IFERROR(IF(LEN(INDEX(Database!D$9:D$501,ROW(Calc!B94)-ROW(Calc!$B$7)))=0,"",INDEX(Database!D$9:D$501,ROW(Calc!B94)-ROW(Calc!$B$7))),"")</f>
        <v/>
      </c>
      <c r="E94" s="124" t="str">
        <f>IFERROR(IF(LEN(INDEX(Database!G$9:G$501,ROW(Calc!D94)-ROW(Calc!$B$7)))=0,$AD$3,INDEX(Database!G$9:G$501,ROW(Calc!D94)-ROW(Calc!$B$7))),"")</f>
        <v>Not Set</v>
      </c>
      <c r="F94" s="124" t="str">
        <f>IFERROR(IF(LEN(INDEX(Database!F$9:F$501,ROW(Calc!E94)-ROW(Calc!$B$7)))=0,$AD$3,INDEX(Database!F$9:F$501,ROW(Calc!E94)-ROW(Calc!$B$7))),"")</f>
        <v>Not Set</v>
      </c>
      <c r="G94" s="128" t="str">
        <f>IFERROR(IF(LEN(INDEX(Database!H$9:H$501,ROW(Calc!F94)-ROW(Calc!$B$7)))=0,$AD$3,INDEX(Database!H$9:H$501,ROW(Calc!F94)-ROW(Calc!$B$7))),"")</f>
        <v>Not Set</v>
      </c>
      <c r="H94" s="128" t="str">
        <f>IFERROR(IF(LEN(INDEX(Database!I$9:I$501,ROW(Calc!G94)-ROW(Calc!$B$7)))=0,$AD$3,INDEX(Database!I$9:I$501,ROW(Calc!G94)-ROW(Calc!$B$7))),"")</f>
        <v>Not Set</v>
      </c>
      <c r="I94" s="128" t="str">
        <f>IFERROR(IF(LEN(INDEX(Database!J$9:J$501,ROW(Calc!H94)-ROW(Calc!$B$7)))=0,$AD$3,INDEX(Database!J$9:J$501,ROW(Calc!H94)-ROW(Calc!$B$7))),"")</f>
        <v>Not Set</v>
      </c>
      <c r="J94" s="128" t="str">
        <f t="shared" si="14"/>
        <v>Not Set</v>
      </c>
      <c r="K94" s="124" t="str">
        <f>IFERROR(IF(LEN(INDEX(Database!E$9:E$501,ROW(Calc!I94)-ROW(Calc!$B$7)))=0,"",INDEX(Database!E$9:E$501,ROW(Calc!I94)-ROW(Calc!$B$7))),"")</f>
        <v/>
      </c>
      <c r="L94" s="129" t="str">
        <f>IFERROR(IF(LEN(INDEX(Database!K$9:K$501,ROW(Calc!K94)-ROW(Calc!$B$7)))=0,$AD$3,INDEX(Database!K$9:K$501,ROW(Calc!K94)-ROW(Calc!$B$7))),"")</f>
        <v>Not Set</v>
      </c>
      <c r="M94" s="130" t="str">
        <f>IFERROR(IF(LEN(INDEX(Database!L$9:L$501,ROW(Calc!L94)-ROW(Calc!$B$7)))=0,$AD$3,INDEX(Database!L$9:L$501,ROW(Calc!L94)-ROW(Calc!$B$7))),"")</f>
        <v>Not Set</v>
      </c>
      <c r="N94" s="131" t="str">
        <f>IFERROR(IF(LEN(INDEX(Database!M$9:M$501,ROW(Calc!M94)-ROW(Calc!$B$7)))=0,"",INDEX(Database!M$9:M$501,ROW(Calc!M94)-ROW(Calc!$B$7))),"")</f>
        <v/>
      </c>
      <c r="O94" s="132" t="str">
        <f t="shared" si="18"/>
        <v/>
      </c>
      <c r="P94" s="125" t="str">
        <f t="shared" si="15"/>
        <v>Not Set</v>
      </c>
      <c r="Q94" s="125" t="str">
        <f t="shared" si="16"/>
        <v>Not Set</v>
      </c>
      <c r="R94" s="125" t="str">
        <f>IFERROR(IF(G94=$AD$3,$AD$3,INDEX(Kanban_Helper!$C$317:$C$328,MATCH(MONTH(G94),Kanban_Helper!$B$317:$B$328,0))&amp;" - "&amp;YEAR(G94)),"$AD$3")</f>
        <v>Not Set</v>
      </c>
      <c r="S94" s="125" t="str">
        <f>IFERROR(IF(I94=$AD$3,$AD$3,INDEX(Kanban_Helper!$C$317:$C$328,MATCH(MONTH(I94),Kanban_Helper!$B$317:$B$328,0))&amp;" - "&amp;YEAR(I94)),$AD$3)</f>
        <v>Not Set</v>
      </c>
      <c r="T94" s="125" t="str">
        <f t="shared" ca="1" si="19"/>
        <v/>
      </c>
      <c r="U94" s="125" t="str">
        <f t="shared" ca="1" si="20"/>
        <v/>
      </c>
      <c r="V94" s="125" t="str">
        <f t="shared" si="17"/>
        <v>Not Set</v>
      </c>
      <c r="W94" s="126" t="str">
        <f t="shared" si="21"/>
        <v/>
      </c>
      <c r="X94" s="126" t="str">
        <f t="shared" si="22"/>
        <v/>
      </c>
      <c r="Y94" s="125" t="str">
        <f>IFERROR(IF(LEN(D94)=0,"",IF(SUBTOTAL(3,E94:E94)=0,MIN($Y$7:Y93)-1,SUBTOTAL(3,$E$8:E94))),"")</f>
        <v/>
      </c>
      <c r="Z94" s="17"/>
      <c r="AA94" s="10"/>
      <c r="AB94" s="10"/>
      <c r="AC94" s="10"/>
      <c r="AD94" s="10"/>
      <c r="AE94" s="10"/>
      <c r="AF94" s="10"/>
      <c r="AG94" s="10"/>
      <c r="AH94" s="10"/>
      <c r="AI94" s="10"/>
      <c r="AJ94" s="10"/>
      <c r="AK94" s="10"/>
      <c r="AL94" s="10"/>
      <c r="AM94" s="10"/>
      <c r="AN94" s="10"/>
    </row>
    <row r="95" spans="2:40" hidden="1" x14ac:dyDescent="0.35">
      <c r="B95" s="15"/>
      <c r="C95" s="127" t="str">
        <f>IFERROR(IF(LEN(INDEX(Database!C$9:C$501,ROW(Calc!A95)-ROW(Calc!$B$7)))=0,"",INDEX(Database!C$9:C$501,ROW(Calc!A95)-ROW(Calc!$B$7))),"")</f>
        <v/>
      </c>
      <c r="D95" s="70" t="str">
        <f>IFERROR(IF(LEN(INDEX(Database!D$9:D$501,ROW(Calc!B95)-ROW(Calc!$B$7)))=0,"",INDEX(Database!D$9:D$501,ROW(Calc!B95)-ROW(Calc!$B$7))),"")</f>
        <v/>
      </c>
      <c r="E95" s="124" t="str">
        <f>IFERROR(IF(LEN(INDEX(Database!G$9:G$501,ROW(Calc!D95)-ROW(Calc!$B$7)))=0,$AD$3,INDEX(Database!G$9:G$501,ROW(Calc!D95)-ROW(Calc!$B$7))),"")</f>
        <v>Not Set</v>
      </c>
      <c r="F95" s="124" t="str">
        <f>IFERROR(IF(LEN(INDEX(Database!F$9:F$501,ROW(Calc!E95)-ROW(Calc!$B$7)))=0,$AD$3,INDEX(Database!F$9:F$501,ROW(Calc!E95)-ROW(Calc!$B$7))),"")</f>
        <v>Not Set</v>
      </c>
      <c r="G95" s="128" t="str">
        <f>IFERROR(IF(LEN(INDEX(Database!H$9:H$501,ROW(Calc!F95)-ROW(Calc!$B$7)))=0,$AD$3,INDEX(Database!H$9:H$501,ROW(Calc!F95)-ROW(Calc!$B$7))),"")</f>
        <v>Not Set</v>
      </c>
      <c r="H95" s="128" t="str">
        <f>IFERROR(IF(LEN(INDEX(Database!I$9:I$501,ROW(Calc!G95)-ROW(Calc!$B$7)))=0,$AD$3,INDEX(Database!I$9:I$501,ROW(Calc!G95)-ROW(Calc!$B$7))),"")</f>
        <v>Not Set</v>
      </c>
      <c r="I95" s="128" t="str">
        <f>IFERROR(IF(LEN(INDEX(Database!J$9:J$501,ROW(Calc!H95)-ROW(Calc!$B$7)))=0,$AD$3,INDEX(Database!J$9:J$501,ROW(Calc!H95)-ROW(Calc!$B$7))),"")</f>
        <v>Not Set</v>
      </c>
      <c r="J95" s="128" t="str">
        <f t="shared" si="14"/>
        <v>Not Set</v>
      </c>
      <c r="K95" s="124" t="str">
        <f>IFERROR(IF(LEN(INDEX(Database!E$9:E$501,ROW(Calc!I95)-ROW(Calc!$B$7)))=0,"",INDEX(Database!E$9:E$501,ROW(Calc!I95)-ROW(Calc!$B$7))),"")</f>
        <v/>
      </c>
      <c r="L95" s="129" t="str">
        <f>IFERROR(IF(LEN(INDEX(Database!K$9:K$501,ROW(Calc!K95)-ROW(Calc!$B$7)))=0,$AD$3,INDEX(Database!K$9:K$501,ROW(Calc!K95)-ROW(Calc!$B$7))),"")</f>
        <v>Not Set</v>
      </c>
      <c r="M95" s="130" t="str">
        <f>IFERROR(IF(LEN(INDEX(Database!L$9:L$501,ROW(Calc!L95)-ROW(Calc!$B$7)))=0,$AD$3,INDEX(Database!L$9:L$501,ROW(Calc!L95)-ROW(Calc!$B$7))),"")</f>
        <v>Not Set</v>
      </c>
      <c r="N95" s="131" t="str">
        <f>IFERROR(IF(LEN(INDEX(Database!M$9:M$501,ROW(Calc!M95)-ROW(Calc!$B$7)))=0,"",INDEX(Database!M$9:M$501,ROW(Calc!M95)-ROW(Calc!$B$7))),"")</f>
        <v/>
      </c>
      <c r="O95" s="132" t="str">
        <f t="shared" si="18"/>
        <v/>
      </c>
      <c r="P95" s="125" t="str">
        <f t="shared" si="15"/>
        <v>Not Set</v>
      </c>
      <c r="Q95" s="125" t="str">
        <f t="shared" si="16"/>
        <v>Not Set</v>
      </c>
      <c r="R95" s="125" t="str">
        <f>IFERROR(IF(G95=$AD$3,$AD$3,INDEX(Kanban_Helper!$C$317:$C$328,MATCH(MONTH(G95),Kanban_Helper!$B$317:$B$328,0))&amp;" - "&amp;YEAR(G95)),"$AD$3")</f>
        <v>Not Set</v>
      </c>
      <c r="S95" s="125" t="str">
        <f>IFERROR(IF(I95=$AD$3,$AD$3,INDEX(Kanban_Helper!$C$317:$C$328,MATCH(MONTH(I95),Kanban_Helper!$B$317:$B$328,0))&amp;" - "&amp;YEAR(I95)),$AD$3)</f>
        <v>Not Set</v>
      </c>
      <c r="T95" s="125" t="str">
        <f t="shared" ca="1" si="19"/>
        <v/>
      </c>
      <c r="U95" s="125" t="str">
        <f t="shared" ca="1" si="20"/>
        <v/>
      </c>
      <c r="V95" s="125" t="str">
        <f t="shared" si="17"/>
        <v>Not Set</v>
      </c>
      <c r="W95" s="126" t="str">
        <f t="shared" si="21"/>
        <v/>
      </c>
      <c r="X95" s="126" t="str">
        <f t="shared" si="22"/>
        <v/>
      </c>
      <c r="Y95" s="125" t="str">
        <f>IFERROR(IF(LEN(D95)=0,"",IF(SUBTOTAL(3,E95:E95)=0,MIN($Y$7:Y94)-1,SUBTOTAL(3,$E$8:E95))),"")</f>
        <v/>
      </c>
      <c r="Z95" s="17"/>
      <c r="AA95" s="10"/>
      <c r="AB95" s="10"/>
      <c r="AC95" s="10"/>
      <c r="AD95" s="10"/>
      <c r="AE95" s="10"/>
      <c r="AF95" s="10"/>
      <c r="AG95" s="10"/>
      <c r="AH95" s="10"/>
      <c r="AI95" s="10"/>
      <c r="AJ95" s="10"/>
      <c r="AK95" s="10"/>
      <c r="AL95" s="10"/>
      <c r="AM95" s="10"/>
      <c r="AN95" s="10"/>
    </row>
    <row r="96" spans="2:40" hidden="1" x14ac:dyDescent="0.35">
      <c r="B96" s="15"/>
      <c r="C96" s="127" t="str">
        <f>IFERROR(IF(LEN(INDEX(Database!C$9:C$501,ROW(Calc!A96)-ROW(Calc!$B$7)))=0,"",INDEX(Database!C$9:C$501,ROW(Calc!A96)-ROW(Calc!$B$7))),"")</f>
        <v/>
      </c>
      <c r="D96" s="70" t="str">
        <f>IFERROR(IF(LEN(INDEX(Database!D$9:D$501,ROW(Calc!B96)-ROW(Calc!$B$7)))=0,"",INDEX(Database!D$9:D$501,ROW(Calc!B96)-ROW(Calc!$B$7))),"")</f>
        <v/>
      </c>
      <c r="E96" s="124" t="str">
        <f>IFERROR(IF(LEN(INDEX(Database!G$9:G$501,ROW(Calc!D96)-ROW(Calc!$B$7)))=0,$AD$3,INDEX(Database!G$9:G$501,ROW(Calc!D96)-ROW(Calc!$B$7))),"")</f>
        <v>Not Set</v>
      </c>
      <c r="F96" s="124" t="str">
        <f>IFERROR(IF(LEN(INDEX(Database!F$9:F$501,ROW(Calc!E96)-ROW(Calc!$B$7)))=0,$AD$3,INDEX(Database!F$9:F$501,ROW(Calc!E96)-ROW(Calc!$B$7))),"")</f>
        <v>Not Set</v>
      </c>
      <c r="G96" s="128" t="str">
        <f>IFERROR(IF(LEN(INDEX(Database!H$9:H$501,ROW(Calc!F96)-ROW(Calc!$B$7)))=0,$AD$3,INDEX(Database!H$9:H$501,ROW(Calc!F96)-ROW(Calc!$B$7))),"")</f>
        <v>Not Set</v>
      </c>
      <c r="H96" s="128" t="str">
        <f>IFERROR(IF(LEN(INDEX(Database!I$9:I$501,ROW(Calc!G96)-ROW(Calc!$B$7)))=0,$AD$3,INDEX(Database!I$9:I$501,ROW(Calc!G96)-ROW(Calc!$B$7))),"")</f>
        <v>Not Set</v>
      </c>
      <c r="I96" s="128" t="str">
        <f>IFERROR(IF(LEN(INDEX(Database!J$9:J$501,ROW(Calc!H96)-ROW(Calc!$B$7)))=0,$AD$3,INDEX(Database!J$9:J$501,ROW(Calc!H96)-ROW(Calc!$B$7))),"")</f>
        <v>Not Set</v>
      </c>
      <c r="J96" s="128" t="str">
        <f t="shared" si="14"/>
        <v>Not Set</v>
      </c>
      <c r="K96" s="124" t="str">
        <f>IFERROR(IF(LEN(INDEX(Database!E$9:E$501,ROW(Calc!I96)-ROW(Calc!$B$7)))=0,"",INDEX(Database!E$9:E$501,ROW(Calc!I96)-ROW(Calc!$B$7))),"")</f>
        <v/>
      </c>
      <c r="L96" s="129" t="str">
        <f>IFERROR(IF(LEN(INDEX(Database!K$9:K$501,ROW(Calc!K96)-ROW(Calc!$B$7)))=0,$AD$3,INDEX(Database!K$9:K$501,ROW(Calc!K96)-ROW(Calc!$B$7))),"")</f>
        <v>Not Set</v>
      </c>
      <c r="M96" s="130" t="str">
        <f>IFERROR(IF(LEN(INDEX(Database!L$9:L$501,ROW(Calc!L96)-ROW(Calc!$B$7)))=0,$AD$3,INDEX(Database!L$9:L$501,ROW(Calc!L96)-ROW(Calc!$B$7))),"")</f>
        <v>Not Set</v>
      </c>
      <c r="N96" s="131" t="str">
        <f>IFERROR(IF(LEN(INDEX(Database!M$9:M$501,ROW(Calc!M96)-ROW(Calc!$B$7)))=0,"",INDEX(Database!M$9:M$501,ROW(Calc!M96)-ROW(Calc!$B$7))),"")</f>
        <v/>
      </c>
      <c r="O96" s="132" t="str">
        <f t="shared" si="18"/>
        <v/>
      </c>
      <c r="P96" s="125" t="str">
        <f t="shared" si="15"/>
        <v>Not Set</v>
      </c>
      <c r="Q96" s="125" t="str">
        <f t="shared" si="16"/>
        <v>Not Set</v>
      </c>
      <c r="R96" s="125" t="str">
        <f>IFERROR(IF(G96=$AD$3,$AD$3,INDEX(Kanban_Helper!$C$317:$C$328,MATCH(MONTH(G96),Kanban_Helper!$B$317:$B$328,0))&amp;" - "&amp;YEAR(G96)),"$AD$3")</f>
        <v>Not Set</v>
      </c>
      <c r="S96" s="125" t="str">
        <f>IFERROR(IF(I96=$AD$3,$AD$3,INDEX(Kanban_Helper!$C$317:$C$328,MATCH(MONTH(I96),Kanban_Helper!$B$317:$B$328,0))&amp;" - "&amp;YEAR(I96)),$AD$3)</f>
        <v>Not Set</v>
      </c>
      <c r="T96" s="125" t="str">
        <f t="shared" ca="1" si="19"/>
        <v/>
      </c>
      <c r="U96" s="125" t="str">
        <f t="shared" ca="1" si="20"/>
        <v/>
      </c>
      <c r="V96" s="125" t="str">
        <f t="shared" si="17"/>
        <v>Not Set</v>
      </c>
      <c r="W96" s="126" t="str">
        <f t="shared" si="21"/>
        <v/>
      </c>
      <c r="X96" s="126" t="str">
        <f t="shared" si="22"/>
        <v/>
      </c>
      <c r="Y96" s="125" t="str">
        <f>IFERROR(IF(LEN(D96)=0,"",IF(SUBTOTAL(3,E96:E96)=0,MIN($Y$7:Y95)-1,SUBTOTAL(3,$E$8:E96))),"")</f>
        <v/>
      </c>
      <c r="Z96" s="17"/>
      <c r="AA96" s="10"/>
      <c r="AB96" s="10"/>
      <c r="AC96" s="10"/>
      <c r="AD96" s="10"/>
      <c r="AE96" s="10"/>
      <c r="AF96" s="10"/>
      <c r="AG96" s="10"/>
      <c r="AH96" s="10"/>
      <c r="AI96" s="10"/>
      <c r="AJ96" s="10"/>
      <c r="AK96" s="10"/>
      <c r="AL96" s="10"/>
      <c r="AM96" s="10"/>
      <c r="AN96" s="10"/>
    </row>
    <row r="97" spans="2:40" hidden="1" x14ac:dyDescent="0.35">
      <c r="B97" s="15"/>
      <c r="C97" s="127" t="str">
        <f>IFERROR(IF(LEN(INDEX(Database!C$9:C$501,ROW(Calc!A97)-ROW(Calc!$B$7)))=0,"",INDEX(Database!C$9:C$501,ROW(Calc!A97)-ROW(Calc!$B$7))),"")</f>
        <v/>
      </c>
      <c r="D97" s="70" t="str">
        <f>IFERROR(IF(LEN(INDEX(Database!D$9:D$501,ROW(Calc!B97)-ROW(Calc!$B$7)))=0,"",INDEX(Database!D$9:D$501,ROW(Calc!B97)-ROW(Calc!$B$7))),"")</f>
        <v/>
      </c>
      <c r="E97" s="124" t="str">
        <f>IFERROR(IF(LEN(INDEX(Database!G$9:G$501,ROW(Calc!D97)-ROW(Calc!$B$7)))=0,$AD$3,INDEX(Database!G$9:G$501,ROW(Calc!D97)-ROW(Calc!$B$7))),"")</f>
        <v>Not Set</v>
      </c>
      <c r="F97" s="124" t="str">
        <f>IFERROR(IF(LEN(INDEX(Database!F$9:F$501,ROW(Calc!E97)-ROW(Calc!$B$7)))=0,$AD$3,INDEX(Database!F$9:F$501,ROW(Calc!E97)-ROW(Calc!$B$7))),"")</f>
        <v>Not Set</v>
      </c>
      <c r="G97" s="128" t="str">
        <f>IFERROR(IF(LEN(INDEX(Database!H$9:H$501,ROW(Calc!F97)-ROW(Calc!$B$7)))=0,$AD$3,INDEX(Database!H$9:H$501,ROW(Calc!F97)-ROW(Calc!$B$7))),"")</f>
        <v>Not Set</v>
      </c>
      <c r="H97" s="128" t="str">
        <f>IFERROR(IF(LEN(INDEX(Database!I$9:I$501,ROW(Calc!G97)-ROW(Calc!$B$7)))=0,$AD$3,INDEX(Database!I$9:I$501,ROW(Calc!G97)-ROW(Calc!$B$7))),"")</f>
        <v>Not Set</v>
      </c>
      <c r="I97" s="128" t="str">
        <f>IFERROR(IF(LEN(INDEX(Database!J$9:J$501,ROW(Calc!H97)-ROW(Calc!$B$7)))=0,$AD$3,INDEX(Database!J$9:J$501,ROW(Calc!H97)-ROW(Calc!$B$7))),"")</f>
        <v>Not Set</v>
      </c>
      <c r="J97" s="128" t="str">
        <f t="shared" si="14"/>
        <v>Not Set</v>
      </c>
      <c r="K97" s="124" t="str">
        <f>IFERROR(IF(LEN(INDEX(Database!E$9:E$501,ROW(Calc!I97)-ROW(Calc!$B$7)))=0,"",INDEX(Database!E$9:E$501,ROW(Calc!I97)-ROW(Calc!$B$7))),"")</f>
        <v/>
      </c>
      <c r="L97" s="129" t="str">
        <f>IFERROR(IF(LEN(INDEX(Database!K$9:K$501,ROW(Calc!K97)-ROW(Calc!$B$7)))=0,$AD$3,INDEX(Database!K$9:K$501,ROW(Calc!K97)-ROW(Calc!$B$7))),"")</f>
        <v>Not Set</v>
      </c>
      <c r="M97" s="130" t="str">
        <f>IFERROR(IF(LEN(INDEX(Database!L$9:L$501,ROW(Calc!L97)-ROW(Calc!$B$7)))=0,$AD$3,INDEX(Database!L$9:L$501,ROW(Calc!L97)-ROW(Calc!$B$7))),"")</f>
        <v>Not Set</v>
      </c>
      <c r="N97" s="131" t="str">
        <f>IFERROR(IF(LEN(INDEX(Database!M$9:M$501,ROW(Calc!M97)-ROW(Calc!$B$7)))=0,"",INDEX(Database!M$9:M$501,ROW(Calc!M97)-ROW(Calc!$B$7))),"")</f>
        <v/>
      </c>
      <c r="O97" s="132" t="str">
        <f t="shared" si="18"/>
        <v/>
      </c>
      <c r="P97" s="125" t="str">
        <f t="shared" si="15"/>
        <v>Not Set</v>
      </c>
      <c r="Q97" s="125" t="str">
        <f t="shared" si="16"/>
        <v>Not Set</v>
      </c>
      <c r="R97" s="125" t="str">
        <f>IFERROR(IF(G97=$AD$3,$AD$3,INDEX(Kanban_Helper!$C$317:$C$328,MATCH(MONTH(G97),Kanban_Helper!$B$317:$B$328,0))&amp;" - "&amp;YEAR(G97)),"$AD$3")</f>
        <v>Not Set</v>
      </c>
      <c r="S97" s="125" t="str">
        <f>IFERROR(IF(I97=$AD$3,$AD$3,INDEX(Kanban_Helper!$C$317:$C$328,MATCH(MONTH(I97),Kanban_Helper!$B$317:$B$328,0))&amp;" - "&amp;YEAR(I97)),$AD$3)</f>
        <v>Not Set</v>
      </c>
      <c r="T97" s="125" t="str">
        <f t="shared" ca="1" si="19"/>
        <v/>
      </c>
      <c r="U97" s="125" t="str">
        <f t="shared" ca="1" si="20"/>
        <v/>
      </c>
      <c r="V97" s="125" t="str">
        <f t="shared" si="17"/>
        <v>Not Set</v>
      </c>
      <c r="W97" s="126" t="str">
        <f t="shared" si="21"/>
        <v/>
      </c>
      <c r="X97" s="126" t="str">
        <f t="shared" si="22"/>
        <v/>
      </c>
      <c r="Y97" s="125" t="str">
        <f>IFERROR(IF(LEN(D97)=0,"",IF(SUBTOTAL(3,E97:E97)=0,MIN($Y$7:Y96)-1,SUBTOTAL(3,$E$8:E97))),"")</f>
        <v/>
      </c>
      <c r="Z97" s="17"/>
      <c r="AA97" s="10"/>
      <c r="AB97" s="10"/>
      <c r="AC97" s="10"/>
      <c r="AD97" s="10"/>
      <c r="AE97" s="10"/>
      <c r="AF97" s="10"/>
      <c r="AG97" s="10"/>
      <c r="AH97" s="10"/>
      <c r="AI97" s="10"/>
      <c r="AJ97" s="10"/>
      <c r="AK97" s="10"/>
      <c r="AL97" s="10"/>
      <c r="AM97" s="10"/>
      <c r="AN97" s="10"/>
    </row>
    <row r="98" spans="2:40" hidden="1" x14ac:dyDescent="0.35">
      <c r="B98" s="15"/>
      <c r="C98" s="127" t="str">
        <f>IFERROR(IF(LEN(INDEX(Database!C$9:C$501,ROW(Calc!A98)-ROW(Calc!$B$7)))=0,"",INDEX(Database!C$9:C$501,ROW(Calc!A98)-ROW(Calc!$B$7))),"")</f>
        <v/>
      </c>
      <c r="D98" s="70" t="str">
        <f>IFERROR(IF(LEN(INDEX(Database!D$9:D$501,ROW(Calc!B98)-ROW(Calc!$B$7)))=0,"",INDEX(Database!D$9:D$501,ROW(Calc!B98)-ROW(Calc!$B$7))),"")</f>
        <v/>
      </c>
      <c r="E98" s="124" t="str">
        <f>IFERROR(IF(LEN(INDEX(Database!G$9:G$501,ROW(Calc!D98)-ROW(Calc!$B$7)))=0,$AD$3,INDEX(Database!G$9:G$501,ROW(Calc!D98)-ROW(Calc!$B$7))),"")</f>
        <v>Not Set</v>
      </c>
      <c r="F98" s="124" t="str">
        <f>IFERROR(IF(LEN(INDEX(Database!F$9:F$501,ROW(Calc!E98)-ROW(Calc!$B$7)))=0,$AD$3,INDEX(Database!F$9:F$501,ROW(Calc!E98)-ROW(Calc!$B$7))),"")</f>
        <v>Not Set</v>
      </c>
      <c r="G98" s="128" t="str">
        <f>IFERROR(IF(LEN(INDEX(Database!H$9:H$501,ROW(Calc!F98)-ROW(Calc!$B$7)))=0,$AD$3,INDEX(Database!H$9:H$501,ROW(Calc!F98)-ROW(Calc!$B$7))),"")</f>
        <v>Not Set</v>
      </c>
      <c r="H98" s="128" t="str">
        <f>IFERROR(IF(LEN(INDEX(Database!I$9:I$501,ROW(Calc!G98)-ROW(Calc!$B$7)))=0,$AD$3,INDEX(Database!I$9:I$501,ROW(Calc!G98)-ROW(Calc!$B$7))),"")</f>
        <v>Not Set</v>
      </c>
      <c r="I98" s="128" t="str">
        <f>IFERROR(IF(LEN(INDEX(Database!J$9:J$501,ROW(Calc!H98)-ROW(Calc!$B$7)))=0,$AD$3,INDEX(Database!J$9:J$501,ROW(Calc!H98)-ROW(Calc!$B$7))),"")</f>
        <v>Not Set</v>
      </c>
      <c r="J98" s="128" t="str">
        <f t="shared" si="14"/>
        <v>Not Set</v>
      </c>
      <c r="K98" s="124" t="str">
        <f>IFERROR(IF(LEN(INDEX(Database!E$9:E$501,ROW(Calc!I98)-ROW(Calc!$B$7)))=0,"",INDEX(Database!E$9:E$501,ROW(Calc!I98)-ROW(Calc!$B$7))),"")</f>
        <v/>
      </c>
      <c r="L98" s="129" t="str">
        <f>IFERROR(IF(LEN(INDEX(Database!K$9:K$501,ROW(Calc!K98)-ROW(Calc!$B$7)))=0,$AD$3,INDEX(Database!K$9:K$501,ROW(Calc!K98)-ROW(Calc!$B$7))),"")</f>
        <v>Not Set</v>
      </c>
      <c r="M98" s="130" t="str">
        <f>IFERROR(IF(LEN(INDEX(Database!L$9:L$501,ROW(Calc!L98)-ROW(Calc!$B$7)))=0,$AD$3,INDEX(Database!L$9:L$501,ROW(Calc!L98)-ROW(Calc!$B$7))),"")</f>
        <v>Not Set</v>
      </c>
      <c r="N98" s="131" t="str">
        <f>IFERROR(IF(LEN(INDEX(Database!M$9:M$501,ROW(Calc!M98)-ROW(Calc!$B$7)))=0,"",INDEX(Database!M$9:M$501,ROW(Calc!M98)-ROW(Calc!$B$7))),"")</f>
        <v/>
      </c>
      <c r="O98" s="132" t="str">
        <f t="shared" si="18"/>
        <v/>
      </c>
      <c r="P98" s="125" t="str">
        <f t="shared" si="15"/>
        <v>Not Set</v>
      </c>
      <c r="Q98" s="125" t="str">
        <f t="shared" si="16"/>
        <v>Not Set</v>
      </c>
      <c r="R98" s="125" t="str">
        <f>IFERROR(IF(G98=$AD$3,$AD$3,INDEX(Kanban_Helper!$C$317:$C$328,MATCH(MONTH(G98),Kanban_Helper!$B$317:$B$328,0))&amp;" - "&amp;YEAR(G98)),"$AD$3")</f>
        <v>Not Set</v>
      </c>
      <c r="S98" s="125" t="str">
        <f>IFERROR(IF(I98=$AD$3,$AD$3,INDEX(Kanban_Helper!$C$317:$C$328,MATCH(MONTH(I98),Kanban_Helper!$B$317:$B$328,0))&amp;" - "&amp;YEAR(I98)),$AD$3)</f>
        <v>Not Set</v>
      </c>
      <c r="T98" s="125" t="str">
        <f t="shared" ca="1" si="19"/>
        <v/>
      </c>
      <c r="U98" s="125" t="str">
        <f t="shared" ca="1" si="20"/>
        <v/>
      </c>
      <c r="V98" s="125" t="str">
        <f t="shared" si="17"/>
        <v>Not Set</v>
      </c>
      <c r="W98" s="126" t="str">
        <f t="shared" si="21"/>
        <v/>
      </c>
      <c r="X98" s="126" t="str">
        <f t="shared" si="22"/>
        <v/>
      </c>
      <c r="Y98" s="125" t="str">
        <f>IFERROR(IF(LEN(D98)=0,"",IF(SUBTOTAL(3,E98:E98)=0,MIN($Y$7:Y97)-1,SUBTOTAL(3,$E$8:E98))),"")</f>
        <v/>
      </c>
      <c r="Z98" s="17"/>
      <c r="AA98" s="10"/>
      <c r="AB98" s="10"/>
      <c r="AC98" s="10"/>
      <c r="AD98" s="10"/>
      <c r="AE98" s="10"/>
      <c r="AF98" s="10"/>
      <c r="AG98" s="10"/>
      <c r="AH98" s="10"/>
      <c r="AI98" s="10"/>
      <c r="AJ98" s="10"/>
      <c r="AK98" s="10"/>
      <c r="AL98" s="10"/>
      <c r="AM98" s="10"/>
      <c r="AN98" s="10"/>
    </row>
    <row r="99" spans="2:40" hidden="1" x14ac:dyDescent="0.35">
      <c r="B99" s="15"/>
      <c r="C99" s="127" t="str">
        <f>IFERROR(IF(LEN(INDEX(Database!C$9:C$501,ROW(Calc!A99)-ROW(Calc!$B$7)))=0,"",INDEX(Database!C$9:C$501,ROW(Calc!A99)-ROW(Calc!$B$7))),"")</f>
        <v/>
      </c>
      <c r="D99" s="70" t="str">
        <f>IFERROR(IF(LEN(INDEX(Database!D$9:D$501,ROW(Calc!B99)-ROW(Calc!$B$7)))=0,"",INDEX(Database!D$9:D$501,ROW(Calc!B99)-ROW(Calc!$B$7))),"")</f>
        <v/>
      </c>
      <c r="E99" s="124" t="str">
        <f>IFERROR(IF(LEN(INDEX(Database!G$9:G$501,ROW(Calc!D99)-ROW(Calc!$B$7)))=0,$AD$3,INDEX(Database!G$9:G$501,ROW(Calc!D99)-ROW(Calc!$B$7))),"")</f>
        <v>Not Set</v>
      </c>
      <c r="F99" s="124" t="str">
        <f>IFERROR(IF(LEN(INDEX(Database!F$9:F$501,ROW(Calc!E99)-ROW(Calc!$B$7)))=0,$AD$3,INDEX(Database!F$9:F$501,ROW(Calc!E99)-ROW(Calc!$B$7))),"")</f>
        <v>Not Set</v>
      </c>
      <c r="G99" s="128" t="str">
        <f>IFERROR(IF(LEN(INDEX(Database!H$9:H$501,ROW(Calc!F99)-ROW(Calc!$B$7)))=0,$AD$3,INDEX(Database!H$9:H$501,ROW(Calc!F99)-ROW(Calc!$B$7))),"")</f>
        <v>Not Set</v>
      </c>
      <c r="H99" s="128" t="str">
        <f>IFERROR(IF(LEN(INDEX(Database!I$9:I$501,ROW(Calc!G99)-ROW(Calc!$B$7)))=0,$AD$3,INDEX(Database!I$9:I$501,ROW(Calc!G99)-ROW(Calc!$B$7))),"")</f>
        <v>Not Set</v>
      </c>
      <c r="I99" s="128" t="str">
        <f>IFERROR(IF(LEN(INDEX(Database!J$9:J$501,ROW(Calc!H99)-ROW(Calc!$B$7)))=0,$AD$3,INDEX(Database!J$9:J$501,ROW(Calc!H99)-ROW(Calc!$B$7))),"")</f>
        <v>Not Set</v>
      </c>
      <c r="J99" s="128" t="str">
        <f t="shared" si="14"/>
        <v>Not Set</v>
      </c>
      <c r="K99" s="124" t="str">
        <f>IFERROR(IF(LEN(INDEX(Database!E$9:E$501,ROW(Calc!I99)-ROW(Calc!$B$7)))=0,"",INDEX(Database!E$9:E$501,ROW(Calc!I99)-ROW(Calc!$B$7))),"")</f>
        <v/>
      </c>
      <c r="L99" s="129" t="str">
        <f>IFERROR(IF(LEN(INDEX(Database!K$9:K$501,ROW(Calc!K99)-ROW(Calc!$B$7)))=0,$AD$3,INDEX(Database!K$9:K$501,ROW(Calc!K99)-ROW(Calc!$B$7))),"")</f>
        <v>Not Set</v>
      </c>
      <c r="M99" s="130" t="str">
        <f>IFERROR(IF(LEN(INDEX(Database!L$9:L$501,ROW(Calc!L99)-ROW(Calc!$B$7)))=0,$AD$3,INDEX(Database!L$9:L$501,ROW(Calc!L99)-ROW(Calc!$B$7))),"")</f>
        <v>Not Set</v>
      </c>
      <c r="N99" s="131" t="str">
        <f>IFERROR(IF(LEN(INDEX(Database!M$9:M$501,ROW(Calc!M99)-ROW(Calc!$B$7)))=0,"",INDEX(Database!M$9:M$501,ROW(Calc!M99)-ROW(Calc!$B$7))),"")</f>
        <v/>
      </c>
      <c r="O99" s="132" t="str">
        <f t="shared" si="18"/>
        <v/>
      </c>
      <c r="P99" s="125" t="str">
        <f t="shared" si="15"/>
        <v>Not Set</v>
      </c>
      <c r="Q99" s="125" t="str">
        <f t="shared" si="16"/>
        <v>Not Set</v>
      </c>
      <c r="R99" s="125" t="str">
        <f>IFERROR(IF(G99=$AD$3,$AD$3,INDEX(Kanban_Helper!$C$317:$C$328,MATCH(MONTH(G99),Kanban_Helper!$B$317:$B$328,0))&amp;" - "&amp;YEAR(G99)),"$AD$3")</f>
        <v>Not Set</v>
      </c>
      <c r="S99" s="125" t="str">
        <f>IFERROR(IF(I99=$AD$3,$AD$3,INDEX(Kanban_Helper!$C$317:$C$328,MATCH(MONTH(I99),Kanban_Helper!$B$317:$B$328,0))&amp;" - "&amp;YEAR(I99)),$AD$3)</f>
        <v>Not Set</v>
      </c>
      <c r="T99" s="125" t="str">
        <f t="shared" ca="1" si="19"/>
        <v/>
      </c>
      <c r="U99" s="125" t="str">
        <f t="shared" ca="1" si="20"/>
        <v/>
      </c>
      <c r="V99" s="125" t="str">
        <f t="shared" si="17"/>
        <v>Not Set</v>
      </c>
      <c r="W99" s="126" t="str">
        <f t="shared" si="21"/>
        <v/>
      </c>
      <c r="X99" s="126" t="str">
        <f t="shared" si="22"/>
        <v/>
      </c>
      <c r="Y99" s="125" t="str">
        <f>IFERROR(IF(LEN(D99)=0,"",IF(SUBTOTAL(3,E99:E99)=0,MIN($Y$7:Y98)-1,SUBTOTAL(3,$E$8:E99))),"")</f>
        <v/>
      </c>
      <c r="Z99" s="17"/>
      <c r="AA99" s="10"/>
      <c r="AB99" s="10"/>
      <c r="AC99" s="10"/>
      <c r="AD99" s="10"/>
      <c r="AE99" s="10"/>
      <c r="AF99" s="10"/>
      <c r="AG99" s="10"/>
      <c r="AH99" s="10"/>
      <c r="AI99" s="10"/>
      <c r="AJ99" s="10"/>
      <c r="AK99" s="10"/>
      <c r="AL99" s="10"/>
      <c r="AM99" s="10"/>
      <c r="AN99" s="10"/>
    </row>
    <row r="100" spans="2:40" hidden="1" x14ac:dyDescent="0.35">
      <c r="B100" s="15"/>
      <c r="C100" s="127" t="str">
        <f>IFERROR(IF(LEN(INDEX(Database!C$9:C$501,ROW(Calc!A100)-ROW(Calc!$B$7)))=0,"",INDEX(Database!C$9:C$501,ROW(Calc!A100)-ROW(Calc!$B$7))),"")</f>
        <v/>
      </c>
      <c r="D100" s="70" t="str">
        <f>IFERROR(IF(LEN(INDEX(Database!D$9:D$501,ROW(Calc!B100)-ROW(Calc!$B$7)))=0,"",INDEX(Database!D$9:D$501,ROW(Calc!B100)-ROW(Calc!$B$7))),"")</f>
        <v/>
      </c>
      <c r="E100" s="124" t="str">
        <f>IFERROR(IF(LEN(INDEX(Database!G$9:G$501,ROW(Calc!D100)-ROW(Calc!$B$7)))=0,$AD$3,INDEX(Database!G$9:G$501,ROW(Calc!D100)-ROW(Calc!$B$7))),"")</f>
        <v>Not Set</v>
      </c>
      <c r="F100" s="124" t="str">
        <f>IFERROR(IF(LEN(INDEX(Database!F$9:F$501,ROW(Calc!E100)-ROW(Calc!$B$7)))=0,$AD$3,INDEX(Database!F$9:F$501,ROW(Calc!E100)-ROW(Calc!$B$7))),"")</f>
        <v>Not Set</v>
      </c>
      <c r="G100" s="128" t="str">
        <f>IFERROR(IF(LEN(INDEX(Database!H$9:H$501,ROW(Calc!F100)-ROW(Calc!$B$7)))=0,$AD$3,INDEX(Database!H$9:H$501,ROW(Calc!F100)-ROW(Calc!$B$7))),"")</f>
        <v>Not Set</v>
      </c>
      <c r="H100" s="128" t="str">
        <f>IFERROR(IF(LEN(INDEX(Database!I$9:I$501,ROW(Calc!G100)-ROW(Calc!$B$7)))=0,$AD$3,INDEX(Database!I$9:I$501,ROW(Calc!G100)-ROW(Calc!$B$7))),"")</f>
        <v>Not Set</v>
      </c>
      <c r="I100" s="128" t="str">
        <f>IFERROR(IF(LEN(INDEX(Database!J$9:J$501,ROW(Calc!H100)-ROW(Calc!$B$7)))=0,$AD$3,INDEX(Database!J$9:J$501,ROW(Calc!H100)-ROW(Calc!$B$7))),"")</f>
        <v>Not Set</v>
      </c>
      <c r="J100" s="128" t="str">
        <f t="shared" si="14"/>
        <v>Not Set</v>
      </c>
      <c r="K100" s="124" t="str">
        <f>IFERROR(IF(LEN(INDEX(Database!E$9:E$501,ROW(Calc!I100)-ROW(Calc!$B$7)))=0,"",INDEX(Database!E$9:E$501,ROW(Calc!I100)-ROW(Calc!$B$7))),"")</f>
        <v/>
      </c>
      <c r="L100" s="129" t="str">
        <f>IFERROR(IF(LEN(INDEX(Database!K$9:K$501,ROW(Calc!K100)-ROW(Calc!$B$7)))=0,$AD$3,INDEX(Database!K$9:K$501,ROW(Calc!K100)-ROW(Calc!$B$7))),"")</f>
        <v>Not Set</v>
      </c>
      <c r="M100" s="130" t="str">
        <f>IFERROR(IF(LEN(INDEX(Database!L$9:L$501,ROW(Calc!L100)-ROW(Calc!$B$7)))=0,$AD$3,INDEX(Database!L$9:L$501,ROW(Calc!L100)-ROW(Calc!$B$7))),"")</f>
        <v>Not Set</v>
      </c>
      <c r="N100" s="131" t="str">
        <f>IFERROR(IF(LEN(INDEX(Database!M$9:M$501,ROW(Calc!M100)-ROW(Calc!$B$7)))=0,"",INDEX(Database!M$9:M$501,ROW(Calc!M100)-ROW(Calc!$B$7))),"")</f>
        <v/>
      </c>
      <c r="O100" s="132" t="str">
        <f t="shared" si="18"/>
        <v/>
      </c>
      <c r="P100" s="125" t="str">
        <f t="shared" si="15"/>
        <v>Not Set</v>
      </c>
      <c r="Q100" s="125" t="str">
        <f t="shared" si="16"/>
        <v>Not Set</v>
      </c>
      <c r="R100" s="125" t="str">
        <f>IFERROR(IF(G100=$AD$3,$AD$3,INDEX(Kanban_Helper!$C$317:$C$328,MATCH(MONTH(G100),Kanban_Helper!$B$317:$B$328,0))&amp;" - "&amp;YEAR(G100)),"$AD$3")</f>
        <v>Not Set</v>
      </c>
      <c r="S100" s="125" t="str">
        <f>IFERROR(IF(I100=$AD$3,$AD$3,INDEX(Kanban_Helper!$C$317:$C$328,MATCH(MONTH(I100),Kanban_Helper!$B$317:$B$328,0))&amp;" - "&amp;YEAR(I100)),$AD$3)</f>
        <v>Not Set</v>
      </c>
      <c r="T100" s="125" t="str">
        <f t="shared" ca="1" si="19"/>
        <v/>
      </c>
      <c r="U100" s="125" t="str">
        <f t="shared" ca="1" si="20"/>
        <v/>
      </c>
      <c r="V100" s="125" t="str">
        <f t="shared" si="17"/>
        <v>Not Set</v>
      </c>
      <c r="W100" s="126" t="str">
        <f t="shared" si="21"/>
        <v/>
      </c>
      <c r="X100" s="126" t="str">
        <f t="shared" si="22"/>
        <v/>
      </c>
      <c r="Y100" s="125" t="str">
        <f>IFERROR(IF(LEN(D100)=0,"",IF(SUBTOTAL(3,E100:E100)=0,MIN($Y$7:Y99)-1,SUBTOTAL(3,$E$8:E100))),"")</f>
        <v/>
      </c>
      <c r="Z100" s="17"/>
      <c r="AA100" s="10"/>
      <c r="AB100" s="10"/>
      <c r="AC100" s="10"/>
      <c r="AD100" s="10"/>
      <c r="AE100" s="10"/>
      <c r="AF100" s="10"/>
      <c r="AG100" s="10"/>
      <c r="AH100" s="10"/>
      <c r="AI100" s="10"/>
      <c r="AJ100" s="10"/>
      <c r="AK100" s="10"/>
      <c r="AL100" s="10"/>
      <c r="AM100" s="10"/>
      <c r="AN100" s="10"/>
    </row>
    <row r="101" spans="2:40" hidden="1" x14ac:dyDescent="0.35">
      <c r="B101" s="15"/>
      <c r="C101" s="127" t="str">
        <f>IFERROR(IF(LEN(INDEX(Database!C$9:C$501,ROW(Calc!A101)-ROW(Calc!$B$7)))=0,"",INDEX(Database!C$9:C$501,ROW(Calc!A101)-ROW(Calc!$B$7))),"")</f>
        <v/>
      </c>
      <c r="D101" s="70" t="str">
        <f>IFERROR(IF(LEN(INDEX(Database!D$9:D$501,ROW(Calc!B101)-ROW(Calc!$B$7)))=0,"",INDEX(Database!D$9:D$501,ROW(Calc!B101)-ROW(Calc!$B$7))),"")</f>
        <v/>
      </c>
      <c r="E101" s="124" t="str">
        <f>IFERROR(IF(LEN(INDEX(Database!G$9:G$501,ROW(Calc!D101)-ROW(Calc!$B$7)))=0,$AD$3,INDEX(Database!G$9:G$501,ROW(Calc!D101)-ROW(Calc!$B$7))),"")</f>
        <v>Not Set</v>
      </c>
      <c r="F101" s="124" t="str">
        <f>IFERROR(IF(LEN(INDEX(Database!F$9:F$501,ROW(Calc!E101)-ROW(Calc!$B$7)))=0,$AD$3,INDEX(Database!F$9:F$501,ROW(Calc!E101)-ROW(Calc!$B$7))),"")</f>
        <v>Not Set</v>
      </c>
      <c r="G101" s="128" t="str">
        <f>IFERROR(IF(LEN(INDEX(Database!H$9:H$501,ROW(Calc!F101)-ROW(Calc!$B$7)))=0,$AD$3,INDEX(Database!H$9:H$501,ROW(Calc!F101)-ROW(Calc!$B$7))),"")</f>
        <v>Not Set</v>
      </c>
      <c r="H101" s="128" t="str">
        <f>IFERROR(IF(LEN(INDEX(Database!I$9:I$501,ROW(Calc!G101)-ROW(Calc!$B$7)))=0,$AD$3,INDEX(Database!I$9:I$501,ROW(Calc!G101)-ROW(Calc!$B$7))),"")</f>
        <v>Not Set</v>
      </c>
      <c r="I101" s="128" t="str">
        <f>IFERROR(IF(LEN(INDEX(Database!J$9:J$501,ROW(Calc!H101)-ROW(Calc!$B$7)))=0,$AD$3,INDEX(Database!J$9:J$501,ROW(Calc!H101)-ROW(Calc!$B$7))),"")</f>
        <v>Not Set</v>
      </c>
      <c r="J101" s="128" t="str">
        <f t="shared" si="14"/>
        <v>Not Set</v>
      </c>
      <c r="K101" s="124" t="str">
        <f>IFERROR(IF(LEN(INDEX(Database!E$9:E$501,ROW(Calc!I101)-ROW(Calc!$B$7)))=0,"",INDEX(Database!E$9:E$501,ROW(Calc!I101)-ROW(Calc!$B$7))),"")</f>
        <v/>
      </c>
      <c r="L101" s="129" t="str">
        <f>IFERROR(IF(LEN(INDEX(Database!K$9:K$501,ROW(Calc!K101)-ROW(Calc!$B$7)))=0,$AD$3,INDEX(Database!K$9:K$501,ROW(Calc!K101)-ROW(Calc!$B$7))),"")</f>
        <v>Not Set</v>
      </c>
      <c r="M101" s="130" t="str">
        <f>IFERROR(IF(LEN(INDEX(Database!L$9:L$501,ROW(Calc!L101)-ROW(Calc!$B$7)))=0,$AD$3,INDEX(Database!L$9:L$501,ROW(Calc!L101)-ROW(Calc!$B$7))),"")</f>
        <v>Not Set</v>
      </c>
      <c r="N101" s="131" t="str">
        <f>IFERROR(IF(LEN(INDEX(Database!M$9:M$501,ROW(Calc!M101)-ROW(Calc!$B$7)))=0,"",INDEX(Database!M$9:M$501,ROW(Calc!M101)-ROW(Calc!$B$7))),"")</f>
        <v/>
      </c>
      <c r="O101" s="132" t="str">
        <f t="shared" si="18"/>
        <v/>
      </c>
      <c r="P101" s="125" t="str">
        <f t="shared" si="15"/>
        <v>Not Set</v>
      </c>
      <c r="Q101" s="125" t="str">
        <f t="shared" si="16"/>
        <v>Not Set</v>
      </c>
      <c r="R101" s="125" t="str">
        <f>IFERROR(IF(G101=$AD$3,$AD$3,INDEX(Kanban_Helper!$C$317:$C$328,MATCH(MONTH(G101),Kanban_Helper!$B$317:$B$328,0))&amp;" - "&amp;YEAR(G101)),"$AD$3")</f>
        <v>Not Set</v>
      </c>
      <c r="S101" s="125" t="str">
        <f>IFERROR(IF(I101=$AD$3,$AD$3,INDEX(Kanban_Helper!$C$317:$C$328,MATCH(MONTH(I101),Kanban_Helper!$B$317:$B$328,0))&amp;" - "&amp;YEAR(I101)),$AD$3)</f>
        <v>Not Set</v>
      </c>
      <c r="T101" s="125" t="str">
        <f t="shared" ca="1" si="19"/>
        <v/>
      </c>
      <c r="U101" s="125" t="str">
        <f t="shared" ca="1" si="20"/>
        <v/>
      </c>
      <c r="V101" s="125" t="str">
        <f t="shared" si="17"/>
        <v>Not Set</v>
      </c>
      <c r="W101" s="126" t="str">
        <f t="shared" si="21"/>
        <v/>
      </c>
      <c r="X101" s="126" t="str">
        <f t="shared" si="22"/>
        <v/>
      </c>
      <c r="Y101" s="125" t="str">
        <f>IFERROR(IF(LEN(D101)=0,"",IF(SUBTOTAL(3,E101:E101)=0,MIN($Y$7:Y100)-1,SUBTOTAL(3,$E$8:E101))),"")</f>
        <v/>
      </c>
      <c r="Z101" s="17"/>
      <c r="AA101" s="10"/>
      <c r="AB101" s="10"/>
      <c r="AC101" s="10"/>
      <c r="AD101" s="10"/>
      <c r="AE101" s="10"/>
      <c r="AF101" s="10"/>
      <c r="AG101" s="10"/>
      <c r="AH101" s="10"/>
      <c r="AI101" s="10"/>
      <c r="AJ101" s="10"/>
      <c r="AK101" s="10"/>
      <c r="AL101" s="10"/>
      <c r="AM101" s="10"/>
      <c r="AN101" s="10"/>
    </row>
    <row r="102" spans="2:40" hidden="1" x14ac:dyDescent="0.35">
      <c r="B102" s="15"/>
      <c r="C102" s="127" t="str">
        <f>IFERROR(IF(LEN(INDEX(Database!C$9:C$501,ROW(Calc!A102)-ROW(Calc!$B$7)))=0,"",INDEX(Database!C$9:C$501,ROW(Calc!A102)-ROW(Calc!$B$7))),"")</f>
        <v/>
      </c>
      <c r="D102" s="70" t="str">
        <f>IFERROR(IF(LEN(INDEX(Database!D$9:D$501,ROW(Calc!B102)-ROW(Calc!$B$7)))=0,"",INDEX(Database!D$9:D$501,ROW(Calc!B102)-ROW(Calc!$B$7))),"")</f>
        <v/>
      </c>
      <c r="E102" s="124" t="str">
        <f>IFERROR(IF(LEN(INDEX(Database!G$9:G$501,ROW(Calc!D102)-ROW(Calc!$B$7)))=0,$AD$3,INDEX(Database!G$9:G$501,ROW(Calc!D102)-ROW(Calc!$B$7))),"")</f>
        <v>Not Set</v>
      </c>
      <c r="F102" s="124" t="str">
        <f>IFERROR(IF(LEN(INDEX(Database!F$9:F$501,ROW(Calc!E102)-ROW(Calc!$B$7)))=0,$AD$3,INDEX(Database!F$9:F$501,ROW(Calc!E102)-ROW(Calc!$B$7))),"")</f>
        <v>Not Set</v>
      </c>
      <c r="G102" s="128" t="str">
        <f>IFERROR(IF(LEN(INDEX(Database!H$9:H$501,ROW(Calc!F102)-ROW(Calc!$B$7)))=0,$AD$3,INDEX(Database!H$9:H$501,ROW(Calc!F102)-ROW(Calc!$B$7))),"")</f>
        <v>Not Set</v>
      </c>
      <c r="H102" s="128" t="str">
        <f>IFERROR(IF(LEN(INDEX(Database!I$9:I$501,ROW(Calc!G102)-ROW(Calc!$B$7)))=0,$AD$3,INDEX(Database!I$9:I$501,ROW(Calc!G102)-ROW(Calc!$B$7))),"")</f>
        <v>Not Set</v>
      </c>
      <c r="I102" s="128" t="str">
        <f>IFERROR(IF(LEN(INDEX(Database!J$9:J$501,ROW(Calc!H102)-ROW(Calc!$B$7)))=0,$AD$3,INDEX(Database!J$9:J$501,ROW(Calc!H102)-ROW(Calc!$B$7))),"")</f>
        <v>Not Set</v>
      </c>
      <c r="J102" s="128" t="str">
        <f t="shared" si="14"/>
        <v>Not Set</v>
      </c>
      <c r="K102" s="124" t="str">
        <f>IFERROR(IF(LEN(INDEX(Database!E$9:E$501,ROW(Calc!I102)-ROW(Calc!$B$7)))=0,"",INDEX(Database!E$9:E$501,ROW(Calc!I102)-ROW(Calc!$B$7))),"")</f>
        <v/>
      </c>
      <c r="L102" s="129" t="str">
        <f>IFERROR(IF(LEN(INDEX(Database!K$9:K$501,ROW(Calc!K102)-ROW(Calc!$B$7)))=0,$AD$3,INDEX(Database!K$9:K$501,ROW(Calc!K102)-ROW(Calc!$B$7))),"")</f>
        <v>Not Set</v>
      </c>
      <c r="M102" s="130" t="str">
        <f>IFERROR(IF(LEN(INDEX(Database!L$9:L$501,ROW(Calc!L102)-ROW(Calc!$B$7)))=0,$AD$3,INDEX(Database!L$9:L$501,ROW(Calc!L102)-ROW(Calc!$B$7))),"")</f>
        <v>Not Set</v>
      </c>
      <c r="N102" s="131" t="str">
        <f>IFERROR(IF(LEN(INDEX(Database!M$9:M$501,ROW(Calc!M102)-ROW(Calc!$B$7)))=0,"",INDEX(Database!M$9:M$501,ROW(Calc!M102)-ROW(Calc!$B$7))),"")</f>
        <v/>
      </c>
      <c r="O102" s="132" t="str">
        <f t="shared" si="18"/>
        <v/>
      </c>
      <c r="P102" s="125" t="str">
        <f t="shared" si="15"/>
        <v>Not Set</v>
      </c>
      <c r="Q102" s="125" t="str">
        <f t="shared" si="16"/>
        <v>Not Set</v>
      </c>
      <c r="R102" s="125" t="str">
        <f>IFERROR(IF(G102=$AD$3,$AD$3,INDEX(Kanban_Helper!$C$317:$C$328,MATCH(MONTH(G102),Kanban_Helper!$B$317:$B$328,0))&amp;" - "&amp;YEAR(G102)),"$AD$3")</f>
        <v>Not Set</v>
      </c>
      <c r="S102" s="125" t="str">
        <f>IFERROR(IF(I102=$AD$3,$AD$3,INDEX(Kanban_Helper!$C$317:$C$328,MATCH(MONTH(I102),Kanban_Helper!$B$317:$B$328,0))&amp;" - "&amp;YEAR(I102)),$AD$3)</f>
        <v>Not Set</v>
      </c>
      <c r="T102" s="125" t="str">
        <f t="shared" ca="1" si="19"/>
        <v/>
      </c>
      <c r="U102" s="125" t="str">
        <f t="shared" ca="1" si="20"/>
        <v/>
      </c>
      <c r="V102" s="125" t="str">
        <f t="shared" si="17"/>
        <v>Not Set</v>
      </c>
      <c r="W102" s="126" t="str">
        <f t="shared" si="21"/>
        <v/>
      </c>
      <c r="X102" s="126" t="str">
        <f t="shared" si="22"/>
        <v/>
      </c>
      <c r="Y102" s="125" t="str">
        <f>IFERROR(IF(LEN(D102)=0,"",IF(SUBTOTAL(3,E102:E102)=0,MIN($Y$7:Y101)-1,SUBTOTAL(3,$E$8:E102))),"")</f>
        <v/>
      </c>
      <c r="Z102" s="17"/>
      <c r="AA102" s="10"/>
      <c r="AB102" s="10"/>
      <c r="AC102" s="10"/>
      <c r="AD102" s="10"/>
      <c r="AE102" s="10"/>
      <c r="AF102" s="10"/>
      <c r="AG102" s="10"/>
      <c r="AH102" s="10"/>
      <c r="AI102" s="10"/>
      <c r="AJ102" s="10"/>
      <c r="AK102" s="10"/>
      <c r="AL102" s="10"/>
      <c r="AM102" s="10"/>
      <c r="AN102" s="10"/>
    </row>
    <row r="103" spans="2:40" hidden="1" x14ac:dyDescent="0.35">
      <c r="B103" s="15"/>
      <c r="C103" s="127" t="str">
        <f>IFERROR(IF(LEN(INDEX(Database!C$9:C$501,ROW(Calc!A103)-ROW(Calc!$B$7)))=0,"",INDEX(Database!C$9:C$501,ROW(Calc!A103)-ROW(Calc!$B$7))),"")</f>
        <v/>
      </c>
      <c r="D103" s="70" t="str">
        <f>IFERROR(IF(LEN(INDEX(Database!D$9:D$501,ROW(Calc!B103)-ROW(Calc!$B$7)))=0,"",INDEX(Database!D$9:D$501,ROW(Calc!B103)-ROW(Calc!$B$7))),"")</f>
        <v/>
      </c>
      <c r="E103" s="124" t="str">
        <f>IFERROR(IF(LEN(INDEX(Database!G$9:G$501,ROW(Calc!D103)-ROW(Calc!$B$7)))=0,$AD$3,INDEX(Database!G$9:G$501,ROW(Calc!D103)-ROW(Calc!$B$7))),"")</f>
        <v>Not Set</v>
      </c>
      <c r="F103" s="124" t="str">
        <f>IFERROR(IF(LEN(INDEX(Database!F$9:F$501,ROW(Calc!E103)-ROW(Calc!$B$7)))=0,$AD$3,INDEX(Database!F$9:F$501,ROW(Calc!E103)-ROW(Calc!$B$7))),"")</f>
        <v>Not Set</v>
      </c>
      <c r="G103" s="128" t="str">
        <f>IFERROR(IF(LEN(INDEX(Database!H$9:H$501,ROW(Calc!F103)-ROW(Calc!$B$7)))=0,$AD$3,INDEX(Database!H$9:H$501,ROW(Calc!F103)-ROW(Calc!$B$7))),"")</f>
        <v>Not Set</v>
      </c>
      <c r="H103" s="128" t="str">
        <f>IFERROR(IF(LEN(INDEX(Database!I$9:I$501,ROW(Calc!G103)-ROW(Calc!$B$7)))=0,$AD$3,INDEX(Database!I$9:I$501,ROW(Calc!G103)-ROW(Calc!$B$7))),"")</f>
        <v>Not Set</v>
      </c>
      <c r="I103" s="128" t="str">
        <f>IFERROR(IF(LEN(INDEX(Database!J$9:J$501,ROW(Calc!H103)-ROW(Calc!$B$7)))=0,$AD$3,INDEX(Database!J$9:J$501,ROW(Calc!H103)-ROW(Calc!$B$7))),"")</f>
        <v>Not Set</v>
      </c>
      <c r="J103" s="128" t="str">
        <f t="shared" si="14"/>
        <v>Not Set</v>
      </c>
      <c r="K103" s="124" t="str">
        <f>IFERROR(IF(LEN(INDEX(Database!E$9:E$501,ROW(Calc!I103)-ROW(Calc!$B$7)))=0,"",INDEX(Database!E$9:E$501,ROW(Calc!I103)-ROW(Calc!$B$7))),"")</f>
        <v/>
      </c>
      <c r="L103" s="129" t="str">
        <f>IFERROR(IF(LEN(INDEX(Database!K$9:K$501,ROW(Calc!K103)-ROW(Calc!$B$7)))=0,$AD$3,INDEX(Database!K$9:K$501,ROW(Calc!K103)-ROW(Calc!$B$7))),"")</f>
        <v>Not Set</v>
      </c>
      <c r="M103" s="130" t="str">
        <f>IFERROR(IF(LEN(INDEX(Database!L$9:L$501,ROW(Calc!L103)-ROW(Calc!$B$7)))=0,$AD$3,INDEX(Database!L$9:L$501,ROW(Calc!L103)-ROW(Calc!$B$7))),"")</f>
        <v>Not Set</v>
      </c>
      <c r="N103" s="131" t="str">
        <f>IFERROR(IF(LEN(INDEX(Database!M$9:M$501,ROW(Calc!M103)-ROW(Calc!$B$7)))=0,"",INDEX(Database!M$9:M$501,ROW(Calc!M103)-ROW(Calc!$B$7))),"")</f>
        <v/>
      </c>
      <c r="O103" s="132" t="str">
        <f t="shared" si="18"/>
        <v/>
      </c>
      <c r="P103" s="125" t="str">
        <f t="shared" si="15"/>
        <v>Not Set</v>
      </c>
      <c r="Q103" s="125" t="str">
        <f t="shared" si="16"/>
        <v>Not Set</v>
      </c>
      <c r="R103" s="125" t="str">
        <f>IFERROR(IF(G103=$AD$3,$AD$3,INDEX(Kanban_Helper!$C$317:$C$328,MATCH(MONTH(G103),Kanban_Helper!$B$317:$B$328,0))&amp;" - "&amp;YEAR(G103)),"$AD$3")</f>
        <v>Not Set</v>
      </c>
      <c r="S103" s="125" t="str">
        <f>IFERROR(IF(I103=$AD$3,$AD$3,INDEX(Kanban_Helper!$C$317:$C$328,MATCH(MONTH(I103),Kanban_Helper!$B$317:$B$328,0))&amp;" - "&amp;YEAR(I103)),$AD$3)</f>
        <v>Not Set</v>
      </c>
      <c r="T103" s="125" t="str">
        <f t="shared" ca="1" si="19"/>
        <v/>
      </c>
      <c r="U103" s="125" t="str">
        <f t="shared" ca="1" si="20"/>
        <v/>
      </c>
      <c r="V103" s="125" t="str">
        <f t="shared" si="17"/>
        <v>Not Set</v>
      </c>
      <c r="W103" s="126" t="str">
        <f t="shared" si="21"/>
        <v/>
      </c>
      <c r="X103" s="126" t="str">
        <f t="shared" si="22"/>
        <v/>
      </c>
      <c r="Y103" s="125" t="str">
        <f>IFERROR(IF(LEN(D103)=0,"",IF(SUBTOTAL(3,E103:E103)=0,MIN($Y$7:Y102)-1,SUBTOTAL(3,$E$8:E103))),"")</f>
        <v/>
      </c>
      <c r="Z103" s="17"/>
      <c r="AA103" s="10"/>
      <c r="AB103" s="10"/>
      <c r="AC103" s="10"/>
      <c r="AD103" s="10"/>
      <c r="AE103" s="10"/>
      <c r="AF103" s="10"/>
      <c r="AG103" s="10"/>
      <c r="AH103" s="10"/>
      <c r="AI103" s="10"/>
      <c r="AJ103" s="10"/>
      <c r="AK103" s="10"/>
      <c r="AL103" s="10"/>
      <c r="AM103" s="10"/>
      <c r="AN103" s="10"/>
    </row>
    <row r="104" spans="2:40" hidden="1" x14ac:dyDescent="0.35">
      <c r="B104" s="15"/>
      <c r="C104" s="127" t="str">
        <f>IFERROR(IF(LEN(INDEX(Database!C$9:C$501,ROW(Calc!A104)-ROW(Calc!$B$7)))=0,"",INDEX(Database!C$9:C$501,ROW(Calc!A104)-ROW(Calc!$B$7))),"")</f>
        <v/>
      </c>
      <c r="D104" s="70" t="str">
        <f>IFERROR(IF(LEN(INDEX(Database!D$9:D$501,ROW(Calc!B104)-ROW(Calc!$B$7)))=0,"",INDEX(Database!D$9:D$501,ROW(Calc!B104)-ROW(Calc!$B$7))),"")</f>
        <v/>
      </c>
      <c r="E104" s="124" t="str">
        <f>IFERROR(IF(LEN(INDEX(Database!G$9:G$501,ROW(Calc!D104)-ROW(Calc!$B$7)))=0,$AD$3,INDEX(Database!G$9:G$501,ROW(Calc!D104)-ROW(Calc!$B$7))),"")</f>
        <v>Not Set</v>
      </c>
      <c r="F104" s="124" t="str">
        <f>IFERROR(IF(LEN(INDEX(Database!F$9:F$501,ROW(Calc!E104)-ROW(Calc!$B$7)))=0,$AD$3,INDEX(Database!F$9:F$501,ROW(Calc!E104)-ROW(Calc!$B$7))),"")</f>
        <v>Not Set</v>
      </c>
      <c r="G104" s="128" t="str">
        <f>IFERROR(IF(LEN(INDEX(Database!H$9:H$501,ROW(Calc!F104)-ROW(Calc!$B$7)))=0,$AD$3,INDEX(Database!H$9:H$501,ROW(Calc!F104)-ROW(Calc!$B$7))),"")</f>
        <v>Not Set</v>
      </c>
      <c r="H104" s="128" t="str">
        <f>IFERROR(IF(LEN(INDEX(Database!I$9:I$501,ROW(Calc!G104)-ROW(Calc!$B$7)))=0,$AD$3,INDEX(Database!I$9:I$501,ROW(Calc!G104)-ROW(Calc!$B$7))),"")</f>
        <v>Not Set</v>
      </c>
      <c r="I104" s="128" t="str">
        <f>IFERROR(IF(LEN(INDEX(Database!J$9:J$501,ROW(Calc!H104)-ROW(Calc!$B$7)))=0,$AD$3,INDEX(Database!J$9:J$501,ROW(Calc!H104)-ROW(Calc!$B$7))),"")</f>
        <v>Not Set</v>
      </c>
      <c r="J104" s="128" t="str">
        <f t="shared" si="14"/>
        <v>Not Set</v>
      </c>
      <c r="K104" s="124" t="str">
        <f>IFERROR(IF(LEN(INDEX(Database!E$9:E$501,ROW(Calc!I104)-ROW(Calc!$B$7)))=0,"",INDEX(Database!E$9:E$501,ROW(Calc!I104)-ROW(Calc!$B$7))),"")</f>
        <v/>
      </c>
      <c r="L104" s="129" t="str">
        <f>IFERROR(IF(LEN(INDEX(Database!K$9:K$501,ROW(Calc!K104)-ROW(Calc!$B$7)))=0,$AD$3,INDEX(Database!K$9:K$501,ROW(Calc!K104)-ROW(Calc!$B$7))),"")</f>
        <v>Not Set</v>
      </c>
      <c r="M104" s="130" t="str">
        <f>IFERROR(IF(LEN(INDEX(Database!L$9:L$501,ROW(Calc!L104)-ROW(Calc!$B$7)))=0,$AD$3,INDEX(Database!L$9:L$501,ROW(Calc!L104)-ROW(Calc!$B$7))),"")</f>
        <v>Not Set</v>
      </c>
      <c r="N104" s="131" t="str">
        <f>IFERROR(IF(LEN(INDEX(Database!M$9:M$501,ROW(Calc!M104)-ROW(Calc!$B$7)))=0,"",INDEX(Database!M$9:M$501,ROW(Calc!M104)-ROW(Calc!$B$7))),"")</f>
        <v/>
      </c>
      <c r="O104" s="132" t="str">
        <f t="shared" si="18"/>
        <v/>
      </c>
      <c r="P104" s="125" t="str">
        <f t="shared" si="15"/>
        <v>Not Set</v>
      </c>
      <c r="Q104" s="125" t="str">
        <f t="shared" si="16"/>
        <v>Not Set</v>
      </c>
      <c r="R104" s="125" t="str">
        <f>IFERROR(IF(G104=$AD$3,$AD$3,INDEX(Kanban_Helper!$C$317:$C$328,MATCH(MONTH(G104),Kanban_Helper!$B$317:$B$328,0))&amp;" - "&amp;YEAR(G104)),"$AD$3")</f>
        <v>Not Set</v>
      </c>
      <c r="S104" s="125" t="str">
        <f>IFERROR(IF(I104=$AD$3,$AD$3,INDEX(Kanban_Helper!$C$317:$C$328,MATCH(MONTH(I104),Kanban_Helper!$B$317:$B$328,0))&amp;" - "&amp;YEAR(I104)),$AD$3)</f>
        <v>Not Set</v>
      </c>
      <c r="T104" s="125" t="str">
        <f t="shared" ca="1" si="19"/>
        <v/>
      </c>
      <c r="U104" s="125" t="str">
        <f t="shared" ca="1" si="20"/>
        <v/>
      </c>
      <c r="V104" s="125" t="str">
        <f t="shared" si="17"/>
        <v>Not Set</v>
      </c>
      <c r="W104" s="126" t="str">
        <f t="shared" si="21"/>
        <v/>
      </c>
      <c r="X104" s="126" t="str">
        <f t="shared" si="22"/>
        <v/>
      </c>
      <c r="Y104" s="125" t="str">
        <f>IFERROR(IF(LEN(D104)=0,"",IF(SUBTOTAL(3,E104:E104)=0,MIN($Y$7:Y103)-1,SUBTOTAL(3,$E$8:E104))),"")</f>
        <v/>
      </c>
      <c r="Z104" s="17"/>
      <c r="AA104" s="10"/>
      <c r="AB104" s="10"/>
      <c r="AC104" s="10"/>
      <c r="AD104" s="10"/>
      <c r="AE104" s="10"/>
      <c r="AF104" s="10"/>
      <c r="AG104" s="10"/>
      <c r="AH104" s="10"/>
      <c r="AI104" s="10"/>
      <c r="AJ104" s="10"/>
      <c r="AK104" s="10"/>
      <c r="AL104" s="10"/>
      <c r="AM104" s="10"/>
      <c r="AN104" s="10"/>
    </row>
    <row r="105" spans="2:40" hidden="1" x14ac:dyDescent="0.35">
      <c r="B105" s="15"/>
      <c r="C105" s="127" t="str">
        <f>IFERROR(IF(LEN(INDEX(Database!C$9:C$501,ROW(Calc!A105)-ROW(Calc!$B$7)))=0,"",INDEX(Database!C$9:C$501,ROW(Calc!A105)-ROW(Calc!$B$7))),"")</f>
        <v/>
      </c>
      <c r="D105" s="70" t="str">
        <f>IFERROR(IF(LEN(INDEX(Database!D$9:D$501,ROW(Calc!B105)-ROW(Calc!$B$7)))=0,"",INDEX(Database!D$9:D$501,ROW(Calc!B105)-ROW(Calc!$B$7))),"")</f>
        <v/>
      </c>
      <c r="E105" s="124" t="str">
        <f>IFERROR(IF(LEN(INDEX(Database!G$9:G$501,ROW(Calc!D105)-ROW(Calc!$B$7)))=0,$AD$3,INDEX(Database!G$9:G$501,ROW(Calc!D105)-ROW(Calc!$B$7))),"")</f>
        <v>Not Set</v>
      </c>
      <c r="F105" s="124" t="str">
        <f>IFERROR(IF(LEN(INDEX(Database!F$9:F$501,ROW(Calc!E105)-ROW(Calc!$B$7)))=0,$AD$3,INDEX(Database!F$9:F$501,ROW(Calc!E105)-ROW(Calc!$B$7))),"")</f>
        <v>Not Set</v>
      </c>
      <c r="G105" s="128" t="str">
        <f>IFERROR(IF(LEN(INDEX(Database!H$9:H$501,ROW(Calc!F105)-ROW(Calc!$B$7)))=0,$AD$3,INDEX(Database!H$9:H$501,ROW(Calc!F105)-ROW(Calc!$B$7))),"")</f>
        <v>Not Set</v>
      </c>
      <c r="H105" s="128" t="str">
        <f>IFERROR(IF(LEN(INDEX(Database!I$9:I$501,ROW(Calc!G105)-ROW(Calc!$B$7)))=0,$AD$3,INDEX(Database!I$9:I$501,ROW(Calc!G105)-ROW(Calc!$B$7))),"")</f>
        <v>Not Set</v>
      </c>
      <c r="I105" s="128" t="str">
        <f>IFERROR(IF(LEN(INDEX(Database!J$9:J$501,ROW(Calc!H105)-ROW(Calc!$B$7)))=0,$AD$3,INDEX(Database!J$9:J$501,ROW(Calc!H105)-ROW(Calc!$B$7))),"")</f>
        <v>Not Set</v>
      </c>
      <c r="J105" s="128" t="str">
        <f t="shared" si="14"/>
        <v>Not Set</v>
      </c>
      <c r="K105" s="124" t="str">
        <f>IFERROR(IF(LEN(INDEX(Database!E$9:E$501,ROW(Calc!I105)-ROW(Calc!$B$7)))=0,"",INDEX(Database!E$9:E$501,ROW(Calc!I105)-ROW(Calc!$B$7))),"")</f>
        <v/>
      </c>
      <c r="L105" s="129" t="str">
        <f>IFERROR(IF(LEN(INDEX(Database!K$9:K$501,ROW(Calc!K105)-ROW(Calc!$B$7)))=0,$AD$3,INDEX(Database!K$9:K$501,ROW(Calc!K105)-ROW(Calc!$B$7))),"")</f>
        <v>Not Set</v>
      </c>
      <c r="M105" s="130" t="str">
        <f>IFERROR(IF(LEN(INDEX(Database!L$9:L$501,ROW(Calc!L105)-ROW(Calc!$B$7)))=0,$AD$3,INDEX(Database!L$9:L$501,ROW(Calc!L105)-ROW(Calc!$B$7))),"")</f>
        <v>Not Set</v>
      </c>
      <c r="N105" s="131" t="str">
        <f>IFERROR(IF(LEN(INDEX(Database!M$9:M$501,ROW(Calc!M105)-ROW(Calc!$B$7)))=0,"",INDEX(Database!M$9:M$501,ROW(Calc!M105)-ROW(Calc!$B$7))),"")</f>
        <v/>
      </c>
      <c r="O105" s="132" t="str">
        <f t="shared" si="18"/>
        <v/>
      </c>
      <c r="P105" s="125" t="str">
        <f t="shared" si="15"/>
        <v>Not Set</v>
      </c>
      <c r="Q105" s="125" t="str">
        <f t="shared" si="16"/>
        <v>Not Set</v>
      </c>
      <c r="R105" s="125" t="str">
        <f>IFERROR(IF(G105=$AD$3,$AD$3,INDEX(Kanban_Helper!$C$317:$C$328,MATCH(MONTH(G105),Kanban_Helper!$B$317:$B$328,0))&amp;" - "&amp;YEAR(G105)),"$AD$3")</f>
        <v>Not Set</v>
      </c>
      <c r="S105" s="125" t="str">
        <f>IFERROR(IF(I105=$AD$3,$AD$3,INDEX(Kanban_Helper!$C$317:$C$328,MATCH(MONTH(I105),Kanban_Helper!$B$317:$B$328,0))&amp;" - "&amp;YEAR(I105)),$AD$3)</f>
        <v>Not Set</v>
      </c>
      <c r="T105" s="125" t="str">
        <f t="shared" ca="1" si="19"/>
        <v/>
      </c>
      <c r="U105" s="125" t="str">
        <f t="shared" ca="1" si="20"/>
        <v/>
      </c>
      <c r="V105" s="125" t="str">
        <f t="shared" si="17"/>
        <v>Not Set</v>
      </c>
      <c r="W105" s="126" t="str">
        <f t="shared" si="21"/>
        <v/>
      </c>
      <c r="X105" s="126" t="str">
        <f t="shared" si="22"/>
        <v/>
      </c>
      <c r="Y105" s="125" t="str">
        <f>IFERROR(IF(LEN(D105)=0,"",IF(SUBTOTAL(3,E105:E105)=0,MIN($Y$7:Y104)-1,SUBTOTAL(3,$E$8:E105))),"")</f>
        <v/>
      </c>
      <c r="Z105" s="17"/>
      <c r="AA105" s="10"/>
      <c r="AB105" s="10"/>
      <c r="AC105" s="10"/>
      <c r="AD105" s="10"/>
      <c r="AE105" s="10"/>
      <c r="AF105" s="10"/>
      <c r="AG105" s="10"/>
      <c r="AH105" s="10"/>
      <c r="AI105" s="10"/>
      <c r="AJ105" s="10"/>
      <c r="AK105" s="10"/>
      <c r="AL105" s="10"/>
      <c r="AM105" s="10"/>
      <c r="AN105" s="10"/>
    </row>
    <row r="106" spans="2:40" hidden="1" x14ac:dyDescent="0.35">
      <c r="B106" s="15"/>
      <c r="C106" s="127" t="str">
        <f>IFERROR(IF(LEN(INDEX(Database!C$9:C$501,ROW(Calc!A106)-ROW(Calc!$B$7)))=0,"",INDEX(Database!C$9:C$501,ROW(Calc!A106)-ROW(Calc!$B$7))),"")</f>
        <v/>
      </c>
      <c r="D106" s="70" t="str">
        <f>IFERROR(IF(LEN(INDEX(Database!D$9:D$501,ROW(Calc!B106)-ROW(Calc!$B$7)))=0,"",INDEX(Database!D$9:D$501,ROW(Calc!B106)-ROW(Calc!$B$7))),"")</f>
        <v/>
      </c>
      <c r="E106" s="124" t="str">
        <f>IFERROR(IF(LEN(INDEX(Database!G$9:G$501,ROW(Calc!D106)-ROW(Calc!$B$7)))=0,$AD$3,INDEX(Database!G$9:G$501,ROW(Calc!D106)-ROW(Calc!$B$7))),"")</f>
        <v>Not Set</v>
      </c>
      <c r="F106" s="124" t="str">
        <f>IFERROR(IF(LEN(INDEX(Database!F$9:F$501,ROW(Calc!E106)-ROW(Calc!$B$7)))=0,$AD$3,INDEX(Database!F$9:F$501,ROW(Calc!E106)-ROW(Calc!$B$7))),"")</f>
        <v>Not Set</v>
      </c>
      <c r="G106" s="128" t="str">
        <f>IFERROR(IF(LEN(INDEX(Database!H$9:H$501,ROW(Calc!F106)-ROW(Calc!$B$7)))=0,$AD$3,INDEX(Database!H$9:H$501,ROW(Calc!F106)-ROW(Calc!$B$7))),"")</f>
        <v>Not Set</v>
      </c>
      <c r="H106" s="128" t="str">
        <f>IFERROR(IF(LEN(INDEX(Database!I$9:I$501,ROW(Calc!G106)-ROW(Calc!$B$7)))=0,$AD$3,INDEX(Database!I$9:I$501,ROW(Calc!G106)-ROW(Calc!$B$7))),"")</f>
        <v>Not Set</v>
      </c>
      <c r="I106" s="128" t="str">
        <f>IFERROR(IF(LEN(INDEX(Database!J$9:J$501,ROW(Calc!H106)-ROW(Calc!$B$7)))=0,$AD$3,INDEX(Database!J$9:J$501,ROW(Calc!H106)-ROW(Calc!$B$7))),"")</f>
        <v>Not Set</v>
      </c>
      <c r="J106" s="128" t="str">
        <f t="shared" si="14"/>
        <v>Not Set</v>
      </c>
      <c r="K106" s="124" t="str">
        <f>IFERROR(IF(LEN(INDEX(Database!E$9:E$501,ROW(Calc!I106)-ROW(Calc!$B$7)))=0,"",INDEX(Database!E$9:E$501,ROW(Calc!I106)-ROW(Calc!$B$7))),"")</f>
        <v/>
      </c>
      <c r="L106" s="129" t="str">
        <f>IFERROR(IF(LEN(INDEX(Database!K$9:K$501,ROW(Calc!K106)-ROW(Calc!$B$7)))=0,$AD$3,INDEX(Database!K$9:K$501,ROW(Calc!K106)-ROW(Calc!$B$7))),"")</f>
        <v>Not Set</v>
      </c>
      <c r="M106" s="130" t="str">
        <f>IFERROR(IF(LEN(INDEX(Database!L$9:L$501,ROW(Calc!L106)-ROW(Calc!$B$7)))=0,$AD$3,INDEX(Database!L$9:L$501,ROW(Calc!L106)-ROW(Calc!$B$7))),"")</f>
        <v>Not Set</v>
      </c>
      <c r="N106" s="131" t="str">
        <f>IFERROR(IF(LEN(INDEX(Database!M$9:M$501,ROW(Calc!M106)-ROW(Calc!$B$7)))=0,"",INDEX(Database!M$9:M$501,ROW(Calc!M106)-ROW(Calc!$B$7))),"")</f>
        <v/>
      </c>
      <c r="O106" s="132" t="str">
        <f t="shared" si="18"/>
        <v/>
      </c>
      <c r="P106" s="125" t="str">
        <f t="shared" si="15"/>
        <v>Not Set</v>
      </c>
      <c r="Q106" s="125" t="str">
        <f t="shared" si="16"/>
        <v>Not Set</v>
      </c>
      <c r="R106" s="125" t="str">
        <f>IFERROR(IF(G106=$AD$3,$AD$3,INDEX(Kanban_Helper!$C$317:$C$328,MATCH(MONTH(G106),Kanban_Helper!$B$317:$B$328,0))&amp;" - "&amp;YEAR(G106)),"$AD$3")</f>
        <v>Not Set</v>
      </c>
      <c r="S106" s="125" t="str">
        <f>IFERROR(IF(I106=$AD$3,$AD$3,INDEX(Kanban_Helper!$C$317:$C$328,MATCH(MONTH(I106),Kanban_Helper!$B$317:$B$328,0))&amp;" - "&amp;YEAR(I106)),$AD$3)</f>
        <v>Not Set</v>
      </c>
      <c r="T106" s="125" t="str">
        <f t="shared" ca="1" si="19"/>
        <v/>
      </c>
      <c r="U106" s="125" t="str">
        <f t="shared" ca="1" si="20"/>
        <v/>
      </c>
      <c r="V106" s="125" t="str">
        <f t="shared" si="17"/>
        <v>Not Set</v>
      </c>
      <c r="W106" s="126" t="str">
        <f t="shared" si="21"/>
        <v/>
      </c>
      <c r="X106" s="126" t="str">
        <f t="shared" si="22"/>
        <v/>
      </c>
      <c r="Y106" s="125" t="str">
        <f>IFERROR(IF(LEN(D106)=0,"",IF(SUBTOTAL(3,E106:E106)=0,MIN($Y$7:Y105)-1,SUBTOTAL(3,$E$8:E106))),"")</f>
        <v/>
      </c>
      <c r="Z106" s="17"/>
      <c r="AA106" s="10"/>
      <c r="AB106" s="10"/>
      <c r="AC106" s="10"/>
      <c r="AD106" s="10"/>
      <c r="AE106" s="10"/>
      <c r="AF106" s="10"/>
      <c r="AG106" s="10"/>
      <c r="AH106" s="10"/>
      <c r="AI106" s="10"/>
      <c r="AJ106" s="10"/>
      <c r="AK106" s="10"/>
      <c r="AL106" s="10"/>
      <c r="AM106" s="10"/>
      <c r="AN106" s="10"/>
    </row>
    <row r="107" spans="2:40" hidden="1" x14ac:dyDescent="0.35">
      <c r="B107" s="15"/>
      <c r="C107" s="127" t="str">
        <f>IFERROR(IF(LEN(INDEX(Database!C$9:C$501,ROW(Calc!A107)-ROW(Calc!$B$7)))=0,"",INDEX(Database!C$9:C$501,ROW(Calc!A107)-ROW(Calc!$B$7))),"")</f>
        <v/>
      </c>
      <c r="D107" s="70" t="str">
        <f>IFERROR(IF(LEN(INDEX(Database!D$9:D$501,ROW(Calc!B107)-ROW(Calc!$B$7)))=0,"",INDEX(Database!D$9:D$501,ROW(Calc!B107)-ROW(Calc!$B$7))),"")</f>
        <v/>
      </c>
      <c r="E107" s="124" t="str">
        <f>IFERROR(IF(LEN(INDEX(Database!G$9:G$501,ROW(Calc!D107)-ROW(Calc!$B$7)))=0,$AD$3,INDEX(Database!G$9:G$501,ROW(Calc!D107)-ROW(Calc!$B$7))),"")</f>
        <v>Not Set</v>
      </c>
      <c r="F107" s="124" t="str">
        <f>IFERROR(IF(LEN(INDEX(Database!F$9:F$501,ROW(Calc!E107)-ROW(Calc!$B$7)))=0,$AD$3,INDEX(Database!F$9:F$501,ROW(Calc!E107)-ROW(Calc!$B$7))),"")</f>
        <v>Not Set</v>
      </c>
      <c r="G107" s="128" t="str">
        <f>IFERROR(IF(LEN(INDEX(Database!H$9:H$501,ROW(Calc!F107)-ROW(Calc!$B$7)))=0,$AD$3,INDEX(Database!H$9:H$501,ROW(Calc!F107)-ROW(Calc!$B$7))),"")</f>
        <v>Not Set</v>
      </c>
      <c r="H107" s="128" t="str">
        <f>IFERROR(IF(LEN(INDEX(Database!I$9:I$501,ROW(Calc!G107)-ROW(Calc!$B$7)))=0,$AD$3,INDEX(Database!I$9:I$501,ROW(Calc!G107)-ROW(Calc!$B$7))),"")</f>
        <v>Not Set</v>
      </c>
      <c r="I107" s="128" t="str">
        <f>IFERROR(IF(LEN(INDEX(Database!J$9:J$501,ROW(Calc!H107)-ROW(Calc!$B$7)))=0,$AD$3,INDEX(Database!J$9:J$501,ROW(Calc!H107)-ROW(Calc!$B$7))),"")</f>
        <v>Not Set</v>
      </c>
      <c r="J107" s="128" t="str">
        <f t="shared" si="14"/>
        <v>Not Set</v>
      </c>
      <c r="K107" s="124" t="str">
        <f>IFERROR(IF(LEN(INDEX(Database!E$9:E$501,ROW(Calc!I107)-ROW(Calc!$B$7)))=0,"",INDEX(Database!E$9:E$501,ROW(Calc!I107)-ROW(Calc!$B$7))),"")</f>
        <v/>
      </c>
      <c r="L107" s="129" t="str">
        <f>IFERROR(IF(LEN(INDEX(Database!K$9:K$501,ROW(Calc!K107)-ROW(Calc!$B$7)))=0,$AD$3,INDEX(Database!K$9:K$501,ROW(Calc!K107)-ROW(Calc!$B$7))),"")</f>
        <v>Not Set</v>
      </c>
      <c r="M107" s="130" t="str">
        <f>IFERROR(IF(LEN(INDEX(Database!L$9:L$501,ROW(Calc!L107)-ROW(Calc!$B$7)))=0,$AD$3,INDEX(Database!L$9:L$501,ROW(Calc!L107)-ROW(Calc!$B$7))),"")</f>
        <v>Not Set</v>
      </c>
      <c r="N107" s="131" t="str">
        <f>IFERROR(IF(LEN(INDEX(Database!M$9:M$501,ROW(Calc!M107)-ROW(Calc!$B$7)))=0,"",INDEX(Database!M$9:M$501,ROW(Calc!M107)-ROW(Calc!$B$7))),"")</f>
        <v/>
      </c>
      <c r="O107" s="132" t="str">
        <f t="shared" si="18"/>
        <v/>
      </c>
      <c r="P107" s="125" t="str">
        <f t="shared" si="15"/>
        <v>Not Set</v>
      </c>
      <c r="Q107" s="125" t="str">
        <f t="shared" si="16"/>
        <v>Not Set</v>
      </c>
      <c r="R107" s="125" t="str">
        <f>IFERROR(IF(G107=$AD$3,$AD$3,INDEX(Kanban_Helper!$C$317:$C$328,MATCH(MONTH(G107),Kanban_Helper!$B$317:$B$328,0))&amp;" - "&amp;YEAR(G107)),"$AD$3")</f>
        <v>Not Set</v>
      </c>
      <c r="S107" s="125" t="str">
        <f>IFERROR(IF(I107=$AD$3,$AD$3,INDEX(Kanban_Helper!$C$317:$C$328,MATCH(MONTH(I107),Kanban_Helper!$B$317:$B$328,0))&amp;" - "&amp;YEAR(I107)),$AD$3)</f>
        <v>Not Set</v>
      </c>
      <c r="T107" s="125" t="str">
        <f t="shared" ca="1" si="19"/>
        <v/>
      </c>
      <c r="U107" s="125" t="str">
        <f t="shared" ca="1" si="20"/>
        <v/>
      </c>
      <c r="V107" s="125" t="str">
        <f t="shared" si="17"/>
        <v>Not Set</v>
      </c>
      <c r="W107" s="126" t="str">
        <f t="shared" si="21"/>
        <v/>
      </c>
      <c r="X107" s="126" t="str">
        <f t="shared" si="22"/>
        <v/>
      </c>
      <c r="Y107" s="125" t="str">
        <f>IFERROR(IF(LEN(D107)=0,"",IF(SUBTOTAL(3,E107:E107)=0,MIN($Y$7:Y106)-1,SUBTOTAL(3,$E$8:E107))),"")</f>
        <v/>
      </c>
      <c r="Z107" s="17"/>
      <c r="AA107" s="10"/>
      <c r="AB107" s="10"/>
      <c r="AC107" s="10"/>
      <c r="AD107" s="10"/>
      <c r="AE107" s="10"/>
      <c r="AF107" s="10"/>
      <c r="AG107" s="10"/>
      <c r="AH107" s="10"/>
      <c r="AI107" s="10"/>
      <c r="AJ107" s="10"/>
      <c r="AK107" s="10"/>
      <c r="AL107" s="10"/>
      <c r="AM107" s="10"/>
      <c r="AN107" s="10"/>
    </row>
    <row r="108" spans="2:40" hidden="1" x14ac:dyDescent="0.35">
      <c r="B108" s="15"/>
      <c r="C108" s="127" t="str">
        <f>IFERROR(IF(LEN(INDEX(Database!C$9:C$501,ROW(Calc!A108)-ROW(Calc!$B$7)))=0,"",INDEX(Database!C$9:C$501,ROW(Calc!A108)-ROW(Calc!$B$7))),"")</f>
        <v/>
      </c>
      <c r="D108" s="70" t="str">
        <f>IFERROR(IF(LEN(INDEX(Database!D$9:D$501,ROW(Calc!B108)-ROW(Calc!$B$7)))=0,"",INDEX(Database!D$9:D$501,ROW(Calc!B108)-ROW(Calc!$B$7))),"")</f>
        <v/>
      </c>
      <c r="E108" s="124" t="str">
        <f>IFERROR(IF(LEN(INDEX(Database!G$9:G$501,ROW(Calc!D108)-ROW(Calc!$B$7)))=0,$AD$3,INDEX(Database!G$9:G$501,ROW(Calc!D108)-ROW(Calc!$B$7))),"")</f>
        <v>Not Set</v>
      </c>
      <c r="F108" s="124" t="str">
        <f>IFERROR(IF(LEN(INDEX(Database!F$9:F$501,ROW(Calc!E108)-ROW(Calc!$B$7)))=0,$AD$3,INDEX(Database!F$9:F$501,ROW(Calc!E108)-ROW(Calc!$B$7))),"")</f>
        <v>Not Set</v>
      </c>
      <c r="G108" s="128" t="str">
        <f>IFERROR(IF(LEN(INDEX(Database!H$9:H$501,ROW(Calc!F108)-ROW(Calc!$B$7)))=0,$AD$3,INDEX(Database!H$9:H$501,ROW(Calc!F108)-ROW(Calc!$B$7))),"")</f>
        <v>Not Set</v>
      </c>
      <c r="H108" s="128" t="str">
        <f>IFERROR(IF(LEN(INDEX(Database!I$9:I$501,ROW(Calc!G108)-ROW(Calc!$B$7)))=0,$AD$3,INDEX(Database!I$9:I$501,ROW(Calc!G108)-ROW(Calc!$B$7))),"")</f>
        <v>Not Set</v>
      </c>
      <c r="I108" s="128" t="str">
        <f>IFERROR(IF(LEN(INDEX(Database!J$9:J$501,ROW(Calc!H108)-ROW(Calc!$B$7)))=0,$AD$3,INDEX(Database!J$9:J$501,ROW(Calc!H108)-ROW(Calc!$B$7))),"")</f>
        <v>Not Set</v>
      </c>
      <c r="J108" s="128" t="str">
        <f t="shared" si="14"/>
        <v>Not Set</v>
      </c>
      <c r="K108" s="124" t="str">
        <f>IFERROR(IF(LEN(INDEX(Database!E$9:E$501,ROW(Calc!I108)-ROW(Calc!$B$7)))=0,"",INDEX(Database!E$9:E$501,ROW(Calc!I108)-ROW(Calc!$B$7))),"")</f>
        <v/>
      </c>
      <c r="L108" s="129" t="str">
        <f>IFERROR(IF(LEN(INDEX(Database!K$9:K$501,ROW(Calc!K108)-ROW(Calc!$B$7)))=0,$AD$3,INDEX(Database!K$9:K$501,ROW(Calc!K108)-ROW(Calc!$B$7))),"")</f>
        <v>Not Set</v>
      </c>
      <c r="M108" s="130" t="str">
        <f>IFERROR(IF(LEN(INDEX(Database!L$9:L$501,ROW(Calc!L108)-ROW(Calc!$B$7)))=0,$AD$3,INDEX(Database!L$9:L$501,ROW(Calc!L108)-ROW(Calc!$B$7))),"")</f>
        <v>Not Set</v>
      </c>
      <c r="N108" s="131" t="str">
        <f>IFERROR(IF(LEN(INDEX(Database!M$9:M$501,ROW(Calc!M108)-ROW(Calc!$B$7)))=0,"",INDEX(Database!M$9:M$501,ROW(Calc!M108)-ROW(Calc!$B$7))),"")</f>
        <v/>
      </c>
      <c r="O108" s="132" t="str">
        <f t="shared" si="18"/>
        <v/>
      </c>
      <c r="P108" s="125" t="str">
        <f t="shared" si="15"/>
        <v>Not Set</v>
      </c>
      <c r="Q108" s="125" t="str">
        <f t="shared" si="16"/>
        <v>Not Set</v>
      </c>
      <c r="R108" s="125" t="str">
        <f>IFERROR(IF(G108=$AD$3,$AD$3,INDEX(Kanban_Helper!$C$317:$C$328,MATCH(MONTH(G108),Kanban_Helper!$B$317:$B$328,0))&amp;" - "&amp;YEAR(G108)),"$AD$3")</f>
        <v>Not Set</v>
      </c>
      <c r="S108" s="125" t="str">
        <f>IFERROR(IF(I108=$AD$3,$AD$3,INDEX(Kanban_Helper!$C$317:$C$328,MATCH(MONTH(I108),Kanban_Helper!$B$317:$B$328,0))&amp;" - "&amp;YEAR(I108)),$AD$3)</f>
        <v>Not Set</v>
      </c>
      <c r="T108" s="125" t="str">
        <f t="shared" ca="1" si="19"/>
        <v/>
      </c>
      <c r="U108" s="125" t="str">
        <f t="shared" ca="1" si="20"/>
        <v/>
      </c>
      <c r="V108" s="125" t="str">
        <f t="shared" si="17"/>
        <v>Not Set</v>
      </c>
      <c r="W108" s="126" t="str">
        <f t="shared" si="21"/>
        <v/>
      </c>
      <c r="X108" s="126" t="str">
        <f t="shared" si="22"/>
        <v/>
      </c>
      <c r="Y108" s="125" t="str">
        <f>IFERROR(IF(LEN(D108)=0,"",IF(SUBTOTAL(3,E108:E108)=0,MIN($Y$7:Y107)-1,SUBTOTAL(3,$E$8:E108))),"")</f>
        <v/>
      </c>
      <c r="Z108" s="17"/>
      <c r="AA108" s="10"/>
      <c r="AB108" s="10"/>
      <c r="AC108" s="10"/>
      <c r="AD108" s="10"/>
      <c r="AE108" s="10"/>
      <c r="AF108" s="10"/>
      <c r="AG108" s="10"/>
      <c r="AH108" s="10"/>
      <c r="AI108" s="10"/>
      <c r="AJ108" s="10"/>
      <c r="AK108" s="10"/>
      <c r="AL108" s="10"/>
      <c r="AM108" s="10"/>
      <c r="AN108" s="10"/>
    </row>
    <row r="109" spans="2:40" hidden="1" x14ac:dyDescent="0.35">
      <c r="B109" s="15"/>
      <c r="C109" s="127" t="str">
        <f>IFERROR(IF(LEN(INDEX(Database!C$9:C$501,ROW(Calc!A109)-ROW(Calc!$B$7)))=0,"",INDEX(Database!C$9:C$501,ROW(Calc!A109)-ROW(Calc!$B$7))),"")</f>
        <v/>
      </c>
      <c r="D109" s="70" t="str">
        <f>IFERROR(IF(LEN(INDEX(Database!D$9:D$501,ROW(Calc!B109)-ROW(Calc!$B$7)))=0,"",INDEX(Database!D$9:D$501,ROW(Calc!B109)-ROW(Calc!$B$7))),"")</f>
        <v/>
      </c>
      <c r="E109" s="124" t="str">
        <f>IFERROR(IF(LEN(INDEX(Database!G$9:G$501,ROW(Calc!D109)-ROW(Calc!$B$7)))=0,$AD$3,INDEX(Database!G$9:G$501,ROW(Calc!D109)-ROW(Calc!$B$7))),"")</f>
        <v>Not Set</v>
      </c>
      <c r="F109" s="124" t="str">
        <f>IFERROR(IF(LEN(INDEX(Database!F$9:F$501,ROW(Calc!E109)-ROW(Calc!$B$7)))=0,$AD$3,INDEX(Database!F$9:F$501,ROW(Calc!E109)-ROW(Calc!$B$7))),"")</f>
        <v>Not Set</v>
      </c>
      <c r="G109" s="128" t="str">
        <f>IFERROR(IF(LEN(INDEX(Database!H$9:H$501,ROW(Calc!F109)-ROW(Calc!$B$7)))=0,$AD$3,INDEX(Database!H$9:H$501,ROW(Calc!F109)-ROW(Calc!$B$7))),"")</f>
        <v>Not Set</v>
      </c>
      <c r="H109" s="128" t="str">
        <f>IFERROR(IF(LEN(INDEX(Database!I$9:I$501,ROW(Calc!G109)-ROW(Calc!$B$7)))=0,$AD$3,INDEX(Database!I$9:I$501,ROW(Calc!G109)-ROW(Calc!$B$7))),"")</f>
        <v>Not Set</v>
      </c>
      <c r="I109" s="128" t="str">
        <f>IFERROR(IF(LEN(INDEX(Database!J$9:J$501,ROW(Calc!H109)-ROW(Calc!$B$7)))=0,$AD$3,INDEX(Database!J$9:J$501,ROW(Calc!H109)-ROW(Calc!$B$7))),"")</f>
        <v>Not Set</v>
      </c>
      <c r="J109" s="128" t="str">
        <f t="shared" si="14"/>
        <v>Not Set</v>
      </c>
      <c r="K109" s="124" t="str">
        <f>IFERROR(IF(LEN(INDEX(Database!E$9:E$501,ROW(Calc!I109)-ROW(Calc!$B$7)))=0,"",INDEX(Database!E$9:E$501,ROW(Calc!I109)-ROW(Calc!$B$7))),"")</f>
        <v/>
      </c>
      <c r="L109" s="129" t="str">
        <f>IFERROR(IF(LEN(INDEX(Database!K$9:K$501,ROW(Calc!K109)-ROW(Calc!$B$7)))=0,$AD$3,INDEX(Database!K$9:K$501,ROW(Calc!K109)-ROW(Calc!$B$7))),"")</f>
        <v>Not Set</v>
      </c>
      <c r="M109" s="130" t="str">
        <f>IFERROR(IF(LEN(INDEX(Database!L$9:L$501,ROW(Calc!L109)-ROW(Calc!$B$7)))=0,$AD$3,INDEX(Database!L$9:L$501,ROW(Calc!L109)-ROW(Calc!$B$7))),"")</f>
        <v>Not Set</v>
      </c>
      <c r="N109" s="131" t="str">
        <f>IFERROR(IF(LEN(INDEX(Database!M$9:M$501,ROW(Calc!M109)-ROW(Calc!$B$7)))=0,"",INDEX(Database!M$9:M$501,ROW(Calc!M109)-ROW(Calc!$B$7))),"")</f>
        <v/>
      </c>
      <c r="O109" s="132" t="str">
        <f t="shared" si="18"/>
        <v/>
      </c>
      <c r="P109" s="125" t="str">
        <f t="shared" si="15"/>
        <v>Not Set</v>
      </c>
      <c r="Q109" s="125" t="str">
        <f t="shared" si="16"/>
        <v>Not Set</v>
      </c>
      <c r="R109" s="125" t="str">
        <f>IFERROR(IF(G109=$AD$3,$AD$3,INDEX(Kanban_Helper!$C$317:$C$328,MATCH(MONTH(G109),Kanban_Helper!$B$317:$B$328,0))&amp;" - "&amp;YEAR(G109)),"$AD$3")</f>
        <v>Not Set</v>
      </c>
      <c r="S109" s="125" t="str">
        <f>IFERROR(IF(I109=$AD$3,$AD$3,INDEX(Kanban_Helper!$C$317:$C$328,MATCH(MONTH(I109),Kanban_Helper!$B$317:$B$328,0))&amp;" - "&amp;YEAR(I109)),$AD$3)</f>
        <v>Not Set</v>
      </c>
      <c r="T109" s="125" t="str">
        <f t="shared" ca="1" si="19"/>
        <v/>
      </c>
      <c r="U109" s="125" t="str">
        <f t="shared" ca="1" si="20"/>
        <v/>
      </c>
      <c r="V109" s="125" t="str">
        <f t="shared" si="17"/>
        <v>Not Set</v>
      </c>
      <c r="W109" s="126" t="str">
        <f t="shared" si="21"/>
        <v/>
      </c>
      <c r="X109" s="126" t="str">
        <f t="shared" si="22"/>
        <v/>
      </c>
      <c r="Y109" s="125" t="str">
        <f>IFERROR(IF(LEN(D109)=0,"",IF(SUBTOTAL(3,E109:E109)=0,MIN($Y$7:Y108)-1,SUBTOTAL(3,$E$8:E109))),"")</f>
        <v/>
      </c>
      <c r="Z109" s="17"/>
      <c r="AA109" s="10"/>
      <c r="AB109" s="10"/>
      <c r="AC109" s="10"/>
      <c r="AD109" s="10"/>
      <c r="AE109" s="10"/>
      <c r="AF109" s="10"/>
      <c r="AG109" s="10"/>
      <c r="AH109" s="10"/>
      <c r="AI109" s="10"/>
      <c r="AJ109" s="10"/>
      <c r="AK109" s="10"/>
      <c r="AL109" s="10"/>
      <c r="AM109" s="10"/>
      <c r="AN109" s="10"/>
    </row>
    <row r="110" spans="2:40" hidden="1" x14ac:dyDescent="0.35">
      <c r="B110" s="15"/>
      <c r="C110" s="127" t="str">
        <f>IFERROR(IF(LEN(INDEX(Database!C$9:C$501,ROW(Calc!A110)-ROW(Calc!$B$7)))=0,"",INDEX(Database!C$9:C$501,ROW(Calc!A110)-ROW(Calc!$B$7))),"")</f>
        <v/>
      </c>
      <c r="D110" s="70" t="str">
        <f>IFERROR(IF(LEN(INDEX(Database!D$9:D$501,ROW(Calc!B110)-ROW(Calc!$B$7)))=0,"",INDEX(Database!D$9:D$501,ROW(Calc!B110)-ROW(Calc!$B$7))),"")</f>
        <v/>
      </c>
      <c r="E110" s="124" t="str">
        <f>IFERROR(IF(LEN(INDEX(Database!G$9:G$501,ROW(Calc!D110)-ROW(Calc!$B$7)))=0,$AD$3,INDEX(Database!G$9:G$501,ROW(Calc!D110)-ROW(Calc!$B$7))),"")</f>
        <v>Not Set</v>
      </c>
      <c r="F110" s="124" t="str">
        <f>IFERROR(IF(LEN(INDEX(Database!F$9:F$501,ROW(Calc!E110)-ROW(Calc!$B$7)))=0,$AD$3,INDEX(Database!F$9:F$501,ROW(Calc!E110)-ROW(Calc!$B$7))),"")</f>
        <v>Not Set</v>
      </c>
      <c r="G110" s="128" t="str">
        <f>IFERROR(IF(LEN(INDEX(Database!H$9:H$501,ROW(Calc!F110)-ROW(Calc!$B$7)))=0,$AD$3,INDEX(Database!H$9:H$501,ROW(Calc!F110)-ROW(Calc!$B$7))),"")</f>
        <v>Not Set</v>
      </c>
      <c r="H110" s="128" t="str">
        <f>IFERROR(IF(LEN(INDEX(Database!I$9:I$501,ROW(Calc!G110)-ROW(Calc!$B$7)))=0,$AD$3,INDEX(Database!I$9:I$501,ROW(Calc!G110)-ROW(Calc!$B$7))),"")</f>
        <v>Not Set</v>
      </c>
      <c r="I110" s="128" t="str">
        <f>IFERROR(IF(LEN(INDEX(Database!J$9:J$501,ROW(Calc!H110)-ROW(Calc!$B$7)))=0,$AD$3,INDEX(Database!J$9:J$501,ROW(Calc!H110)-ROW(Calc!$B$7))),"")</f>
        <v>Not Set</v>
      </c>
      <c r="J110" s="128" t="str">
        <f t="shared" si="14"/>
        <v>Not Set</v>
      </c>
      <c r="K110" s="124" t="str">
        <f>IFERROR(IF(LEN(INDEX(Database!E$9:E$501,ROW(Calc!I110)-ROW(Calc!$B$7)))=0,"",INDEX(Database!E$9:E$501,ROW(Calc!I110)-ROW(Calc!$B$7))),"")</f>
        <v/>
      </c>
      <c r="L110" s="129" t="str">
        <f>IFERROR(IF(LEN(INDEX(Database!K$9:K$501,ROW(Calc!K110)-ROW(Calc!$B$7)))=0,$AD$3,INDEX(Database!K$9:K$501,ROW(Calc!K110)-ROW(Calc!$B$7))),"")</f>
        <v>Not Set</v>
      </c>
      <c r="M110" s="130" t="str">
        <f>IFERROR(IF(LEN(INDEX(Database!L$9:L$501,ROW(Calc!L110)-ROW(Calc!$B$7)))=0,$AD$3,INDEX(Database!L$9:L$501,ROW(Calc!L110)-ROW(Calc!$B$7))),"")</f>
        <v>Not Set</v>
      </c>
      <c r="N110" s="131" t="str">
        <f>IFERROR(IF(LEN(INDEX(Database!M$9:M$501,ROW(Calc!M110)-ROW(Calc!$B$7)))=0,"",INDEX(Database!M$9:M$501,ROW(Calc!M110)-ROW(Calc!$B$7))),"")</f>
        <v/>
      </c>
      <c r="O110" s="132" t="str">
        <f t="shared" si="18"/>
        <v/>
      </c>
      <c r="P110" s="125" t="str">
        <f t="shared" si="15"/>
        <v>Not Set</v>
      </c>
      <c r="Q110" s="125" t="str">
        <f t="shared" si="16"/>
        <v>Not Set</v>
      </c>
      <c r="R110" s="125" t="str">
        <f>IFERROR(IF(G110=$AD$3,$AD$3,INDEX(Kanban_Helper!$C$317:$C$328,MATCH(MONTH(G110),Kanban_Helper!$B$317:$B$328,0))&amp;" - "&amp;YEAR(G110)),"$AD$3")</f>
        <v>Not Set</v>
      </c>
      <c r="S110" s="125" t="str">
        <f>IFERROR(IF(I110=$AD$3,$AD$3,INDEX(Kanban_Helper!$C$317:$C$328,MATCH(MONTH(I110),Kanban_Helper!$B$317:$B$328,0))&amp;" - "&amp;YEAR(I110)),$AD$3)</f>
        <v>Not Set</v>
      </c>
      <c r="T110" s="125" t="str">
        <f t="shared" ca="1" si="19"/>
        <v/>
      </c>
      <c r="U110" s="125" t="str">
        <f t="shared" ca="1" si="20"/>
        <v/>
      </c>
      <c r="V110" s="125" t="str">
        <f t="shared" si="17"/>
        <v>Not Set</v>
      </c>
      <c r="W110" s="126" t="str">
        <f t="shared" si="21"/>
        <v/>
      </c>
      <c r="X110" s="126" t="str">
        <f t="shared" si="22"/>
        <v/>
      </c>
      <c r="Y110" s="125" t="str">
        <f>IFERROR(IF(LEN(D110)=0,"",IF(SUBTOTAL(3,E110:E110)=0,MIN($Y$7:Y109)-1,SUBTOTAL(3,$E$8:E110))),"")</f>
        <v/>
      </c>
      <c r="Z110" s="17"/>
      <c r="AA110" s="10"/>
      <c r="AB110" s="10"/>
      <c r="AC110" s="10"/>
      <c r="AD110" s="10"/>
      <c r="AE110" s="10"/>
      <c r="AF110" s="10"/>
      <c r="AG110" s="10"/>
      <c r="AH110" s="10"/>
      <c r="AI110" s="10"/>
      <c r="AJ110" s="10"/>
      <c r="AK110" s="10"/>
      <c r="AL110" s="10"/>
      <c r="AM110" s="10"/>
      <c r="AN110" s="10"/>
    </row>
    <row r="111" spans="2:40" hidden="1" x14ac:dyDescent="0.35">
      <c r="B111" s="15"/>
      <c r="C111" s="127" t="str">
        <f>IFERROR(IF(LEN(INDEX(Database!C$9:C$501,ROW(Calc!A111)-ROW(Calc!$B$7)))=0,"",INDEX(Database!C$9:C$501,ROW(Calc!A111)-ROW(Calc!$B$7))),"")</f>
        <v/>
      </c>
      <c r="D111" s="70" t="str">
        <f>IFERROR(IF(LEN(INDEX(Database!D$9:D$501,ROW(Calc!B111)-ROW(Calc!$B$7)))=0,"",INDEX(Database!D$9:D$501,ROW(Calc!B111)-ROW(Calc!$B$7))),"")</f>
        <v/>
      </c>
      <c r="E111" s="124" t="str">
        <f>IFERROR(IF(LEN(INDEX(Database!G$9:G$501,ROW(Calc!D111)-ROW(Calc!$B$7)))=0,$AD$3,INDEX(Database!G$9:G$501,ROW(Calc!D111)-ROW(Calc!$B$7))),"")</f>
        <v>Not Set</v>
      </c>
      <c r="F111" s="124" t="str">
        <f>IFERROR(IF(LEN(INDEX(Database!F$9:F$501,ROW(Calc!E111)-ROW(Calc!$B$7)))=0,$AD$3,INDEX(Database!F$9:F$501,ROW(Calc!E111)-ROW(Calc!$B$7))),"")</f>
        <v>Not Set</v>
      </c>
      <c r="G111" s="128" t="str">
        <f>IFERROR(IF(LEN(INDEX(Database!H$9:H$501,ROW(Calc!F111)-ROW(Calc!$B$7)))=0,$AD$3,INDEX(Database!H$9:H$501,ROW(Calc!F111)-ROW(Calc!$B$7))),"")</f>
        <v>Not Set</v>
      </c>
      <c r="H111" s="128" t="str">
        <f>IFERROR(IF(LEN(INDEX(Database!I$9:I$501,ROW(Calc!G111)-ROW(Calc!$B$7)))=0,$AD$3,INDEX(Database!I$9:I$501,ROW(Calc!G111)-ROW(Calc!$B$7))),"")</f>
        <v>Not Set</v>
      </c>
      <c r="I111" s="128" t="str">
        <f>IFERROR(IF(LEN(INDEX(Database!J$9:J$501,ROW(Calc!H111)-ROW(Calc!$B$7)))=0,$AD$3,INDEX(Database!J$9:J$501,ROW(Calc!H111)-ROW(Calc!$B$7))),"")</f>
        <v>Not Set</v>
      </c>
      <c r="J111" s="128" t="str">
        <f t="shared" si="14"/>
        <v>Not Set</v>
      </c>
      <c r="K111" s="124" t="str">
        <f>IFERROR(IF(LEN(INDEX(Database!E$9:E$501,ROW(Calc!I111)-ROW(Calc!$B$7)))=0,"",INDEX(Database!E$9:E$501,ROW(Calc!I111)-ROW(Calc!$B$7))),"")</f>
        <v/>
      </c>
      <c r="L111" s="129" t="str">
        <f>IFERROR(IF(LEN(INDEX(Database!K$9:K$501,ROW(Calc!K111)-ROW(Calc!$B$7)))=0,$AD$3,INDEX(Database!K$9:K$501,ROW(Calc!K111)-ROW(Calc!$B$7))),"")</f>
        <v>Not Set</v>
      </c>
      <c r="M111" s="130" t="str">
        <f>IFERROR(IF(LEN(INDEX(Database!L$9:L$501,ROW(Calc!L111)-ROW(Calc!$B$7)))=0,$AD$3,INDEX(Database!L$9:L$501,ROW(Calc!L111)-ROW(Calc!$B$7))),"")</f>
        <v>Not Set</v>
      </c>
      <c r="N111" s="131" t="str">
        <f>IFERROR(IF(LEN(INDEX(Database!M$9:M$501,ROW(Calc!M111)-ROW(Calc!$B$7)))=0,"",INDEX(Database!M$9:M$501,ROW(Calc!M111)-ROW(Calc!$B$7))),"")</f>
        <v/>
      </c>
      <c r="O111" s="132" t="str">
        <f t="shared" si="18"/>
        <v/>
      </c>
      <c r="P111" s="125" t="str">
        <f t="shared" si="15"/>
        <v>Not Set</v>
      </c>
      <c r="Q111" s="125" t="str">
        <f t="shared" si="16"/>
        <v>Not Set</v>
      </c>
      <c r="R111" s="125" t="str">
        <f>IFERROR(IF(G111=$AD$3,$AD$3,INDEX(Kanban_Helper!$C$317:$C$328,MATCH(MONTH(G111),Kanban_Helper!$B$317:$B$328,0))&amp;" - "&amp;YEAR(G111)),"$AD$3")</f>
        <v>Not Set</v>
      </c>
      <c r="S111" s="125" t="str">
        <f>IFERROR(IF(I111=$AD$3,$AD$3,INDEX(Kanban_Helper!$C$317:$C$328,MATCH(MONTH(I111),Kanban_Helper!$B$317:$B$328,0))&amp;" - "&amp;YEAR(I111)),$AD$3)</f>
        <v>Not Set</v>
      </c>
      <c r="T111" s="125" t="str">
        <f t="shared" ca="1" si="19"/>
        <v/>
      </c>
      <c r="U111" s="125" t="str">
        <f t="shared" ca="1" si="20"/>
        <v/>
      </c>
      <c r="V111" s="125" t="str">
        <f t="shared" si="17"/>
        <v>Not Set</v>
      </c>
      <c r="W111" s="126" t="str">
        <f t="shared" si="21"/>
        <v/>
      </c>
      <c r="X111" s="126" t="str">
        <f t="shared" si="22"/>
        <v/>
      </c>
      <c r="Y111" s="125" t="str">
        <f>IFERROR(IF(LEN(D111)=0,"",IF(SUBTOTAL(3,E111:E111)=0,MIN($Y$7:Y110)-1,SUBTOTAL(3,$E$8:E111))),"")</f>
        <v/>
      </c>
      <c r="Z111" s="17"/>
      <c r="AA111" s="10"/>
      <c r="AB111" s="10"/>
      <c r="AC111" s="10"/>
      <c r="AD111" s="10"/>
      <c r="AE111" s="10"/>
      <c r="AF111" s="10"/>
      <c r="AG111" s="10"/>
      <c r="AH111" s="10"/>
      <c r="AI111" s="10"/>
      <c r="AJ111" s="10"/>
      <c r="AK111" s="10"/>
      <c r="AL111" s="10"/>
      <c r="AM111" s="10"/>
      <c r="AN111" s="10"/>
    </row>
    <row r="112" spans="2:40" hidden="1" x14ac:dyDescent="0.35">
      <c r="B112" s="15"/>
      <c r="C112" s="127" t="str">
        <f>IFERROR(IF(LEN(INDEX(Database!C$9:C$501,ROW(Calc!A112)-ROW(Calc!$B$7)))=0,"",INDEX(Database!C$9:C$501,ROW(Calc!A112)-ROW(Calc!$B$7))),"")</f>
        <v/>
      </c>
      <c r="D112" s="70" t="str">
        <f>IFERROR(IF(LEN(INDEX(Database!D$9:D$501,ROW(Calc!B112)-ROW(Calc!$B$7)))=0,"",INDEX(Database!D$9:D$501,ROW(Calc!B112)-ROW(Calc!$B$7))),"")</f>
        <v/>
      </c>
      <c r="E112" s="124" t="str">
        <f>IFERROR(IF(LEN(INDEX(Database!G$9:G$501,ROW(Calc!D112)-ROW(Calc!$B$7)))=0,$AD$3,INDEX(Database!G$9:G$501,ROW(Calc!D112)-ROW(Calc!$B$7))),"")</f>
        <v>Not Set</v>
      </c>
      <c r="F112" s="124" t="str">
        <f>IFERROR(IF(LEN(INDEX(Database!F$9:F$501,ROW(Calc!E112)-ROW(Calc!$B$7)))=0,$AD$3,INDEX(Database!F$9:F$501,ROW(Calc!E112)-ROW(Calc!$B$7))),"")</f>
        <v>Not Set</v>
      </c>
      <c r="G112" s="128" t="str">
        <f>IFERROR(IF(LEN(INDEX(Database!H$9:H$501,ROW(Calc!F112)-ROW(Calc!$B$7)))=0,$AD$3,INDEX(Database!H$9:H$501,ROW(Calc!F112)-ROW(Calc!$B$7))),"")</f>
        <v>Not Set</v>
      </c>
      <c r="H112" s="128" t="str">
        <f>IFERROR(IF(LEN(INDEX(Database!I$9:I$501,ROW(Calc!G112)-ROW(Calc!$B$7)))=0,$AD$3,INDEX(Database!I$9:I$501,ROW(Calc!G112)-ROW(Calc!$B$7))),"")</f>
        <v>Not Set</v>
      </c>
      <c r="I112" s="128" t="str">
        <f>IFERROR(IF(LEN(INDEX(Database!J$9:J$501,ROW(Calc!H112)-ROW(Calc!$B$7)))=0,$AD$3,INDEX(Database!J$9:J$501,ROW(Calc!H112)-ROW(Calc!$B$7))),"")</f>
        <v>Not Set</v>
      </c>
      <c r="J112" s="128" t="str">
        <f t="shared" si="14"/>
        <v>Not Set</v>
      </c>
      <c r="K112" s="124" t="str">
        <f>IFERROR(IF(LEN(INDEX(Database!E$9:E$501,ROW(Calc!I112)-ROW(Calc!$B$7)))=0,"",INDEX(Database!E$9:E$501,ROW(Calc!I112)-ROW(Calc!$B$7))),"")</f>
        <v/>
      </c>
      <c r="L112" s="129" t="str">
        <f>IFERROR(IF(LEN(INDEX(Database!K$9:K$501,ROW(Calc!K112)-ROW(Calc!$B$7)))=0,$AD$3,INDEX(Database!K$9:K$501,ROW(Calc!K112)-ROW(Calc!$B$7))),"")</f>
        <v>Not Set</v>
      </c>
      <c r="M112" s="130" t="str">
        <f>IFERROR(IF(LEN(INDEX(Database!L$9:L$501,ROW(Calc!L112)-ROW(Calc!$B$7)))=0,$AD$3,INDEX(Database!L$9:L$501,ROW(Calc!L112)-ROW(Calc!$B$7))),"")</f>
        <v>Not Set</v>
      </c>
      <c r="N112" s="131" t="str">
        <f>IFERROR(IF(LEN(INDEX(Database!M$9:M$501,ROW(Calc!M112)-ROW(Calc!$B$7)))=0,"",INDEX(Database!M$9:M$501,ROW(Calc!M112)-ROW(Calc!$B$7))),"")</f>
        <v/>
      </c>
      <c r="O112" s="132" t="str">
        <f t="shared" si="18"/>
        <v/>
      </c>
      <c r="P112" s="125" t="str">
        <f t="shared" si="15"/>
        <v>Not Set</v>
      </c>
      <c r="Q112" s="125" t="str">
        <f t="shared" si="16"/>
        <v>Not Set</v>
      </c>
      <c r="R112" s="125" t="str">
        <f>IFERROR(IF(G112=$AD$3,$AD$3,INDEX(Kanban_Helper!$C$317:$C$328,MATCH(MONTH(G112),Kanban_Helper!$B$317:$B$328,0))&amp;" - "&amp;YEAR(G112)),"$AD$3")</f>
        <v>Not Set</v>
      </c>
      <c r="S112" s="125" t="str">
        <f>IFERROR(IF(I112=$AD$3,$AD$3,INDEX(Kanban_Helper!$C$317:$C$328,MATCH(MONTH(I112),Kanban_Helper!$B$317:$B$328,0))&amp;" - "&amp;YEAR(I112)),$AD$3)</f>
        <v>Not Set</v>
      </c>
      <c r="T112" s="125" t="str">
        <f t="shared" ca="1" si="19"/>
        <v/>
      </c>
      <c r="U112" s="125" t="str">
        <f t="shared" ca="1" si="20"/>
        <v/>
      </c>
      <c r="V112" s="125" t="str">
        <f t="shared" si="17"/>
        <v>Not Set</v>
      </c>
      <c r="W112" s="126" t="str">
        <f t="shared" si="21"/>
        <v/>
      </c>
      <c r="X112" s="126" t="str">
        <f t="shared" si="22"/>
        <v/>
      </c>
      <c r="Y112" s="125" t="str">
        <f>IFERROR(IF(LEN(D112)=0,"",IF(SUBTOTAL(3,E112:E112)=0,MIN($Y$7:Y111)-1,SUBTOTAL(3,$E$8:E112))),"")</f>
        <v/>
      </c>
      <c r="Z112" s="17"/>
      <c r="AA112" s="10"/>
      <c r="AB112" s="10"/>
      <c r="AC112" s="10"/>
      <c r="AD112" s="10"/>
      <c r="AE112" s="10"/>
      <c r="AF112" s="10"/>
      <c r="AG112" s="10"/>
      <c r="AH112" s="10"/>
      <c r="AI112" s="10"/>
      <c r="AJ112" s="10"/>
      <c r="AK112" s="10"/>
      <c r="AL112" s="10"/>
      <c r="AM112" s="10"/>
      <c r="AN112" s="10"/>
    </row>
    <row r="113" spans="2:40" hidden="1" x14ac:dyDescent="0.35">
      <c r="B113" s="15"/>
      <c r="C113" s="127" t="str">
        <f>IFERROR(IF(LEN(INDEX(Database!C$9:C$501,ROW(Calc!A113)-ROW(Calc!$B$7)))=0,"",INDEX(Database!C$9:C$501,ROW(Calc!A113)-ROW(Calc!$B$7))),"")</f>
        <v/>
      </c>
      <c r="D113" s="70" t="str">
        <f>IFERROR(IF(LEN(INDEX(Database!D$9:D$501,ROW(Calc!B113)-ROW(Calc!$B$7)))=0,"",INDEX(Database!D$9:D$501,ROW(Calc!B113)-ROW(Calc!$B$7))),"")</f>
        <v/>
      </c>
      <c r="E113" s="124" t="str">
        <f>IFERROR(IF(LEN(INDEX(Database!G$9:G$501,ROW(Calc!D113)-ROW(Calc!$B$7)))=0,$AD$3,INDEX(Database!G$9:G$501,ROW(Calc!D113)-ROW(Calc!$B$7))),"")</f>
        <v>Not Set</v>
      </c>
      <c r="F113" s="124" t="str">
        <f>IFERROR(IF(LEN(INDEX(Database!F$9:F$501,ROW(Calc!E113)-ROW(Calc!$B$7)))=0,$AD$3,INDEX(Database!F$9:F$501,ROW(Calc!E113)-ROW(Calc!$B$7))),"")</f>
        <v>Not Set</v>
      </c>
      <c r="G113" s="128" t="str">
        <f>IFERROR(IF(LEN(INDEX(Database!H$9:H$501,ROW(Calc!F113)-ROW(Calc!$B$7)))=0,$AD$3,INDEX(Database!H$9:H$501,ROW(Calc!F113)-ROW(Calc!$B$7))),"")</f>
        <v>Not Set</v>
      </c>
      <c r="H113" s="128" t="str">
        <f>IFERROR(IF(LEN(INDEX(Database!I$9:I$501,ROW(Calc!G113)-ROW(Calc!$B$7)))=0,$AD$3,INDEX(Database!I$9:I$501,ROW(Calc!G113)-ROW(Calc!$B$7))),"")</f>
        <v>Not Set</v>
      </c>
      <c r="I113" s="128" t="str">
        <f>IFERROR(IF(LEN(INDEX(Database!J$9:J$501,ROW(Calc!H113)-ROW(Calc!$B$7)))=0,$AD$3,INDEX(Database!J$9:J$501,ROW(Calc!H113)-ROW(Calc!$B$7))),"")</f>
        <v>Not Set</v>
      </c>
      <c r="J113" s="128" t="str">
        <f t="shared" si="14"/>
        <v>Not Set</v>
      </c>
      <c r="K113" s="124" t="str">
        <f>IFERROR(IF(LEN(INDEX(Database!E$9:E$501,ROW(Calc!I113)-ROW(Calc!$B$7)))=0,"",INDEX(Database!E$9:E$501,ROW(Calc!I113)-ROW(Calc!$B$7))),"")</f>
        <v/>
      </c>
      <c r="L113" s="129" t="str">
        <f>IFERROR(IF(LEN(INDEX(Database!K$9:K$501,ROW(Calc!K113)-ROW(Calc!$B$7)))=0,$AD$3,INDEX(Database!K$9:K$501,ROW(Calc!K113)-ROW(Calc!$B$7))),"")</f>
        <v>Not Set</v>
      </c>
      <c r="M113" s="130" t="str">
        <f>IFERROR(IF(LEN(INDEX(Database!L$9:L$501,ROW(Calc!L113)-ROW(Calc!$B$7)))=0,$AD$3,INDEX(Database!L$9:L$501,ROW(Calc!L113)-ROW(Calc!$B$7))),"")</f>
        <v>Not Set</v>
      </c>
      <c r="N113" s="131" t="str">
        <f>IFERROR(IF(LEN(INDEX(Database!M$9:M$501,ROW(Calc!M113)-ROW(Calc!$B$7)))=0,"",INDEX(Database!M$9:M$501,ROW(Calc!M113)-ROW(Calc!$B$7))),"")</f>
        <v/>
      </c>
      <c r="O113" s="132" t="str">
        <f t="shared" si="18"/>
        <v/>
      </c>
      <c r="P113" s="125" t="str">
        <f t="shared" si="15"/>
        <v>Not Set</v>
      </c>
      <c r="Q113" s="125" t="str">
        <f t="shared" si="16"/>
        <v>Not Set</v>
      </c>
      <c r="R113" s="125" t="str">
        <f>IFERROR(IF(G113=$AD$3,$AD$3,INDEX(Kanban_Helper!$C$317:$C$328,MATCH(MONTH(G113),Kanban_Helper!$B$317:$B$328,0))&amp;" - "&amp;YEAR(G113)),"$AD$3")</f>
        <v>Not Set</v>
      </c>
      <c r="S113" s="125" t="str">
        <f>IFERROR(IF(I113=$AD$3,$AD$3,INDEX(Kanban_Helper!$C$317:$C$328,MATCH(MONTH(I113),Kanban_Helper!$B$317:$B$328,0))&amp;" - "&amp;YEAR(I113)),$AD$3)</f>
        <v>Not Set</v>
      </c>
      <c r="T113" s="125" t="str">
        <f t="shared" ca="1" si="19"/>
        <v/>
      </c>
      <c r="U113" s="125" t="str">
        <f t="shared" ca="1" si="20"/>
        <v/>
      </c>
      <c r="V113" s="125" t="str">
        <f t="shared" si="17"/>
        <v>Not Set</v>
      </c>
      <c r="W113" s="126" t="str">
        <f t="shared" si="21"/>
        <v/>
      </c>
      <c r="X113" s="126" t="str">
        <f t="shared" si="22"/>
        <v/>
      </c>
      <c r="Y113" s="125" t="str">
        <f>IFERROR(IF(LEN(D113)=0,"",IF(SUBTOTAL(3,E113:E113)=0,MIN($Y$7:Y112)-1,SUBTOTAL(3,$E$8:E113))),"")</f>
        <v/>
      </c>
      <c r="Z113" s="17"/>
      <c r="AA113" s="10"/>
      <c r="AB113" s="10"/>
      <c r="AC113" s="10"/>
      <c r="AD113" s="10"/>
      <c r="AE113" s="10"/>
      <c r="AF113" s="10"/>
      <c r="AG113" s="10"/>
      <c r="AH113" s="10"/>
      <c r="AI113" s="10"/>
      <c r="AJ113" s="10"/>
      <c r="AK113" s="10"/>
      <c r="AL113" s="10"/>
      <c r="AM113" s="10"/>
      <c r="AN113" s="10"/>
    </row>
    <row r="114" spans="2:40" hidden="1" x14ac:dyDescent="0.35">
      <c r="B114" s="15"/>
      <c r="C114" s="127" t="str">
        <f>IFERROR(IF(LEN(INDEX(Database!C$9:C$501,ROW(Calc!A114)-ROW(Calc!$B$7)))=0,"",INDEX(Database!C$9:C$501,ROW(Calc!A114)-ROW(Calc!$B$7))),"")</f>
        <v/>
      </c>
      <c r="D114" s="70" t="str">
        <f>IFERROR(IF(LEN(INDEX(Database!D$9:D$501,ROW(Calc!B114)-ROW(Calc!$B$7)))=0,"",INDEX(Database!D$9:D$501,ROW(Calc!B114)-ROW(Calc!$B$7))),"")</f>
        <v/>
      </c>
      <c r="E114" s="124" t="str">
        <f>IFERROR(IF(LEN(INDEX(Database!G$9:G$501,ROW(Calc!D114)-ROW(Calc!$B$7)))=0,$AD$3,INDEX(Database!G$9:G$501,ROW(Calc!D114)-ROW(Calc!$B$7))),"")</f>
        <v>Not Set</v>
      </c>
      <c r="F114" s="124" t="str">
        <f>IFERROR(IF(LEN(INDEX(Database!F$9:F$501,ROW(Calc!E114)-ROW(Calc!$B$7)))=0,$AD$3,INDEX(Database!F$9:F$501,ROW(Calc!E114)-ROW(Calc!$B$7))),"")</f>
        <v>Not Set</v>
      </c>
      <c r="G114" s="128" t="str">
        <f>IFERROR(IF(LEN(INDEX(Database!H$9:H$501,ROW(Calc!F114)-ROW(Calc!$B$7)))=0,$AD$3,INDEX(Database!H$9:H$501,ROW(Calc!F114)-ROW(Calc!$B$7))),"")</f>
        <v>Not Set</v>
      </c>
      <c r="H114" s="128" t="str">
        <f>IFERROR(IF(LEN(INDEX(Database!I$9:I$501,ROW(Calc!G114)-ROW(Calc!$B$7)))=0,$AD$3,INDEX(Database!I$9:I$501,ROW(Calc!G114)-ROW(Calc!$B$7))),"")</f>
        <v>Not Set</v>
      </c>
      <c r="I114" s="128" t="str">
        <f>IFERROR(IF(LEN(INDEX(Database!J$9:J$501,ROW(Calc!H114)-ROW(Calc!$B$7)))=0,$AD$3,INDEX(Database!J$9:J$501,ROW(Calc!H114)-ROW(Calc!$B$7))),"")</f>
        <v>Not Set</v>
      </c>
      <c r="J114" s="128" t="str">
        <f t="shared" si="14"/>
        <v>Not Set</v>
      </c>
      <c r="K114" s="124" t="str">
        <f>IFERROR(IF(LEN(INDEX(Database!E$9:E$501,ROW(Calc!I114)-ROW(Calc!$B$7)))=0,"",INDEX(Database!E$9:E$501,ROW(Calc!I114)-ROW(Calc!$B$7))),"")</f>
        <v/>
      </c>
      <c r="L114" s="129" t="str">
        <f>IFERROR(IF(LEN(INDEX(Database!K$9:K$501,ROW(Calc!K114)-ROW(Calc!$B$7)))=0,$AD$3,INDEX(Database!K$9:K$501,ROW(Calc!K114)-ROW(Calc!$B$7))),"")</f>
        <v>Not Set</v>
      </c>
      <c r="M114" s="130" t="str">
        <f>IFERROR(IF(LEN(INDEX(Database!L$9:L$501,ROW(Calc!L114)-ROW(Calc!$B$7)))=0,$AD$3,INDEX(Database!L$9:L$501,ROW(Calc!L114)-ROW(Calc!$B$7))),"")</f>
        <v>Not Set</v>
      </c>
      <c r="N114" s="131" t="str">
        <f>IFERROR(IF(LEN(INDEX(Database!M$9:M$501,ROW(Calc!M114)-ROW(Calc!$B$7)))=0,"",INDEX(Database!M$9:M$501,ROW(Calc!M114)-ROW(Calc!$B$7))),"")</f>
        <v/>
      </c>
      <c r="O114" s="132" t="str">
        <f t="shared" si="18"/>
        <v/>
      </c>
      <c r="P114" s="125" t="str">
        <f t="shared" si="15"/>
        <v>Not Set</v>
      </c>
      <c r="Q114" s="125" t="str">
        <f t="shared" si="16"/>
        <v>Not Set</v>
      </c>
      <c r="R114" s="125" t="str">
        <f>IFERROR(IF(G114=$AD$3,$AD$3,INDEX(Kanban_Helper!$C$317:$C$328,MATCH(MONTH(G114),Kanban_Helper!$B$317:$B$328,0))&amp;" - "&amp;YEAR(G114)),"$AD$3")</f>
        <v>Not Set</v>
      </c>
      <c r="S114" s="125" t="str">
        <f>IFERROR(IF(I114=$AD$3,$AD$3,INDEX(Kanban_Helper!$C$317:$C$328,MATCH(MONTH(I114),Kanban_Helper!$B$317:$B$328,0))&amp;" - "&amp;YEAR(I114)),$AD$3)</f>
        <v>Not Set</v>
      </c>
      <c r="T114" s="125" t="str">
        <f t="shared" ca="1" si="19"/>
        <v/>
      </c>
      <c r="U114" s="125" t="str">
        <f t="shared" ca="1" si="20"/>
        <v/>
      </c>
      <c r="V114" s="125" t="str">
        <f t="shared" si="17"/>
        <v>Not Set</v>
      </c>
      <c r="W114" s="126" t="str">
        <f t="shared" si="21"/>
        <v/>
      </c>
      <c r="X114" s="126" t="str">
        <f t="shared" si="22"/>
        <v/>
      </c>
      <c r="Y114" s="125" t="str">
        <f>IFERROR(IF(LEN(D114)=0,"",IF(SUBTOTAL(3,E114:E114)=0,MIN($Y$7:Y113)-1,SUBTOTAL(3,$E$8:E114))),"")</f>
        <v/>
      </c>
      <c r="Z114" s="17"/>
      <c r="AA114" s="10"/>
      <c r="AB114" s="10"/>
      <c r="AC114" s="10"/>
      <c r="AD114" s="10"/>
      <c r="AE114" s="10"/>
      <c r="AF114" s="10"/>
      <c r="AG114" s="10"/>
      <c r="AH114" s="10"/>
      <c r="AI114" s="10"/>
      <c r="AJ114" s="10"/>
      <c r="AK114" s="10"/>
      <c r="AL114" s="10"/>
      <c r="AM114" s="10"/>
      <c r="AN114" s="10"/>
    </row>
    <row r="115" spans="2:40" hidden="1" x14ac:dyDescent="0.35">
      <c r="B115" s="15"/>
      <c r="C115" s="127" t="str">
        <f>IFERROR(IF(LEN(INDEX(Database!C$9:C$501,ROW(Calc!A115)-ROW(Calc!$B$7)))=0,"",INDEX(Database!C$9:C$501,ROW(Calc!A115)-ROW(Calc!$B$7))),"")</f>
        <v/>
      </c>
      <c r="D115" s="70" t="str">
        <f>IFERROR(IF(LEN(INDEX(Database!D$9:D$501,ROW(Calc!B115)-ROW(Calc!$B$7)))=0,"",INDEX(Database!D$9:D$501,ROW(Calc!B115)-ROW(Calc!$B$7))),"")</f>
        <v/>
      </c>
      <c r="E115" s="124" t="str">
        <f>IFERROR(IF(LEN(INDEX(Database!G$9:G$501,ROW(Calc!D115)-ROW(Calc!$B$7)))=0,$AD$3,INDEX(Database!G$9:G$501,ROW(Calc!D115)-ROW(Calc!$B$7))),"")</f>
        <v>Not Set</v>
      </c>
      <c r="F115" s="124" t="str">
        <f>IFERROR(IF(LEN(INDEX(Database!F$9:F$501,ROW(Calc!E115)-ROW(Calc!$B$7)))=0,$AD$3,INDEX(Database!F$9:F$501,ROW(Calc!E115)-ROW(Calc!$B$7))),"")</f>
        <v>Not Set</v>
      </c>
      <c r="G115" s="128" t="str">
        <f>IFERROR(IF(LEN(INDEX(Database!H$9:H$501,ROW(Calc!F115)-ROW(Calc!$B$7)))=0,$AD$3,INDEX(Database!H$9:H$501,ROW(Calc!F115)-ROW(Calc!$B$7))),"")</f>
        <v>Not Set</v>
      </c>
      <c r="H115" s="128" t="str">
        <f>IFERROR(IF(LEN(INDEX(Database!I$9:I$501,ROW(Calc!G115)-ROW(Calc!$B$7)))=0,$AD$3,INDEX(Database!I$9:I$501,ROW(Calc!G115)-ROW(Calc!$B$7))),"")</f>
        <v>Not Set</v>
      </c>
      <c r="I115" s="128" t="str">
        <f>IFERROR(IF(LEN(INDEX(Database!J$9:J$501,ROW(Calc!H115)-ROW(Calc!$B$7)))=0,$AD$3,INDEX(Database!J$9:J$501,ROW(Calc!H115)-ROW(Calc!$B$7))),"")</f>
        <v>Not Set</v>
      </c>
      <c r="J115" s="128" t="str">
        <f t="shared" si="14"/>
        <v>Not Set</v>
      </c>
      <c r="K115" s="124" t="str">
        <f>IFERROR(IF(LEN(INDEX(Database!E$9:E$501,ROW(Calc!I115)-ROW(Calc!$B$7)))=0,"",INDEX(Database!E$9:E$501,ROW(Calc!I115)-ROW(Calc!$B$7))),"")</f>
        <v/>
      </c>
      <c r="L115" s="129" t="str">
        <f>IFERROR(IF(LEN(INDEX(Database!K$9:K$501,ROW(Calc!K115)-ROW(Calc!$B$7)))=0,$AD$3,INDEX(Database!K$9:K$501,ROW(Calc!K115)-ROW(Calc!$B$7))),"")</f>
        <v>Not Set</v>
      </c>
      <c r="M115" s="130" t="str">
        <f>IFERROR(IF(LEN(INDEX(Database!L$9:L$501,ROW(Calc!L115)-ROW(Calc!$B$7)))=0,$AD$3,INDEX(Database!L$9:L$501,ROW(Calc!L115)-ROW(Calc!$B$7))),"")</f>
        <v>Not Set</v>
      </c>
      <c r="N115" s="131" t="str">
        <f>IFERROR(IF(LEN(INDEX(Database!M$9:M$501,ROW(Calc!M115)-ROW(Calc!$B$7)))=0,"",INDEX(Database!M$9:M$501,ROW(Calc!M115)-ROW(Calc!$B$7))),"")</f>
        <v/>
      </c>
      <c r="O115" s="132" t="str">
        <f t="shared" si="18"/>
        <v/>
      </c>
      <c r="P115" s="125" t="str">
        <f t="shared" si="15"/>
        <v>Not Set</v>
      </c>
      <c r="Q115" s="125" t="str">
        <f t="shared" si="16"/>
        <v>Not Set</v>
      </c>
      <c r="R115" s="125" t="str">
        <f>IFERROR(IF(G115=$AD$3,$AD$3,INDEX(Kanban_Helper!$C$317:$C$328,MATCH(MONTH(G115),Kanban_Helper!$B$317:$B$328,0))&amp;" - "&amp;YEAR(G115)),"$AD$3")</f>
        <v>Not Set</v>
      </c>
      <c r="S115" s="125" t="str">
        <f>IFERROR(IF(I115=$AD$3,$AD$3,INDEX(Kanban_Helper!$C$317:$C$328,MATCH(MONTH(I115),Kanban_Helper!$B$317:$B$328,0))&amp;" - "&amp;YEAR(I115)),$AD$3)</f>
        <v>Not Set</v>
      </c>
      <c r="T115" s="125" t="str">
        <f t="shared" ca="1" si="19"/>
        <v/>
      </c>
      <c r="U115" s="125" t="str">
        <f t="shared" ca="1" si="20"/>
        <v/>
      </c>
      <c r="V115" s="125" t="str">
        <f t="shared" si="17"/>
        <v>Not Set</v>
      </c>
      <c r="W115" s="126" t="str">
        <f t="shared" si="21"/>
        <v/>
      </c>
      <c r="X115" s="126" t="str">
        <f t="shared" si="22"/>
        <v/>
      </c>
      <c r="Y115" s="125" t="str">
        <f>IFERROR(IF(LEN(D115)=0,"",IF(SUBTOTAL(3,E115:E115)=0,MIN($Y$7:Y114)-1,SUBTOTAL(3,$E$8:E115))),"")</f>
        <v/>
      </c>
      <c r="Z115" s="17"/>
      <c r="AA115" s="10"/>
      <c r="AB115" s="10"/>
      <c r="AC115" s="10"/>
      <c r="AD115" s="10"/>
      <c r="AE115" s="10"/>
      <c r="AF115" s="10"/>
      <c r="AG115" s="10"/>
      <c r="AH115" s="10"/>
      <c r="AI115" s="10"/>
      <c r="AJ115" s="10"/>
      <c r="AK115" s="10"/>
      <c r="AL115" s="10"/>
      <c r="AM115" s="10"/>
      <c r="AN115" s="10"/>
    </row>
    <row r="116" spans="2:40" hidden="1" x14ac:dyDescent="0.35">
      <c r="B116" s="15"/>
      <c r="C116" s="127" t="str">
        <f>IFERROR(IF(LEN(INDEX(Database!C$9:C$501,ROW(Calc!A116)-ROW(Calc!$B$7)))=0,"",INDEX(Database!C$9:C$501,ROW(Calc!A116)-ROW(Calc!$B$7))),"")</f>
        <v/>
      </c>
      <c r="D116" s="70" t="str">
        <f>IFERROR(IF(LEN(INDEX(Database!D$9:D$501,ROW(Calc!B116)-ROW(Calc!$B$7)))=0,"",INDEX(Database!D$9:D$501,ROW(Calc!B116)-ROW(Calc!$B$7))),"")</f>
        <v/>
      </c>
      <c r="E116" s="124" t="str">
        <f>IFERROR(IF(LEN(INDEX(Database!G$9:G$501,ROW(Calc!D116)-ROW(Calc!$B$7)))=0,$AD$3,INDEX(Database!G$9:G$501,ROW(Calc!D116)-ROW(Calc!$B$7))),"")</f>
        <v>Not Set</v>
      </c>
      <c r="F116" s="124" t="str">
        <f>IFERROR(IF(LEN(INDEX(Database!F$9:F$501,ROW(Calc!E116)-ROW(Calc!$B$7)))=0,$AD$3,INDEX(Database!F$9:F$501,ROW(Calc!E116)-ROW(Calc!$B$7))),"")</f>
        <v>Not Set</v>
      </c>
      <c r="G116" s="128" t="str">
        <f>IFERROR(IF(LEN(INDEX(Database!H$9:H$501,ROW(Calc!F116)-ROW(Calc!$B$7)))=0,$AD$3,INDEX(Database!H$9:H$501,ROW(Calc!F116)-ROW(Calc!$B$7))),"")</f>
        <v>Not Set</v>
      </c>
      <c r="H116" s="128" t="str">
        <f>IFERROR(IF(LEN(INDEX(Database!I$9:I$501,ROW(Calc!G116)-ROW(Calc!$B$7)))=0,$AD$3,INDEX(Database!I$9:I$501,ROW(Calc!G116)-ROW(Calc!$B$7))),"")</f>
        <v>Not Set</v>
      </c>
      <c r="I116" s="128" t="str">
        <f>IFERROR(IF(LEN(INDEX(Database!J$9:J$501,ROW(Calc!H116)-ROW(Calc!$B$7)))=0,$AD$3,INDEX(Database!J$9:J$501,ROW(Calc!H116)-ROW(Calc!$B$7))),"")</f>
        <v>Not Set</v>
      </c>
      <c r="J116" s="128" t="str">
        <f t="shared" si="14"/>
        <v>Not Set</v>
      </c>
      <c r="K116" s="124" t="str">
        <f>IFERROR(IF(LEN(INDEX(Database!E$9:E$501,ROW(Calc!I116)-ROW(Calc!$B$7)))=0,"",INDEX(Database!E$9:E$501,ROW(Calc!I116)-ROW(Calc!$B$7))),"")</f>
        <v/>
      </c>
      <c r="L116" s="129" t="str">
        <f>IFERROR(IF(LEN(INDEX(Database!K$9:K$501,ROW(Calc!K116)-ROW(Calc!$B$7)))=0,$AD$3,INDEX(Database!K$9:K$501,ROW(Calc!K116)-ROW(Calc!$B$7))),"")</f>
        <v>Not Set</v>
      </c>
      <c r="M116" s="130" t="str">
        <f>IFERROR(IF(LEN(INDEX(Database!L$9:L$501,ROW(Calc!L116)-ROW(Calc!$B$7)))=0,$AD$3,INDEX(Database!L$9:L$501,ROW(Calc!L116)-ROW(Calc!$B$7))),"")</f>
        <v>Not Set</v>
      </c>
      <c r="N116" s="131" t="str">
        <f>IFERROR(IF(LEN(INDEX(Database!M$9:M$501,ROW(Calc!M116)-ROW(Calc!$B$7)))=0,"",INDEX(Database!M$9:M$501,ROW(Calc!M116)-ROW(Calc!$B$7))),"")</f>
        <v/>
      </c>
      <c r="O116" s="132" t="str">
        <f t="shared" si="18"/>
        <v/>
      </c>
      <c r="P116" s="125" t="str">
        <f t="shared" si="15"/>
        <v>Not Set</v>
      </c>
      <c r="Q116" s="125" t="str">
        <f t="shared" si="16"/>
        <v>Not Set</v>
      </c>
      <c r="R116" s="125" t="str">
        <f>IFERROR(IF(G116=$AD$3,$AD$3,INDEX(Kanban_Helper!$C$317:$C$328,MATCH(MONTH(G116),Kanban_Helper!$B$317:$B$328,0))&amp;" - "&amp;YEAR(G116)),"$AD$3")</f>
        <v>Not Set</v>
      </c>
      <c r="S116" s="125" t="str">
        <f>IFERROR(IF(I116=$AD$3,$AD$3,INDEX(Kanban_Helper!$C$317:$C$328,MATCH(MONTH(I116),Kanban_Helper!$B$317:$B$328,0))&amp;" - "&amp;YEAR(I116)),$AD$3)</f>
        <v>Not Set</v>
      </c>
      <c r="T116" s="125" t="str">
        <f t="shared" ca="1" si="19"/>
        <v/>
      </c>
      <c r="U116" s="125" t="str">
        <f t="shared" ca="1" si="20"/>
        <v/>
      </c>
      <c r="V116" s="125" t="str">
        <f t="shared" si="17"/>
        <v>Not Set</v>
      </c>
      <c r="W116" s="126" t="str">
        <f t="shared" si="21"/>
        <v/>
      </c>
      <c r="X116" s="126" t="str">
        <f t="shared" si="22"/>
        <v/>
      </c>
      <c r="Y116" s="125" t="str">
        <f>IFERROR(IF(LEN(D116)=0,"",IF(SUBTOTAL(3,E116:E116)=0,MIN($Y$7:Y115)-1,SUBTOTAL(3,$E$8:E116))),"")</f>
        <v/>
      </c>
      <c r="Z116" s="17"/>
      <c r="AA116" s="10"/>
      <c r="AB116" s="10"/>
      <c r="AC116" s="10"/>
      <c r="AD116" s="10"/>
      <c r="AE116" s="10"/>
      <c r="AF116" s="10"/>
      <c r="AG116" s="10"/>
      <c r="AH116" s="10"/>
      <c r="AI116" s="10"/>
      <c r="AJ116" s="10"/>
      <c r="AK116" s="10"/>
      <c r="AL116" s="10"/>
      <c r="AM116" s="10"/>
      <c r="AN116" s="10"/>
    </row>
    <row r="117" spans="2:40" hidden="1" x14ac:dyDescent="0.35">
      <c r="B117" s="15"/>
      <c r="C117" s="127" t="str">
        <f>IFERROR(IF(LEN(INDEX(Database!C$9:C$501,ROW(Calc!A117)-ROW(Calc!$B$7)))=0,"",INDEX(Database!C$9:C$501,ROW(Calc!A117)-ROW(Calc!$B$7))),"")</f>
        <v/>
      </c>
      <c r="D117" s="70" t="str">
        <f>IFERROR(IF(LEN(INDEX(Database!D$9:D$501,ROW(Calc!B117)-ROW(Calc!$B$7)))=0,"",INDEX(Database!D$9:D$501,ROW(Calc!B117)-ROW(Calc!$B$7))),"")</f>
        <v/>
      </c>
      <c r="E117" s="124" t="str">
        <f>IFERROR(IF(LEN(INDEX(Database!G$9:G$501,ROW(Calc!D117)-ROW(Calc!$B$7)))=0,$AD$3,INDEX(Database!G$9:G$501,ROW(Calc!D117)-ROW(Calc!$B$7))),"")</f>
        <v>Not Set</v>
      </c>
      <c r="F117" s="124" t="str">
        <f>IFERROR(IF(LEN(INDEX(Database!F$9:F$501,ROW(Calc!E117)-ROW(Calc!$B$7)))=0,$AD$3,INDEX(Database!F$9:F$501,ROW(Calc!E117)-ROW(Calc!$B$7))),"")</f>
        <v>Not Set</v>
      </c>
      <c r="G117" s="128" t="str">
        <f>IFERROR(IF(LEN(INDEX(Database!H$9:H$501,ROW(Calc!F117)-ROW(Calc!$B$7)))=0,$AD$3,INDEX(Database!H$9:H$501,ROW(Calc!F117)-ROW(Calc!$B$7))),"")</f>
        <v>Not Set</v>
      </c>
      <c r="H117" s="128" t="str">
        <f>IFERROR(IF(LEN(INDEX(Database!I$9:I$501,ROW(Calc!G117)-ROW(Calc!$B$7)))=0,$AD$3,INDEX(Database!I$9:I$501,ROW(Calc!G117)-ROW(Calc!$B$7))),"")</f>
        <v>Not Set</v>
      </c>
      <c r="I117" s="128" t="str">
        <f>IFERROR(IF(LEN(INDEX(Database!J$9:J$501,ROW(Calc!H117)-ROW(Calc!$B$7)))=0,$AD$3,INDEX(Database!J$9:J$501,ROW(Calc!H117)-ROW(Calc!$B$7))),"")</f>
        <v>Not Set</v>
      </c>
      <c r="J117" s="128" t="str">
        <f t="shared" si="14"/>
        <v>Not Set</v>
      </c>
      <c r="K117" s="124" t="str">
        <f>IFERROR(IF(LEN(INDEX(Database!E$9:E$501,ROW(Calc!I117)-ROW(Calc!$B$7)))=0,"",INDEX(Database!E$9:E$501,ROW(Calc!I117)-ROW(Calc!$B$7))),"")</f>
        <v/>
      </c>
      <c r="L117" s="129" t="str">
        <f>IFERROR(IF(LEN(INDEX(Database!K$9:K$501,ROW(Calc!K117)-ROW(Calc!$B$7)))=0,$AD$3,INDEX(Database!K$9:K$501,ROW(Calc!K117)-ROW(Calc!$B$7))),"")</f>
        <v>Not Set</v>
      </c>
      <c r="M117" s="130" t="str">
        <f>IFERROR(IF(LEN(INDEX(Database!L$9:L$501,ROW(Calc!L117)-ROW(Calc!$B$7)))=0,$AD$3,INDEX(Database!L$9:L$501,ROW(Calc!L117)-ROW(Calc!$B$7))),"")</f>
        <v>Not Set</v>
      </c>
      <c r="N117" s="131" t="str">
        <f>IFERROR(IF(LEN(INDEX(Database!M$9:M$501,ROW(Calc!M117)-ROW(Calc!$B$7)))=0,"",INDEX(Database!M$9:M$501,ROW(Calc!M117)-ROW(Calc!$B$7))),"")</f>
        <v/>
      </c>
      <c r="O117" s="132" t="str">
        <f t="shared" si="18"/>
        <v/>
      </c>
      <c r="P117" s="125" t="str">
        <f t="shared" si="15"/>
        <v>Not Set</v>
      </c>
      <c r="Q117" s="125" t="str">
        <f t="shared" si="16"/>
        <v>Not Set</v>
      </c>
      <c r="R117" s="125" t="str">
        <f>IFERROR(IF(G117=$AD$3,$AD$3,INDEX(Kanban_Helper!$C$317:$C$328,MATCH(MONTH(G117),Kanban_Helper!$B$317:$B$328,0))&amp;" - "&amp;YEAR(G117)),"$AD$3")</f>
        <v>Not Set</v>
      </c>
      <c r="S117" s="125" t="str">
        <f>IFERROR(IF(I117=$AD$3,$AD$3,INDEX(Kanban_Helper!$C$317:$C$328,MATCH(MONTH(I117),Kanban_Helper!$B$317:$B$328,0))&amp;" - "&amp;YEAR(I117)),$AD$3)</f>
        <v>Not Set</v>
      </c>
      <c r="T117" s="125" t="str">
        <f t="shared" ca="1" si="19"/>
        <v/>
      </c>
      <c r="U117" s="125" t="str">
        <f t="shared" ca="1" si="20"/>
        <v/>
      </c>
      <c r="V117" s="125" t="str">
        <f t="shared" si="17"/>
        <v>Not Set</v>
      </c>
      <c r="W117" s="126" t="str">
        <f t="shared" si="21"/>
        <v/>
      </c>
      <c r="X117" s="126" t="str">
        <f t="shared" si="22"/>
        <v/>
      </c>
      <c r="Y117" s="125" t="str">
        <f>IFERROR(IF(LEN(D117)=0,"",IF(SUBTOTAL(3,E117:E117)=0,MIN($Y$7:Y116)-1,SUBTOTAL(3,$E$8:E117))),"")</f>
        <v/>
      </c>
      <c r="Z117" s="17"/>
      <c r="AA117" s="10"/>
      <c r="AB117" s="10"/>
      <c r="AC117" s="10"/>
      <c r="AD117" s="10"/>
      <c r="AE117" s="10"/>
      <c r="AF117" s="10"/>
      <c r="AG117" s="10"/>
      <c r="AH117" s="10"/>
      <c r="AI117" s="10"/>
      <c r="AJ117" s="10"/>
      <c r="AK117" s="10"/>
      <c r="AL117" s="10"/>
      <c r="AM117" s="10"/>
      <c r="AN117" s="10"/>
    </row>
    <row r="118" spans="2:40" hidden="1" x14ac:dyDescent="0.35">
      <c r="B118" s="15"/>
      <c r="C118" s="127" t="str">
        <f>IFERROR(IF(LEN(INDEX(Database!C$9:C$501,ROW(Calc!A118)-ROW(Calc!$B$7)))=0,"",INDEX(Database!C$9:C$501,ROW(Calc!A118)-ROW(Calc!$B$7))),"")</f>
        <v/>
      </c>
      <c r="D118" s="70" t="str">
        <f>IFERROR(IF(LEN(INDEX(Database!D$9:D$501,ROW(Calc!B118)-ROW(Calc!$B$7)))=0,"",INDEX(Database!D$9:D$501,ROW(Calc!B118)-ROW(Calc!$B$7))),"")</f>
        <v/>
      </c>
      <c r="E118" s="124" t="str">
        <f>IFERROR(IF(LEN(INDEX(Database!G$9:G$501,ROW(Calc!D118)-ROW(Calc!$B$7)))=0,$AD$3,INDEX(Database!G$9:G$501,ROW(Calc!D118)-ROW(Calc!$B$7))),"")</f>
        <v>Not Set</v>
      </c>
      <c r="F118" s="124" t="str">
        <f>IFERROR(IF(LEN(INDEX(Database!F$9:F$501,ROW(Calc!E118)-ROW(Calc!$B$7)))=0,$AD$3,INDEX(Database!F$9:F$501,ROW(Calc!E118)-ROW(Calc!$B$7))),"")</f>
        <v>Not Set</v>
      </c>
      <c r="G118" s="128" t="str">
        <f>IFERROR(IF(LEN(INDEX(Database!H$9:H$501,ROW(Calc!F118)-ROW(Calc!$B$7)))=0,$AD$3,INDEX(Database!H$9:H$501,ROW(Calc!F118)-ROW(Calc!$B$7))),"")</f>
        <v>Not Set</v>
      </c>
      <c r="H118" s="128" t="str">
        <f>IFERROR(IF(LEN(INDEX(Database!I$9:I$501,ROW(Calc!G118)-ROW(Calc!$B$7)))=0,$AD$3,INDEX(Database!I$9:I$501,ROW(Calc!G118)-ROW(Calc!$B$7))),"")</f>
        <v>Not Set</v>
      </c>
      <c r="I118" s="128" t="str">
        <f>IFERROR(IF(LEN(INDEX(Database!J$9:J$501,ROW(Calc!H118)-ROW(Calc!$B$7)))=0,$AD$3,INDEX(Database!J$9:J$501,ROW(Calc!H118)-ROW(Calc!$B$7))),"")</f>
        <v>Not Set</v>
      </c>
      <c r="J118" s="128" t="str">
        <f t="shared" si="14"/>
        <v>Not Set</v>
      </c>
      <c r="K118" s="124" t="str">
        <f>IFERROR(IF(LEN(INDEX(Database!E$9:E$501,ROW(Calc!I118)-ROW(Calc!$B$7)))=0,"",INDEX(Database!E$9:E$501,ROW(Calc!I118)-ROW(Calc!$B$7))),"")</f>
        <v/>
      </c>
      <c r="L118" s="129" t="str">
        <f>IFERROR(IF(LEN(INDEX(Database!K$9:K$501,ROW(Calc!K118)-ROW(Calc!$B$7)))=0,$AD$3,INDEX(Database!K$9:K$501,ROW(Calc!K118)-ROW(Calc!$B$7))),"")</f>
        <v>Not Set</v>
      </c>
      <c r="M118" s="130" t="str">
        <f>IFERROR(IF(LEN(INDEX(Database!L$9:L$501,ROW(Calc!L118)-ROW(Calc!$B$7)))=0,$AD$3,INDEX(Database!L$9:L$501,ROW(Calc!L118)-ROW(Calc!$B$7))),"")</f>
        <v>Not Set</v>
      </c>
      <c r="N118" s="131" t="str">
        <f>IFERROR(IF(LEN(INDEX(Database!M$9:M$501,ROW(Calc!M118)-ROW(Calc!$B$7)))=0,"",INDEX(Database!M$9:M$501,ROW(Calc!M118)-ROW(Calc!$B$7))),"")</f>
        <v/>
      </c>
      <c r="O118" s="132" t="str">
        <f t="shared" si="18"/>
        <v/>
      </c>
      <c r="P118" s="125" t="str">
        <f t="shared" si="15"/>
        <v>Not Set</v>
      </c>
      <c r="Q118" s="125" t="str">
        <f t="shared" si="16"/>
        <v>Not Set</v>
      </c>
      <c r="R118" s="125" t="str">
        <f>IFERROR(IF(G118=$AD$3,$AD$3,INDEX(Kanban_Helper!$C$317:$C$328,MATCH(MONTH(G118),Kanban_Helper!$B$317:$B$328,0))&amp;" - "&amp;YEAR(G118)),"$AD$3")</f>
        <v>Not Set</v>
      </c>
      <c r="S118" s="125" t="str">
        <f>IFERROR(IF(I118=$AD$3,$AD$3,INDEX(Kanban_Helper!$C$317:$C$328,MATCH(MONTH(I118),Kanban_Helper!$B$317:$B$328,0))&amp;" - "&amp;YEAR(I118)),$AD$3)</f>
        <v>Not Set</v>
      </c>
      <c r="T118" s="125" t="str">
        <f t="shared" ca="1" si="19"/>
        <v/>
      </c>
      <c r="U118" s="125" t="str">
        <f t="shared" ca="1" si="20"/>
        <v/>
      </c>
      <c r="V118" s="125" t="str">
        <f t="shared" si="17"/>
        <v>Not Set</v>
      </c>
      <c r="W118" s="126" t="str">
        <f t="shared" si="21"/>
        <v/>
      </c>
      <c r="X118" s="126" t="str">
        <f t="shared" si="22"/>
        <v/>
      </c>
      <c r="Y118" s="125" t="str">
        <f>IFERROR(IF(LEN(D118)=0,"",IF(SUBTOTAL(3,E118:E118)=0,MIN($Y$7:Y117)-1,SUBTOTAL(3,$E$8:E118))),"")</f>
        <v/>
      </c>
      <c r="Z118" s="17"/>
      <c r="AA118" s="10"/>
      <c r="AB118" s="10"/>
      <c r="AC118" s="10"/>
      <c r="AD118" s="10"/>
      <c r="AE118" s="10"/>
      <c r="AF118" s="10"/>
      <c r="AG118" s="10"/>
      <c r="AH118" s="10"/>
      <c r="AI118" s="10"/>
      <c r="AJ118" s="10"/>
      <c r="AK118" s="10"/>
      <c r="AL118" s="10"/>
      <c r="AM118" s="10"/>
      <c r="AN118" s="10"/>
    </row>
    <row r="119" spans="2:40" hidden="1" x14ac:dyDescent="0.35">
      <c r="B119" s="15"/>
      <c r="C119" s="127" t="str">
        <f>IFERROR(IF(LEN(INDEX(Database!C$9:C$501,ROW(Calc!A119)-ROW(Calc!$B$7)))=0,"",INDEX(Database!C$9:C$501,ROW(Calc!A119)-ROW(Calc!$B$7))),"")</f>
        <v/>
      </c>
      <c r="D119" s="70" t="str">
        <f>IFERROR(IF(LEN(INDEX(Database!D$9:D$501,ROW(Calc!B119)-ROW(Calc!$B$7)))=0,"",INDEX(Database!D$9:D$501,ROW(Calc!B119)-ROW(Calc!$B$7))),"")</f>
        <v/>
      </c>
      <c r="E119" s="124" t="str">
        <f>IFERROR(IF(LEN(INDEX(Database!G$9:G$501,ROW(Calc!D119)-ROW(Calc!$B$7)))=0,$AD$3,INDEX(Database!G$9:G$501,ROW(Calc!D119)-ROW(Calc!$B$7))),"")</f>
        <v>Not Set</v>
      </c>
      <c r="F119" s="124" t="str">
        <f>IFERROR(IF(LEN(INDEX(Database!F$9:F$501,ROW(Calc!E119)-ROW(Calc!$B$7)))=0,$AD$3,INDEX(Database!F$9:F$501,ROW(Calc!E119)-ROW(Calc!$B$7))),"")</f>
        <v>Not Set</v>
      </c>
      <c r="G119" s="128" t="str">
        <f>IFERROR(IF(LEN(INDEX(Database!H$9:H$501,ROW(Calc!F119)-ROW(Calc!$B$7)))=0,$AD$3,INDEX(Database!H$9:H$501,ROW(Calc!F119)-ROW(Calc!$B$7))),"")</f>
        <v>Not Set</v>
      </c>
      <c r="H119" s="128" t="str">
        <f>IFERROR(IF(LEN(INDEX(Database!I$9:I$501,ROW(Calc!G119)-ROW(Calc!$B$7)))=0,$AD$3,INDEX(Database!I$9:I$501,ROW(Calc!G119)-ROW(Calc!$B$7))),"")</f>
        <v>Not Set</v>
      </c>
      <c r="I119" s="128" t="str">
        <f>IFERROR(IF(LEN(INDEX(Database!J$9:J$501,ROW(Calc!H119)-ROW(Calc!$B$7)))=0,$AD$3,INDEX(Database!J$9:J$501,ROW(Calc!H119)-ROW(Calc!$B$7))),"")</f>
        <v>Not Set</v>
      </c>
      <c r="J119" s="128" t="str">
        <f t="shared" si="14"/>
        <v>Not Set</v>
      </c>
      <c r="K119" s="124" t="str">
        <f>IFERROR(IF(LEN(INDEX(Database!E$9:E$501,ROW(Calc!I119)-ROW(Calc!$B$7)))=0,"",INDEX(Database!E$9:E$501,ROW(Calc!I119)-ROW(Calc!$B$7))),"")</f>
        <v/>
      </c>
      <c r="L119" s="129" t="str">
        <f>IFERROR(IF(LEN(INDEX(Database!K$9:K$501,ROW(Calc!K119)-ROW(Calc!$B$7)))=0,$AD$3,INDEX(Database!K$9:K$501,ROW(Calc!K119)-ROW(Calc!$B$7))),"")</f>
        <v>Not Set</v>
      </c>
      <c r="M119" s="130" t="str">
        <f>IFERROR(IF(LEN(INDEX(Database!L$9:L$501,ROW(Calc!L119)-ROW(Calc!$B$7)))=0,$AD$3,INDEX(Database!L$9:L$501,ROW(Calc!L119)-ROW(Calc!$B$7))),"")</f>
        <v>Not Set</v>
      </c>
      <c r="N119" s="131" t="str">
        <f>IFERROR(IF(LEN(INDEX(Database!M$9:M$501,ROW(Calc!M119)-ROW(Calc!$B$7)))=0,"",INDEX(Database!M$9:M$501,ROW(Calc!M119)-ROW(Calc!$B$7))),"")</f>
        <v/>
      </c>
      <c r="O119" s="132" t="str">
        <f t="shared" si="18"/>
        <v/>
      </c>
      <c r="P119" s="125" t="str">
        <f t="shared" si="15"/>
        <v>Not Set</v>
      </c>
      <c r="Q119" s="125" t="str">
        <f t="shared" si="16"/>
        <v>Not Set</v>
      </c>
      <c r="R119" s="125" t="str">
        <f>IFERROR(IF(G119=$AD$3,$AD$3,INDEX(Kanban_Helper!$C$317:$C$328,MATCH(MONTH(G119),Kanban_Helper!$B$317:$B$328,0))&amp;" - "&amp;YEAR(G119)),"$AD$3")</f>
        <v>Not Set</v>
      </c>
      <c r="S119" s="125" t="str">
        <f>IFERROR(IF(I119=$AD$3,$AD$3,INDEX(Kanban_Helper!$C$317:$C$328,MATCH(MONTH(I119),Kanban_Helper!$B$317:$B$328,0))&amp;" - "&amp;YEAR(I119)),$AD$3)</f>
        <v>Not Set</v>
      </c>
      <c r="T119" s="125" t="str">
        <f t="shared" ca="1" si="19"/>
        <v/>
      </c>
      <c r="U119" s="125" t="str">
        <f t="shared" ca="1" si="20"/>
        <v/>
      </c>
      <c r="V119" s="125" t="str">
        <f t="shared" si="17"/>
        <v>Not Set</v>
      </c>
      <c r="W119" s="126" t="str">
        <f t="shared" si="21"/>
        <v/>
      </c>
      <c r="X119" s="126" t="str">
        <f t="shared" si="22"/>
        <v/>
      </c>
      <c r="Y119" s="125" t="str">
        <f>IFERROR(IF(LEN(D119)=0,"",IF(SUBTOTAL(3,E119:E119)=0,MIN($Y$7:Y118)-1,SUBTOTAL(3,$E$8:E119))),"")</f>
        <v/>
      </c>
      <c r="Z119" s="17"/>
      <c r="AA119" s="10"/>
      <c r="AB119" s="10"/>
      <c r="AC119" s="10"/>
      <c r="AD119" s="10"/>
      <c r="AE119" s="10"/>
      <c r="AF119" s="10"/>
      <c r="AG119" s="10"/>
      <c r="AH119" s="10"/>
      <c r="AI119" s="10"/>
      <c r="AJ119" s="10"/>
      <c r="AK119" s="10"/>
      <c r="AL119" s="10"/>
      <c r="AM119" s="10"/>
      <c r="AN119" s="10"/>
    </row>
    <row r="120" spans="2:40" hidden="1" x14ac:dyDescent="0.35">
      <c r="B120" s="15"/>
      <c r="C120" s="127" t="str">
        <f>IFERROR(IF(LEN(INDEX(Database!C$9:C$501,ROW(Calc!A120)-ROW(Calc!$B$7)))=0,"",INDEX(Database!C$9:C$501,ROW(Calc!A120)-ROW(Calc!$B$7))),"")</f>
        <v/>
      </c>
      <c r="D120" s="70" t="str">
        <f>IFERROR(IF(LEN(INDEX(Database!D$9:D$501,ROW(Calc!B120)-ROW(Calc!$B$7)))=0,"",INDEX(Database!D$9:D$501,ROW(Calc!B120)-ROW(Calc!$B$7))),"")</f>
        <v/>
      </c>
      <c r="E120" s="124" t="str">
        <f>IFERROR(IF(LEN(INDEX(Database!G$9:G$501,ROW(Calc!D120)-ROW(Calc!$B$7)))=0,$AD$3,INDEX(Database!G$9:G$501,ROW(Calc!D120)-ROW(Calc!$B$7))),"")</f>
        <v>Not Set</v>
      </c>
      <c r="F120" s="124" t="str">
        <f>IFERROR(IF(LEN(INDEX(Database!F$9:F$501,ROW(Calc!E120)-ROW(Calc!$B$7)))=0,$AD$3,INDEX(Database!F$9:F$501,ROW(Calc!E120)-ROW(Calc!$B$7))),"")</f>
        <v>Not Set</v>
      </c>
      <c r="G120" s="128" t="str">
        <f>IFERROR(IF(LEN(INDEX(Database!H$9:H$501,ROW(Calc!F120)-ROW(Calc!$B$7)))=0,$AD$3,INDEX(Database!H$9:H$501,ROW(Calc!F120)-ROW(Calc!$B$7))),"")</f>
        <v>Not Set</v>
      </c>
      <c r="H120" s="128" t="str">
        <f>IFERROR(IF(LEN(INDEX(Database!I$9:I$501,ROW(Calc!G120)-ROW(Calc!$B$7)))=0,$AD$3,INDEX(Database!I$9:I$501,ROW(Calc!G120)-ROW(Calc!$B$7))),"")</f>
        <v>Not Set</v>
      </c>
      <c r="I120" s="128" t="str">
        <f>IFERROR(IF(LEN(INDEX(Database!J$9:J$501,ROW(Calc!H120)-ROW(Calc!$B$7)))=0,$AD$3,INDEX(Database!J$9:J$501,ROW(Calc!H120)-ROW(Calc!$B$7))),"")</f>
        <v>Not Set</v>
      </c>
      <c r="J120" s="128" t="str">
        <f t="shared" si="14"/>
        <v>Not Set</v>
      </c>
      <c r="K120" s="124" t="str">
        <f>IFERROR(IF(LEN(INDEX(Database!E$9:E$501,ROW(Calc!I120)-ROW(Calc!$B$7)))=0,"",INDEX(Database!E$9:E$501,ROW(Calc!I120)-ROW(Calc!$B$7))),"")</f>
        <v/>
      </c>
      <c r="L120" s="129" t="str">
        <f>IFERROR(IF(LEN(INDEX(Database!K$9:K$501,ROW(Calc!K120)-ROW(Calc!$B$7)))=0,$AD$3,INDEX(Database!K$9:K$501,ROW(Calc!K120)-ROW(Calc!$B$7))),"")</f>
        <v>Not Set</v>
      </c>
      <c r="M120" s="130" t="str">
        <f>IFERROR(IF(LEN(INDEX(Database!L$9:L$501,ROW(Calc!L120)-ROW(Calc!$B$7)))=0,$AD$3,INDEX(Database!L$9:L$501,ROW(Calc!L120)-ROW(Calc!$B$7))),"")</f>
        <v>Not Set</v>
      </c>
      <c r="N120" s="131" t="str">
        <f>IFERROR(IF(LEN(INDEX(Database!M$9:M$501,ROW(Calc!M120)-ROW(Calc!$B$7)))=0,"",INDEX(Database!M$9:M$501,ROW(Calc!M120)-ROW(Calc!$B$7))),"")</f>
        <v/>
      </c>
      <c r="O120" s="132" t="str">
        <f t="shared" si="18"/>
        <v/>
      </c>
      <c r="P120" s="125" t="str">
        <f t="shared" si="15"/>
        <v>Not Set</v>
      </c>
      <c r="Q120" s="125" t="str">
        <f t="shared" si="16"/>
        <v>Not Set</v>
      </c>
      <c r="R120" s="125" t="str">
        <f>IFERROR(IF(G120=$AD$3,$AD$3,INDEX(Kanban_Helper!$C$317:$C$328,MATCH(MONTH(G120),Kanban_Helper!$B$317:$B$328,0))&amp;" - "&amp;YEAR(G120)),"$AD$3")</f>
        <v>Not Set</v>
      </c>
      <c r="S120" s="125" t="str">
        <f>IFERROR(IF(I120=$AD$3,$AD$3,INDEX(Kanban_Helper!$C$317:$C$328,MATCH(MONTH(I120),Kanban_Helper!$B$317:$B$328,0))&amp;" - "&amp;YEAR(I120)),$AD$3)</f>
        <v>Not Set</v>
      </c>
      <c r="T120" s="125" t="str">
        <f t="shared" ca="1" si="19"/>
        <v/>
      </c>
      <c r="U120" s="125" t="str">
        <f t="shared" ca="1" si="20"/>
        <v/>
      </c>
      <c r="V120" s="125" t="str">
        <f t="shared" si="17"/>
        <v>Not Set</v>
      </c>
      <c r="W120" s="126" t="str">
        <f t="shared" si="21"/>
        <v/>
      </c>
      <c r="X120" s="126" t="str">
        <f t="shared" si="22"/>
        <v/>
      </c>
      <c r="Y120" s="125" t="str">
        <f>IFERROR(IF(LEN(D120)=0,"",IF(SUBTOTAL(3,E120:E120)=0,MIN($Y$7:Y119)-1,SUBTOTAL(3,$E$8:E120))),"")</f>
        <v/>
      </c>
      <c r="Z120" s="17"/>
      <c r="AA120" s="10"/>
      <c r="AB120" s="10"/>
      <c r="AC120" s="10"/>
      <c r="AD120" s="10"/>
      <c r="AE120" s="10"/>
      <c r="AF120" s="10"/>
      <c r="AG120" s="10"/>
      <c r="AH120" s="10"/>
      <c r="AI120" s="10"/>
      <c r="AJ120" s="10"/>
      <c r="AK120" s="10"/>
      <c r="AL120" s="10"/>
      <c r="AM120" s="10"/>
      <c r="AN120" s="10"/>
    </row>
    <row r="121" spans="2:40" hidden="1" x14ac:dyDescent="0.35">
      <c r="B121" s="15"/>
      <c r="C121" s="127" t="str">
        <f>IFERROR(IF(LEN(INDEX(Database!C$9:C$501,ROW(Calc!A121)-ROW(Calc!$B$7)))=0,"",INDEX(Database!C$9:C$501,ROW(Calc!A121)-ROW(Calc!$B$7))),"")</f>
        <v/>
      </c>
      <c r="D121" s="70" t="str">
        <f>IFERROR(IF(LEN(INDEX(Database!D$9:D$501,ROW(Calc!B121)-ROW(Calc!$B$7)))=0,"",INDEX(Database!D$9:D$501,ROW(Calc!B121)-ROW(Calc!$B$7))),"")</f>
        <v/>
      </c>
      <c r="E121" s="124" t="str">
        <f>IFERROR(IF(LEN(INDEX(Database!G$9:G$501,ROW(Calc!D121)-ROW(Calc!$B$7)))=0,$AD$3,INDEX(Database!G$9:G$501,ROW(Calc!D121)-ROW(Calc!$B$7))),"")</f>
        <v>Not Set</v>
      </c>
      <c r="F121" s="124" t="str">
        <f>IFERROR(IF(LEN(INDEX(Database!F$9:F$501,ROW(Calc!E121)-ROW(Calc!$B$7)))=0,$AD$3,INDEX(Database!F$9:F$501,ROW(Calc!E121)-ROW(Calc!$B$7))),"")</f>
        <v>Not Set</v>
      </c>
      <c r="G121" s="128" t="str">
        <f>IFERROR(IF(LEN(INDEX(Database!H$9:H$501,ROW(Calc!F121)-ROW(Calc!$B$7)))=0,$AD$3,INDEX(Database!H$9:H$501,ROW(Calc!F121)-ROW(Calc!$B$7))),"")</f>
        <v>Not Set</v>
      </c>
      <c r="H121" s="128" t="str">
        <f>IFERROR(IF(LEN(INDEX(Database!I$9:I$501,ROW(Calc!G121)-ROW(Calc!$B$7)))=0,$AD$3,INDEX(Database!I$9:I$501,ROW(Calc!G121)-ROW(Calc!$B$7))),"")</f>
        <v>Not Set</v>
      </c>
      <c r="I121" s="128" t="str">
        <f>IFERROR(IF(LEN(INDEX(Database!J$9:J$501,ROW(Calc!H121)-ROW(Calc!$B$7)))=0,$AD$3,INDEX(Database!J$9:J$501,ROW(Calc!H121)-ROW(Calc!$B$7))),"")</f>
        <v>Not Set</v>
      </c>
      <c r="J121" s="128" t="str">
        <f t="shared" si="14"/>
        <v>Not Set</v>
      </c>
      <c r="K121" s="124" t="str">
        <f>IFERROR(IF(LEN(INDEX(Database!E$9:E$501,ROW(Calc!I121)-ROW(Calc!$B$7)))=0,"",INDEX(Database!E$9:E$501,ROW(Calc!I121)-ROW(Calc!$B$7))),"")</f>
        <v/>
      </c>
      <c r="L121" s="129" t="str">
        <f>IFERROR(IF(LEN(INDEX(Database!K$9:K$501,ROW(Calc!K121)-ROW(Calc!$B$7)))=0,$AD$3,INDEX(Database!K$9:K$501,ROW(Calc!K121)-ROW(Calc!$B$7))),"")</f>
        <v>Not Set</v>
      </c>
      <c r="M121" s="130" t="str">
        <f>IFERROR(IF(LEN(INDEX(Database!L$9:L$501,ROW(Calc!L121)-ROW(Calc!$B$7)))=0,$AD$3,INDEX(Database!L$9:L$501,ROW(Calc!L121)-ROW(Calc!$B$7))),"")</f>
        <v>Not Set</v>
      </c>
      <c r="N121" s="131" t="str">
        <f>IFERROR(IF(LEN(INDEX(Database!M$9:M$501,ROW(Calc!M121)-ROW(Calc!$B$7)))=0,"",INDEX(Database!M$9:M$501,ROW(Calc!M121)-ROW(Calc!$B$7))),"")</f>
        <v/>
      </c>
      <c r="O121" s="132" t="str">
        <f t="shared" si="18"/>
        <v/>
      </c>
      <c r="P121" s="125" t="str">
        <f t="shared" si="15"/>
        <v>Not Set</v>
      </c>
      <c r="Q121" s="125" t="str">
        <f t="shared" si="16"/>
        <v>Not Set</v>
      </c>
      <c r="R121" s="125" t="str">
        <f>IFERROR(IF(G121=$AD$3,$AD$3,INDEX(Kanban_Helper!$C$317:$C$328,MATCH(MONTH(G121),Kanban_Helper!$B$317:$B$328,0))&amp;" - "&amp;YEAR(G121)),"$AD$3")</f>
        <v>Not Set</v>
      </c>
      <c r="S121" s="125" t="str">
        <f>IFERROR(IF(I121=$AD$3,$AD$3,INDEX(Kanban_Helper!$C$317:$C$328,MATCH(MONTH(I121),Kanban_Helper!$B$317:$B$328,0))&amp;" - "&amp;YEAR(I121)),$AD$3)</f>
        <v>Not Set</v>
      </c>
      <c r="T121" s="125" t="str">
        <f t="shared" ca="1" si="19"/>
        <v/>
      </c>
      <c r="U121" s="125" t="str">
        <f t="shared" ca="1" si="20"/>
        <v/>
      </c>
      <c r="V121" s="125" t="str">
        <f t="shared" si="17"/>
        <v>Not Set</v>
      </c>
      <c r="W121" s="126" t="str">
        <f t="shared" si="21"/>
        <v/>
      </c>
      <c r="X121" s="126" t="str">
        <f t="shared" si="22"/>
        <v/>
      </c>
      <c r="Y121" s="125" t="str">
        <f>IFERROR(IF(LEN(D121)=0,"",IF(SUBTOTAL(3,E121:E121)=0,MIN($Y$7:Y120)-1,SUBTOTAL(3,$E$8:E121))),"")</f>
        <v/>
      </c>
      <c r="Z121" s="17"/>
      <c r="AA121" s="10"/>
      <c r="AB121" s="10"/>
      <c r="AC121" s="10"/>
      <c r="AD121" s="10"/>
      <c r="AE121" s="10"/>
      <c r="AF121" s="10"/>
      <c r="AG121" s="10"/>
      <c r="AH121" s="10"/>
      <c r="AI121" s="10"/>
      <c r="AJ121" s="10"/>
      <c r="AK121" s="10"/>
      <c r="AL121" s="10"/>
      <c r="AM121" s="10"/>
      <c r="AN121" s="10"/>
    </row>
    <row r="122" spans="2:40" hidden="1" x14ac:dyDescent="0.35">
      <c r="B122" s="15"/>
      <c r="C122" s="127" t="str">
        <f>IFERROR(IF(LEN(INDEX(Database!C$9:C$501,ROW(Calc!A122)-ROW(Calc!$B$7)))=0,"",INDEX(Database!C$9:C$501,ROW(Calc!A122)-ROW(Calc!$B$7))),"")</f>
        <v/>
      </c>
      <c r="D122" s="70" t="str">
        <f>IFERROR(IF(LEN(INDEX(Database!D$9:D$501,ROW(Calc!B122)-ROW(Calc!$B$7)))=0,"",INDEX(Database!D$9:D$501,ROW(Calc!B122)-ROW(Calc!$B$7))),"")</f>
        <v/>
      </c>
      <c r="E122" s="124" t="str">
        <f>IFERROR(IF(LEN(INDEX(Database!G$9:G$501,ROW(Calc!D122)-ROW(Calc!$B$7)))=0,$AD$3,INDEX(Database!G$9:G$501,ROW(Calc!D122)-ROW(Calc!$B$7))),"")</f>
        <v>Not Set</v>
      </c>
      <c r="F122" s="124" t="str">
        <f>IFERROR(IF(LEN(INDEX(Database!F$9:F$501,ROW(Calc!E122)-ROW(Calc!$B$7)))=0,$AD$3,INDEX(Database!F$9:F$501,ROW(Calc!E122)-ROW(Calc!$B$7))),"")</f>
        <v>Not Set</v>
      </c>
      <c r="G122" s="128" t="str">
        <f>IFERROR(IF(LEN(INDEX(Database!H$9:H$501,ROW(Calc!F122)-ROW(Calc!$B$7)))=0,$AD$3,INDEX(Database!H$9:H$501,ROW(Calc!F122)-ROW(Calc!$B$7))),"")</f>
        <v>Not Set</v>
      </c>
      <c r="H122" s="128" t="str">
        <f>IFERROR(IF(LEN(INDEX(Database!I$9:I$501,ROW(Calc!G122)-ROW(Calc!$B$7)))=0,$AD$3,INDEX(Database!I$9:I$501,ROW(Calc!G122)-ROW(Calc!$B$7))),"")</f>
        <v>Not Set</v>
      </c>
      <c r="I122" s="128" t="str">
        <f>IFERROR(IF(LEN(INDEX(Database!J$9:J$501,ROW(Calc!H122)-ROW(Calc!$B$7)))=0,$AD$3,INDEX(Database!J$9:J$501,ROW(Calc!H122)-ROW(Calc!$B$7))),"")</f>
        <v>Not Set</v>
      </c>
      <c r="J122" s="128" t="str">
        <f t="shared" si="14"/>
        <v>Not Set</v>
      </c>
      <c r="K122" s="124" t="str">
        <f>IFERROR(IF(LEN(INDEX(Database!E$9:E$501,ROW(Calc!I122)-ROW(Calc!$B$7)))=0,"",INDEX(Database!E$9:E$501,ROW(Calc!I122)-ROW(Calc!$B$7))),"")</f>
        <v/>
      </c>
      <c r="L122" s="129" t="str">
        <f>IFERROR(IF(LEN(INDEX(Database!K$9:K$501,ROW(Calc!K122)-ROW(Calc!$B$7)))=0,$AD$3,INDEX(Database!K$9:K$501,ROW(Calc!K122)-ROW(Calc!$B$7))),"")</f>
        <v>Not Set</v>
      </c>
      <c r="M122" s="130" t="str">
        <f>IFERROR(IF(LEN(INDEX(Database!L$9:L$501,ROW(Calc!L122)-ROW(Calc!$B$7)))=0,$AD$3,INDEX(Database!L$9:L$501,ROW(Calc!L122)-ROW(Calc!$B$7))),"")</f>
        <v>Not Set</v>
      </c>
      <c r="N122" s="131" t="str">
        <f>IFERROR(IF(LEN(INDEX(Database!M$9:M$501,ROW(Calc!M122)-ROW(Calc!$B$7)))=0,"",INDEX(Database!M$9:M$501,ROW(Calc!M122)-ROW(Calc!$B$7))),"")</f>
        <v/>
      </c>
      <c r="O122" s="132" t="str">
        <f t="shared" si="18"/>
        <v/>
      </c>
      <c r="P122" s="125" t="str">
        <f t="shared" si="15"/>
        <v>Not Set</v>
      </c>
      <c r="Q122" s="125" t="str">
        <f t="shared" si="16"/>
        <v>Not Set</v>
      </c>
      <c r="R122" s="125" t="str">
        <f>IFERROR(IF(G122=$AD$3,$AD$3,INDEX(Kanban_Helper!$C$317:$C$328,MATCH(MONTH(G122),Kanban_Helper!$B$317:$B$328,0))&amp;" - "&amp;YEAR(G122)),"$AD$3")</f>
        <v>Not Set</v>
      </c>
      <c r="S122" s="125" t="str">
        <f>IFERROR(IF(I122=$AD$3,$AD$3,INDEX(Kanban_Helper!$C$317:$C$328,MATCH(MONTH(I122),Kanban_Helper!$B$317:$B$328,0))&amp;" - "&amp;YEAR(I122)),$AD$3)</f>
        <v>Not Set</v>
      </c>
      <c r="T122" s="125" t="str">
        <f t="shared" ca="1" si="19"/>
        <v/>
      </c>
      <c r="U122" s="125" t="str">
        <f t="shared" ca="1" si="20"/>
        <v/>
      </c>
      <c r="V122" s="125" t="str">
        <f t="shared" si="17"/>
        <v>Not Set</v>
      </c>
      <c r="W122" s="126" t="str">
        <f t="shared" si="21"/>
        <v/>
      </c>
      <c r="X122" s="126" t="str">
        <f t="shared" si="22"/>
        <v/>
      </c>
      <c r="Y122" s="125" t="str">
        <f>IFERROR(IF(LEN(D122)=0,"",IF(SUBTOTAL(3,E122:E122)=0,MIN($Y$7:Y121)-1,SUBTOTAL(3,$E$8:E122))),"")</f>
        <v/>
      </c>
      <c r="Z122" s="17"/>
      <c r="AA122" s="10"/>
      <c r="AB122" s="10"/>
      <c r="AC122" s="10"/>
      <c r="AD122" s="10"/>
      <c r="AE122" s="10"/>
      <c r="AF122" s="10"/>
      <c r="AG122" s="10"/>
      <c r="AH122" s="10"/>
      <c r="AI122" s="10"/>
      <c r="AJ122" s="10"/>
      <c r="AK122" s="10"/>
      <c r="AL122" s="10"/>
      <c r="AM122" s="10"/>
      <c r="AN122" s="10"/>
    </row>
    <row r="123" spans="2:40" hidden="1" x14ac:dyDescent="0.35">
      <c r="B123" s="15"/>
      <c r="C123" s="127" t="str">
        <f>IFERROR(IF(LEN(INDEX(Database!C$9:C$501,ROW(Calc!A123)-ROW(Calc!$B$7)))=0,"",INDEX(Database!C$9:C$501,ROW(Calc!A123)-ROW(Calc!$B$7))),"")</f>
        <v/>
      </c>
      <c r="D123" s="70" t="str">
        <f>IFERROR(IF(LEN(INDEX(Database!D$9:D$501,ROW(Calc!B123)-ROW(Calc!$B$7)))=0,"",INDEX(Database!D$9:D$501,ROW(Calc!B123)-ROW(Calc!$B$7))),"")</f>
        <v/>
      </c>
      <c r="E123" s="124" t="str">
        <f>IFERROR(IF(LEN(INDEX(Database!G$9:G$501,ROW(Calc!D123)-ROW(Calc!$B$7)))=0,$AD$3,INDEX(Database!G$9:G$501,ROW(Calc!D123)-ROW(Calc!$B$7))),"")</f>
        <v>Not Set</v>
      </c>
      <c r="F123" s="124" t="str">
        <f>IFERROR(IF(LEN(INDEX(Database!F$9:F$501,ROW(Calc!E123)-ROW(Calc!$B$7)))=0,$AD$3,INDEX(Database!F$9:F$501,ROW(Calc!E123)-ROW(Calc!$B$7))),"")</f>
        <v>Not Set</v>
      </c>
      <c r="G123" s="128" t="str">
        <f>IFERROR(IF(LEN(INDEX(Database!H$9:H$501,ROW(Calc!F123)-ROW(Calc!$B$7)))=0,$AD$3,INDEX(Database!H$9:H$501,ROW(Calc!F123)-ROW(Calc!$B$7))),"")</f>
        <v>Not Set</v>
      </c>
      <c r="H123" s="128" t="str">
        <f>IFERROR(IF(LEN(INDEX(Database!I$9:I$501,ROW(Calc!G123)-ROW(Calc!$B$7)))=0,$AD$3,INDEX(Database!I$9:I$501,ROW(Calc!G123)-ROW(Calc!$B$7))),"")</f>
        <v>Not Set</v>
      </c>
      <c r="I123" s="128" t="str">
        <f>IFERROR(IF(LEN(INDEX(Database!J$9:J$501,ROW(Calc!H123)-ROW(Calc!$B$7)))=0,$AD$3,INDEX(Database!J$9:J$501,ROW(Calc!H123)-ROW(Calc!$B$7))),"")</f>
        <v>Not Set</v>
      </c>
      <c r="J123" s="128" t="str">
        <f t="shared" si="14"/>
        <v>Not Set</v>
      </c>
      <c r="K123" s="124" t="str">
        <f>IFERROR(IF(LEN(INDEX(Database!E$9:E$501,ROW(Calc!I123)-ROW(Calc!$B$7)))=0,"",INDEX(Database!E$9:E$501,ROW(Calc!I123)-ROW(Calc!$B$7))),"")</f>
        <v/>
      </c>
      <c r="L123" s="129" t="str">
        <f>IFERROR(IF(LEN(INDEX(Database!K$9:K$501,ROW(Calc!K123)-ROW(Calc!$B$7)))=0,$AD$3,INDEX(Database!K$9:K$501,ROW(Calc!K123)-ROW(Calc!$B$7))),"")</f>
        <v>Not Set</v>
      </c>
      <c r="M123" s="130" t="str">
        <f>IFERROR(IF(LEN(INDEX(Database!L$9:L$501,ROW(Calc!L123)-ROW(Calc!$B$7)))=0,$AD$3,INDEX(Database!L$9:L$501,ROW(Calc!L123)-ROW(Calc!$B$7))),"")</f>
        <v>Not Set</v>
      </c>
      <c r="N123" s="131" t="str">
        <f>IFERROR(IF(LEN(INDEX(Database!M$9:M$501,ROW(Calc!M123)-ROW(Calc!$B$7)))=0,"",INDEX(Database!M$9:M$501,ROW(Calc!M123)-ROW(Calc!$B$7))),"")</f>
        <v/>
      </c>
      <c r="O123" s="132" t="str">
        <f t="shared" si="18"/>
        <v/>
      </c>
      <c r="P123" s="125" t="str">
        <f t="shared" si="15"/>
        <v>Not Set</v>
      </c>
      <c r="Q123" s="125" t="str">
        <f t="shared" si="16"/>
        <v>Not Set</v>
      </c>
      <c r="R123" s="125" t="str">
        <f>IFERROR(IF(G123=$AD$3,$AD$3,INDEX(Kanban_Helper!$C$317:$C$328,MATCH(MONTH(G123),Kanban_Helper!$B$317:$B$328,0))&amp;" - "&amp;YEAR(G123)),"$AD$3")</f>
        <v>Not Set</v>
      </c>
      <c r="S123" s="125" t="str">
        <f>IFERROR(IF(I123=$AD$3,$AD$3,INDEX(Kanban_Helper!$C$317:$C$328,MATCH(MONTH(I123),Kanban_Helper!$B$317:$B$328,0))&amp;" - "&amp;YEAR(I123)),$AD$3)</f>
        <v>Not Set</v>
      </c>
      <c r="T123" s="125" t="str">
        <f t="shared" ca="1" si="19"/>
        <v/>
      </c>
      <c r="U123" s="125" t="str">
        <f t="shared" ca="1" si="20"/>
        <v/>
      </c>
      <c r="V123" s="125" t="str">
        <f t="shared" si="17"/>
        <v>Not Set</v>
      </c>
      <c r="W123" s="126" t="str">
        <f t="shared" si="21"/>
        <v/>
      </c>
      <c r="X123" s="126" t="str">
        <f t="shared" si="22"/>
        <v/>
      </c>
      <c r="Y123" s="125" t="str">
        <f>IFERROR(IF(LEN(D123)=0,"",IF(SUBTOTAL(3,E123:E123)=0,MIN($Y$7:Y122)-1,SUBTOTAL(3,$E$8:E123))),"")</f>
        <v/>
      </c>
      <c r="Z123" s="17"/>
      <c r="AA123" s="10"/>
      <c r="AB123" s="10"/>
      <c r="AC123" s="10"/>
      <c r="AD123" s="10"/>
      <c r="AE123" s="10"/>
      <c r="AF123" s="10"/>
      <c r="AG123" s="10"/>
      <c r="AH123" s="10"/>
      <c r="AI123" s="10"/>
      <c r="AJ123" s="10"/>
      <c r="AK123" s="10"/>
      <c r="AL123" s="10"/>
      <c r="AM123" s="10"/>
      <c r="AN123" s="10"/>
    </row>
    <row r="124" spans="2:40" hidden="1" x14ac:dyDescent="0.35">
      <c r="B124" s="15"/>
      <c r="C124" s="127" t="str">
        <f>IFERROR(IF(LEN(INDEX(Database!C$9:C$501,ROW(Calc!A124)-ROW(Calc!$B$7)))=0,"",INDEX(Database!C$9:C$501,ROW(Calc!A124)-ROW(Calc!$B$7))),"")</f>
        <v/>
      </c>
      <c r="D124" s="70" t="str">
        <f>IFERROR(IF(LEN(INDEX(Database!D$9:D$501,ROW(Calc!B124)-ROW(Calc!$B$7)))=0,"",INDEX(Database!D$9:D$501,ROW(Calc!B124)-ROW(Calc!$B$7))),"")</f>
        <v/>
      </c>
      <c r="E124" s="124" t="str">
        <f>IFERROR(IF(LEN(INDEX(Database!G$9:G$501,ROW(Calc!D124)-ROW(Calc!$B$7)))=0,$AD$3,INDEX(Database!G$9:G$501,ROW(Calc!D124)-ROW(Calc!$B$7))),"")</f>
        <v>Not Set</v>
      </c>
      <c r="F124" s="124" t="str">
        <f>IFERROR(IF(LEN(INDEX(Database!F$9:F$501,ROW(Calc!E124)-ROW(Calc!$B$7)))=0,$AD$3,INDEX(Database!F$9:F$501,ROW(Calc!E124)-ROW(Calc!$B$7))),"")</f>
        <v>Not Set</v>
      </c>
      <c r="G124" s="128" t="str">
        <f>IFERROR(IF(LEN(INDEX(Database!H$9:H$501,ROW(Calc!F124)-ROW(Calc!$B$7)))=0,$AD$3,INDEX(Database!H$9:H$501,ROW(Calc!F124)-ROW(Calc!$B$7))),"")</f>
        <v>Not Set</v>
      </c>
      <c r="H124" s="128" t="str">
        <f>IFERROR(IF(LEN(INDEX(Database!I$9:I$501,ROW(Calc!G124)-ROW(Calc!$B$7)))=0,$AD$3,INDEX(Database!I$9:I$501,ROW(Calc!G124)-ROW(Calc!$B$7))),"")</f>
        <v>Not Set</v>
      </c>
      <c r="I124" s="128" t="str">
        <f>IFERROR(IF(LEN(INDEX(Database!J$9:J$501,ROW(Calc!H124)-ROW(Calc!$B$7)))=0,$AD$3,INDEX(Database!J$9:J$501,ROW(Calc!H124)-ROW(Calc!$B$7))),"")</f>
        <v>Not Set</v>
      </c>
      <c r="J124" s="128" t="str">
        <f t="shared" si="14"/>
        <v>Not Set</v>
      </c>
      <c r="K124" s="124" t="str">
        <f>IFERROR(IF(LEN(INDEX(Database!E$9:E$501,ROW(Calc!I124)-ROW(Calc!$B$7)))=0,"",INDEX(Database!E$9:E$501,ROW(Calc!I124)-ROW(Calc!$B$7))),"")</f>
        <v/>
      </c>
      <c r="L124" s="129" t="str">
        <f>IFERROR(IF(LEN(INDEX(Database!K$9:K$501,ROW(Calc!K124)-ROW(Calc!$B$7)))=0,$AD$3,INDEX(Database!K$9:K$501,ROW(Calc!K124)-ROW(Calc!$B$7))),"")</f>
        <v>Not Set</v>
      </c>
      <c r="M124" s="130" t="str">
        <f>IFERROR(IF(LEN(INDEX(Database!L$9:L$501,ROW(Calc!L124)-ROW(Calc!$B$7)))=0,$AD$3,INDEX(Database!L$9:L$501,ROW(Calc!L124)-ROW(Calc!$B$7))),"")</f>
        <v>Not Set</v>
      </c>
      <c r="N124" s="131" t="str">
        <f>IFERROR(IF(LEN(INDEX(Database!M$9:M$501,ROW(Calc!M124)-ROW(Calc!$B$7)))=0,"",INDEX(Database!M$9:M$501,ROW(Calc!M124)-ROW(Calc!$B$7))),"")</f>
        <v/>
      </c>
      <c r="O124" s="132" t="str">
        <f t="shared" si="18"/>
        <v/>
      </c>
      <c r="P124" s="125" t="str">
        <f t="shared" si="15"/>
        <v>Not Set</v>
      </c>
      <c r="Q124" s="125" t="str">
        <f t="shared" si="16"/>
        <v>Not Set</v>
      </c>
      <c r="R124" s="125" t="str">
        <f>IFERROR(IF(G124=$AD$3,$AD$3,INDEX(Kanban_Helper!$C$317:$C$328,MATCH(MONTH(G124),Kanban_Helper!$B$317:$B$328,0))&amp;" - "&amp;YEAR(G124)),"$AD$3")</f>
        <v>Not Set</v>
      </c>
      <c r="S124" s="125" t="str">
        <f>IFERROR(IF(I124=$AD$3,$AD$3,INDEX(Kanban_Helper!$C$317:$C$328,MATCH(MONTH(I124),Kanban_Helper!$B$317:$B$328,0))&amp;" - "&amp;YEAR(I124)),$AD$3)</f>
        <v>Not Set</v>
      </c>
      <c r="T124" s="125" t="str">
        <f t="shared" ca="1" si="19"/>
        <v/>
      </c>
      <c r="U124" s="125" t="str">
        <f t="shared" ca="1" si="20"/>
        <v/>
      </c>
      <c r="V124" s="125" t="str">
        <f t="shared" si="17"/>
        <v>Not Set</v>
      </c>
      <c r="W124" s="126" t="str">
        <f t="shared" si="21"/>
        <v/>
      </c>
      <c r="X124" s="126" t="str">
        <f t="shared" si="22"/>
        <v/>
      </c>
      <c r="Y124" s="125" t="str">
        <f>IFERROR(IF(LEN(D124)=0,"",IF(SUBTOTAL(3,E124:E124)=0,MIN($Y$7:Y123)-1,SUBTOTAL(3,$E$8:E124))),"")</f>
        <v/>
      </c>
      <c r="Z124" s="17"/>
      <c r="AA124" s="10"/>
      <c r="AB124" s="10"/>
      <c r="AC124" s="10"/>
      <c r="AD124" s="10"/>
      <c r="AE124" s="10"/>
      <c r="AF124" s="10"/>
      <c r="AG124" s="10"/>
      <c r="AH124" s="10"/>
      <c r="AI124" s="10"/>
      <c r="AJ124" s="10"/>
      <c r="AK124" s="10"/>
      <c r="AL124" s="10"/>
      <c r="AM124" s="10"/>
      <c r="AN124" s="10"/>
    </row>
    <row r="125" spans="2:40" hidden="1" x14ac:dyDescent="0.35">
      <c r="B125" s="15"/>
      <c r="C125" s="127" t="str">
        <f>IFERROR(IF(LEN(INDEX(Database!C$9:C$501,ROW(Calc!A125)-ROW(Calc!$B$7)))=0,"",INDEX(Database!C$9:C$501,ROW(Calc!A125)-ROW(Calc!$B$7))),"")</f>
        <v/>
      </c>
      <c r="D125" s="70" t="str">
        <f>IFERROR(IF(LEN(INDEX(Database!D$9:D$501,ROW(Calc!B125)-ROW(Calc!$B$7)))=0,"",INDEX(Database!D$9:D$501,ROW(Calc!B125)-ROW(Calc!$B$7))),"")</f>
        <v/>
      </c>
      <c r="E125" s="124" t="str">
        <f>IFERROR(IF(LEN(INDEX(Database!G$9:G$501,ROW(Calc!D125)-ROW(Calc!$B$7)))=0,$AD$3,INDEX(Database!G$9:G$501,ROW(Calc!D125)-ROW(Calc!$B$7))),"")</f>
        <v>Not Set</v>
      </c>
      <c r="F125" s="124" t="str">
        <f>IFERROR(IF(LEN(INDEX(Database!F$9:F$501,ROW(Calc!E125)-ROW(Calc!$B$7)))=0,$AD$3,INDEX(Database!F$9:F$501,ROW(Calc!E125)-ROW(Calc!$B$7))),"")</f>
        <v>Not Set</v>
      </c>
      <c r="G125" s="128" t="str">
        <f>IFERROR(IF(LEN(INDEX(Database!H$9:H$501,ROW(Calc!F125)-ROW(Calc!$B$7)))=0,$AD$3,INDEX(Database!H$9:H$501,ROW(Calc!F125)-ROW(Calc!$B$7))),"")</f>
        <v>Not Set</v>
      </c>
      <c r="H125" s="128" t="str">
        <f>IFERROR(IF(LEN(INDEX(Database!I$9:I$501,ROW(Calc!G125)-ROW(Calc!$B$7)))=0,$AD$3,INDEX(Database!I$9:I$501,ROW(Calc!G125)-ROW(Calc!$B$7))),"")</f>
        <v>Not Set</v>
      </c>
      <c r="I125" s="128" t="str">
        <f>IFERROR(IF(LEN(INDEX(Database!J$9:J$501,ROW(Calc!H125)-ROW(Calc!$B$7)))=0,$AD$3,INDEX(Database!J$9:J$501,ROW(Calc!H125)-ROW(Calc!$B$7))),"")</f>
        <v>Not Set</v>
      </c>
      <c r="J125" s="128" t="str">
        <f t="shared" si="14"/>
        <v>Not Set</v>
      </c>
      <c r="K125" s="124" t="str">
        <f>IFERROR(IF(LEN(INDEX(Database!E$9:E$501,ROW(Calc!I125)-ROW(Calc!$B$7)))=0,"",INDEX(Database!E$9:E$501,ROW(Calc!I125)-ROW(Calc!$B$7))),"")</f>
        <v/>
      </c>
      <c r="L125" s="129" t="str">
        <f>IFERROR(IF(LEN(INDEX(Database!K$9:K$501,ROW(Calc!K125)-ROW(Calc!$B$7)))=0,$AD$3,INDEX(Database!K$9:K$501,ROW(Calc!K125)-ROW(Calc!$B$7))),"")</f>
        <v>Not Set</v>
      </c>
      <c r="M125" s="130" t="str">
        <f>IFERROR(IF(LEN(INDEX(Database!L$9:L$501,ROW(Calc!L125)-ROW(Calc!$B$7)))=0,$AD$3,INDEX(Database!L$9:L$501,ROW(Calc!L125)-ROW(Calc!$B$7))),"")</f>
        <v>Not Set</v>
      </c>
      <c r="N125" s="131" t="str">
        <f>IFERROR(IF(LEN(INDEX(Database!M$9:M$501,ROW(Calc!M125)-ROW(Calc!$B$7)))=0,"",INDEX(Database!M$9:M$501,ROW(Calc!M125)-ROW(Calc!$B$7))),"")</f>
        <v/>
      </c>
      <c r="O125" s="132" t="str">
        <f t="shared" si="18"/>
        <v/>
      </c>
      <c r="P125" s="125" t="str">
        <f t="shared" si="15"/>
        <v>Not Set</v>
      </c>
      <c r="Q125" s="125" t="str">
        <f t="shared" si="16"/>
        <v>Not Set</v>
      </c>
      <c r="R125" s="125" t="str">
        <f>IFERROR(IF(G125=$AD$3,$AD$3,INDEX(Kanban_Helper!$C$317:$C$328,MATCH(MONTH(G125),Kanban_Helper!$B$317:$B$328,0))&amp;" - "&amp;YEAR(G125)),"$AD$3")</f>
        <v>Not Set</v>
      </c>
      <c r="S125" s="125" t="str">
        <f>IFERROR(IF(I125=$AD$3,$AD$3,INDEX(Kanban_Helper!$C$317:$C$328,MATCH(MONTH(I125),Kanban_Helper!$B$317:$B$328,0))&amp;" - "&amp;YEAR(I125)),$AD$3)</f>
        <v>Not Set</v>
      </c>
      <c r="T125" s="125" t="str">
        <f t="shared" ca="1" si="19"/>
        <v/>
      </c>
      <c r="U125" s="125" t="str">
        <f t="shared" ca="1" si="20"/>
        <v/>
      </c>
      <c r="V125" s="125" t="str">
        <f t="shared" si="17"/>
        <v>Not Set</v>
      </c>
      <c r="W125" s="126" t="str">
        <f t="shared" si="21"/>
        <v/>
      </c>
      <c r="X125" s="126" t="str">
        <f t="shared" si="22"/>
        <v/>
      </c>
      <c r="Y125" s="125" t="str">
        <f>IFERROR(IF(LEN(D125)=0,"",IF(SUBTOTAL(3,E125:E125)=0,MIN($Y$7:Y124)-1,SUBTOTAL(3,$E$8:E125))),"")</f>
        <v/>
      </c>
      <c r="Z125" s="17"/>
      <c r="AA125" s="10"/>
      <c r="AB125" s="10"/>
      <c r="AC125" s="10"/>
      <c r="AD125" s="10"/>
      <c r="AE125" s="10"/>
      <c r="AF125" s="10"/>
      <c r="AG125" s="10"/>
      <c r="AH125" s="10"/>
      <c r="AI125" s="10"/>
      <c r="AJ125" s="10"/>
      <c r="AK125" s="10"/>
      <c r="AL125" s="10"/>
      <c r="AM125" s="10"/>
      <c r="AN125" s="10"/>
    </row>
    <row r="126" spans="2:40" hidden="1" x14ac:dyDescent="0.35">
      <c r="B126" s="15"/>
      <c r="C126" s="127" t="str">
        <f>IFERROR(IF(LEN(INDEX(Database!C$9:C$501,ROW(Calc!A126)-ROW(Calc!$B$7)))=0,"",INDEX(Database!C$9:C$501,ROW(Calc!A126)-ROW(Calc!$B$7))),"")</f>
        <v/>
      </c>
      <c r="D126" s="70" t="str">
        <f>IFERROR(IF(LEN(INDEX(Database!D$9:D$501,ROW(Calc!B126)-ROW(Calc!$B$7)))=0,"",INDEX(Database!D$9:D$501,ROW(Calc!B126)-ROW(Calc!$B$7))),"")</f>
        <v/>
      </c>
      <c r="E126" s="124" t="str">
        <f>IFERROR(IF(LEN(INDEX(Database!G$9:G$501,ROW(Calc!D126)-ROW(Calc!$B$7)))=0,$AD$3,INDEX(Database!G$9:G$501,ROW(Calc!D126)-ROW(Calc!$B$7))),"")</f>
        <v>Not Set</v>
      </c>
      <c r="F126" s="124" t="str">
        <f>IFERROR(IF(LEN(INDEX(Database!F$9:F$501,ROW(Calc!E126)-ROW(Calc!$B$7)))=0,$AD$3,INDEX(Database!F$9:F$501,ROW(Calc!E126)-ROW(Calc!$B$7))),"")</f>
        <v>Not Set</v>
      </c>
      <c r="G126" s="128" t="str">
        <f>IFERROR(IF(LEN(INDEX(Database!H$9:H$501,ROW(Calc!F126)-ROW(Calc!$B$7)))=0,$AD$3,INDEX(Database!H$9:H$501,ROW(Calc!F126)-ROW(Calc!$B$7))),"")</f>
        <v>Not Set</v>
      </c>
      <c r="H126" s="128" t="str">
        <f>IFERROR(IF(LEN(INDEX(Database!I$9:I$501,ROW(Calc!G126)-ROW(Calc!$B$7)))=0,$AD$3,INDEX(Database!I$9:I$501,ROW(Calc!G126)-ROW(Calc!$B$7))),"")</f>
        <v>Not Set</v>
      </c>
      <c r="I126" s="128" t="str">
        <f>IFERROR(IF(LEN(INDEX(Database!J$9:J$501,ROW(Calc!H126)-ROW(Calc!$B$7)))=0,$AD$3,INDEX(Database!J$9:J$501,ROW(Calc!H126)-ROW(Calc!$B$7))),"")</f>
        <v>Not Set</v>
      </c>
      <c r="J126" s="128" t="str">
        <f t="shared" si="14"/>
        <v>Not Set</v>
      </c>
      <c r="K126" s="124" t="str">
        <f>IFERROR(IF(LEN(INDEX(Database!E$9:E$501,ROW(Calc!I126)-ROW(Calc!$B$7)))=0,"",INDEX(Database!E$9:E$501,ROW(Calc!I126)-ROW(Calc!$B$7))),"")</f>
        <v/>
      </c>
      <c r="L126" s="129" t="str">
        <f>IFERROR(IF(LEN(INDEX(Database!K$9:K$501,ROW(Calc!K126)-ROW(Calc!$B$7)))=0,$AD$3,INDEX(Database!K$9:K$501,ROW(Calc!K126)-ROW(Calc!$B$7))),"")</f>
        <v>Not Set</v>
      </c>
      <c r="M126" s="130" t="str">
        <f>IFERROR(IF(LEN(INDEX(Database!L$9:L$501,ROW(Calc!L126)-ROW(Calc!$B$7)))=0,$AD$3,INDEX(Database!L$9:L$501,ROW(Calc!L126)-ROW(Calc!$B$7))),"")</f>
        <v>Not Set</v>
      </c>
      <c r="N126" s="131" t="str">
        <f>IFERROR(IF(LEN(INDEX(Database!M$9:M$501,ROW(Calc!M126)-ROW(Calc!$B$7)))=0,"",INDEX(Database!M$9:M$501,ROW(Calc!M126)-ROW(Calc!$B$7))),"")</f>
        <v/>
      </c>
      <c r="O126" s="132" t="str">
        <f t="shared" si="18"/>
        <v/>
      </c>
      <c r="P126" s="125" t="str">
        <f t="shared" si="15"/>
        <v>Not Set</v>
      </c>
      <c r="Q126" s="125" t="str">
        <f t="shared" si="16"/>
        <v>Not Set</v>
      </c>
      <c r="R126" s="125" t="str">
        <f>IFERROR(IF(G126=$AD$3,$AD$3,INDEX(Kanban_Helper!$C$317:$C$328,MATCH(MONTH(G126),Kanban_Helper!$B$317:$B$328,0))&amp;" - "&amp;YEAR(G126)),"$AD$3")</f>
        <v>Not Set</v>
      </c>
      <c r="S126" s="125" t="str">
        <f>IFERROR(IF(I126=$AD$3,$AD$3,INDEX(Kanban_Helper!$C$317:$C$328,MATCH(MONTH(I126),Kanban_Helper!$B$317:$B$328,0))&amp;" - "&amp;YEAR(I126)),$AD$3)</f>
        <v>Not Set</v>
      </c>
      <c r="T126" s="125" t="str">
        <f t="shared" ca="1" si="19"/>
        <v/>
      </c>
      <c r="U126" s="125" t="str">
        <f t="shared" ca="1" si="20"/>
        <v/>
      </c>
      <c r="V126" s="125" t="str">
        <f t="shared" si="17"/>
        <v>Not Set</v>
      </c>
      <c r="W126" s="126" t="str">
        <f t="shared" si="21"/>
        <v/>
      </c>
      <c r="X126" s="126" t="str">
        <f t="shared" si="22"/>
        <v/>
      </c>
      <c r="Y126" s="125" t="str">
        <f>IFERROR(IF(LEN(D126)=0,"",IF(SUBTOTAL(3,E126:E126)=0,MIN($Y$7:Y125)-1,SUBTOTAL(3,$E$8:E126))),"")</f>
        <v/>
      </c>
      <c r="Z126" s="17"/>
      <c r="AA126" s="10"/>
      <c r="AB126" s="10"/>
      <c r="AC126" s="10"/>
      <c r="AD126" s="10"/>
      <c r="AE126" s="10"/>
      <c r="AF126" s="10"/>
      <c r="AG126" s="10"/>
      <c r="AH126" s="10"/>
      <c r="AI126" s="10"/>
      <c r="AJ126" s="10"/>
      <c r="AK126" s="10"/>
      <c r="AL126" s="10"/>
      <c r="AM126" s="10"/>
      <c r="AN126" s="10"/>
    </row>
    <row r="127" spans="2:40" hidden="1" x14ac:dyDescent="0.35">
      <c r="B127" s="15"/>
      <c r="C127" s="127" t="str">
        <f>IFERROR(IF(LEN(INDEX(Database!C$9:C$501,ROW(Calc!A127)-ROW(Calc!$B$7)))=0,"",INDEX(Database!C$9:C$501,ROW(Calc!A127)-ROW(Calc!$B$7))),"")</f>
        <v/>
      </c>
      <c r="D127" s="70" t="str">
        <f>IFERROR(IF(LEN(INDEX(Database!D$9:D$501,ROW(Calc!B127)-ROW(Calc!$B$7)))=0,"",INDEX(Database!D$9:D$501,ROW(Calc!B127)-ROW(Calc!$B$7))),"")</f>
        <v/>
      </c>
      <c r="E127" s="124" t="str">
        <f>IFERROR(IF(LEN(INDEX(Database!G$9:G$501,ROW(Calc!D127)-ROW(Calc!$B$7)))=0,$AD$3,INDEX(Database!G$9:G$501,ROW(Calc!D127)-ROW(Calc!$B$7))),"")</f>
        <v>Not Set</v>
      </c>
      <c r="F127" s="124" t="str">
        <f>IFERROR(IF(LEN(INDEX(Database!F$9:F$501,ROW(Calc!E127)-ROW(Calc!$B$7)))=0,$AD$3,INDEX(Database!F$9:F$501,ROW(Calc!E127)-ROW(Calc!$B$7))),"")</f>
        <v>Not Set</v>
      </c>
      <c r="G127" s="128" t="str">
        <f>IFERROR(IF(LEN(INDEX(Database!H$9:H$501,ROW(Calc!F127)-ROW(Calc!$B$7)))=0,$AD$3,INDEX(Database!H$9:H$501,ROW(Calc!F127)-ROW(Calc!$B$7))),"")</f>
        <v>Not Set</v>
      </c>
      <c r="H127" s="128" t="str">
        <f>IFERROR(IF(LEN(INDEX(Database!I$9:I$501,ROW(Calc!G127)-ROW(Calc!$B$7)))=0,$AD$3,INDEX(Database!I$9:I$501,ROW(Calc!G127)-ROW(Calc!$B$7))),"")</f>
        <v>Not Set</v>
      </c>
      <c r="I127" s="128" t="str">
        <f>IFERROR(IF(LEN(INDEX(Database!J$9:J$501,ROW(Calc!H127)-ROW(Calc!$B$7)))=0,$AD$3,INDEX(Database!J$9:J$501,ROW(Calc!H127)-ROW(Calc!$B$7))),"")</f>
        <v>Not Set</v>
      </c>
      <c r="J127" s="128" t="str">
        <f t="shared" si="14"/>
        <v>Not Set</v>
      </c>
      <c r="K127" s="124" t="str">
        <f>IFERROR(IF(LEN(INDEX(Database!E$9:E$501,ROW(Calc!I127)-ROW(Calc!$B$7)))=0,"",INDEX(Database!E$9:E$501,ROW(Calc!I127)-ROW(Calc!$B$7))),"")</f>
        <v/>
      </c>
      <c r="L127" s="129" t="str">
        <f>IFERROR(IF(LEN(INDEX(Database!K$9:K$501,ROW(Calc!K127)-ROW(Calc!$B$7)))=0,$AD$3,INDEX(Database!K$9:K$501,ROW(Calc!K127)-ROW(Calc!$B$7))),"")</f>
        <v>Not Set</v>
      </c>
      <c r="M127" s="130" t="str">
        <f>IFERROR(IF(LEN(INDEX(Database!L$9:L$501,ROW(Calc!L127)-ROW(Calc!$B$7)))=0,$AD$3,INDEX(Database!L$9:L$501,ROW(Calc!L127)-ROW(Calc!$B$7))),"")</f>
        <v>Not Set</v>
      </c>
      <c r="N127" s="131" t="str">
        <f>IFERROR(IF(LEN(INDEX(Database!M$9:M$501,ROW(Calc!M127)-ROW(Calc!$B$7)))=0,"",INDEX(Database!M$9:M$501,ROW(Calc!M127)-ROW(Calc!$B$7))),"")</f>
        <v/>
      </c>
      <c r="O127" s="132" t="str">
        <f t="shared" si="18"/>
        <v/>
      </c>
      <c r="P127" s="125" t="str">
        <f t="shared" si="15"/>
        <v>Not Set</v>
      </c>
      <c r="Q127" s="125" t="str">
        <f t="shared" si="16"/>
        <v>Not Set</v>
      </c>
      <c r="R127" s="125" t="str">
        <f>IFERROR(IF(G127=$AD$3,$AD$3,INDEX(Kanban_Helper!$C$317:$C$328,MATCH(MONTH(G127),Kanban_Helper!$B$317:$B$328,0))&amp;" - "&amp;YEAR(G127)),"$AD$3")</f>
        <v>Not Set</v>
      </c>
      <c r="S127" s="125" t="str">
        <f>IFERROR(IF(I127=$AD$3,$AD$3,INDEX(Kanban_Helper!$C$317:$C$328,MATCH(MONTH(I127),Kanban_Helper!$B$317:$B$328,0))&amp;" - "&amp;YEAR(I127)),$AD$3)</f>
        <v>Not Set</v>
      </c>
      <c r="T127" s="125" t="str">
        <f t="shared" ca="1" si="19"/>
        <v/>
      </c>
      <c r="U127" s="125" t="str">
        <f t="shared" ca="1" si="20"/>
        <v/>
      </c>
      <c r="V127" s="125" t="str">
        <f t="shared" si="17"/>
        <v>Not Set</v>
      </c>
      <c r="W127" s="126" t="str">
        <f t="shared" si="21"/>
        <v/>
      </c>
      <c r="X127" s="126" t="str">
        <f t="shared" si="22"/>
        <v/>
      </c>
      <c r="Y127" s="125" t="str">
        <f>IFERROR(IF(LEN(D127)=0,"",IF(SUBTOTAL(3,E127:E127)=0,MIN($Y$7:Y126)-1,SUBTOTAL(3,$E$8:E127))),"")</f>
        <v/>
      </c>
      <c r="Z127" s="17"/>
      <c r="AA127" s="10"/>
      <c r="AB127" s="10"/>
      <c r="AC127" s="10"/>
      <c r="AD127" s="10"/>
      <c r="AE127" s="10"/>
      <c r="AF127" s="10"/>
      <c r="AG127" s="10"/>
      <c r="AH127" s="10"/>
      <c r="AI127" s="10"/>
      <c r="AJ127" s="10"/>
      <c r="AK127" s="10"/>
      <c r="AL127" s="10"/>
      <c r="AM127" s="10"/>
      <c r="AN127" s="10"/>
    </row>
    <row r="128" spans="2:40" hidden="1" x14ac:dyDescent="0.35">
      <c r="B128" s="15"/>
      <c r="C128" s="127" t="str">
        <f>IFERROR(IF(LEN(INDEX(Database!C$9:C$501,ROW(Calc!A128)-ROW(Calc!$B$7)))=0,"",INDEX(Database!C$9:C$501,ROW(Calc!A128)-ROW(Calc!$B$7))),"")</f>
        <v/>
      </c>
      <c r="D128" s="70" t="str">
        <f>IFERROR(IF(LEN(INDEX(Database!D$9:D$501,ROW(Calc!B128)-ROW(Calc!$B$7)))=0,"",INDEX(Database!D$9:D$501,ROW(Calc!B128)-ROW(Calc!$B$7))),"")</f>
        <v/>
      </c>
      <c r="E128" s="124" t="str">
        <f>IFERROR(IF(LEN(INDEX(Database!G$9:G$501,ROW(Calc!D128)-ROW(Calc!$B$7)))=0,$AD$3,INDEX(Database!G$9:G$501,ROW(Calc!D128)-ROW(Calc!$B$7))),"")</f>
        <v>Not Set</v>
      </c>
      <c r="F128" s="124" t="str">
        <f>IFERROR(IF(LEN(INDEX(Database!F$9:F$501,ROW(Calc!E128)-ROW(Calc!$B$7)))=0,$AD$3,INDEX(Database!F$9:F$501,ROW(Calc!E128)-ROW(Calc!$B$7))),"")</f>
        <v>Not Set</v>
      </c>
      <c r="G128" s="128" t="str">
        <f>IFERROR(IF(LEN(INDEX(Database!H$9:H$501,ROW(Calc!F128)-ROW(Calc!$B$7)))=0,$AD$3,INDEX(Database!H$9:H$501,ROW(Calc!F128)-ROW(Calc!$B$7))),"")</f>
        <v>Not Set</v>
      </c>
      <c r="H128" s="128" t="str">
        <f>IFERROR(IF(LEN(INDEX(Database!I$9:I$501,ROW(Calc!G128)-ROW(Calc!$B$7)))=0,$AD$3,INDEX(Database!I$9:I$501,ROW(Calc!G128)-ROW(Calc!$B$7))),"")</f>
        <v>Not Set</v>
      </c>
      <c r="I128" s="128" t="str">
        <f>IFERROR(IF(LEN(INDEX(Database!J$9:J$501,ROW(Calc!H128)-ROW(Calc!$B$7)))=0,$AD$3,INDEX(Database!J$9:J$501,ROW(Calc!H128)-ROW(Calc!$B$7))),"")</f>
        <v>Not Set</v>
      </c>
      <c r="J128" s="128" t="str">
        <f t="shared" si="14"/>
        <v>Not Set</v>
      </c>
      <c r="K128" s="124" t="str">
        <f>IFERROR(IF(LEN(INDEX(Database!E$9:E$501,ROW(Calc!I128)-ROW(Calc!$B$7)))=0,"",INDEX(Database!E$9:E$501,ROW(Calc!I128)-ROW(Calc!$B$7))),"")</f>
        <v/>
      </c>
      <c r="L128" s="129" t="str">
        <f>IFERROR(IF(LEN(INDEX(Database!K$9:K$501,ROW(Calc!K128)-ROW(Calc!$B$7)))=0,$AD$3,INDEX(Database!K$9:K$501,ROW(Calc!K128)-ROW(Calc!$B$7))),"")</f>
        <v>Not Set</v>
      </c>
      <c r="M128" s="130" t="str">
        <f>IFERROR(IF(LEN(INDEX(Database!L$9:L$501,ROW(Calc!L128)-ROW(Calc!$B$7)))=0,$AD$3,INDEX(Database!L$9:L$501,ROW(Calc!L128)-ROW(Calc!$B$7))),"")</f>
        <v>Not Set</v>
      </c>
      <c r="N128" s="131" t="str">
        <f>IFERROR(IF(LEN(INDEX(Database!M$9:M$501,ROW(Calc!M128)-ROW(Calc!$B$7)))=0,"",INDEX(Database!M$9:M$501,ROW(Calc!M128)-ROW(Calc!$B$7))),"")</f>
        <v/>
      </c>
      <c r="O128" s="132" t="str">
        <f t="shared" si="18"/>
        <v/>
      </c>
      <c r="P128" s="125" t="str">
        <f t="shared" si="15"/>
        <v>Not Set</v>
      </c>
      <c r="Q128" s="125" t="str">
        <f t="shared" si="16"/>
        <v>Not Set</v>
      </c>
      <c r="R128" s="125" t="str">
        <f>IFERROR(IF(G128=$AD$3,$AD$3,INDEX(Kanban_Helper!$C$317:$C$328,MATCH(MONTH(G128),Kanban_Helper!$B$317:$B$328,0))&amp;" - "&amp;YEAR(G128)),"$AD$3")</f>
        <v>Not Set</v>
      </c>
      <c r="S128" s="125" t="str">
        <f>IFERROR(IF(I128=$AD$3,$AD$3,INDEX(Kanban_Helper!$C$317:$C$328,MATCH(MONTH(I128),Kanban_Helper!$B$317:$B$328,0))&amp;" - "&amp;YEAR(I128)),$AD$3)</f>
        <v>Not Set</v>
      </c>
      <c r="T128" s="125" t="str">
        <f t="shared" ca="1" si="19"/>
        <v/>
      </c>
      <c r="U128" s="125" t="str">
        <f t="shared" ca="1" si="20"/>
        <v/>
      </c>
      <c r="V128" s="125" t="str">
        <f t="shared" si="17"/>
        <v>Not Set</v>
      </c>
      <c r="W128" s="126" t="str">
        <f t="shared" si="21"/>
        <v/>
      </c>
      <c r="X128" s="126" t="str">
        <f t="shared" si="22"/>
        <v/>
      </c>
      <c r="Y128" s="125" t="str">
        <f>IFERROR(IF(LEN(D128)=0,"",IF(SUBTOTAL(3,E128:E128)=0,MIN($Y$7:Y127)-1,SUBTOTAL(3,$E$8:E128))),"")</f>
        <v/>
      </c>
      <c r="Z128" s="17"/>
      <c r="AA128" s="10"/>
      <c r="AB128" s="10"/>
      <c r="AC128" s="10"/>
      <c r="AD128" s="10"/>
      <c r="AE128" s="10"/>
      <c r="AF128" s="10"/>
      <c r="AG128" s="10"/>
      <c r="AH128" s="10"/>
      <c r="AI128" s="10"/>
      <c r="AJ128" s="10"/>
      <c r="AK128" s="10"/>
      <c r="AL128" s="10"/>
      <c r="AM128" s="10"/>
      <c r="AN128" s="10"/>
    </row>
    <row r="129" spans="2:40" hidden="1" x14ac:dyDescent="0.35">
      <c r="B129" s="15"/>
      <c r="C129" s="127" t="str">
        <f>IFERROR(IF(LEN(INDEX(Database!C$9:C$501,ROW(Calc!A129)-ROW(Calc!$B$7)))=0,"",INDEX(Database!C$9:C$501,ROW(Calc!A129)-ROW(Calc!$B$7))),"")</f>
        <v/>
      </c>
      <c r="D129" s="70" t="str">
        <f>IFERROR(IF(LEN(INDEX(Database!D$9:D$501,ROW(Calc!B129)-ROW(Calc!$B$7)))=0,"",INDEX(Database!D$9:D$501,ROW(Calc!B129)-ROW(Calc!$B$7))),"")</f>
        <v/>
      </c>
      <c r="E129" s="124" t="str">
        <f>IFERROR(IF(LEN(INDEX(Database!G$9:G$501,ROW(Calc!D129)-ROW(Calc!$B$7)))=0,$AD$3,INDEX(Database!G$9:G$501,ROW(Calc!D129)-ROW(Calc!$B$7))),"")</f>
        <v>Not Set</v>
      </c>
      <c r="F129" s="124" t="str">
        <f>IFERROR(IF(LEN(INDEX(Database!F$9:F$501,ROW(Calc!E129)-ROW(Calc!$B$7)))=0,$AD$3,INDEX(Database!F$9:F$501,ROW(Calc!E129)-ROW(Calc!$B$7))),"")</f>
        <v>Not Set</v>
      </c>
      <c r="G129" s="128" t="str">
        <f>IFERROR(IF(LEN(INDEX(Database!H$9:H$501,ROW(Calc!F129)-ROW(Calc!$B$7)))=0,$AD$3,INDEX(Database!H$9:H$501,ROW(Calc!F129)-ROW(Calc!$B$7))),"")</f>
        <v>Not Set</v>
      </c>
      <c r="H129" s="128" t="str">
        <f>IFERROR(IF(LEN(INDEX(Database!I$9:I$501,ROW(Calc!G129)-ROW(Calc!$B$7)))=0,$AD$3,INDEX(Database!I$9:I$501,ROW(Calc!G129)-ROW(Calc!$B$7))),"")</f>
        <v>Not Set</v>
      </c>
      <c r="I129" s="128" t="str">
        <f>IFERROR(IF(LEN(INDEX(Database!J$9:J$501,ROW(Calc!H129)-ROW(Calc!$B$7)))=0,$AD$3,INDEX(Database!J$9:J$501,ROW(Calc!H129)-ROW(Calc!$B$7))),"")</f>
        <v>Not Set</v>
      </c>
      <c r="J129" s="128" t="str">
        <f t="shared" si="14"/>
        <v>Not Set</v>
      </c>
      <c r="K129" s="124" t="str">
        <f>IFERROR(IF(LEN(INDEX(Database!E$9:E$501,ROW(Calc!I129)-ROW(Calc!$B$7)))=0,"",INDEX(Database!E$9:E$501,ROW(Calc!I129)-ROW(Calc!$B$7))),"")</f>
        <v/>
      </c>
      <c r="L129" s="129" t="str">
        <f>IFERROR(IF(LEN(INDEX(Database!K$9:K$501,ROW(Calc!K129)-ROW(Calc!$B$7)))=0,$AD$3,INDEX(Database!K$9:K$501,ROW(Calc!K129)-ROW(Calc!$B$7))),"")</f>
        <v>Not Set</v>
      </c>
      <c r="M129" s="130" t="str">
        <f>IFERROR(IF(LEN(INDEX(Database!L$9:L$501,ROW(Calc!L129)-ROW(Calc!$B$7)))=0,$AD$3,INDEX(Database!L$9:L$501,ROW(Calc!L129)-ROW(Calc!$B$7))),"")</f>
        <v>Not Set</v>
      </c>
      <c r="N129" s="131" t="str">
        <f>IFERROR(IF(LEN(INDEX(Database!M$9:M$501,ROW(Calc!M129)-ROW(Calc!$B$7)))=0,"",INDEX(Database!M$9:M$501,ROW(Calc!M129)-ROW(Calc!$B$7))),"")</f>
        <v/>
      </c>
      <c r="O129" s="132" t="str">
        <f t="shared" si="18"/>
        <v/>
      </c>
      <c r="P129" s="125" t="str">
        <f t="shared" si="15"/>
        <v>Not Set</v>
      </c>
      <c r="Q129" s="125" t="str">
        <f t="shared" si="16"/>
        <v>Not Set</v>
      </c>
      <c r="R129" s="125" t="str">
        <f>IFERROR(IF(G129=$AD$3,$AD$3,INDEX(Kanban_Helper!$C$317:$C$328,MATCH(MONTH(G129),Kanban_Helper!$B$317:$B$328,0))&amp;" - "&amp;YEAR(G129)),"$AD$3")</f>
        <v>Not Set</v>
      </c>
      <c r="S129" s="125" t="str">
        <f>IFERROR(IF(I129=$AD$3,$AD$3,INDEX(Kanban_Helper!$C$317:$C$328,MATCH(MONTH(I129),Kanban_Helper!$B$317:$B$328,0))&amp;" - "&amp;YEAR(I129)),$AD$3)</f>
        <v>Not Set</v>
      </c>
      <c r="T129" s="125" t="str">
        <f t="shared" ca="1" si="19"/>
        <v/>
      </c>
      <c r="U129" s="125" t="str">
        <f t="shared" ca="1" si="20"/>
        <v/>
      </c>
      <c r="V129" s="125" t="str">
        <f t="shared" si="17"/>
        <v>Not Set</v>
      </c>
      <c r="W129" s="126" t="str">
        <f t="shared" si="21"/>
        <v/>
      </c>
      <c r="X129" s="126" t="str">
        <f t="shared" si="22"/>
        <v/>
      </c>
      <c r="Y129" s="125" t="str">
        <f>IFERROR(IF(LEN(D129)=0,"",IF(SUBTOTAL(3,E129:E129)=0,MIN($Y$7:Y128)-1,SUBTOTAL(3,$E$8:E129))),"")</f>
        <v/>
      </c>
      <c r="Z129" s="17"/>
      <c r="AA129" s="10"/>
      <c r="AB129" s="10"/>
      <c r="AC129" s="10"/>
      <c r="AD129" s="10"/>
      <c r="AE129" s="10"/>
      <c r="AF129" s="10"/>
      <c r="AG129" s="10"/>
      <c r="AH129" s="10"/>
      <c r="AI129" s="10"/>
      <c r="AJ129" s="10"/>
      <c r="AK129" s="10"/>
      <c r="AL129" s="10"/>
      <c r="AM129" s="10"/>
      <c r="AN129" s="10"/>
    </row>
    <row r="130" spans="2:40" hidden="1" x14ac:dyDescent="0.35">
      <c r="B130" s="15"/>
      <c r="C130" s="127" t="str">
        <f>IFERROR(IF(LEN(INDEX(Database!C$9:C$501,ROW(Calc!A130)-ROW(Calc!$B$7)))=0,"",INDEX(Database!C$9:C$501,ROW(Calc!A130)-ROW(Calc!$B$7))),"")</f>
        <v/>
      </c>
      <c r="D130" s="70" t="str">
        <f>IFERROR(IF(LEN(INDEX(Database!D$9:D$501,ROW(Calc!B130)-ROW(Calc!$B$7)))=0,"",INDEX(Database!D$9:D$501,ROW(Calc!B130)-ROW(Calc!$B$7))),"")</f>
        <v/>
      </c>
      <c r="E130" s="124" t="str">
        <f>IFERROR(IF(LEN(INDEX(Database!G$9:G$501,ROW(Calc!D130)-ROW(Calc!$B$7)))=0,$AD$3,INDEX(Database!G$9:G$501,ROW(Calc!D130)-ROW(Calc!$B$7))),"")</f>
        <v>Not Set</v>
      </c>
      <c r="F130" s="124" t="str">
        <f>IFERROR(IF(LEN(INDEX(Database!F$9:F$501,ROW(Calc!E130)-ROW(Calc!$B$7)))=0,$AD$3,INDEX(Database!F$9:F$501,ROW(Calc!E130)-ROW(Calc!$B$7))),"")</f>
        <v>Not Set</v>
      </c>
      <c r="G130" s="128" t="str">
        <f>IFERROR(IF(LEN(INDEX(Database!H$9:H$501,ROW(Calc!F130)-ROW(Calc!$B$7)))=0,$AD$3,INDEX(Database!H$9:H$501,ROW(Calc!F130)-ROW(Calc!$B$7))),"")</f>
        <v>Not Set</v>
      </c>
      <c r="H130" s="128" t="str">
        <f>IFERROR(IF(LEN(INDEX(Database!I$9:I$501,ROW(Calc!G130)-ROW(Calc!$B$7)))=0,$AD$3,INDEX(Database!I$9:I$501,ROW(Calc!G130)-ROW(Calc!$B$7))),"")</f>
        <v>Not Set</v>
      </c>
      <c r="I130" s="128" t="str">
        <f>IFERROR(IF(LEN(INDEX(Database!J$9:J$501,ROW(Calc!H130)-ROW(Calc!$B$7)))=0,$AD$3,INDEX(Database!J$9:J$501,ROW(Calc!H130)-ROW(Calc!$B$7))),"")</f>
        <v>Not Set</v>
      </c>
      <c r="J130" s="128" t="str">
        <f t="shared" si="14"/>
        <v>Not Set</v>
      </c>
      <c r="K130" s="124" t="str">
        <f>IFERROR(IF(LEN(INDEX(Database!E$9:E$501,ROW(Calc!I130)-ROW(Calc!$B$7)))=0,"",INDEX(Database!E$9:E$501,ROW(Calc!I130)-ROW(Calc!$B$7))),"")</f>
        <v/>
      </c>
      <c r="L130" s="129" t="str">
        <f>IFERROR(IF(LEN(INDEX(Database!K$9:K$501,ROW(Calc!K130)-ROW(Calc!$B$7)))=0,$AD$3,INDEX(Database!K$9:K$501,ROW(Calc!K130)-ROW(Calc!$B$7))),"")</f>
        <v>Not Set</v>
      </c>
      <c r="M130" s="130" t="str">
        <f>IFERROR(IF(LEN(INDEX(Database!L$9:L$501,ROW(Calc!L130)-ROW(Calc!$B$7)))=0,$AD$3,INDEX(Database!L$9:L$501,ROW(Calc!L130)-ROW(Calc!$B$7))),"")</f>
        <v>Not Set</v>
      </c>
      <c r="N130" s="131" t="str">
        <f>IFERROR(IF(LEN(INDEX(Database!M$9:M$501,ROW(Calc!M130)-ROW(Calc!$B$7)))=0,"",INDEX(Database!M$9:M$501,ROW(Calc!M130)-ROW(Calc!$B$7))),"")</f>
        <v/>
      </c>
      <c r="O130" s="132" t="str">
        <f t="shared" si="18"/>
        <v/>
      </c>
      <c r="P130" s="125" t="str">
        <f t="shared" si="15"/>
        <v>Not Set</v>
      </c>
      <c r="Q130" s="125" t="str">
        <f t="shared" si="16"/>
        <v>Not Set</v>
      </c>
      <c r="R130" s="125" t="str">
        <f>IFERROR(IF(G130=$AD$3,$AD$3,INDEX(Kanban_Helper!$C$317:$C$328,MATCH(MONTH(G130),Kanban_Helper!$B$317:$B$328,0))&amp;" - "&amp;YEAR(G130)),"$AD$3")</f>
        <v>Not Set</v>
      </c>
      <c r="S130" s="125" t="str">
        <f>IFERROR(IF(I130=$AD$3,$AD$3,INDEX(Kanban_Helper!$C$317:$C$328,MATCH(MONTH(I130),Kanban_Helper!$B$317:$B$328,0))&amp;" - "&amp;YEAR(I130)),$AD$3)</f>
        <v>Not Set</v>
      </c>
      <c r="T130" s="125" t="str">
        <f t="shared" ca="1" si="19"/>
        <v/>
      </c>
      <c r="U130" s="125" t="str">
        <f t="shared" ca="1" si="20"/>
        <v/>
      </c>
      <c r="V130" s="125" t="str">
        <f t="shared" si="17"/>
        <v>Not Set</v>
      </c>
      <c r="W130" s="126" t="str">
        <f t="shared" si="21"/>
        <v/>
      </c>
      <c r="X130" s="126" t="str">
        <f t="shared" si="22"/>
        <v/>
      </c>
      <c r="Y130" s="125" t="str">
        <f>IFERROR(IF(LEN(D130)=0,"",IF(SUBTOTAL(3,E130:E130)=0,MIN($Y$7:Y129)-1,SUBTOTAL(3,$E$8:E130))),"")</f>
        <v/>
      </c>
      <c r="Z130" s="17"/>
      <c r="AA130" s="10"/>
      <c r="AB130" s="10"/>
      <c r="AC130" s="10"/>
      <c r="AD130" s="10"/>
      <c r="AE130" s="10"/>
      <c r="AF130" s="10"/>
      <c r="AG130" s="10"/>
      <c r="AH130" s="10"/>
      <c r="AI130" s="10"/>
      <c r="AJ130" s="10"/>
      <c r="AK130" s="10"/>
      <c r="AL130" s="10"/>
      <c r="AM130" s="10"/>
      <c r="AN130" s="10"/>
    </row>
    <row r="131" spans="2:40" hidden="1" x14ac:dyDescent="0.35">
      <c r="B131" s="15"/>
      <c r="C131" s="127" t="str">
        <f>IFERROR(IF(LEN(INDEX(Database!C$9:C$501,ROW(Calc!A131)-ROW(Calc!$B$7)))=0,"",INDEX(Database!C$9:C$501,ROW(Calc!A131)-ROW(Calc!$B$7))),"")</f>
        <v/>
      </c>
      <c r="D131" s="70" t="str">
        <f>IFERROR(IF(LEN(INDEX(Database!D$9:D$501,ROW(Calc!B131)-ROW(Calc!$B$7)))=0,"",INDEX(Database!D$9:D$501,ROW(Calc!B131)-ROW(Calc!$B$7))),"")</f>
        <v/>
      </c>
      <c r="E131" s="124" t="str">
        <f>IFERROR(IF(LEN(INDEX(Database!G$9:G$501,ROW(Calc!D131)-ROW(Calc!$B$7)))=0,$AD$3,INDEX(Database!G$9:G$501,ROW(Calc!D131)-ROW(Calc!$B$7))),"")</f>
        <v>Not Set</v>
      </c>
      <c r="F131" s="124" t="str">
        <f>IFERROR(IF(LEN(INDEX(Database!F$9:F$501,ROW(Calc!E131)-ROW(Calc!$B$7)))=0,$AD$3,INDEX(Database!F$9:F$501,ROW(Calc!E131)-ROW(Calc!$B$7))),"")</f>
        <v>Not Set</v>
      </c>
      <c r="G131" s="128" t="str">
        <f>IFERROR(IF(LEN(INDEX(Database!H$9:H$501,ROW(Calc!F131)-ROW(Calc!$B$7)))=0,$AD$3,INDEX(Database!H$9:H$501,ROW(Calc!F131)-ROW(Calc!$B$7))),"")</f>
        <v>Not Set</v>
      </c>
      <c r="H131" s="128" t="str">
        <f>IFERROR(IF(LEN(INDEX(Database!I$9:I$501,ROW(Calc!G131)-ROW(Calc!$B$7)))=0,$AD$3,INDEX(Database!I$9:I$501,ROW(Calc!G131)-ROW(Calc!$B$7))),"")</f>
        <v>Not Set</v>
      </c>
      <c r="I131" s="128" t="str">
        <f>IFERROR(IF(LEN(INDEX(Database!J$9:J$501,ROW(Calc!H131)-ROW(Calc!$B$7)))=0,$AD$3,INDEX(Database!J$9:J$501,ROW(Calc!H131)-ROW(Calc!$B$7))),"")</f>
        <v>Not Set</v>
      </c>
      <c r="J131" s="128" t="str">
        <f t="shared" si="14"/>
        <v>Not Set</v>
      </c>
      <c r="K131" s="124" t="str">
        <f>IFERROR(IF(LEN(INDEX(Database!E$9:E$501,ROW(Calc!I131)-ROW(Calc!$B$7)))=0,"",INDEX(Database!E$9:E$501,ROW(Calc!I131)-ROW(Calc!$B$7))),"")</f>
        <v/>
      </c>
      <c r="L131" s="129" t="str">
        <f>IFERROR(IF(LEN(INDEX(Database!K$9:K$501,ROW(Calc!K131)-ROW(Calc!$B$7)))=0,$AD$3,INDEX(Database!K$9:K$501,ROW(Calc!K131)-ROW(Calc!$B$7))),"")</f>
        <v>Not Set</v>
      </c>
      <c r="M131" s="130" t="str">
        <f>IFERROR(IF(LEN(INDEX(Database!L$9:L$501,ROW(Calc!L131)-ROW(Calc!$B$7)))=0,$AD$3,INDEX(Database!L$9:L$501,ROW(Calc!L131)-ROW(Calc!$B$7))),"")</f>
        <v>Not Set</v>
      </c>
      <c r="N131" s="131" t="str">
        <f>IFERROR(IF(LEN(INDEX(Database!M$9:M$501,ROW(Calc!M131)-ROW(Calc!$B$7)))=0,"",INDEX(Database!M$9:M$501,ROW(Calc!M131)-ROW(Calc!$B$7))),"")</f>
        <v/>
      </c>
      <c r="O131" s="132" t="str">
        <f t="shared" si="18"/>
        <v/>
      </c>
      <c r="P131" s="125" t="str">
        <f t="shared" si="15"/>
        <v>Not Set</v>
      </c>
      <c r="Q131" s="125" t="str">
        <f t="shared" si="16"/>
        <v>Not Set</v>
      </c>
      <c r="R131" s="125" t="str">
        <f>IFERROR(IF(G131=$AD$3,$AD$3,INDEX(Kanban_Helper!$C$317:$C$328,MATCH(MONTH(G131),Kanban_Helper!$B$317:$B$328,0))&amp;" - "&amp;YEAR(G131)),"$AD$3")</f>
        <v>Not Set</v>
      </c>
      <c r="S131" s="125" t="str">
        <f>IFERROR(IF(I131=$AD$3,$AD$3,INDEX(Kanban_Helper!$C$317:$C$328,MATCH(MONTH(I131),Kanban_Helper!$B$317:$B$328,0))&amp;" - "&amp;YEAR(I131)),$AD$3)</f>
        <v>Not Set</v>
      </c>
      <c r="T131" s="125" t="str">
        <f t="shared" ca="1" si="19"/>
        <v/>
      </c>
      <c r="U131" s="125" t="str">
        <f t="shared" ca="1" si="20"/>
        <v/>
      </c>
      <c r="V131" s="125" t="str">
        <f t="shared" si="17"/>
        <v>Not Set</v>
      </c>
      <c r="W131" s="126" t="str">
        <f t="shared" si="21"/>
        <v/>
      </c>
      <c r="X131" s="126" t="str">
        <f t="shared" si="22"/>
        <v/>
      </c>
      <c r="Y131" s="125" t="str">
        <f>IFERROR(IF(LEN(D131)=0,"",IF(SUBTOTAL(3,E131:E131)=0,MIN($Y$7:Y130)-1,SUBTOTAL(3,$E$8:E131))),"")</f>
        <v/>
      </c>
      <c r="Z131" s="17"/>
      <c r="AA131" s="10"/>
      <c r="AB131" s="10"/>
      <c r="AC131" s="10"/>
      <c r="AD131" s="10"/>
      <c r="AE131" s="10"/>
      <c r="AF131" s="10"/>
      <c r="AG131" s="10"/>
      <c r="AH131" s="10"/>
      <c r="AI131" s="10"/>
      <c r="AJ131" s="10"/>
      <c r="AK131" s="10"/>
      <c r="AL131" s="10"/>
      <c r="AM131" s="10"/>
      <c r="AN131" s="10"/>
    </row>
    <row r="132" spans="2:40" hidden="1" x14ac:dyDescent="0.35">
      <c r="B132" s="15"/>
      <c r="C132" s="127" t="str">
        <f>IFERROR(IF(LEN(INDEX(Database!C$9:C$501,ROW(Calc!A132)-ROW(Calc!$B$7)))=0,"",INDEX(Database!C$9:C$501,ROW(Calc!A132)-ROW(Calc!$B$7))),"")</f>
        <v/>
      </c>
      <c r="D132" s="70" t="str">
        <f>IFERROR(IF(LEN(INDEX(Database!D$9:D$501,ROW(Calc!B132)-ROW(Calc!$B$7)))=0,"",INDEX(Database!D$9:D$501,ROW(Calc!B132)-ROW(Calc!$B$7))),"")</f>
        <v/>
      </c>
      <c r="E132" s="124" t="str">
        <f>IFERROR(IF(LEN(INDEX(Database!G$9:G$501,ROW(Calc!D132)-ROW(Calc!$B$7)))=0,$AD$3,INDEX(Database!G$9:G$501,ROW(Calc!D132)-ROW(Calc!$B$7))),"")</f>
        <v>Not Set</v>
      </c>
      <c r="F132" s="124" t="str">
        <f>IFERROR(IF(LEN(INDEX(Database!F$9:F$501,ROW(Calc!E132)-ROW(Calc!$B$7)))=0,$AD$3,INDEX(Database!F$9:F$501,ROW(Calc!E132)-ROW(Calc!$B$7))),"")</f>
        <v>Not Set</v>
      </c>
      <c r="G132" s="128" t="str">
        <f>IFERROR(IF(LEN(INDEX(Database!H$9:H$501,ROW(Calc!F132)-ROW(Calc!$B$7)))=0,$AD$3,INDEX(Database!H$9:H$501,ROW(Calc!F132)-ROW(Calc!$B$7))),"")</f>
        <v>Not Set</v>
      </c>
      <c r="H132" s="128" t="str">
        <f>IFERROR(IF(LEN(INDEX(Database!I$9:I$501,ROW(Calc!G132)-ROW(Calc!$B$7)))=0,$AD$3,INDEX(Database!I$9:I$501,ROW(Calc!G132)-ROW(Calc!$B$7))),"")</f>
        <v>Not Set</v>
      </c>
      <c r="I132" s="128" t="str">
        <f>IFERROR(IF(LEN(INDEX(Database!J$9:J$501,ROW(Calc!H132)-ROW(Calc!$B$7)))=0,$AD$3,INDEX(Database!J$9:J$501,ROW(Calc!H132)-ROW(Calc!$B$7))),"")</f>
        <v>Not Set</v>
      </c>
      <c r="J132" s="128" t="str">
        <f t="shared" si="14"/>
        <v>Not Set</v>
      </c>
      <c r="K132" s="124" t="str">
        <f>IFERROR(IF(LEN(INDEX(Database!E$9:E$501,ROW(Calc!I132)-ROW(Calc!$B$7)))=0,"",INDEX(Database!E$9:E$501,ROW(Calc!I132)-ROW(Calc!$B$7))),"")</f>
        <v/>
      </c>
      <c r="L132" s="129" t="str">
        <f>IFERROR(IF(LEN(INDEX(Database!K$9:K$501,ROW(Calc!K132)-ROW(Calc!$B$7)))=0,$AD$3,INDEX(Database!K$9:K$501,ROW(Calc!K132)-ROW(Calc!$B$7))),"")</f>
        <v>Not Set</v>
      </c>
      <c r="M132" s="130" t="str">
        <f>IFERROR(IF(LEN(INDEX(Database!L$9:L$501,ROW(Calc!L132)-ROW(Calc!$B$7)))=0,$AD$3,INDEX(Database!L$9:L$501,ROW(Calc!L132)-ROW(Calc!$B$7))),"")</f>
        <v>Not Set</v>
      </c>
      <c r="N132" s="131" t="str">
        <f>IFERROR(IF(LEN(INDEX(Database!M$9:M$501,ROW(Calc!M132)-ROW(Calc!$B$7)))=0,"",INDEX(Database!M$9:M$501,ROW(Calc!M132)-ROW(Calc!$B$7))),"")</f>
        <v/>
      </c>
      <c r="O132" s="132" t="str">
        <f t="shared" si="18"/>
        <v/>
      </c>
      <c r="P132" s="125" t="str">
        <f t="shared" si="15"/>
        <v>Not Set</v>
      </c>
      <c r="Q132" s="125" t="str">
        <f t="shared" si="16"/>
        <v>Not Set</v>
      </c>
      <c r="R132" s="125" t="str">
        <f>IFERROR(IF(G132=$AD$3,$AD$3,INDEX(Kanban_Helper!$C$317:$C$328,MATCH(MONTH(G132),Kanban_Helper!$B$317:$B$328,0))&amp;" - "&amp;YEAR(G132)),"$AD$3")</f>
        <v>Not Set</v>
      </c>
      <c r="S132" s="125" t="str">
        <f>IFERROR(IF(I132=$AD$3,$AD$3,INDEX(Kanban_Helper!$C$317:$C$328,MATCH(MONTH(I132),Kanban_Helper!$B$317:$B$328,0))&amp;" - "&amp;YEAR(I132)),$AD$3)</f>
        <v>Not Set</v>
      </c>
      <c r="T132" s="125" t="str">
        <f t="shared" ca="1" si="19"/>
        <v/>
      </c>
      <c r="U132" s="125" t="str">
        <f t="shared" ca="1" si="20"/>
        <v/>
      </c>
      <c r="V132" s="125" t="str">
        <f t="shared" si="17"/>
        <v>Not Set</v>
      </c>
      <c r="W132" s="126" t="str">
        <f t="shared" si="21"/>
        <v/>
      </c>
      <c r="X132" s="126" t="str">
        <f t="shared" si="22"/>
        <v/>
      </c>
      <c r="Y132" s="125" t="str">
        <f>IFERROR(IF(LEN(D132)=0,"",IF(SUBTOTAL(3,E132:E132)=0,MIN($Y$7:Y131)-1,SUBTOTAL(3,$E$8:E132))),"")</f>
        <v/>
      </c>
      <c r="Z132" s="17"/>
      <c r="AA132" s="10"/>
      <c r="AB132" s="10"/>
      <c r="AC132" s="10"/>
      <c r="AD132" s="10"/>
      <c r="AE132" s="10"/>
      <c r="AF132" s="10"/>
      <c r="AG132" s="10"/>
      <c r="AH132" s="10"/>
      <c r="AI132" s="10"/>
      <c r="AJ132" s="10"/>
      <c r="AK132" s="10"/>
      <c r="AL132" s="10"/>
      <c r="AM132" s="10"/>
      <c r="AN132" s="10"/>
    </row>
    <row r="133" spans="2:40" hidden="1" x14ac:dyDescent="0.35">
      <c r="B133" s="15"/>
      <c r="C133" s="127" t="str">
        <f>IFERROR(IF(LEN(INDEX(Database!C$9:C$501,ROW(Calc!A133)-ROW(Calc!$B$7)))=0,"",INDEX(Database!C$9:C$501,ROW(Calc!A133)-ROW(Calc!$B$7))),"")</f>
        <v/>
      </c>
      <c r="D133" s="70" t="str">
        <f>IFERROR(IF(LEN(INDEX(Database!D$9:D$501,ROW(Calc!B133)-ROW(Calc!$B$7)))=0,"",INDEX(Database!D$9:D$501,ROW(Calc!B133)-ROW(Calc!$B$7))),"")</f>
        <v/>
      </c>
      <c r="E133" s="124" t="str">
        <f>IFERROR(IF(LEN(INDEX(Database!G$9:G$501,ROW(Calc!D133)-ROW(Calc!$B$7)))=0,$AD$3,INDEX(Database!G$9:G$501,ROW(Calc!D133)-ROW(Calc!$B$7))),"")</f>
        <v>Not Set</v>
      </c>
      <c r="F133" s="124" t="str">
        <f>IFERROR(IF(LEN(INDEX(Database!F$9:F$501,ROW(Calc!E133)-ROW(Calc!$B$7)))=0,$AD$3,INDEX(Database!F$9:F$501,ROW(Calc!E133)-ROW(Calc!$B$7))),"")</f>
        <v>Not Set</v>
      </c>
      <c r="G133" s="128" t="str">
        <f>IFERROR(IF(LEN(INDEX(Database!H$9:H$501,ROW(Calc!F133)-ROW(Calc!$B$7)))=0,$AD$3,INDEX(Database!H$9:H$501,ROW(Calc!F133)-ROW(Calc!$B$7))),"")</f>
        <v>Not Set</v>
      </c>
      <c r="H133" s="128" t="str">
        <f>IFERROR(IF(LEN(INDEX(Database!I$9:I$501,ROW(Calc!G133)-ROW(Calc!$B$7)))=0,$AD$3,INDEX(Database!I$9:I$501,ROW(Calc!G133)-ROW(Calc!$B$7))),"")</f>
        <v>Not Set</v>
      </c>
      <c r="I133" s="128" t="str">
        <f>IFERROR(IF(LEN(INDEX(Database!J$9:J$501,ROW(Calc!H133)-ROW(Calc!$B$7)))=0,$AD$3,INDEX(Database!J$9:J$501,ROW(Calc!H133)-ROW(Calc!$B$7))),"")</f>
        <v>Not Set</v>
      </c>
      <c r="J133" s="128" t="str">
        <f t="shared" si="14"/>
        <v>Not Set</v>
      </c>
      <c r="K133" s="124" t="str">
        <f>IFERROR(IF(LEN(INDEX(Database!E$9:E$501,ROW(Calc!I133)-ROW(Calc!$B$7)))=0,"",INDEX(Database!E$9:E$501,ROW(Calc!I133)-ROW(Calc!$B$7))),"")</f>
        <v/>
      </c>
      <c r="L133" s="129" t="str">
        <f>IFERROR(IF(LEN(INDEX(Database!K$9:K$501,ROW(Calc!K133)-ROW(Calc!$B$7)))=0,$AD$3,INDEX(Database!K$9:K$501,ROW(Calc!K133)-ROW(Calc!$B$7))),"")</f>
        <v>Not Set</v>
      </c>
      <c r="M133" s="130" t="str">
        <f>IFERROR(IF(LEN(INDEX(Database!L$9:L$501,ROW(Calc!L133)-ROW(Calc!$B$7)))=0,$AD$3,INDEX(Database!L$9:L$501,ROW(Calc!L133)-ROW(Calc!$B$7))),"")</f>
        <v>Not Set</v>
      </c>
      <c r="N133" s="131" t="str">
        <f>IFERROR(IF(LEN(INDEX(Database!M$9:M$501,ROW(Calc!M133)-ROW(Calc!$B$7)))=0,"",INDEX(Database!M$9:M$501,ROW(Calc!M133)-ROW(Calc!$B$7))),"")</f>
        <v/>
      </c>
      <c r="O133" s="132" t="str">
        <f t="shared" si="18"/>
        <v/>
      </c>
      <c r="P133" s="125" t="str">
        <f t="shared" si="15"/>
        <v>Not Set</v>
      </c>
      <c r="Q133" s="125" t="str">
        <f t="shared" si="16"/>
        <v>Not Set</v>
      </c>
      <c r="R133" s="125" t="str">
        <f>IFERROR(IF(G133=$AD$3,$AD$3,INDEX(Kanban_Helper!$C$317:$C$328,MATCH(MONTH(G133),Kanban_Helper!$B$317:$B$328,0))&amp;" - "&amp;YEAR(G133)),"$AD$3")</f>
        <v>Not Set</v>
      </c>
      <c r="S133" s="125" t="str">
        <f>IFERROR(IF(I133=$AD$3,$AD$3,INDEX(Kanban_Helper!$C$317:$C$328,MATCH(MONTH(I133),Kanban_Helper!$B$317:$B$328,0))&amp;" - "&amp;YEAR(I133)),$AD$3)</f>
        <v>Not Set</v>
      </c>
      <c r="T133" s="125" t="str">
        <f t="shared" ca="1" si="19"/>
        <v/>
      </c>
      <c r="U133" s="125" t="str">
        <f t="shared" ca="1" si="20"/>
        <v/>
      </c>
      <c r="V133" s="125" t="str">
        <f t="shared" si="17"/>
        <v>Not Set</v>
      </c>
      <c r="W133" s="126" t="str">
        <f t="shared" si="21"/>
        <v/>
      </c>
      <c r="X133" s="126" t="str">
        <f t="shared" si="22"/>
        <v/>
      </c>
      <c r="Y133" s="125" t="str">
        <f>IFERROR(IF(LEN(D133)=0,"",IF(SUBTOTAL(3,E133:E133)=0,MIN($Y$7:Y132)-1,SUBTOTAL(3,$E$8:E133))),"")</f>
        <v/>
      </c>
      <c r="Z133" s="17"/>
      <c r="AA133" s="10"/>
      <c r="AB133" s="10"/>
      <c r="AC133" s="10"/>
      <c r="AD133" s="10"/>
      <c r="AE133" s="10"/>
      <c r="AF133" s="10"/>
      <c r="AG133" s="10"/>
      <c r="AH133" s="10"/>
      <c r="AI133" s="10"/>
      <c r="AJ133" s="10"/>
      <c r="AK133" s="10"/>
      <c r="AL133" s="10"/>
      <c r="AM133" s="10"/>
      <c r="AN133" s="10"/>
    </row>
    <row r="134" spans="2:40" hidden="1" x14ac:dyDescent="0.35">
      <c r="B134" s="15"/>
      <c r="C134" s="127" t="str">
        <f>IFERROR(IF(LEN(INDEX(Database!C$9:C$501,ROW(Calc!A134)-ROW(Calc!$B$7)))=0,"",INDEX(Database!C$9:C$501,ROW(Calc!A134)-ROW(Calc!$B$7))),"")</f>
        <v/>
      </c>
      <c r="D134" s="70" t="str">
        <f>IFERROR(IF(LEN(INDEX(Database!D$9:D$501,ROW(Calc!B134)-ROW(Calc!$B$7)))=0,"",INDEX(Database!D$9:D$501,ROW(Calc!B134)-ROW(Calc!$B$7))),"")</f>
        <v/>
      </c>
      <c r="E134" s="124" t="str">
        <f>IFERROR(IF(LEN(INDEX(Database!G$9:G$501,ROW(Calc!D134)-ROW(Calc!$B$7)))=0,$AD$3,INDEX(Database!G$9:G$501,ROW(Calc!D134)-ROW(Calc!$B$7))),"")</f>
        <v>Not Set</v>
      </c>
      <c r="F134" s="124" t="str">
        <f>IFERROR(IF(LEN(INDEX(Database!F$9:F$501,ROW(Calc!E134)-ROW(Calc!$B$7)))=0,$AD$3,INDEX(Database!F$9:F$501,ROW(Calc!E134)-ROW(Calc!$B$7))),"")</f>
        <v>Not Set</v>
      </c>
      <c r="G134" s="128" t="str">
        <f>IFERROR(IF(LEN(INDEX(Database!H$9:H$501,ROW(Calc!F134)-ROW(Calc!$B$7)))=0,$AD$3,INDEX(Database!H$9:H$501,ROW(Calc!F134)-ROW(Calc!$B$7))),"")</f>
        <v>Not Set</v>
      </c>
      <c r="H134" s="128" t="str">
        <f>IFERROR(IF(LEN(INDEX(Database!I$9:I$501,ROW(Calc!G134)-ROW(Calc!$B$7)))=0,$AD$3,INDEX(Database!I$9:I$501,ROW(Calc!G134)-ROW(Calc!$B$7))),"")</f>
        <v>Not Set</v>
      </c>
      <c r="I134" s="128" t="str">
        <f>IFERROR(IF(LEN(INDEX(Database!J$9:J$501,ROW(Calc!H134)-ROW(Calc!$B$7)))=0,$AD$3,INDEX(Database!J$9:J$501,ROW(Calc!H134)-ROW(Calc!$B$7))),"")</f>
        <v>Not Set</v>
      </c>
      <c r="J134" s="128" t="str">
        <f t="shared" si="14"/>
        <v>Not Set</v>
      </c>
      <c r="K134" s="124" t="str">
        <f>IFERROR(IF(LEN(INDEX(Database!E$9:E$501,ROW(Calc!I134)-ROW(Calc!$B$7)))=0,"",INDEX(Database!E$9:E$501,ROW(Calc!I134)-ROW(Calc!$B$7))),"")</f>
        <v/>
      </c>
      <c r="L134" s="129" t="str">
        <f>IFERROR(IF(LEN(INDEX(Database!K$9:K$501,ROW(Calc!K134)-ROW(Calc!$B$7)))=0,$AD$3,INDEX(Database!K$9:K$501,ROW(Calc!K134)-ROW(Calc!$B$7))),"")</f>
        <v>Not Set</v>
      </c>
      <c r="M134" s="130" t="str">
        <f>IFERROR(IF(LEN(INDEX(Database!L$9:L$501,ROW(Calc!L134)-ROW(Calc!$B$7)))=0,$AD$3,INDEX(Database!L$9:L$501,ROW(Calc!L134)-ROW(Calc!$B$7))),"")</f>
        <v>Not Set</v>
      </c>
      <c r="N134" s="131" t="str">
        <f>IFERROR(IF(LEN(INDEX(Database!M$9:M$501,ROW(Calc!M134)-ROW(Calc!$B$7)))=0,"",INDEX(Database!M$9:M$501,ROW(Calc!M134)-ROW(Calc!$B$7))),"")</f>
        <v/>
      </c>
      <c r="O134" s="132" t="str">
        <f t="shared" si="18"/>
        <v/>
      </c>
      <c r="P134" s="125" t="str">
        <f t="shared" si="15"/>
        <v>Not Set</v>
      </c>
      <c r="Q134" s="125" t="str">
        <f t="shared" si="16"/>
        <v>Not Set</v>
      </c>
      <c r="R134" s="125" t="str">
        <f>IFERROR(IF(G134=$AD$3,$AD$3,INDEX(Kanban_Helper!$C$317:$C$328,MATCH(MONTH(G134),Kanban_Helper!$B$317:$B$328,0))&amp;" - "&amp;YEAR(G134)),"$AD$3")</f>
        <v>Not Set</v>
      </c>
      <c r="S134" s="125" t="str">
        <f>IFERROR(IF(I134=$AD$3,$AD$3,INDEX(Kanban_Helper!$C$317:$C$328,MATCH(MONTH(I134),Kanban_Helper!$B$317:$B$328,0))&amp;" - "&amp;YEAR(I134)),$AD$3)</f>
        <v>Not Set</v>
      </c>
      <c r="T134" s="125" t="str">
        <f t="shared" ca="1" si="19"/>
        <v/>
      </c>
      <c r="U134" s="125" t="str">
        <f t="shared" ca="1" si="20"/>
        <v/>
      </c>
      <c r="V134" s="125" t="str">
        <f t="shared" si="17"/>
        <v>Not Set</v>
      </c>
      <c r="W134" s="126" t="str">
        <f t="shared" si="21"/>
        <v/>
      </c>
      <c r="X134" s="126" t="str">
        <f t="shared" si="22"/>
        <v/>
      </c>
      <c r="Y134" s="125" t="str">
        <f>IFERROR(IF(LEN(D134)=0,"",IF(SUBTOTAL(3,E134:E134)=0,MIN($Y$7:Y133)-1,SUBTOTAL(3,$E$8:E134))),"")</f>
        <v/>
      </c>
      <c r="Z134" s="17"/>
      <c r="AA134" s="10"/>
      <c r="AB134" s="10"/>
      <c r="AC134" s="10"/>
      <c r="AD134" s="10"/>
      <c r="AE134" s="10"/>
      <c r="AF134" s="10"/>
      <c r="AG134" s="10"/>
      <c r="AH134" s="10"/>
      <c r="AI134" s="10"/>
      <c r="AJ134" s="10"/>
      <c r="AK134" s="10"/>
      <c r="AL134" s="10"/>
      <c r="AM134" s="10"/>
      <c r="AN134" s="10"/>
    </row>
    <row r="135" spans="2:40" hidden="1" x14ac:dyDescent="0.35">
      <c r="B135" s="15"/>
      <c r="C135" s="127" t="str">
        <f>IFERROR(IF(LEN(INDEX(Database!C$9:C$501,ROW(Calc!A135)-ROW(Calc!$B$7)))=0,"",INDEX(Database!C$9:C$501,ROW(Calc!A135)-ROW(Calc!$B$7))),"")</f>
        <v/>
      </c>
      <c r="D135" s="70" t="str">
        <f>IFERROR(IF(LEN(INDEX(Database!D$9:D$501,ROW(Calc!B135)-ROW(Calc!$B$7)))=0,"",INDEX(Database!D$9:D$501,ROW(Calc!B135)-ROW(Calc!$B$7))),"")</f>
        <v/>
      </c>
      <c r="E135" s="124" t="str">
        <f>IFERROR(IF(LEN(INDEX(Database!G$9:G$501,ROW(Calc!D135)-ROW(Calc!$B$7)))=0,$AD$3,INDEX(Database!G$9:G$501,ROW(Calc!D135)-ROW(Calc!$B$7))),"")</f>
        <v>Not Set</v>
      </c>
      <c r="F135" s="124" t="str">
        <f>IFERROR(IF(LEN(INDEX(Database!F$9:F$501,ROW(Calc!E135)-ROW(Calc!$B$7)))=0,$AD$3,INDEX(Database!F$9:F$501,ROW(Calc!E135)-ROW(Calc!$B$7))),"")</f>
        <v>Not Set</v>
      </c>
      <c r="G135" s="128" t="str">
        <f>IFERROR(IF(LEN(INDEX(Database!H$9:H$501,ROW(Calc!F135)-ROW(Calc!$B$7)))=0,$AD$3,INDEX(Database!H$9:H$501,ROW(Calc!F135)-ROW(Calc!$B$7))),"")</f>
        <v>Not Set</v>
      </c>
      <c r="H135" s="128" t="str">
        <f>IFERROR(IF(LEN(INDEX(Database!I$9:I$501,ROW(Calc!G135)-ROW(Calc!$B$7)))=0,$AD$3,INDEX(Database!I$9:I$501,ROW(Calc!G135)-ROW(Calc!$B$7))),"")</f>
        <v>Not Set</v>
      </c>
      <c r="I135" s="128" t="str">
        <f>IFERROR(IF(LEN(INDEX(Database!J$9:J$501,ROW(Calc!H135)-ROW(Calc!$B$7)))=0,$AD$3,INDEX(Database!J$9:J$501,ROW(Calc!H135)-ROW(Calc!$B$7))),"")</f>
        <v>Not Set</v>
      </c>
      <c r="J135" s="128" t="str">
        <f t="shared" si="14"/>
        <v>Not Set</v>
      </c>
      <c r="K135" s="124" t="str">
        <f>IFERROR(IF(LEN(INDEX(Database!E$9:E$501,ROW(Calc!I135)-ROW(Calc!$B$7)))=0,"",INDEX(Database!E$9:E$501,ROW(Calc!I135)-ROW(Calc!$B$7))),"")</f>
        <v/>
      </c>
      <c r="L135" s="129" t="str">
        <f>IFERROR(IF(LEN(INDEX(Database!K$9:K$501,ROW(Calc!K135)-ROW(Calc!$B$7)))=0,$AD$3,INDEX(Database!K$9:K$501,ROW(Calc!K135)-ROW(Calc!$B$7))),"")</f>
        <v>Not Set</v>
      </c>
      <c r="M135" s="130" t="str">
        <f>IFERROR(IF(LEN(INDEX(Database!L$9:L$501,ROW(Calc!L135)-ROW(Calc!$B$7)))=0,$AD$3,INDEX(Database!L$9:L$501,ROW(Calc!L135)-ROW(Calc!$B$7))),"")</f>
        <v>Not Set</v>
      </c>
      <c r="N135" s="131" t="str">
        <f>IFERROR(IF(LEN(INDEX(Database!M$9:M$501,ROW(Calc!M135)-ROW(Calc!$B$7)))=0,"",INDEX(Database!M$9:M$501,ROW(Calc!M135)-ROW(Calc!$B$7))),"")</f>
        <v/>
      </c>
      <c r="O135" s="132" t="str">
        <f t="shared" si="18"/>
        <v/>
      </c>
      <c r="P135" s="125" t="str">
        <f t="shared" si="15"/>
        <v>Not Set</v>
      </c>
      <c r="Q135" s="125" t="str">
        <f t="shared" si="16"/>
        <v>Not Set</v>
      </c>
      <c r="R135" s="125" t="str">
        <f>IFERROR(IF(G135=$AD$3,$AD$3,INDEX(Kanban_Helper!$C$317:$C$328,MATCH(MONTH(G135),Kanban_Helper!$B$317:$B$328,0))&amp;" - "&amp;YEAR(G135)),"$AD$3")</f>
        <v>Not Set</v>
      </c>
      <c r="S135" s="125" t="str">
        <f>IFERROR(IF(I135=$AD$3,$AD$3,INDEX(Kanban_Helper!$C$317:$C$328,MATCH(MONTH(I135),Kanban_Helper!$B$317:$B$328,0))&amp;" - "&amp;YEAR(I135)),$AD$3)</f>
        <v>Not Set</v>
      </c>
      <c r="T135" s="125" t="str">
        <f t="shared" ca="1" si="19"/>
        <v/>
      </c>
      <c r="U135" s="125" t="str">
        <f t="shared" ca="1" si="20"/>
        <v/>
      </c>
      <c r="V135" s="125" t="str">
        <f t="shared" si="17"/>
        <v>Not Set</v>
      </c>
      <c r="W135" s="126" t="str">
        <f t="shared" si="21"/>
        <v/>
      </c>
      <c r="X135" s="126" t="str">
        <f t="shared" si="22"/>
        <v/>
      </c>
      <c r="Y135" s="125" t="str">
        <f>IFERROR(IF(LEN(D135)=0,"",IF(SUBTOTAL(3,E135:E135)=0,MIN($Y$7:Y134)-1,SUBTOTAL(3,$E$8:E135))),"")</f>
        <v/>
      </c>
      <c r="Z135" s="17"/>
      <c r="AA135" s="10"/>
      <c r="AB135" s="10"/>
      <c r="AC135" s="10"/>
      <c r="AD135" s="10"/>
      <c r="AE135" s="10"/>
      <c r="AF135" s="10"/>
      <c r="AG135" s="10"/>
      <c r="AH135" s="10"/>
      <c r="AI135" s="10"/>
      <c r="AJ135" s="10"/>
      <c r="AK135" s="10"/>
      <c r="AL135" s="10"/>
      <c r="AM135" s="10"/>
      <c r="AN135" s="10"/>
    </row>
    <row r="136" spans="2:40" hidden="1" x14ac:dyDescent="0.35">
      <c r="B136" s="15"/>
      <c r="C136" s="127" t="str">
        <f>IFERROR(IF(LEN(INDEX(Database!C$9:C$501,ROW(Calc!A136)-ROW(Calc!$B$7)))=0,"",INDEX(Database!C$9:C$501,ROW(Calc!A136)-ROW(Calc!$B$7))),"")</f>
        <v/>
      </c>
      <c r="D136" s="70" t="str">
        <f>IFERROR(IF(LEN(INDEX(Database!D$9:D$501,ROW(Calc!B136)-ROW(Calc!$B$7)))=0,"",INDEX(Database!D$9:D$501,ROW(Calc!B136)-ROW(Calc!$B$7))),"")</f>
        <v/>
      </c>
      <c r="E136" s="124" t="str">
        <f>IFERROR(IF(LEN(INDEX(Database!G$9:G$501,ROW(Calc!D136)-ROW(Calc!$B$7)))=0,$AD$3,INDEX(Database!G$9:G$501,ROW(Calc!D136)-ROW(Calc!$B$7))),"")</f>
        <v>Not Set</v>
      </c>
      <c r="F136" s="124" t="str">
        <f>IFERROR(IF(LEN(INDEX(Database!F$9:F$501,ROW(Calc!E136)-ROW(Calc!$B$7)))=0,$AD$3,INDEX(Database!F$9:F$501,ROW(Calc!E136)-ROW(Calc!$B$7))),"")</f>
        <v>Not Set</v>
      </c>
      <c r="G136" s="128" t="str">
        <f>IFERROR(IF(LEN(INDEX(Database!H$9:H$501,ROW(Calc!F136)-ROW(Calc!$B$7)))=0,$AD$3,INDEX(Database!H$9:H$501,ROW(Calc!F136)-ROW(Calc!$B$7))),"")</f>
        <v>Not Set</v>
      </c>
      <c r="H136" s="128" t="str">
        <f>IFERROR(IF(LEN(INDEX(Database!I$9:I$501,ROW(Calc!G136)-ROW(Calc!$B$7)))=0,$AD$3,INDEX(Database!I$9:I$501,ROW(Calc!G136)-ROW(Calc!$B$7))),"")</f>
        <v>Not Set</v>
      </c>
      <c r="I136" s="128" t="str">
        <f>IFERROR(IF(LEN(INDEX(Database!J$9:J$501,ROW(Calc!H136)-ROW(Calc!$B$7)))=0,$AD$3,INDEX(Database!J$9:J$501,ROW(Calc!H136)-ROW(Calc!$B$7))),"")</f>
        <v>Not Set</v>
      </c>
      <c r="J136" s="128" t="str">
        <f t="shared" ref="J136:J199" si="23">IFERROR(IF(I136=$AD$3,$AD$3,CONCATENATE(DAY(I136),".",MONTH(I136),".",YEAR(I136))),"")</f>
        <v>Not Set</v>
      </c>
      <c r="K136" s="124" t="str">
        <f>IFERROR(IF(LEN(INDEX(Database!E$9:E$501,ROW(Calc!I136)-ROW(Calc!$B$7)))=0,"",INDEX(Database!E$9:E$501,ROW(Calc!I136)-ROW(Calc!$B$7))),"")</f>
        <v/>
      </c>
      <c r="L136" s="129" t="str">
        <f>IFERROR(IF(LEN(INDEX(Database!K$9:K$501,ROW(Calc!K136)-ROW(Calc!$B$7)))=0,$AD$3,INDEX(Database!K$9:K$501,ROW(Calc!K136)-ROW(Calc!$B$7))),"")</f>
        <v>Not Set</v>
      </c>
      <c r="M136" s="130" t="str">
        <f>IFERROR(IF(LEN(INDEX(Database!L$9:L$501,ROW(Calc!L136)-ROW(Calc!$B$7)))=0,$AD$3,INDEX(Database!L$9:L$501,ROW(Calc!L136)-ROW(Calc!$B$7))),"")</f>
        <v>Not Set</v>
      </c>
      <c r="N136" s="131" t="str">
        <f>IFERROR(IF(LEN(INDEX(Database!M$9:M$501,ROW(Calc!M136)-ROW(Calc!$B$7)))=0,"",INDEX(Database!M$9:M$501,ROW(Calc!M136)-ROW(Calc!$B$7))),"")</f>
        <v/>
      </c>
      <c r="O136" s="132" t="str">
        <f t="shared" si="18"/>
        <v/>
      </c>
      <c r="P136" s="125" t="str">
        <f t="shared" ref="P136:P199" si="24">IFERROR(IF(G136=$AD$3,$AD$3,MONTH(G136)),"")</f>
        <v>Not Set</v>
      </c>
      <c r="Q136" s="125" t="str">
        <f t="shared" ref="Q136:Q199" si="25">IFERROR(IF(I136=$AD$3,$AD$3,MONTH(I136)),"")</f>
        <v>Not Set</v>
      </c>
      <c r="R136" s="125" t="str">
        <f>IFERROR(IF(G136=$AD$3,$AD$3,INDEX(Kanban_Helper!$C$317:$C$328,MATCH(MONTH(G136),Kanban_Helper!$B$317:$B$328,0))&amp;" - "&amp;YEAR(G136)),"$AD$3")</f>
        <v>Not Set</v>
      </c>
      <c r="S136" s="125" t="str">
        <f>IFERROR(IF(I136=$AD$3,$AD$3,INDEX(Kanban_Helper!$C$317:$C$328,MATCH(MONTH(I136),Kanban_Helper!$B$317:$B$328,0))&amp;" - "&amp;YEAR(I136)),$AD$3)</f>
        <v>Not Set</v>
      </c>
      <c r="T136" s="125" t="str">
        <f t="shared" ca="1" si="19"/>
        <v/>
      </c>
      <c r="U136" s="125" t="str">
        <f t="shared" ca="1" si="20"/>
        <v/>
      </c>
      <c r="V136" s="125" t="str">
        <f t="shared" ref="V136:V199" si="26">IFERROR(IF(OR(G136=$AD$3,H136=$AD$3),$AD$3,IF(H136&lt;=I136,"No","Yes")),$AD$3)</f>
        <v>Not Set</v>
      </c>
      <c r="W136" s="126" t="str">
        <f t="shared" si="21"/>
        <v/>
      </c>
      <c r="X136" s="126" t="str">
        <f t="shared" si="22"/>
        <v/>
      </c>
      <c r="Y136" s="125" t="str">
        <f>IFERROR(IF(LEN(D136)=0,"",IF(SUBTOTAL(3,E136:E136)=0,MIN($Y$7:Y135)-1,SUBTOTAL(3,$E$8:E136))),"")</f>
        <v/>
      </c>
      <c r="Z136" s="17"/>
      <c r="AA136" s="10"/>
      <c r="AB136" s="10"/>
      <c r="AC136" s="10"/>
      <c r="AD136" s="10"/>
      <c r="AE136" s="10"/>
      <c r="AF136" s="10"/>
      <c r="AG136" s="10"/>
      <c r="AH136" s="10"/>
      <c r="AI136" s="10"/>
      <c r="AJ136" s="10"/>
      <c r="AK136" s="10"/>
      <c r="AL136" s="10"/>
      <c r="AM136" s="10"/>
      <c r="AN136" s="10"/>
    </row>
    <row r="137" spans="2:40" hidden="1" x14ac:dyDescent="0.35">
      <c r="B137" s="15"/>
      <c r="C137" s="127" t="str">
        <f>IFERROR(IF(LEN(INDEX(Database!C$9:C$501,ROW(Calc!A137)-ROW(Calc!$B$7)))=0,"",INDEX(Database!C$9:C$501,ROW(Calc!A137)-ROW(Calc!$B$7))),"")</f>
        <v/>
      </c>
      <c r="D137" s="70" t="str">
        <f>IFERROR(IF(LEN(INDEX(Database!D$9:D$501,ROW(Calc!B137)-ROW(Calc!$B$7)))=0,"",INDEX(Database!D$9:D$501,ROW(Calc!B137)-ROW(Calc!$B$7))),"")</f>
        <v/>
      </c>
      <c r="E137" s="124" t="str">
        <f>IFERROR(IF(LEN(INDEX(Database!G$9:G$501,ROW(Calc!D137)-ROW(Calc!$B$7)))=0,$AD$3,INDEX(Database!G$9:G$501,ROW(Calc!D137)-ROW(Calc!$B$7))),"")</f>
        <v>Not Set</v>
      </c>
      <c r="F137" s="124" t="str">
        <f>IFERROR(IF(LEN(INDEX(Database!F$9:F$501,ROW(Calc!E137)-ROW(Calc!$B$7)))=0,$AD$3,INDEX(Database!F$9:F$501,ROW(Calc!E137)-ROW(Calc!$B$7))),"")</f>
        <v>Not Set</v>
      </c>
      <c r="G137" s="128" t="str">
        <f>IFERROR(IF(LEN(INDEX(Database!H$9:H$501,ROW(Calc!F137)-ROW(Calc!$B$7)))=0,$AD$3,INDEX(Database!H$9:H$501,ROW(Calc!F137)-ROW(Calc!$B$7))),"")</f>
        <v>Not Set</v>
      </c>
      <c r="H137" s="128" t="str">
        <f>IFERROR(IF(LEN(INDEX(Database!I$9:I$501,ROW(Calc!G137)-ROW(Calc!$B$7)))=0,$AD$3,INDEX(Database!I$9:I$501,ROW(Calc!G137)-ROW(Calc!$B$7))),"")</f>
        <v>Not Set</v>
      </c>
      <c r="I137" s="128" t="str">
        <f>IFERROR(IF(LEN(INDEX(Database!J$9:J$501,ROW(Calc!H137)-ROW(Calc!$B$7)))=0,$AD$3,INDEX(Database!J$9:J$501,ROW(Calc!H137)-ROW(Calc!$B$7))),"")</f>
        <v>Not Set</v>
      </c>
      <c r="J137" s="128" t="str">
        <f t="shared" si="23"/>
        <v>Not Set</v>
      </c>
      <c r="K137" s="124" t="str">
        <f>IFERROR(IF(LEN(INDEX(Database!E$9:E$501,ROW(Calc!I137)-ROW(Calc!$B$7)))=0,"",INDEX(Database!E$9:E$501,ROW(Calc!I137)-ROW(Calc!$B$7))),"")</f>
        <v/>
      </c>
      <c r="L137" s="129" t="str">
        <f>IFERROR(IF(LEN(INDEX(Database!K$9:K$501,ROW(Calc!K137)-ROW(Calc!$B$7)))=0,$AD$3,INDEX(Database!K$9:K$501,ROW(Calc!K137)-ROW(Calc!$B$7))),"")</f>
        <v>Not Set</v>
      </c>
      <c r="M137" s="130" t="str">
        <f>IFERROR(IF(LEN(INDEX(Database!L$9:L$501,ROW(Calc!L137)-ROW(Calc!$B$7)))=0,$AD$3,INDEX(Database!L$9:L$501,ROW(Calc!L137)-ROW(Calc!$B$7))),"")</f>
        <v>Not Set</v>
      </c>
      <c r="N137" s="131" t="str">
        <f>IFERROR(IF(LEN(INDEX(Database!M$9:M$501,ROW(Calc!M137)-ROW(Calc!$B$7)))=0,"",INDEX(Database!M$9:M$501,ROW(Calc!M137)-ROW(Calc!$B$7))),"")</f>
        <v/>
      </c>
      <c r="O137" s="132" t="str">
        <f t="shared" ref="O137:O200" si="27">IFERROR(IF(LEN(D137)=0,"",ROW(D137)-ROW($D$7)),"")</f>
        <v/>
      </c>
      <c r="P137" s="125" t="str">
        <f t="shared" si="24"/>
        <v>Not Set</v>
      </c>
      <c r="Q137" s="125" t="str">
        <f t="shared" si="25"/>
        <v>Not Set</v>
      </c>
      <c r="R137" s="125" t="str">
        <f>IFERROR(IF(G137=$AD$3,$AD$3,INDEX(Kanban_Helper!$C$317:$C$328,MATCH(MONTH(G137),Kanban_Helper!$B$317:$B$328,0))&amp;" - "&amp;YEAR(G137)),"$AD$3")</f>
        <v>Not Set</v>
      </c>
      <c r="S137" s="125" t="str">
        <f>IFERROR(IF(I137=$AD$3,$AD$3,INDEX(Kanban_Helper!$C$317:$C$328,MATCH(MONTH(I137),Kanban_Helper!$B$317:$B$328,0))&amp;" - "&amp;YEAR(I137)),$AD$3)</f>
        <v>Not Set</v>
      </c>
      <c r="T137" s="125" t="str">
        <f t="shared" ref="T137:T200" ca="1" si="28">IFERROR(IF(LEN(G137)=0,"",IF(LEN(H137)=0,TODAY()-G137,H137-G137)),"")</f>
        <v/>
      </c>
      <c r="U137" s="125" t="str">
        <f t="shared" ref="U137:U200" ca="1" si="29">IFERROR(IF(LEN(I137)=0,"",IF(LEN(H137)=0,IF(TODAY()&gt;=I137,TODAY()-I137,""),IF(H137&gt;I137,H137-I137,""))),"")</f>
        <v/>
      </c>
      <c r="V137" s="125" t="str">
        <f t="shared" si="26"/>
        <v>Not Set</v>
      </c>
      <c r="W137" s="126" t="str">
        <f t="shared" ref="W137:W200" si="30">IFERROR(IF(OR(LEN(L137)=0,LEN(M137)=0),"",L137*M137),"")</f>
        <v/>
      </c>
      <c r="X137" s="126" t="str">
        <f t="shared" ref="X137:X200" si="31">IFERROR(IF(OR(LEN(W137)=0,LEN(M137)=0),"",M137-W137),"")</f>
        <v/>
      </c>
      <c r="Y137" s="125" t="str">
        <f>IFERROR(IF(LEN(D137)=0,"",IF(SUBTOTAL(3,E137:E137)=0,MIN($Y$7:Y136)-1,SUBTOTAL(3,$E$8:E137))),"")</f>
        <v/>
      </c>
      <c r="Z137" s="17"/>
      <c r="AA137" s="10"/>
      <c r="AB137" s="10"/>
      <c r="AC137" s="10"/>
      <c r="AD137" s="10"/>
      <c r="AE137" s="10"/>
      <c r="AF137" s="10"/>
      <c r="AG137" s="10"/>
      <c r="AH137" s="10"/>
      <c r="AI137" s="10"/>
      <c r="AJ137" s="10"/>
      <c r="AK137" s="10"/>
      <c r="AL137" s="10"/>
      <c r="AM137" s="10"/>
      <c r="AN137" s="10"/>
    </row>
    <row r="138" spans="2:40" hidden="1" x14ac:dyDescent="0.35">
      <c r="B138" s="15"/>
      <c r="C138" s="127" t="str">
        <f>IFERROR(IF(LEN(INDEX(Database!C$9:C$501,ROW(Calc!A138)-ROW(Calc!$B$7)))=0,"",INDEX(Database!C$9:C$501,ROW(Calc!A138)-ROW(Calc!$B$7))),"")</f>
        <v/>
      </c>
      <c r="D138" s="70" t="str">
        <f>IFERROR(IF(LEN(INDEX(Database!D$9:D$501,ROW(Calc!B138)-ROW(Calc!$B$7)))=0,"",INDEX(Database!D$9:D$501,ROW(Calc!B138)-ROW(Calc!$B$7))),"")</f>
        <v/>
      </c>
      <c r="E138" s="124" t="str">
        <f>IFERROR(IF(LEN(INDEX(Database!G$9:G$501,ROW(Calc!D138)-ROW(Calc!$B$7)))=0,$AD$3,INDEX(Database!G$9:G$501,ROW(Calc!D138)-ROW(Calc!$B$7))),"")</f>
        <v>Not Set</v>
      </c>
      <c r="F138" s="124" t="str">
        <f>IFERROR(IF(LEN(INDEX(Database!F$9:F$501,ROW(Calc!E138)-ROW(Calc!$B$7)))=0,$AD$3,INDEX(Database!F$9:F$501,ROW(Calc!E138)-ROW(Calc!$B$7))),"")</f>
        <v>Not Set</v>
      </c>
      <c r="G138" s="128" t="str">
        <f>IFERROR(IF(LEN(INDEX(Database!H$9:H$501,ROW(Calc!F138)-ROW(Calc!$B$7)))=0,$AD$3,INDEX(Database!H$9:H$501,ROW(Calc!F138)-ROW(Calc!$B$7))),"")</f>
        <v>Not Set</v>
      </c>
      <c r="H138" s="128" t="str">
        <f>IFERROR(IF(LEN(INDEX(Database!I$9:I$501,ROW(Calc!G138)-ROW(Calc!$B$7)))=0,$AD$3,INDEX(Database!I$9:I$501,ROW(Calc!G138)-ROW(Calc!$B$7))),"")</f>
        <v>Not Set</v>
      </c>
      <c r="I138" s="128" t="str">
        <f>IFERROR(IF(LEN(INDEX(Database!J$9:J$501,ROW(Calc!H138)-ROW(Calc!$B$7)))=0,$AD$3,INDEX(Database!J$9:J$501,ROW(Calc!H138)-ROW(Calc!$B$7))),"")</f>
        <v>Not Set</v>
      </c>
      <c r="J138" s="128" t="str">
        <f t="shared" si="23"/>
        <v>Not Set</v>
      </c>
      <c r="K138" s="124" t="str">
        <f>IFERROR(IF(LEN(INDEX(Database!E$9:E$501,ROW(Calc!I138)-ROW(Calc!$B$7)))=0,"",INDEX(Database!E$9:E$501,ROW(Calc!I138)-ROW(Calc!$B$7))),"")</f>
        <v/>
      </c>
      <c r="L138" s="129" t="str">
        <f>IFERROR(IF(LEN(INDEX(Database!K$9:K$501,ROW(Calc!K138)-ROW(Calc!$B$7)))=0,$AD$3,INDEX(Database!K$9:K$501,ROW(Calc!K138)-ROW(Calc!$B$7))),"")</f>
        <v>Not Set</v>
      </c>
      <c r="M138" s="130" t="str">
        <f>IFERROR(IF(LEN(INDEX(Database!L$9:L$501,ROW(Calc!L138)-ROW(Calc!$B$7)))=0,$AD$3,INDEX(Database!L$9:L$501,ROW(Calc!L138)-ROW(Calc!$B$7))),"")</f>
        <v>Not Set</v>
      </c>
      <c r="N138" s="131" t="str">
        <f>IFERROR(IF(LEN(INDEX(Database!M$9:M$501,ROW(Calc!M138)-ROW(Calc!$B$7)))=0,"",INDEX(Database!M$9:M$501,ROW(Calc!M138)-ROW(Calc!$B$7))),"")</f>
        <v/>
      </c>
      <c r="O138" s="132" t="str">
        <f t="shared" si="27"/>
        <v/>
      </c>
      <c r="P138" s="125" t="str">
        <f t="shared" si="24"/>
        <v>Not Set</v>
      </c>
      <c r="Q138" s="125" t="str">
        <f t="shared" si="25"/>
        <v>Not Set</v>
      </c>
      <c r="R138" s="125" t="str">
        <f>IFERROR(IF(G138=$AD$3,$AD$3,INDEX(Kanban_Helper!$C$317:$C$328,MATCH(MONTH(G138),Kanban_Helper!$B$317:$B$328,0))&amp;" - "&amp;YEAR(G138)),"$AD$3")</f>
        <v>Not Set</v>
      </c>
      <c r="S138" s="125" t="str">
        <f>IFERROR(IF(I138=$AD$3,$AD$3,INDEX(Kanban_Helper!$C$317:$C$328,MATCH(MONTH(I138),Kanban_Helper!$B$317:$B$328,0))&amp;" - "&amp;YEAR(I138)),$AD$3)</f>
        <v>Not Set</v>
      </c>
      <c r="T138" s="125" t="str">
        <f t="shared" ca="1" si="28"/>
        <v/>
      </c>
      <c r="U138" s="125" t="str">
        <f t="shared" ca="1" si="29"/>
        <v/>
      </c>
      <c r="V138" s="125" t="str">
        <f t="shared" si="26"/>
        <v>Not Set</v>
      </c>
      <c r="W138" s="126" t="str">
        <f t="shared" si="30"/>
        <v/>
      </c>
      <c r="X138" s="126" t="str">
        <f t="shared" si="31"/>
        <v/>
      </c>
      <c r="Y138" s="125" t="str">
        <f>IFERROR(IF(LEN(D138)=0,"",IF(SUBTOTAL(3,E138:E138)=0,MIN($Y$7:Y137)-1,SUBTOTAL(3,$E$8:E138))),"")</f>
        <v/>
      </c>
      <c r="Z138" s="17"/>
      <c r="AA138" s="10"/>
      <c r="AB138" s="10"/>
      <c r="AC138" s="10"/>
      <c r="AD138" s="10"/>
      <c r="AE138" s="10"/>
      <c r="AF138" s="10"/>
      <c r="AG138" s="10"/>
      <c r="AH138" s="10"/>
      <c r="AI138" s="10"/>
      <c r="AJ138" s="10"/>
      <c r="AK138" s="10"/>
      <c r="AL138" s="10"/>
      <c r="AM138" s="10"/>
      <c r="AN138" s="10"/>
    </row>
    <row r="139" spans="2:40" hidden="1" x14ac:dyDescent="0.35">
      <c r="B139" s="15"/>
      <c r="C139" s="127" t="str">
        <f>IFERROR(IF(LEN(INDEX(Database!C$9:C$501,ROW(Calc!A139)-ROW(Calc!$B$7)))=0,"",INDEX(Database!C$9:C$501,ROW(Calc!A139)-ROW(Calc!$B$7))),"")</f>
        <v/>
      </c>
      <c r="D139" s="70" t="str">
        <f>IFERROR(IF(LEN(INDEX(Database!D$9:D$501,ROW(Calc!B139)-ROW(Calc!$B$7)))=0,"",INDEX(Database!D$9:D$501,ROW(Calc!B139)-ROW(Calc!$B$7))),"")</f>
        <v/>
      </c>
      <c r="E139" s="124" t="str">
        <f>IFERROR(IF(LEN(INDEX(Database!G$9:G$501,ROW(Calc!D139)-ROW(Calc!$B$7)))=0,$AD$3,INDEX(Database!G$9:G$501,ROW(Calc!D139)-ROW(Calc!$B$7))),"")</f>
        <v>Not Set</v>
      </c>
      <c r="F139" s="124" t="str">
        <f>IFERROR(IF(LEN(INDEX(Database!F$9:F$501,ROW(Calc!E139)-ROW(Calc!$B$7)))=0,$AD$3,INDEX(Database!F$9:F$501,ROW(Calc!E139)-ROW(Calc!$B$7))),"")</f>
        <v>Not Set</v>
      </c>
      <c r="G139" s="128" t="str">
        <f>IFERROR(IF(LEN(INDEX(Database!H$9:H$501,ROW(Calc!F139)-ROW(Calc!$B$7)))=0,$AD$3,INDEX(Database!H$9:H$501,ROW(Calc!F139)-ROW(Calc!$B$7))),"")</f>
        <v>Not Set</v>
      </c>
      <c r="H139" s="128" t="str">
        <f>IFERROR(IF(LEN(INDEX(Database!I$9:I$501,ROW(Calc!G139)-ROW(Calc!$B$7)))=0,$AD$3,INDEX(Database!I$9:I$501,ROW(Calc!G139)-ROW(Calc!$B$7))),"")</f>
        <v>Not Set</v>
      </c>
      <c r="I139" s="128" t="str">
        <f>IFERROR(IF(LEN(INDEX(Database!J$9:J$501,ROW(Calc!H139)-ROW(Calc!$B$7)))=0,$AD$3,INDEX(Database!J$9:J$501,ROW(Calc!H139)-ROW(Calc!$B$7))),"")</f>
        <v>Not Set</v>
      </c>
      <c r="J139" s="128" t="str">
        <f t="shared" si="23"/>
        <v>Not Set</v>
      </c>
      <c r="K139" s="124" t="str">
        <f>IFERROR(IF(LEN(INDEX(Database!E$9:E$501,ROW(Calc!I139)-ROW(Calc!$B$7)))=0,"",INDEX(Database!E$9:E$501,ROW(Calc!I139)-ROW(Calc!$B$7))),"")</f>
        <v/>
      </c>
      <c r="L139" s="129" t="str">
        <f>IFERROR(IF(LEN(INDEX(Database!K$9:K$501,ROW(Calc!K139)-ROW(Calc!$B$7)))=0,$AD$3,INDEX(Database!K$9:K$501,ROW(Calc!K139)-ROW(Calc!$B$7))),"")</f>
        <v>Not Set</v>
      </c>
      <c r="M139" s="130" t="str">
        <f>IFERROR(IF(LEN(INDEX(Database!L$9:L$501,ROW(Calc!L139)-ROW(Calc!$B$7)))=0,$AD$3,INDEX(Database!L$9:L$501,ROW(Calc!L139)-ROW(Calc!$B$7))),"")</f>
        <v>Not Set</v>
      </c>
      <c r="N139" s="131" t="str">
        <f>IFERROR(IF(LEN(INDEX(Database!M$9:M$501,ROW(Calc!M139)-ROW(Calc!$B$7)))=0,"",INDEX(Database!M$9:M$501,ROW(Calc!M139)-ROW(Calc!$B$7))),"")</f>
        <v/>
      </c>
      <c r="O139" s="132" t="str">
        <f t="shared" si="27"/>
        <v/>
      </c>
      <c r="P139" s="125" t="str">
        <f t="shared" si="24"/>
        <v>Not Set</v>
      </c>
      <c r="Q139" s="125" t="str">
        <f t="shared" si="25"/>
        <v>Not Set</v>
      </c>
      <c r="R139" s="125" t="str">
        <f>IFERROR(IF(G139=$AD$3,$AD$3,INDEX(Kanban_Helper!$C$317:$C$328,MATCH(MONTH(G139),Kanban_Helper!$B$317:$B$328,0))&amp;" - "&amp;YEAR(G139)),"$AD$3")</f>
        <v>Not Set</v>
      </c>
      <c r="S139" s="125" t="str">
        <f>IFERROR(IF(I139=$AD$3,$AD$3,INDEX(Kanban_Helper!$C$317:$C$328,MATCH(MONTH(I139),Kanban_Helper!$B$317:$B$328,0))&amp;" - "&amp;YEAR(I139)),$AD$3)</f>
        <v>Not Set</v>
      </c>
      <c r="T139" s="125" t="str">
        <f t="shared" ca="1" si="28"/>
        <v/>
      </c>
      <c r="U139" s="125" t="str">
        <f t="shared" ca="1" si="29"/>
        <v/>
      </c>
      <c r="V139" s="125" t="str">
        <f t="shared" si="26"/>
        <v>Not Set</v>
      </c>
      <c r="W139" s="126" t="str">
        <f t="shared" si="30"/>
        <v/>
      </c>
      <c r="X139" s="126" t="str">
        <f t="shared" si="31"/>
        <v/>
      </c>
      <c r="Y139" s="125" t="str">
        <f>IFERROR(IF(LEN(D139)=0,"",IF(SUBTOTAL(3,E139:E139)=0,MIN($Y$7:Y138)-1,SUBTOTAL(3,$E$8:E139))),"")</f>
        <v/>
      </c>
      <c r="Z139" s="17"/>
      <c r="AA139" s="10"/>
      <c r="AB139" s="10"/>
      <c r="AC139" s="10"/>
      <c r="AD139" s="10"/>
      <c r="AE139" s="10"/>
      <c r="AF139" s="10"/>
      <c r="AG139" s="10"/>
      <c r="AH139" s="10"/>
      <c r="AI139" s="10"/>
      <c r="AJ139" s="10"/>
      <c r="AK139" s="10"/>
      <c r="AL139" s="10"/>
      <c r="AM139" s="10"/>
      <c r="AN139" s="10"/>
    </row>
    <row r="140" spans="2:40" hidden="1" x14ac:dyDescent="0.35">
      <c r="B140" s="15"/>
      <c r="C140" s="127" t="str">
        <f>IFERROR(IF(LEN(INDEX(Database!C$9:C$501,ROW(Calc!A140)-ROW(Calc!$B$7)))=0,"",INDEX(Database!C$9:C$501,ROW(Calc!A140)-ROW(Calc!$B$7))),"")</f>
        <v/>
      </c>
      <c r="D140" s="70" t="str">
        <f>IFERROR(IF(LEN(INDEX(Database!D$9:D$501,ROW(Calc!B140)-ROW(Calc!$B$7)))=0,"",INDEX(Database!D$9:D$501,ROW(Calc!B140)-ROW(Calc!$B$7))),"")</f>
        <v/>
      </c>
      <c r="E140" s="124" t="str">
        <f>IFERROR(IF(LEN(INDEX(Database!G$9:G$501,ROW(Calc!D140)-ROW(Calc!$B$7)))=0,$AD$3,INDEX(Database!G$9:G$501,ROW(Calc!D140)-ROW(Calc!$B$7))),"")</f>
        <v>Not Set</v>
      </c>
      <c r="F140" s="124" t="str">
        <f>IFERROR(IF(LEN(INDEX(Database!F$9:F$501,ROW(Calc!E140)-ROW(Calc!$B$7)))=0,$AD$3,INDEX(Database!F$9:F$501,ROW(Calc!E140)-ROW(Calc!$B$7))),"")</f>
        <v>Not Set</v>
      </c>
      <c r="G140" s="128" t="str">
        <f>IFERROR(IF(LEN(INDEX(Database!H$9:H$501,ROW(Calc!F140)-ROW(Calc!$B$7)))=0,$AD$3,INDEX(Database!H$9:H$501,ROW(Calc!F140)-ROW(Calc!$B$7))),"")</f>
        <v>Not Set</v>
      </c>
      <c r="H140" s="128" t="str">
        <f>IFERROR(IF(LEN(INDEX(Database!I$9:I$501,ROW(Calc!G140)-ROW(Calc!$B$7)))=0,$AD$3,INDEX(Database!I$9:I$501,ROW(Calc!G140)-ROW(Calc!$B$7))),"")</f>
        <v>Not Set</v>
      </c>
      <c r="I140" s="128" t="str">
        <f>IFERROR(IF(LEN(INDEX(Database!J$9:J$501,ROW(Calc!H140)-ROW(Calc!$B$7)))=0,$AD$3,INDEX(Database!J$9:J$501,ROW(Calc!H140)-ROW(Calc!$B$7))),"")</f>
        <v>Not Set</v>
      </c>
      <c r="J140" s="128" t="str">
        <f t="shared" si="23"/>
        <v>Not Set</v>
      </c>
      <c r="K140" s="124" t="str">
        <f>IFERROR(IF(LEN(INDEX(Database!E$9:E$501,ROW(Calc!I140)-ROW(Calc!$B$7)))=0,"",INDEX(Database!E$9:E$501,ROW(Calc!I140)-ROW(Calc!$B$7))),"")</f>
        <v/>
      </c>
      <c r="L140" s="129" t="str">
        <f>IFERROR(IF(LEN(INDEX(Database!K$9:K$501,ROW(Calc!K140)-ROW(Calc!$B$7)))=0,$AD$3,INDEX(Database!K$9:K$501,ROW(Calc!K140)-ROW(Calc!$B$7))),"")</f>
        <v>Not Set</v>
      </c>
      <c r="M140" s="130" t="str">
        <f>IFERROR(IF(LEN(INDEX(Database!L$9:L$501,ROW(Calc!L140)-ROW(Calc!$B$7)))=0,$AD$3,INDEX(Database!L$9:L$501,ROW(Calc!L140)-ROW(Calc!$B$7))),"")</f>
        <v>Not Set</v>
      </c>
      <c r="N140" s="131" t="str">
        <f>IFERROR(IF(LEN(INDEX(Database!M$9:M$501,ROW(Calc!M140)-ROW(Calc!$B$7)))=0,"",INDEX(Database!M$9:M$501,ROW(Calc!M140)-ROW(Calc!$B$7))),"")</f>
        <v/>
      </c>
      <c r="O140" s="132" t="str">
        <f t="shared" si="27"/>
        <v/>
      </c>
      <c r="P140" s="125" t="str">
        <f t="shared" si="24"/>
        <v>Not Set</v>
      </c>
      <c r="Q140" s="125" t="str">
        <f t="shared" si="25"/>
        <v>Not Set</v>
      </c>
      <c r="R140" s="125" t="str">
        <f>IFERROR(IF(G140=$AD$3,$AD$3,INDEX(Kanban_Helper!$C$317:$C$328,MATCH(MONTH(G140),Kanban_Helper!$B$317:$B$328,0))&amp;" - "&amp;YEAR(G140)),"$AD$3")</f>
        <v>Not Set</v>
      </c>
      <c r="S140" s="125" t="str">
        <f>IFERROR(IF(I140=$AD$3,$AD$3,INDEX(Kanban_Helper!$C$317:$C$328,MATCH(MONTH(I140),Kanban_Helper!$B$317:$B$328,0))&amp;" - "&amp;YEAR(I140)),$AD$3)</f>
        <v>Not Set</v>
      </c>
      <c r="T140" s="125" t="str">
        <f t="shared" ca="1" si="28"/>
        <v/>
      </c>
      <c r="U140" s="125" t="str">
        <f t="shared" ca="1" si="29"/>
        <v/>
      </c>
      <c r="V140" s="125" t="str">
        <f t="shared" si="26"/>
        <v>Not Set</v>
      </c>
      <c r="W140" s="126" t="str">
        <f t="shared" si="30"/>
        <v/>
      </c>
      <c r="X140" s="126" t="str">
        <f t="shared" si="31"/>
        <v/>
      </c>
      <c r="Y140" s="125" t="str">
        <f>IFERROR(IF(LEN(D140)=0,"",IF(SUBTOTAL(3,E140:E140)=0,MIN($Y$7:Y139)-1,SUBTOTAL(3,$E$8:E140))),"")</f>
        <v/>
      </c>
      <c r="Z140" s="17"/>
      <c r="AA140" s="10"/>
      <c r="AB140" s="10"/>
      <c r="AC140" s="10"/>
      <c r="AD140" s="10"/>
      <c r="AE140" s="10"/>
      <c r="AF140" s="10"/>
      <c r="AG140" s="10"/>
      <c r="AH140" s="10"/>
      <c r="AI140" s="10"/>
      <c r="AJ140" s="10"/>
      <c r="AK140" s="10"/>
      <c r="AL140" s="10"/>
      <c r="AM140" s="10"/>
      <c r="AN140" s="10"/>
    </row>
    <row r="141" spans="2:40" hidden="1" x14ac:dyDescent="0.35">
      <c r="B141" s="15"/>
      <c r="C141" s="127" t="str">
        <f>IFERROR(IF(LEN(INDEX(Database!C$9:C$501,ROW(Calc!A141)-ROW(Calc!$B$7)))=0,"",INDEX(Database!C$9:C$501,ROW(Calc!A141)-ROW(Calc!$B$7))),"")</f>
        <v/>
      </c>
      <c r="D141" s="70" t="str">
        <f>IFERROR(IF(LEN(INDEX(Database!D$9:D$501,ROW(Calc!B141)-ROW(Calc!$B$7)))=0,"",INDEX(Database!D$9:D$501,ROW(Calc!B141)-ROW(Calc!$B$7))),"")</f>
        <v/>
      </c>
      <c r="E141" s="124" t="str">
        <f>IFERROR(IF(LEN(INDEX(Database!G$9:G$501,ROW(Calc!D141)-ROW(Calc!$B$7)))=0,$AD$3,INDEX(Database!G$9:G$501,ROW(Calc!D141)-ROW(Calc!$B$7))),"")</f>
        <v>Not Set</v>
      </c>
      <c r="F141" s="124" t="str">
        <f>IFERROR(IF(LEN(INDEX(Database!F$9:F$501,ROW(Calc!E141)-ROW(Calc!$B$7)))=0,$AD$3,INDEX(Database!F$9:F$501,ROW(Calc!E141)-ROW(Calc!$B$7))),"")</f>
        <v>Not Set</v>
      </c>
      <c r="G141" s="128" t="str">
        <f>IFERROR(IF(LEN(INDEX(Database!H$9:H$501,ROW(Calc!F141)-ROW(Calc!$B$7)))=0,$AD$3,INDEX(Database!H$9:H$501,ROW(Calc!F141)-ROW(Calc!$B$7))),"")</f>
        <v>Not Set</v>
      </c>
      <c r="H141" s="128" t="str">
        <f>IFERROR(IF(LEN(INDEX(Database!I$9:I$501,ROW(Calc!G141)-ROW(Calc!$B$7)))=0,$AD$3,INDEX(Database!I$9:I$501,ROW(Calc!G141)-ROW(Calc!$B$7))),"")</f>
        <v>Not Set</v>
      </c>
      <c r="I141" s="128" t="str">
        <f>IFERROR(IF(LEN(INDEX(Database!J$9:J$501,ROW(Calc!H141)-ROW(Calc!$B$7)))=0,$AD$3,INDEX(Database!J$9:J$501,ROW(Calc!H141)-ROW(Calc!$B$7))),"")</f>
        <v>Not Set</v>
      </c>
      <c r="J141" s="128" t="str">
        <f t="shared" si="23"/>
        <v>Not Set</v>
      </c>
      <c r="K141" s="124" t="str">
        <f>IFERROR(IF(LEN(INDEX(Database!E$9:E$501,ROW(Calc!I141)-ROW(Calc!$B$7)))=0,"",INDEX(Database!E$9:E$501,ROW(Calc!I141)-ROW(Calc!$B$7))),"")</f>
        <v/>
      </c>
      <c r="L141" s="129" t="str">
        <f>IFERROR(IF(LEN(INDEX(Database!K$9:K$501,ROW(Calc!K141)-ROW(Calc!$B$7)))=0,$AD$3,INDEX(Database!K$9:K$501,ROW(Calc!K141)-ROW(Calc!$B$7))),"")</f>
        <v>Not Set</v>
      </c>
      <c r="M141" s="130" t="str">
        <f>IFERROR(IF(LEN(INDEX(Database!L$9:L$501,ROW(Calc!L141)-ROW(Calc!$B$7)))=0,$AD$3,INDEX(Database!L$9:L$501,ROW(Calc!L141)-ROW(Calc!$B$7))),"")</f>
        <v>Not Set</v>
      </c>
      <c r="N141" s="131" t="str">
        <f>IFERROR(IF(LEN(INDEX(Database!M$9:M$501,ROW(Calc!M141)-ROW(Calc!$B$7)))=0,"",INDEX(Database!M$9:M$501,ROW(Calc!M141)-ROW(Calc!$B$7))),"")</f>
        <v/>
      </c>
      <c r="O141" s="132" t="str">
        <f t="shared" si="27"/>
        <v/>
      </c>
      <c r="P141" s="125" t="str">
        <f t="shared" si="24"/>
        <v>Not Set</v>
      </c>
      <c r="Q141" s="125" t="str">
        <f t="shared" si="25"/>
        <v>Not Set</v>
      </c>
      <c r="R141" s="125" t="str">
        <f>IFERROR(IF(G141=$AD$3,$AD$3,INDEX(Kanban_Helper!$C$317:$C$328,MATCH(MONTH(G141),Kanban_Helper!$B$317:$B$328,0))&amp;" - "&amp;YEAR(G141)),"$AD$3")</f>
        <v>Not Set</v>
      </c>
      <c r="S141" s="125" t="str">
        <f>IFERROR(IF(I141=$AD$3,$AD$3,INDEX(Kanban_Helper!$C$317:$C$328,MATCH(MONTH(I141),Kanban_Helper!$B$317:$B$328,0))&amp;" - "&amp;YEAR(I141)),$AD$3)</f>
        <v>Not Set</v>
      </c>
      <c r="T141" s="125" t="str">
        <f t="shared" ca="1" si="28"/>
        <v/>
      </c>
      <c r="U141" s="125" t="str">
        <f t="shared" ca="1" si="29"/>
        <v/>
      </c>
      <c r="V141" s="125" t="str">
        <f t="shared" si="26"/>
        <v>Not Set</v>
      </c>
      <c r="W141" s="126" t="str">
        <f t="shared" si="30"/>
        <v/>
      </c>
      <c r="X141" s="126" t="str">
        <f t="shared" si="31"/>
        <v/>
      </c>
      <c r="Y141" s="125" t="str">
        <f>IFERROR(IF(LEN(D141)=0,"",IF(SUBTOTAL(3,E141:E141)=0,MIN($Y$7:Y140)-1,SUBTOTAL(3,$E$8:E141))),"")</f>
        <v/>
      </c>
      <c r="Z141" s="17"/>
      <c r="AA141" s="10"/>
      <c r="AB141" s="10"/>
      <c r="AC141" s="10"/>
      <c r="AD141" s="10"/>
      <c r="AE141" s="10"/>
      <c r="AF141" s="10"/>
      <c r="AG141" s="10"/>
      <c r="AH141" s="10"/>
      <c r="AI141" s="10"/>
      <c r="AJ141" s="10"/>
      <c r="AK141" s="10"/>
      <c r="AL141" s="10"/>
      <c r="AM141" s="10"/>
      <c r="AN141" s="10"/>
    </row>
    <row r="142" spans="2:40" hidden="1" x14ac:dyDescent="0.35">
      <c r="B142" s="15"/>
      <c r="C142" s="127" t="str">
        <f>IFERROR(IF(LEN(INDEX(Database!C$9:C$501,ROW(Calc!A142)-ROW(Calc!$B$7)))=0,"",INDEX(Database!C$9:C$501,ROW(Calc!A142)-ROW(Calc!$B$7))),"")</f>
        <v/>
      </c>
      <c r="D142" s="70" t="str">
        <f>IFERROR(IF(LEN(INDEX(Database!D$9:D$501,ROW(Calc!B142)-ROW(Calc!$B$7)))=0,"",INDEX(Database!D$9:D$501,ROW(Calc!B142)-ROW(Calc!$B$7))),"")</f>
        <v/>
      </c>
      <c r="E142" s="124" t="str">
        <f>IFERROR(IF(LEN(INDEX(Database!G$9:G$501,ROW(Calc!D142)-ROW(Calc!$B$7)))=0,$AD$3,INDEX(Database!G$9:G$501,ROW(Calc!D142)-ROW(Calc!$B$7))),"")</f>
        <v>Not Set</v>
      </c>
      <c r="F142" s="124" t="str">
        <f>IFERROR(IF(LEN(INDEX(Database!F$9:F$501,ROW(Calc!E142)-ROW(Calc!$B$7)))=0,$AD$3,INDEX(Database!F$9:F$501,ROW(Calc!E142)-ROW(Calc!$B$7))),"")</f>
        <v>Not Set</v>
      </c>
      <c r="G142" s="128" t="str">
        <f>IFERROR(IF(LEN(INDEX(Database!H$9:H$501,ROW(Calc!F142)-ROW(Calc!$B$7)))=0,$AD$3,INDEX(Database!H$9:H$501,ROW(Calc!F142)-ROW(Calc!$B$7))),"")</f>
        <v>Not Set</v>
      </c>
      <c r="H142" s="128" t="str">
        <f>IFERROR(IF(LEN(INDEX(Database!I$9:I$501,ROW(Calc!G142)-ROW(Calc!$B$7)))=0,$AD$3,INDEX(Database!I$9:I$501,ROW(Calc!G142)-ROW(Calc!$B$7))),"")</f>
        <v>Not Set</v>
      </c>
      <c r="I142" s="128" t="str">
        <f>IFERROR(IF(LEN(INDEX(Database!J$9:J$501,ROW(Calc!H142)-ROW(Calc!$B$7)))=0,$AD$3,INDEX(Database!J$9:J$501,ROW(Calc!H142)-ROW(Calc!$B$7))),"")</f>
        <v>Not Set</v>
      </c>
      <c r="J142" s="128" t="str">
        <f t="shared" si="23"/>
        <v>Not Set</v>
      </c>
      <c r="K142" s="124" t="str">
        <f>IFERROR(IF(LEN(INDEX(Database!E$9:E$501,ROW(Calc!I142)-ROW(Calc!$B$7)))=0,"",INDEX(Database!E$9:E$501,ROW(Calc!I142)-ROW(Calc!$B$7))),"")</f>
        <v/>
      </c>
      <c r="L142" s="129" t="str">
        <f>IFERROR(IF(LEN(INDEX(Database!K$9:K$501,ROW(Calc!K142)-ROW(Calc!$B$7)))=0,$AD$3,INDEX(Database!K$9:K$501,ROW(Calc!K142)-ROW(Calc!$B$7))),"")</f>
        <v>Not Set</v>
      </c>
      <c r="M142" s="130" t="str">
        <f>IFERROR(IF(LEN(INDEX(Database!L$9:L$501,ROW(Calc!L142)-ROW(Calc!$B$7)))=0,$AD$3,INDEX(Database!L$9:L$501,ROW(Calc!L142)-ROW(Calc!$B$7))),"")</f>
        <v>Not Set</v>
      </c>
      <c r="N142" s="131" t="str">
        <f>IFERROR(IF(LEN(INDEX(Database!M$9:M$501,ROW(Calc!M142)-ROW(Calc!$B$7)))=0,"",INDEX(Database!M$9:M$501,ROW(Calc!M142)-ROW(Calc!$B$7))),"")</f>
        <v/>
      </c>
      <c r="O142" s="132" t="str">
        <f t="shared" si="27"/>
        <v/>
      </c>
      <c r="P142" s="125" t="str">
        <f t="shared" si="24"/>
        <v>Not Set</v>
      </c>
      <c r="Q142" s="125" t="str">
        <f t="shared" si="25"/>
        <v>Not Set</v>
      </c>
      <c r="R142" s="125" t="str">
        <f>IFERROR(IF(G142=$AD$3,$AD$3,INDEX(Kanban_Helper!$C$317:$C$328,MATCH(MONTH(G142),Kanban_Helper!$B$317:$B$328,0))&amp;" - "&amp;YEAR(G142)),"$AD$3")</f>
        <v>Not Set</v>
      </c>
      <c r="S142" s="125" t="str">
        <f>IFERROR(IF(I142=$AD$3,$AD$3,INDEX(Kanban_Helper!$C$317:$C$328,MATCH(MONTH(I142),Kanban_Helper!$B$317:$B$328,0))&amp;" - "&amp;YEAR(I142)),$AD$3)</f>
        <v>Not Set</v>
      </c>
      <c r="T142" s="125" t="str">
        <f t="shared" ca="1" si="28"/>
        <v/>
      </c>
      <c r="U142" s="125" t="str">
        <f t="shared" ca="1" si="29"/>
        <v/>
      </c>
      <c r="V142" s="125" t="str">
        <f t="shared" si="26"/>
        <v>Not Set</v>
      </c>
      <c r="W142" s="126" t="str">
        <f t="shared" si="30"/>
        <v/>
      </c>
      <c r="X142" s="126" t="str">
        <f t="shared" si="31"/>
        <v/>
      </c>
      <c r="Y142" s="125" t="str">
        <f>IFERROR(IF(LEN(D142)=0,"",IF(SUBTOTAL(3,E142:E142)=0,MIN($Y$7:Y141)-1,SUBTOTAL(3,$E$8:E142))),"")</f>
        <v/>
      </c>
      <c r="Z142" s="17"/>
      <c r="AA142" s="10"/>
      <c r="AB142" s="10"/>
      <c r="AC142" s="10"/>
      <c r="AD142" s="10"/>
      <c r="AE142" s="10"/>
      <c r="AF142" s="10"/>
      <c r="AG142" s="10"/>
      <c r="AH142" s="10"/>
      <c r="AI142" s="10"/>
      <c r="AJ142" s="10"/>
      <c r="AK142" s="10"/>
      <c r="AL142" s="10"/>
      <c r="AM142" s="10"/>
      <c r="AN142" s="10"/>
    </row>
    <row r="143" spans="2:40" hidden="1" x14ac:dyDescent="0.35">
      <c r="B143" s="15"/>
      <c r="C143" s="127" t="str">
        <f>IFERROR(IF(LEN(INDEX(Database!C$9:C$501,ROW(Calc!A143)-ROW(Calc!$B$7)))=0,"",INDEX(Database!C$9:C$501,ROW(Calc!A143)-ROW(Calc!$B$7))),"")</f>
        <v/>
      </c>
      <c r="D143" s="70" t="str">
        <f>IFERROR(IF(LEN(INDEX(Database!D$9:D$501,ROW(Calc!B143)-ROW(Calc!$B$7)))=0,"",INDEX(Database!D$9:D$501,ROW(Calc!B143)-ROW(Calc!$B$7))),"")</f>
        <v/>
      </c>
      <c r="E143" s="124" t="str">
        <f>IFERROR(IF(LEN(INDEX(Database!G$9:G$501,ROW(Calc!D143)-ROW(Calc!$B$7)))=0,$AD$3,INDEX(Database!G$9:G$501,ROW(Calc!D143)-ROW(Calc!$B$7))),"")</f>
        <v>Not Set</v>
      </c>
      <c r="F143" s="124" t="str">
        <f>IFERROR(IF(LEN(INDEX(Database!F$9:F$501,ROW(Calc!E143)-ROW(Calc!$B$7)))=0,$AD$3,INDEX(Database!F$9:F$501,ROW(Calc!E143)-ROW(Calc!$B$7))),"")</f>
        <v>Not Set</v>
      </c>
      <c r="G143" s="128" t="str">
        <f>IFERROR(IF(LEN(INDEX(Database!H$9:H$501,ROW(Calc!F143)-ROW(Calc!$B$7)))=0,$AD$3,INDEX(Database!H$9:H$501,ROW(Calc!F143)-ROW(Calc!$B$7))),"")</f>
        <v>Not Set</v>
      </c>
      <c r="H143" s="128" t="str">
        <f>IFERROR(IF(LEN(INDEX(Database!I$9:I$501,ROW(Calc!G143)-ROW(Calc!$B$7)))=0,$AD$3,INDEX(Database!I$9:I$501,ROW(Calc!G143)-ROW(Calc!$B$7))),"")</f>
        <v>Not Set</v>
      </c>
      <c r="I143" s="128" t="str">
        <f>IFERROR(IF(LEN(INDEX(Database!J$9:J$501,ROW(Calc!H143)-ROW(Calc!$B$7)))=0,$AD$3,INDEX(Database!J$9:J$501,ROW(Calc!H143)-ROW(Calc!$B$7))),"")</f>
        <v>Not Set</v>
      </c>
      <c r="J143" s="128" t="str">
        <f t="shared" si="23"/>
        <v>Not Set</v>
      </c>
      <c r="K143" s="124" t="str">
        <f>IFERROR(IF(LEN(INDEX(Database!E$9:E$501,ROW(Calc!I143)-ROW(Calc!$B$7)))=0,"",INDEX(Database!E$9:E$501,ROW(Calc!I143)-ROW(Calc!$B$7))),"")</f>
        <v/>
      </c>
      <c r="L143" s="129" t="str">
        <f>IFERROR(IF(LEN(INDEX(Database!K$9:K$501,ROW(Calc!K143)-ROW(Calc!$B$7)))=0,$AD$3,INDEX(Database!K$9:K$501,ROW(Calc!K143)-ROW(Calc!$B$7))),"")</f>
        <v>Not Set</v>
      </c>
      <c r="M143" s="130" t="str">
        <f>IFERROR(IF(LEN(INDEX(Database!L$9:L$501,ROW(Calc!L143)-ROW(Calc!$B$7)))=0,$AD$3,INDEX(Database!L$9:L$501,ROW(Calc!L143)-ROW(Calc!$B$7))),"")</f>
        <v>Not Set</v>
      </c>
      <c r="N143" s="131" t="str">
        <f>IFERROR(IF(LEN(INDEX(Database!M$9:M$501,ROW(Calc!M143)-ROW(Calc!$B$7)))=0,"",INDEX(Database!M$9:M$501,ROW(Calc!M143)-ROW(Calc!$B$7))),"")</f>
        <v/>
      </c>
      <c r="O143" s="132" t="str">
        <f t="shared" si="27"/>
        <v/>
      </c>
      <c r="P143" s="125" t="str">
        <f t="shared" si="24"/>
        <v>Not Set</v>
      </c>
      <c r="Q143" s="125" t="str">
        <f t="shared" si="25"/>
        <v>Not Set</v>
      </c>
      <c r="R143" s="125" t="str">
        <f>IFERROR(IF(G143=$AD$3,$AD$3,INDEX(Kanban_Helper!$C$317:$C$328,MATCH(MONTH(G143),Kanban_Helper!$B$317:$B$328,0))&amp;" - "&amp;YEAR(G143)),"$AD$3")</f>
        <v>Not Set</v>
      </c>
      <c r="S143" s="125" t="str">
        <f>IFERROR(IF(I143=$AD$3,$AD$3,INDEX(Kanban_Helper!$C$317:$C$328,MATCH(MONTH(I143),Kanban_Helper!$B$317:$B$328,0))&amp;" - "&amp;YEAR(I143)),$AD$3)</f>
        <v>Not Set</v>
      </c>
      <c r="T143" s="125" t="str">
        <f t="shared" ca="1" si="28"/>
        <v/>
      </c>
      <c r="U143" s="125" t="str">
        <f t="shared" ca="1" si="29"/>
        <v/>
      </c>
      <c r="V143" s="125" t="str">
        <f t="shared" si="26"/>
        <v>Not Set</v>
      </c>
      <c r="W143" s="126" t="str">
        <f t="shared" si="30"/>
        <v/>
      </c>
      <c r="X143" s="126" t="str">
        <f t="shared" si="31"/>
        <v/>
      </c>
      <c r="Y143" s="125" t="str">
        <f>IFERROR(IF(LEN(D143)=0,"",IF(SUBTOTAL(3,E143:E143)=0,MIN($Y$7:Y142)-1,SUBTOTAL(3,$E$8:E143))),"")</f>
        <v/>
      </c>
      <c r="Z143" s="17"/>
      <c r="AA143" s="10"/>
      <c r="AB143" s="10"/>
      <c r="AC143" s="10"/>
      <c r="AD143" s="10"/>
      <c r="AE143" s="10"/>
      <c r="AF143" s="10"/>
      <c r="AG143" s="10"/>
      <c r="AH143" s="10"/>
      <c r="AI143" s="10"/>
      <c r="AJ143" s="10"/>
      <c r="AK143" s="10"/>
      <c r="AL143" s="10"/>
      <c r="AM143" s="10"/>
      <c r="AN143" s="10"/>
    </row>
    <row r="144" spans="2:40" hidden="1" x14ac:dyDescent="0.35">
      <c r="B144" s="15"/>
      <c r="C144" s="127" t="str">
        <f>IFERROR(IF(LEN(INDEX(Database!C$9:C$501,ROW(Calc!A144)-ROW(Calc!$B$7)))=0,"",INDEX(Database!C$9:C$501,ROW(Calc!A144)-ROW(Calc!$B$7))),"")</f>
        <v/>
      </c>
      <c r="D144" s="70" t="str">
        <f>IFERROR(IF(LEN(INDEX(Database!D$9:D$501,ROW(Calc!B144)-ROW(Calc!$B$7)))=0,"",INDEX(Database!D$9:D$501,ROW(Calc!B144)-ROW(Calc!$B$7))),"")</f>
        <v/>
      </c>
      <c r="E144" s="124" t="str">
        <f>IFERROR(IF(LEN(INDEX(Database!G$9:G$501,ROW(Calc!D144)-ROW(Calc!$B$7)))=0,$AD$3,INDEX(Database!G$9:G$501,ROW(Calc!D144)-ROW(Calc!$B$7))),"")</f>
        <v>Not Set</v>
      </c>
      <c r="F144" s="124" t="str">
        <f>IFERROR(IF(LEN(INDEX(Database!F$9:F$501,ROW(Calc!E144)-ROW(Calc!$B$7)))=0,$AD$3,INDEX(Database!F$9:F$501,ROW(Calc!E144)-ROW(Calc!$B$7))),"")</f>
        <v>Not Set</v>
      </c>
      <c r="G144" s="128" t="str">
        <f>IFERROR(IF(LEN(INDEX(Database!H$9:H$501,ROW(Calc!F144)-ROW(Calc!$B$7)))=0,$AD$3,INDEX(Database!H$9:H$501,ROW(Calc!F144)-ROW(Calc!$B$7))),"")</f>
        <v>Not Set</v>
      </c>
      <c r="H144" s="128" t="str">
        <f>IFERROR(IF(LEN(INDEX(Database!I$9:I$501,ROW(Calc!G144)-ROW(Calc!$B$7)))=0,$AD$3,INDEX(Database!I$9:I$501,ROW(Calc!G144)-ROW(Calc!$B$7))),"")</f>
        <v>Not Set</v>
      </c>
      <c r="I144" s="128" t="str">
        <f>IFERROR(IF(LEN(INDEX(Database!J$9:J$501,ROW(Calc!H144)-ROW(Calc!$B$7)))=0,$AD$3,INDEX(Database!J$9:J$501,ROW(Calc!H144)-ROW(Calc!$B$7))),"")</f>
        <v>Not Set</v>
      </c>
      <c r="J144" s="128" t="str">
        <f t="shared" si="23"/>
        <v>Not Set</v>
      </c>
      <c r="K144" s="124" t="str">
        <f>IFERROR(IF(LEN(INDEX(Database!E$9:E$501,ROW(Calc!I144)-ROW(Calc!$B$7)))=0,"",INDEX(Database!E$9:E$501,ROW(Calc!I144)-ROW(Calc!$B$7))),"")</f>
        <v/>
      </c>
      <c r="L144" s="129" t="str">
        <f>IFERROR(IF(LEN(INDEX(Database!K$9:K$501,ROW(Calc!K144)-ROW(Calc!$B$7)))=0,$AD$3,INDEX(Database!K$9:K$501,ROW(Calc!K144)-ROW(Calc!$B$7))),"")</f>
        <v>Not Set</v>
      </c>
      <c r="M144" s="130" t="str">
        <f>IFERROR(IF(LEN(INDEX(Database!L$9:L$501,ROW(Calc!L144)-ROW(Calc!$B$7)))=0,$AD$3,INDEX(Database!L$9:L$501,ROW(Calc!L144)-ROW(Calc!$B$7))),"")</f>
        <v>Not Set</v>
      </c>
      <c r="N144" s="131" t="str">
        <f>IFERROR(IF(LEN(INDEX(Database!M$9:M$501,ROW(Calc!M144)-ROW(Calc!$B$7)))=0,"",INDEX(Database!M$9:M$501,ROW(Calc!M144)-ROW(Calc!$B$7))),"")</f>
        <v/>
      </c>
      <c r="O144" s="132" t="str">
        <f t="shared" si="27"/>
        <v/>
      </c>
      <c r="P144" s="125" t="str">
        <f t="shared" si="24"/>
        <v>Not Set</v>
      </c>
      <c r="Q144" s="125" t="str">
        <f t="shared" si="25"/>
        <v>Not Set</v>
      </c>
      <c r="R144" s="125" t="str">
        <f>IFERROR(IF(G144=$AD$3,$AD$3,INDEX(Kanban_Helper!$C$317:$C$328,MATCH(MONTH(G144),Kanban_Helper!$B$317:$B$328,0))&amp;" - "&amp;YEAR(G144)),"$AD$3")</f>
        <v>Not Set</v>
      </c>
      <c r="S144" s="125" t="str">
        <f>IFERROR(IF(I144=$AD$3,$AD$3,INDEX(Kanban_Helper!$C$317:$C$328,MATCH(MONTH(I144),Kanban_Helper!$B$317:$B$328,0))&amp;" - "&amp;YEAR(I144)),$AD$3)</f>
        <v>Not Set</v>
      </c>
      <c r="T144" s="125" t="str">
        <f t="shared" ca="1" si="28"/>
        <v/>
      </c>
      <c r="U144" s="125" t="str">
        <f t="shared" ca="1" si="29"/>
        <v/>
      </c>
      <c r="V144" s="125" t="str">
        <f t="shared" si="26"/>
        <v>Not Set</v>
      </c>
      <c r="W144" s="126" t="str">
        <f t="shared" si="30"/>
        <v/>
      </c>
      <c r="X144" s="126" t="str">
        <f t="shared" si="31"/>
        <v/>
      </c>
      <c r="Y144" s="125" t="str">
        <f>IFERROR(IF(LEN(D144)=0,"",IF(SUBTOTAL(3,E144:E144)=0,MIN($Y$7:Y143)-1,SUBTOTAL(3,$E$8:E144))),"")</f>
        <v/>
      </c>
      <c r="Z144" s="17"/>
      <c r="AA144" s="10"/>
      <c r="AB144" s="10"/>
      <c r="AC144" s="10"/>
      <c r="AD144" s="10"/>
      <c r="AE144" s="10"/>
      <c r="AF144" s="10"/>
      <c r="AG144" s="10"/>
      <c r="AH144" s="10"/>
      <c r="AI144" s="10"/>
      <c r="AJ144" s="10"/>
      <c r="AK144" s="10"/>
      <c r="AL144" s="10"/>
      <c r="AM144" s="10"/>
      <c r="AN144" s="10"/>
    </row>
    <row r="145" spans="2:40" hidden="1" x14ac:dyDescent="0.35">
      <c r="B145" s="15"/>
      <c r="C145" s="127" t="str">
        <f>IFERROR(IF(LEN(INDEX(Database!C$9:C$501,ROW(Calc!A145)-ROW(Calc!$B$7)))=0,"",INDEX(Database!C$9:C$501,ROW(Calc!A145)-ROW(Calc!$B$7))),"")</f>
        <v/>
      </c>
      <c r="D145" s="70" t="str">
        <f>IFERROR(IF(LEN(INDEX(Database!D$9:D$501,ROW(Calc!B145)-ROW(Calc!$B$7)))=0,"",INDEX(Database!D$9:D$501,ROW(Calc!B145)-ROW(Calc!$B$7))),"")</f>
        <v/>
      </c>
      <c r="E145" s="124" t="str">
        <f>IFERROR(IF(LEN(INDEX(Database!G$9:G$501,ROW(Calc!D145)-ROW(Calc!$B$7)))=0,$AD$3,INDEX(Database!G$9:G$501,ROW(Calc!D145)-ROW(Calc!$B$7))),"")</f>
        <v>Not Set</v>
      </c>
      <c r="F145" s="124" t="str">
        <f>IFERROR(IF(LEN(INDEX(Database!F$9:F$501,ROW(Calc!E145)-ROW(Calc!$B$7)))=0,$AD$3,INDEX(Database!F$9:F$501,ROW(Calc!E145)-ROW(Calc!$B$7))),"")</f>
        <v>Not Set</v>
      </c>
      <c r="G145" s="128" t="str">
        <f>IFERROR(IF(LEN(INDEX(Database!H$9:H$501,ROW(Calc!F145)-ROW(Calc!$B$7)))=0,$AD$3,INDEX(Database!H$9:H$501,ROW(Calc!F145)-ROW(Calc!$B$7))),"")</f>
        <v>Not Set</v>
      </c>
      <c r="H145" s="128" t="str">
        <f>IFERROR(IF(LEN(INDEX(Database!I$9:I$501,ROW(Calc!G145)-ROW(Calc!$B$7)))=0,$AD$3,INDEX(Database!I$9:I$501,ROW(Calc!G145)-ROW(Calc!$B$7))),"")</f>
        <v>Not Set</v>
      </c>
      <c r="I145" s="128" t="str">
        <f>IFERROR(IF(LEN(INDEX(Database!J$9:J$501,ROW(Calc!H145)-ROW(Calc!$B$7)))=0,$AD$3,INDEX(Database!J$9:J$501,ROW(Calc!H145)-ROW(Calc!$B$7))),"")</f>
        <v>Not Set</v>
      </c>
      <c r="J145" s="128" t="str">
        <f t="shared" si="23"/>
        <v>Not Set</v>
      </c>
      <c r="K145" s="124" t="str">
        <f>IFERROR(IF(LEN(INDEX(Database!E$9:E$501,ROW(Calc!I145)-ROW(Calc!$B$7)))=0,"",INDEX(Database!E$9:E$501,ROW(Calc!I145)-ROW(Calc!$B$7))),"")</f>
        <v/>
      </c>
      <c r="L145" s="129" t="str">
        <f>IFERROR(IF(LEN(INDEX(Database!K$9:K$501,ROW(Calc!K145)-ROW(Calc!$B$7)))=0,$AD$3,INDEX(Database!K$9:K$501,ROW(Calc!K145)-ROW(Calc!$B$7))),"")</f>
        <v>Not Set</v>
      </c>
      <c r="M145" s="130" t="str">
        <f>IFERROR(IF(LEN(INDEX(Database!L$9:L$501,ROW(Calc!L145)-ROW(Calc!$B$7)))=0,$AD$3,INDEX(Database!L$9:L$501,ROW(Calc!L145)-ROW(Calc!$B$7))),"")</f>
        <v>Not Set</v>
      </c>
      <c r="N145" s="131" t="str">
        <f>IFERROR(IF(LEN(INDEX(Database!M$9:M$501,ROW(Calc!M145)-ROW(Calc!$B$7)))=0,"",INDEX(Database!M$9:M$501,ROW(Calc!M145)-ROW(Calc!$B$7))),"")</f>
        <v/>
      </c>
      <c r="O145" s="132" t="str">
        <f t="shared" si="27"/>
        <v/>
      </c>
      <c r="P145" s="125" t="str">
        <f t="shared" si="24"/>
        <v>Not Set</v>
      </c>
      <c r="Q145" s="125" t="str">
        <f t="shared" si="25"/>
        <v>Not Set</v>
      </c>
      <c r="R145" s="125" t="str">
        <f>IFERROR(IF(G145=$AD$3,$AD$3,INDEX(Kanban_Helper!$C$317:$C$328,MATCH(MONTH(G145),Kanban_Helper!$B$317:$B$328,0))&amp;" - "&amp;YEAR(G145)),"$AD$3")</f>
        <v>Not Set</v>
      </c>
      <c r="S145" s="125" t="str">
        <f>IFERROR(IF(I145=$AD$3,$AD$3,INDEX(Kanban_Helper!$C$317:$C$328,MATCH(MONTH(I145),Kanban_Helper!$B$317:$B$328,0))&amp;" - "&amp;YEAR(I145)),$AD$3)</f>
        <v>Not Set</v>
      </c>
      <c r="T145" s="125" t="str">
        <f t="shared" ca="1" si="28"/>
        <v/>
      </c>
      <c r="U145" s="125" t="str">
        <f t="shared" ca="1" si="29"/>
        <v/>
      </c>
      <c r="V145" s="125" t="str">
        <f t="shared" si="26"/>
        <v>Not Set</v>
      </c>
      <c r="W145" s="126" t="str">
        <f t="shared" si="30"/>
        <v/>
      </c>
      <c r="X145" s="126" t="str">
        <f t="shared" si="31"/>
        <v/>
      </c>
      <c r="Y145" s="125" t="str">
        <f>IFERROR(IF(LEN(D145)=0,"",IF(SUBTOTAL(3,E145:E145)=0,MIN($Y$7:Y144)-1,SUBTOTAL(3,$E$8:E145))),"")</f>
        <v/>
      </c>
      <c r="Z145" s="17"/>
      <c r="AA145" s="10"/>
      <c r="AB145" s="10"/>
      <c r="AC145" s="10"/>
      <c r="AD145" s="10"/>
      <c r="AE145" s="10"/>
      <c r="AF145" s="10"/>
      <c r="AG145" s="10"/>
      <c r="AH145" s="10"/>
      <c r="AI145" s="10"/>
      <c r="AJ145" s="10"/>
      <c r="AK145" s="10"/>
      <c r="AL145" s="10"/>
      <c r="AM145" s="10"/>
      <c r="AN145" s="10"/>
    </row>
    <row r="146" spans="2:40" hidden="1" x14ac:dyDescent="0.35">
      <c r="B146" s="15"/>
      <c r="C146" s="127" t="str">
        <f>IFERROR(IF(LEN(INDEX(Database!C$9:C$501,ROW(Calc!A146)-ROW(Calc!$B$7)))=0,"",INDEX(Database!C$9:C$501,ROW(Calc!A146)-ROW(Calc!$B$7))),"")</f>
        <v/>
      </c>
      <c r="D146" s="70" t="str">
        <f>IFERROR(IF(LEN(INDEX(Database!D$9:D$501,ROW(Calc!B146)-ROW(Calc!$B$7)))=0,"",INDEX(Database!D$9:D$501,ROW(Calc!B146)-ROW(Calc!$B$7))),"")</f>
        <v/>
      </c>
      <c r="E146" s="124" t="str">
        <f>IFERROR(IF(LEN(INDEX(Database!G$9:G$501,ROW(Calc!D146)-ROW(Calc!$B$7)))=0,$AD$3,INDEX(Database!G$9:G$501,ROW(Calc!D146)-ROW(Calc!$B$7))),"")</f>
        <v>Not Set</v>
      </c>
      <c r="F146" s="124" t="str">
        <f>IFERROR(IF(LEN(INDEX(Database!F$9:F$501,ROW(Calc!E146)-ROW(Calc!$B$7)))=0,$AD$3,INDEX(Database!F$9:F$501,ROW(Calc!E146)-ROW(Calc!$B$7))),"")</f>
        <v>Not Set</v>
      </c>
      <c r="G146" s="128" t="str">
        <f>IFERROR(IF(LEN(INDEX(Database!H$9:H$501,ROW(Calc!F146)-ROW(Calc!$B$7)))=0,$AD$3,INDEX(Database!H$9:H$501,ROW(Calc!F146)-ROW(Calc!$B$7))),"")</f>
        <v>Not Set</v>
      </c>
      <c r="H146" s="128" t="str">
        <f>IFERROR(IF(LEN(INDEX(Database!I$9:I$501,ROW(Calc!G146)-ROW(Calc!$B$7)))=0,$AD$3,INDEX(Database!I$9:I$501,ROW(Calc!G146)-ROW(Calc!$B$7))),"")</f>
        <v>Not Set</v>
      </c>
      <c r="I146" s="128" t="str">
        <f>IFERROR(IF(LEN(INDEX(Database!J$9:J$501,ROW(Calc!H146)-ROW(Calc!$B$7)))=0,$AD$3,INDEX(Database!J$9:J$501,ROW(Calc!H146)-ROW(Calc!$B$7))),"")</f>
        <v>Not Set</v>
      </c>
      <c r="J146" s="128" t="str">
        <f t="shared" si="23"/>
        <v>Not Set</v>
      </c>
      <c r="K146" s="124" t="str">
        <f>IFERROR(IF(LEN(INDEX(Database!E$9:E$501,ROW(Calc!I146)-ROW(Calc!$B$7)))=0,"",INDEX(Database!E$9:E$501,ROW(Calc!I146)-ROW(Calc!$B$7))),"")</f>
        <v/>
      </c>
      <c r="L146" s="129" t="str">
        <f>IFERROR(IF(LEN(INDEX(Database!K$9:K$501,ROW(Calc!K146)-ROW(Calc!$B$7)))=0,$AD$3,INDEX(Database!K$9:K$501,ROW(Calc!K146)-ROW(Calc!$B$7))),"")</f>
        <v>Not Set</v>
      </c>
      <c r="M146" s="130" t="str">
        <f>IFERROR(IF(LEN(INDEX(Database!L$9:L$501,ROW(Calc!L146)-ROW(Calc!$B$7)))=0,$AD$3,INDEX(Database!L$9:L$501,ROW(Calc!L146)-ROW(Calc!$B$7))),"")</f>
        <v>Not Set</v>
      </c>
      <c r="N146" s="131" t="str">
        <f>IFERROR(IF(LEN(INDEX(Database!M$9:M$501,ROW(Calc!M146)-ROW(Calc!$B$7)))=0,"",INDEX(Database!M$9:M$501,ROW(Calc!M146)-ROW(Calc!$B$7))),"")</f>
        <v/>
      </c>
      <c r="O146" s="132" t="str">
        <f t="shared" si="27"/>
        <v/>
      </c>
      <c r="P146" s="125" t="str">
        <f t="shared" si="24"/>
        <v>Not Set</v>
      </c>
      <c r="Q146" s="125" t="str">
        <f t="shared" si="25"/>
        <v>Not Set</v>
      </c>
      <c r="R146" s="125" t="str">
        <f>IFERROR(IF(G146=$AD$3,$AD$3,INDEX(Kanban_Helper!$C$317:$C$328,MATCH(MONTH(G146),Kanban_Helper!$B$317:$B$328,0))&amp;" - "&amp;YEAR(G146)),"$AD$3")</f>
        <v>Not Set</v>
      </c>
      <c r="S146" s="125" t="str">
        <f>IFERROR(IF(I146=$AD$3,$AD$3,INDEX(Kanban_Helper!$C$317:$C$328,MATCH(MONTH(I146),Kanban_Helper!$B$317:$B$328,0))&amp;" - "&amp;YEAR(I146)),$AD$3)</f>
        <v>Not Set</v>
      </c>
      <c r="T146" s="125" t="str">
        <f t="shared" ca="1" si="28"/>
        <v/>
      </c>
      <c r="U146" s="125" t="str">
        <f t="shared" ca="1" si="29"/>
        <v/>
      </c>
      <c r="V146" s="125" t="str">
        <f t="shared" si="26"/>
        <v>Not Set</v>
      </c>
      <c r="W146" s="126" t="str">
        <f t="shared" si="30"/>
        <v/>
      </c>
      <c r="X146" s="126" t="str">
        <f t="shared" si="31"/>
        <v/>
      </c>
      <c r="Y146" s="125" t="str">
        <f>IFERROR(IF(LEN(D146)=0,"",IF(SUBTOTAL(3,E146:E146)=0,MIN($Y$7:Y145)-1,SUBTOTAL(3,$E$8:E146))),"")</f>
        <v/>
      </c>
      <c r="Z146" s="17"/>
      <c r="AA146" s="10"/>
      <c r="AB146" s="10"/>
      <c r="AC146" s="10"/>
      <c r="AD146" s="10"/>
      <c r="AE146" s="10"/>
      <c r="AF146" s="10"/>
      <c r="AG146" s="10"/>
      <c r="AH146" s="10"/>
      <c r="AI146" s="10"/>
      <c r="AJ146" s="10"/>
      <c r="AK146" s="10"/>
      <c r="AL146" s="10"/>
      <c r="AM146" s="10"/>
      <c r="AN146" s="10"/>
    </row>
    <row r="147" spans="2:40" hidden="1" x14ac:dyDescent="0.35">
      <c r="B147" s="15"/>
      <c r="C147" s="127" t="str">
        <f>IFERROR(IF(LEN(INDEX(Database!C$9:C$501,ROW(Calc!A147)-ROW(Calc!$B$7)))=0,"",INDEX(Database!C$9:C$501,ROW(Calc!A147)-ROW(Calc!$B$7))),"")</f>
        <v/>
      </c>
      <c r="D147" s="70" t="str">
        <f>IFERROR(IF(LEN(INDEX(Database!D$9:D$501,ROW(Calc!B147)-ROW(Calc!$B$7)))=0,"",INDEX(Database!D$9:D$501,ROW(Calc!B147)-ROW(Calc!$B$7))),"")</f>
        <v/>
      </c>
      <c r="E147" s="124" t="str">
        <f>IFERROR(IF(LEN(INDEX(Database!G$9:G$501,ROW(Calc!D147)-ROW(Calc!$B$7)))=0,$AD$3,INDEX(Database!G$9:G$501,ROW(Calc!D147)-ROW(Calc!$B$7))),"")</f>
        <v>Not Set</v>
      </c>
      <c r="F147" s="124" t="str">
        <f>IFERROR(IF(LEN(INDEX(Database!F$9:F$501,ROW(Calc!E147)-ROW(Calc!$B$7)))=0,$AD$3,INDEX(Database!F$9:F$501,ROW(Calc!E147)-ROW(Calc!$B$7))),"")</f>
        <v>Not Set</v>
      </c>
      <c r="G147" s="128" t="str">
        <f>IFERROR(IF(LEN(INDEX(Database!H$9:H$501,ROW(Calc!F147)-ROW(Calc!$B$7)))=0,$AD$3,INDEX(Database!H$9:H$501,ROW(Calc!F147)-ROW(Calc!$B$7))),"")</f>
        <v>Not Set</v>
      </c>
      <c r="H147" s="128" t="str">
        <f>IFERROR(IF(LEN(INDEX(Database!I$9:I$501,ROW(Calc!G147)-ROW(Calc!$B$7)))=0,$AD$3,INDEX(Database!I$9:I$501,ROW(Calc!G147)-ROW(Calc!$B$7))),"")</f>
        <v>Not Set</v>
      </c>
      <c r="I147" s="128" t="str">
        <f>IFERROR(IF(LEN(INDEX(Database!J$9:J$501,ROW(Calc!H147)-ROW(Calc!$B$7)))=0,$AD$3,INDEX(Database!J$9:J$501,ROW(Calc!H147)-ROW(Calc!$B$7))),"")</f>
        <v>Not Set</v>
      </c>
      <c r="J147" s="128" t="str">
        <f t="shared" si="23"/>
        <v>Not Set</v>
      </c>
      <c r="K147" s="124" t="str">
        <f>IFERROR(IF(LEN(INDEX(Database!E$9:E$501,ROW(Calc!I147)-ROW(Calc!$B$7)))=0,"",INDEX(Database!E$9:E$501,ROW(Calc!I147)-ROW(Calc!$B$7))),"")</f>
        <v/>
      </c>
      <c r="L147" s="129" t="str">
        <f>IFERROR(IF(LEN(INDEX(Database!K$9:K$501,ROW(Calc!K147)-ROW(Calc!$B$7)))=0,$AD$3,INDEX(Database!K$9:K$501,ROW(Calc!K147)-ROW(Calc!$B$7))),"")</f>
        <v>Not Set</v>
      </c>
      <c r="M147" s="130" t="str">
        <f>IFERROR(IF(LEN(INDEX(Database!L$9:L$501,ROW(Calc!L147)-ROW(Calc!$B$7)))=0,$AD$3,INDEX(Database!L$9:L$501,ROW(Calc!L147)-ROW(Calc!$B$7))),"")</f>
        <v>Not Set</v>
      </c>
      <c r="N147" s="131" t="str">
        <f>IFERROR(IF(LEN(INDEX(Database!M$9:M$501,ROW(Calc!M147)-ROW(Calc!$B$7)))=0,"",INDEX(Database!M$9:M$501,ROW(Calc!M147)-ROW(Calc!$B$7))),"")</f>
        <v/>
      </c>
      <c r="O147" s="132" t="str">
        <f t="shared" si="27"/>
        <v/>
      </c>
      <c r="P147" s="125" t="str">
        <f t="shared" si="24"/>
        <v>Not Set</v>
      </c>
      <c r="Q147" s="125" t="str">
        <f t="shared" si="25"/>
        <v>Not Set</v>
      </c>
      <c r="R147" s="125" t="str">
        <f>IFERROR(IF(G147=$AD$3,$AD$3,INDEX(Kanban_Helper!$C$317:$C$328,MATCH(MONTH(G147),Kanban_Helper!$B$317:$B$328,0))&amp;" - "&amp;YEAR(G147)),"$AD$3")</f>
        <v>Not Set</v>
      </c>
      <c r="S147" s="125" t="str">
        <f>IFERROR(IF(I147=$AD$3,$AD$3,INDEX(Kanban_Helper!$C$317:$C$328,MATCH(MONTH(I147),Kanban_Helper!$B$317:$B$328,0))&amp;" - "&amp;YEAR(I147)),$AD$3)</f>
        <v>Not Set</v>
      </c>
      <c r="T147" s="125" t="str">
        <f t="shared" ca="1" si="28"/>
        <v/>
      </c>
      <c r="U147" s="125" t="str">
        <f t="shared" ca="1" si="29"/>
        <v/>
      </c>
      <c r="V147" s="125" t="str">
        <f t="shared" si="26"/>
        <v>Not Set</v>
      </c>
      <c r="W147" s="126" t="str">
        <f t="shared" si="30"/>
        <v/>
      </c>
      <c r="X147" s="126" t="str">
        <f t="shared" si="31"/>
        <v/>
      </c>
      <c r="Y147" s="125" t="str">
        <f>IFERROR(IF(LEN(D147)=0,"",IF(SUBTOTAL(3,E147:E147)=0,MIN($Y$7:Y146)-1,SUBTOTAL(3,$E$8:E147))),"")</f>
        <v/>
      </c>
      <c r="Z147" s="17"/>
      <c r="AA147" s="10"/>
      <c r="AB147" s="10"/>
      <c r="AC147" s="10"/>
      <c r="AD147" s="10"/>
      <c r="AE147" s="10"/>
      <c r="AF147" s="10"/>
      <c r="AG147" s="10"/>
      <c r="AH147" s="10"/>
      <c r="AI147" s="10"/>
      <c r="AJ147" s="10"/>
      <c r="AK147" s="10"/>
      <c r="AL147" s="10"/>
      <c r="AM147" s="10"/>
      <c r="AN147" s="10"/>
    </row>
    <row r="148" spans="2:40" hidden="1" x14ac:dyDescent="0.35">
      <c r="B148" s="15"/>
      <c r="C148" s="127" t="str">
        <f>IFERROR(IF(LEN(INDEX(Database!C$9:C$501,ROW(Calc!A148)-ROW(Calc!$B$7)))=0,"",INDEX(Database!C$9:C$501,ROW(Calc!A148)-ROW(Calc!$B$7))),"")</f>
        <v/>
      </c>
      <c r="D148" s="70" t="str">
        <f>IFERROR(IF(LEN(INDEX(Database!D$9:D$501,ROW(Calc!B148)-ROW(Calc!$B$7)))=0,"",INDEX(Database!D$9:D$501,ROW(Calc!B148)-ROW(Calc!$B$7))),"")</f>
        <v/>
      </c>
      <c r="E148" s="124" t="str">
        <f>IFERROR(IF(LEN(INDEX(Database!G$9:G$501,ROW(Calc!D148)-ROW(Calc!$B$7)))=0,$AD$3,INDEX(Database!G$9:G$501,ROW(Calc!D148)-ROW(Calc!$B$7))),"")</f>
        <v>Not Set</v>
      </c>
      <c r="F148" s="124" t="str">
        <f>IFERROR(IF(LEN(INDEX(Database!F$9:F$501,ROW(Calc!E148)-ROW(Calc!$B$7)))=0,$AD$3,INDEX(Database!F$9:F$501,ROW(Calc!E148)-ROW(Calc!$B$7))),"")</f>
        <v>Not Set</v>
      </c>
      <c r="G148" s="128" t="str">
        <f>IFERROR(IF(LEN(INDEX(Database!H$9:H$501,ROW(Calc!F148)-ROW(Calc!$B$7)))=0,$AD$3,INDEX(Database!H$9:H$501,ROW(Calc!F148)-ROW(Calc!$B$7))),"")</f>
        <v>Not Set</v>
      </c>
      <c r="H148" s="128" t="str">
        <f>IFERROR(IF(LEN(INDEX(Database!I$9:I$501,ROW(Calc!G148)-ROW(Calc!$B$7)))=0,$AD$3,INDEX(Database!I$9:I$501,ROW(Calc!G148)-ROW(Calc!$B$7))),"")</f>
        <v>Not Set</v>
      </c>
      <c r="I148" s="128" t="str">
        <f>IFERROR(IF(LEN(INDEX(Database!J$9:J$501,ROW(Calc!H148)-ROW(Calc!$B$7)))=0,$AD$3,INDEX(Database!J$9:J$501,ROW(Calc!H148)-ROW(Calc!$B$7))),"")</f>
        <v>Not Set</v>
      </c>
      <c r="J148" s="128" t="str">
        <f t="shared" si="23"/>
        <v>Not Set</v>
      </c>
      <c r="K148" s="124" t="str">
        <f>IFERROR(IF(LEN(INDEX(Database!E$9:E$501,ROW(Calc!I148)-ROW(Calc!$B$7)))=0,"",INDEX(Database!E$9:E$501,ROW(Calc!I148)-ROW(Calc!$B$7))),"")</f>
        <v/>
      </c>
      <c r="L148" s="129" t="str">
        <f>IFERROR(IF(LEN(INDEX(Database!K$9:K$501,ROW(Calc!K148)-ROW(Calc!$B$7)))=0,$AD$3,INDEX(Database!K$9:K$501,ROW(Calc!K148)-ROW(Calc!$B$7))),"")</f>
        <v>Not Set</v>
      </c>
      <c r="M148" s="130" t="str">
        <f>IFERROR(IF(LEN(INDEX(Database!L$9:L$501,ROW(Calc!L148)-ROW(Calc!$B$7)))=0,$AD$3,INDEX(Database!L$9:L$501,ROW(Calc!L148)-ROW(Calc!$B$7))),"")</f>
        <v>Not Set</v>
      </c>
      <c r="N148" s="131" t="str">
        <f>IFERROR(IF(LEN(INDEX(Database!M$9:M$501,ROW(Calc!M148)-ROW(Calc!$B$7)))=0,"",INDEX(Database!M$9:M$501,ROW(Calc!M148)-ROW(Calc!$B$7))),"")</f>
        <v/>
      </c>
      <c r="O148" s="132" t="str">
        <f t="shared" si="27"/>
        <v/>
      </c>
      <c r="P148" s="125" t="str">
        <f t="shared" si="24"/>
        <v>Not Set</v>
      </c>
      <c r="Q148" s="125" t="str">
        <f t="shared" si="25"/>
        <v>Not Set</v>
      </c>
      <c r="R148" s="125" t="str">
        <f>IFERROR(IF(G148=$AD$3,$AD$3,INDEX(Kanban_Helper!$C$317:$C$328,MATCH(MONTH(G148),Kanban_Helper!$B$317:$B$328,0))&amp;" - "&amp;YEAR(G148)),"$AD$3")</f>
        <v>Not Set</v>
      </c>
      <c r="S148" s="125" t="str">
        <f>IFERROR(IF(I148=$AD$3,$AD$3,INDEX(Kanban_Helper!$C$317:$C$328,MATCH(MONTH(I148),Kanban_Helper!$B$317:$B$328,0))&amp;" - "&amp;YEAR(I148)),$AD$3)</f>
        <v>Not Set</v>
      </c>
      <c r="T148" s="125" t="str">
        <f t="shared" ca="1" si="28"/>
        <v/>
      </c>
      <c r="U148" s="125" t="str">
        <f t="shared" ca="1" si="29"/>
        <v/>
      </c>
      <c r="V148" s="125" t="str">
        <f t="shared" si="26"/>
        <v>Not Set</v>
      </c>
      <c r="W148" s="126" t="str">
        <f t="shared" si="30"/>
        <v/>
      </c>
      <c r="X148" s="126" t="str">
        <f t="shared" si="31"/>
        <v/>
      </c>
      <c r="Y148" s="125" t="str">
        <f>IFERROR(IF(LEN(D148)=0,"",IF(SUBTOTAL(3,E148:E148)=0,MIN($Y$7:Y147)-1,SUBTOTAL(3,$E$8:E148))),"")</f>
        <v/>
      </c>
      <c r="Z148" s="17"/>
      <c r="AA148" s="10"/>
      <c r="AB148" s="10"/>
      <c r="AC148" s="10"/>
      <c r="AD148" s="10"/>
      <c r="AE148" s="10"/>
      <c r="AF148" s="10"/>
      <c r="AG148" s="10"/>
      <c r="AH148" s="10"/>
      <c r="AI148" s="10"/>
      <c r="AJ148" s="10"/>
      <c r="AK148" s="10"/>
      <c r="AL148" s="10"/>
      <c r="AM148" s="10"/>
      <c r="AN148" s="10"/>
    </row>
    <row r="149" spans="2:40" hidden="1" x14ac:dyDescent="0.35">
      <c r="B149" s="15"/>
      <c r="C149" s="127" t="str">
        <f>IFERROR(IF(LEN(INDEX(Database!C$9:C$501,ROW(Calc!A149)-ROW(Calc!$B$7)))=0,"",INDEX(Database!C$9:C$501,ROW(Calc!A149)-ROW(Calc!$B$7))),"")</f>
        <v/>
      </c>
      <c r="D149" s="70" t="str">
        <f>IFERROR(IF(LEN(INDEX(Database!D$9:D$501,ROW(Calc!B149)-ROW(Calc!$B$7)))=0,"",INDEX(Database!D$9:D$501,ROW(Calc!B149)-ROW(Calc!$B$7))),"")</f>
        <v/>
      </c>
      <c r="E149" s="124" t="str">
        <f>IFERROR(IF(LEN(INDEX(Database!G$9:G$501,ROW(Calc!D149)-ROW(Calc!$B$7)))=0,$AD$3,INDEX(Database!G$9:G$501,ROW(Calc!D149)-ROW(Calc!$B$7))),"")</f>
        <v>Not Set</v>
      </c>
      <c r="F149" s="124" t="str">
        <f>IFERROR(IF(LEN(INDEX(Database!F$9:F$501,ROW(Calc!E149)-ROW(Calc!$B$7)))=0,$AD$3,INDEX(Database!F$9:F$501,ROW(Calc!E149)-ROW(Calc!$B$7))),"")</f>
        <v>Not Set</v>
      </c>
      <c r="G149" s="128" t="str">
        <f>IFERROR(IF(LEN(INDEX(Database!H$9:H$501,ROW(Calc!F149)-ROW(Calc!$B$7)))=0,$AD$3,INDEX(Database!H$9:H$501,ROW(Calc!F149)-ROW(Calc!$B$7))),"")</f>
        <v>Not Set</v>
      </c>
      <c r="H149" s="128" t="str">
        <f>IFERROR(IF(LEN(INDEX(Database!I$9:I$501,ROW(Calc!G149)-ROW(Calc!$B$7)))=0,$AD$3,INDEX(Database!I$9:I$501,ROW(Calc!G149)-ROW(Calc!$B$7))),"")</f>
        <v>Not Set</v>
      </c>
      <c r="I149" s="128" t="str">
        <f>IFERROR(IF(LEN(INDEX(Database!J$9:J$501,ROW(Calc!H149)-ROW(Calc!$B$7)))=0,$AD$3,INDEX(Database!J$9:J$501,ROW(Calc!H149)-ROW(Calc!$B$7))),"")</f>
        <v>Not Set</v>
      </c>
      <c r="J149" s="128" t="str">
        <f t="shared" si="23"/>
        <v>Not Set</v>
      </c>
      <c r="K149" s="124" t="str">
        <f>IFERROR(IF(LEN(INDEX(Database!E$9:E$501,ROW(Calc!I149)-ROW(Calc!$B$7)))=0,"",INDEX(Database!E$9:E$501,ROW(Calc!I149)-ROW(Calc!$B$7))),"")</f>
        <v/>
      </c>
      <c r="L149" s="129" t="str">
        <f>IFERROR(IF(LEN(INDEX(Database!K$9:K$501,ROW(Calc!K149)-ROW(Calc!$B$7)))=0,$AD$3,INDEX(Database!K$9:K$501,ROW(Calc!K149)-ROW(Calc!$B$7))),"")</f>
        <v>Not Set</v>
      </c>
      <c r="M149" s="130" t="str">
        <f>IFERROR(IF(LEN(INDEX(Database!L$9:L$501,ROW(Calc!L149)-ROW(Calc!$B$7)))=0,$AD$3,INDEX(Database!L$9:L$501,ROW(Calc!L149)-ROW(Calc!$B$7))),"")</f>
        <v>Not Set</v>
      </c>
      <c r="N149" s="131" t="str">
        <f>IFERROR(IF(LEN(INDEX(Database!M$9:M$501,ROW(Calc!M149)-ROW(Calc!$B$7)))=0,"",INDEX(Database!M$9:M$501,ROW(Calc!M149)-ROW(Calc!$B$7))),"")</f>
        <v/>
      </c>
      <c r="O149" s="132" t="str">
        <f t="shared" si="27"/>
        <v/>
      </c>
      <c r="P149" s="125" t="str">
        <f t="shared" si="24"/>
        <v>Not Set</v>
      </c>
      <c r="Q149" s="125" t="str">
        <f t="shared" si="25"/>
        <v>Not Set</v>
      </c>
      <c r="R149" s="125" t="str">
        <f>IFERROR(IF(G149=$AD$3,$AD$3,INDEX(Kanban_Helper!$C$317:$C$328,MATCH(MONTH(G149),Kanban_Helper!$B$317:$B$328,0))&amp;" - "&amp;YEAR(G149)),"$AD$3")</f>
        <v>Not Set</v>
      </c>
      <c r="S149" s="125" t="str">
        <f>IFERROR(IF(I149=$AD$3,$AD$3,INDEX(Kanban_Helper!$C$317:$C$328,MATCH(MONTH(I149),Kanban_Helper!$B$317:$B$328,0))&amp;" - "&amp;YEAR(I149)),$AD$3)</f>
        <v>Not Set</v>
      </c>
      <c r="T149" s="125" t="str">
        <f t="shared" ca="1" si="28"/>
        <v/>
      </c>
      <c r="U149" s="125" t="str">
        <f t="shared" ca="1" si="29"/>
        <v/>
      </c>
      <c r="V149" s="125" t="str">
        <f t="shared" si="26"/>
        <v>Not Set</v>
      </c>
      <c r="W149" s="126" t="str">
        <f t="shared" si="30"/>
        <v/>
      </c>
      <c r="X149" s="126" t="str">
        <f t="shared" si="31"/>
        <v/>
      </c>
      <c r="Y149" s="125" t="str">
        <f>IFERROR(IF(LEN(D149)=0,"",IF(SUBTOTAL(3,E149:E149)=0,MIN($Y$7:Y148)-1,SUBTOTAL(3,$E$8:E149))),"")</f>
        <v/>
      </c>
      <c r="Z149" s="17"/>
      <c r="AA149" s="10"/>
      <c r="AB149" s="10"/>
      <c r="AC149" s="10"/>
      <c r="AD149" s="10"/>
      <c r="AE149" s="10"/>
      <c r="AF149" s="10"/>
      <c r="AG149" s="10"/>
      <c r="AH149" s="10"/>
      <c r="AI149" s="10"/>
      <c r="AJ149" s="10"/>
      <c r="AK149" s="10"/>
      <c r="AL149" s="10"/>
      <c r="AM149" s="10"/>
      <c r="AN149" s="10"/>
    </row>
    <row r="150" spans="2:40" hidden="1" x14ac:dyDescent="0.35">
      <c r="B150" s="15"/>
      <c r="C150" s="127" t="str">
        <f>IFERROR(IF(LEN(INDEX(Database!C$9:C$501,ROW(Calc!A150)-ROW(Calc!$B$7)))=0,"",INDEX(Database!C$9:C$501,ROW(Calc!A150)-ROW(Calc!$B$7))),"")</f>
        <v/>
      </c>
      <c r="D150" s="70" t="str">
        <f>IFERROR(IF(LEN(INDEX(Database!D$9:D$501,ROW(Calc!B150)-ROW(Calc!$B$7)))=0,"",INDEX(Database!D$9:D$501,ROW(Calc!B150)-ROW(Calc!$B$7))),"")</f>
        <v/>
      </c>
      <c r="E150" s="124" t="str">
        <f>IFERROR(IF(LEN(INDEX(Database!G$9:G$501,ROW(Calc!D150)-ROW(Calc!$B$7)))=0,$AD$3,INDEX(Database!G$9:G$501,ROW(Calc!D150)-ROW(Calc!$B$7))),"")</f>
        <v>Not Set</v>
      </c>
      <c r="F150" s="124" t="str">
        <f>IFERROR(IF(LEN(INDEX(Database!F$9:F$501,ROW(Calc!E150)-ROW(Calc!$B$7)))=0,$AD$3,INDEX(Database!F$9:F$501,ROW(Calc!E150)-ROW(Calc!$B$7))),"")</f>
        <v>Not Set</v>
      </c>
      <c r="G150" s="128" t="str">
        <f>IFERROR(IF(LEN(INDEX(Database!H$9:H$501,ROW(Calc!F150)-ROW(Calc!$B$7)))=0,$AD$3,INDEX(Database!H$9:H$501,ROW(Calc!F150)-ROW(Calc!$B$7))),"")</f>
        <v>Not Set</v>
      </c>
      <c r="H150" s="128" t="str">
        <f>IFERROR(IF(LEN(INDEX(Database!I$9:I$501,ROW(Calc!G150)-ROW(Calc!$B$7)))=0,$AD$3,INDEX(Database!I$9:I$501,ROW(Calc!G150)-ROW(Calc!$B$7))),"")</f>
        <v>Not Set</v>
      </c>
      <c r="I150" s="128" t="str">
        <f>IFERROR(IF(LEN(INDEX(Database!J$9:J$501,ROW(Calc!H150)-ROW(Calc!$B$7)))=0,$AD$3,INDEX(Database!J$9:J$501,ROW(Calc!H150)-ROW(Calc!$B$7))),"")</f>
        <v>Not Set</v>
      </c>
      <c r="J150" s="128" t="str">
        <f t="shared" si="23"/>
        <v>Not Set</v>
      </c>
      <c r="K150" s="124" t="str">
        <f>IFERROR(IF(LEN(INDEX(Database!E$9:E$501,ROW(Calc!I150)-ROW(Calc!$B$7)))=0,"",INDEX(Database!E$9:E$501,ROW(Calc!I150)-ROW(Calc!$B$7))),"")</f>
        <v/>
      </c>
      <c r="L150" s="129" t="str">
        <f>IFERROR(IF(LEN(INDEX(Database!K$9:K$501,ROW(Calc!K150)-ROW(Calc!$B$7)))=0,$AD$3,INDEX(Database!K$9:K$501,ROW(Calc!K150)-ROW(Calc!$B$7))),"")</f>
        <v>Not Set</v>
      </c>
      <c r="M150" s="130" t="str">
        <f>IFERROR(IF(LEN(INDEX(Database!L$9:L$501,ROW(Calc!L150)-ROW(Calc!$B$7)))=0,$AD$3,INDEX(Database!L$9:L$501,ROW(Calc!L150)-ROW(Calc!$B$7))),"")</f>
        <v>Not Set</v>
      </c>
      <c r="N150" s="131" t="str">
        <f>IFERROR(IF(LEN(INDEX(Database!M$9:M$501,ROW(Calc!M150)-ROW(Calc!$B$7)))=0,"",INDEX(Database!M$9:M$501,ROW(Calc!M150)-ROW(Calc!$B$7))),"")</f>
        <v/>
      </c>
      <c r="O150" s="132" t="str">
        <f t="shared" si="27"/>
        <v/>
      </c>
      <c r="P150" s="125" t="str">
        <f t="shared" si="24"/>
        <v>Not Set</v>
      </c>
      <c r="Q150" s="125" t="str">
        <f t="shared" si="25"/>
        <v>Not Set</v>
      </c>
      <c r="R150" s="125" t="str">
        <f>IFERROR(IF(G150=$AD$3,$AD$3,INDEX(Kanban_Helper!$C$317:$C$328,MATCH(MONTH(G150),Kanban_Helper!$B$317:$B$328,0))&amp;" - "&amp;YEAR(G150)),"$AD$3")</f>
        <v>Not Set</v>
      </c>
      <c r="S150" s="125" t="str">
        <f>IFERROR(IF(I150=$AD$3,$AD$3,INDEX(Kanban_Helper!$C$317:$C$328,MATCH(MONTH(I150),Kanban_Helper!$B$317:$B$328,0))&amp;" - "&amp;YEAR(I150)),$AD$3)</f>
        <v>Not Set</v>
      </c>
      <c r="T150" s="125" t="str">
        <f t="shared" ca="1" si="28"/>
        <v/>
      </c>
      <c r="U150" s="125" t="str">
        <f t="shared" ca="1" si="29"/>
        <v/>
      </c>
      <c r="V150" s="125" t="str">
        <f t="shared" si="26"/>
        <v>Not Set</v>
      </c>
      <c r="W150" s="126" t="str">
        <f t="shared" si="30"/>
        <v/>
      </c>
      <c r="X150" s="126" t="str">
        <f t="shared" si="31"/>
        <v/>
      </c>
      <c r="Y150" s="125" t="str">
        <f>IFERROR(IF(LEN(D150)=0,"",IF(SUBTOTAL(3,E150:E150)=0,MIN($Y$7:Y149)-1,SUBTOTAL(3,$E$8:E150))),"")</f>
        <v/>
      </c>
      <c r="Z150" s="17"/>
      <c r="AA150" s="10"/>
      <c r="AB150" s="10"/>
      <c r="AC150" s="10"/>
      <c r="AD150" s="10"/>
      <c r="AE150" s="10"/>
      <c r="AF150" s="10"/>
      <c r="AG150" s="10"/>
      <c r="AH150" s="10"/>
      <c r="AI150" s="10"/>
      <c r="AJ150" s="10"/>
      <c r="AK150" s="10"/>
      <c r="AL150" s="10"/>
      <c r="AM150" s="10"/>
      <c r="AN150" s="10"/>
    </row>
    <row r="151" spans="2:40" hidden="1" x14ac:dyDescent="0.35">
      <c r="B151" s="15"/>
      <c r="C151" s="127" t="str">
        <f>IFERROR(IF(LEN(INDEX(Database!C$9:C$501,ROW(Calc!A151)-ROW(Calc!$B$7)))=0,"",INDEX(Database!C$9:C$501,ROW(Calc!A151)-ROW(Calc!$B$7))),"")</f>
        <v/>
      </c>
      <c r="D151" s="70" t="str">
        <f>IFERROR(IF(LEN(INDEX(Database!D$9:D$501,ROW(Calc!B151)-ROW(Calc!$B$7)))=0,"",INDEX(Database!D$9:D$501,ROW(Calc!B151)-ROW(Calc!$B$7))),"")</f>
        <v/>
      </c>
      <c r="E151" s="124" t="str">
        <f>IFERROR(IF(LEN(INDEX(Database!G$9:G$501,ROW(Calc!D151)-ROW(Calc!$B$7)))=0,$AD$3,INDEX(Database!G$9:G$501,ROW(Calc!D151)-ROW(Calc!$B$7))),"")</f>
        <v>Not Set</v>
      </c>
      <c r="F151" s="124" t="str">
        <f>IFERROR(IF(LEN(INDEX(Database!F$9:F$501,ROW(Calc!E151)-ROW(Calc!$B$7)))=0,$AD$3,INDEX(Database!F$9:F$501,ROW(Calc!E151)-ROW(Calc!$B$7))),"")</f>
        <v>Not Set</v>
      </c>
      <c r="G151" s="128" t="str">
        <f>IFERROR(IF(LEN(INDEX(Database!H$9:H$501,ROW(Calc!F151)-ROW(Calc!$B$7)))=0,$AD$3,INDEX(Database!H$9:H$501,ROW(Calc!F151)-ROW(Calc!$B$7))),"")</f>
        <v>Not Set</v>
      </c>
      <c r="H151" s="128" t="str">
        <f>IFERROR(IF(LEN(INDEX(Database!I$9:I$501,ROW(Calc!G151)-ROW(Calc!$B$7)))=0,$AD$3,INDEX(Database!I$9:I$501,ROW(Calc!G151)-ROW(Calc!$B$7))),"")</f>
        <v>Not Set</v>
      </c>
      <c r="I151" s="128" t="str">
        <f>IFERROR(IF(LEN(INDEX(Database!J$9:J$501,ROW(Calc!H151)-ROW(Calc!$B$7)))=0,$AD$3,INDEX(Database!J$9:J$501,ROW(Calc!H151)-ROW(Calc!$B$7))),"")</f>
        <v>Not Set</v>
      </c>
      <c r="J151" s="128" t="str">
        <f t="shared" si="23"/>
        <v>Not Set</v>
      </c>
      <c r="K151" s="124" t="str">
        <f>IFERROR(IF(LEN(INDEX(Database!E$9:E$501,ROW(Calc!I151)-ROW(Calc!$B$7)))=0,"",INDEX(Database!E$9:E$501,ROW(Calc!I151)-ROW(Calc!$B$7))),"")</f>
        <v/>
      </c>
      <c r="L151" s="129" t="str">
        <f>IFERROR(IF(LEN(INDEX(Database!K$9:K$501,ROW(Calc!K151)-ROW(Calc!$B$7)))=0,$AD$3,INDEX(Database!K$9:K$501,ROW(Calc!K151)-ROW(Calc!$B$7))),"")</f>
        <v>Not Set</v>
      </c>
      <c r="M151" s="130" t="str">
        <f>IFERROR(IF(LEN(INDEX(Database!L$9:L$501,ROW(Calc!L151)-ROW(Calc!$B$7)))=0,$AD$3,INDEX(Database!L$9:L$501,ROW(Calc!L151)-ROW(Calc!$B$7))),"")</f>
        <v>Not Set</v>
      </c>
      <c r="N151" s="131" t="str">
        <f>IFERROR(IF(LEN(INDEX(Database!M$9:M$501,ROW(Calc!M151)-ROW(Calc!$B$7)))=0,"",INDEX(Database!M$9:M$501,ROW(Calc!M151)-ROW(Calc!$B$7))),"")</f>
        <v/>
      </c>
      <c r="O151" s="132" t="str">
        <f t="shared" si="27"/>
        <v/>
      </c>
      <c r="P151" s="125" t="str">
        <f t="shared" si="24"/>
        <v>Not Set</v>
      </c>
      <c r="Q151" s="125" t="str">
        <f t="shared" si="25"/>
        <v>Not Set</v>
      </c>
      <c r="R151" s="125" t="str">
        <f>IFERROR(IF(G151=$AD$3,$AD$3,INDEX(Kanban_Helper!$C$317:$C$328,MATCH(MONTH(G151),Kanban_Helper!$B$317:$B$328,0))&amp;" - "&amp;YEAR(G151)),"$AD$3")</f>
        <v>Not Set</v>
      </c>
      <c r="S151" s="125" t="str">
        <f>IFERROR(IF(I151=$AD$3,$AD$3,INDEX(Kanban_Helper!$C$317:$C$328,MATCH(MONTH(I151),Kanban_Helper!$B$317:$B$328,0))&amp;" - "&amp;YEAR(I151)),$AD$3)</f>
        <v>Not Set</v>
      </c>
      <c r="T151" s="125" t="str">
        <f t="shared" ca="1" si="28"/>
        <v/>
      </c>
      <c r="U151" s="125" t="str">
        <f t="shared" ca="1" si="29"/>
        <v/>
      </c>
      <c r="V151" s="125" t="str">
        <f t="shared" si="26"/>
        <v>Not Set</v>
      </c>
      <c r="W151" s="126" t="str">
        <f t="shared" si="30"/>
        <v/>
      </c>
      <c r="X151" s="126" t="str">
        <f t="shared" si="31"/>
        <v/>
      </c>
      <c r="Y151" s="125" t="str">
        <f>IFERROR(IF(LEN(D151)=0,"",IF(SUBTOTAL(3,E151:E151)=0,MIN($Y$7:Y150)-1,SUBTOTAL(3,$E$8:E151))),"")</f>
        <v/>
      </c>
      <c r="Z151" s="17"/>
      <c r="AA151" s="10"/>
      <c r="AB151" s="10"/>
      <c r="AC151" s="10"/>
      <c r="AD151" s="10"/>
      <c r="AE151" s="10"/>
      <c r="AF151" s="10"/>
      <c r="AG151" s="10"/>
      <c r="AH151" s="10"/>
      <c r="AI151" s="10"/>
      <c r="AJ151" s="10"/>
      <c r="AK151" s="10"/>
      <c r="AL151" s="10"/>
      <c r="AM151" s="10"/>
      <c r="AN151" s="10"/>
    </row>
    <row r="152" spans="2:40" hidden="1" x14ac:dyDescent="0.35">
      <c r="B152" s="15"/>
      <c r="C152" s="127" t="str">
        <f>IFERROR(IF(LEN(INDEX(Database!C$9:C$501,ROW(Calc!A152)-ROW(Calc!$B$7)))=0,"",INDEX(Database!C$9:C$501,ROW(Calc!A152)-ROW(Calc!$B$7))),"")</f>
        <v/>
      </c>
      <c r="D152" s="70" t="str">
        <f>IFERROR(IF(LEN(INDEX(Database!D$9:D$501,ROW(Calc!B152)-ROW(Calc!$B$7)))=0,"",INDEX(Database!D$9:D$501,ROW(Calc!B152)-ROW(Calc!$B$7))),"")</f>
        <v/>
      </c>
      <c r="E152" s="124" t="str">
        <f>IFERROR(IF(LEN(INDEX(Database!G$9:G$501,ROW(Calc!D152)-ROW(Calc!$B$7)))=0,$AD$3,INDEX(Database!G$9:G$501,ROW(Calc!D152)-ROW(Calc!$B$7))),"")</f>
        <v>Not Set</v>
      </c>
      <c r="F152" s="124" t="str">
        <f>IFERROR(IF(LEN(INDEX(Database!F$9:F$501,ROW(Calc!E152)-ROW(Calc!$B$7)))=0,$AD$3,INDEX(Database!F$9:F$501,ROW(Calc!E152)-ROW(Calc!$B$7))),"")</f>
        <v>Not Set</v>
      </c>
      <c r="G152" s="128" t="str">
        <f>IFERROR(IF(LEN(INDEX(Database!H$9:H$501,ROW(Calc!F152)-ROW(Calc!$B$7)))=0,$AD$3,INDEX(Database!H$9:H$501,ROW(Calc!F152)-ROW(Calc!$B$7))),"")</f>
        <v>Not Set</v>
      </c>
      <c r="H152" s="128" t="str">
        <f>IFERROR(IF(LEN(INDEX(Database!I$9:I$501,ROW(Calc!G152)-ROW(Calc!$B$7)))=0,$AD$3,INDEX(Database!I$9:I$501,ROW(Calc!G152)-ROW(Calc!$B$7))),"")</f>
        <v>Not Set</v>
      </c>
      <c r="I152" s="128" t="str">
        <f>IFERROR(IF(LEN(INDEX(Database!J$9:J$501,ROW(Calc!H152)-ROW(Calc!$B$7)))=0,$AD$3,INDEX(Database!J$9:J$501,ROW(Calc!H152)-ROW(Calc!$B$7))),"")</f>
        <v>Not Set</v>
      </c>
      <c r="J152" s="128" t="str">
        <f t="shared" si="23"/>
        <v>Not Set</v>
      </c>
      <c r="K152" s="124" t="str">
        <f>IFERROR(IF(LEN(INDEX(Database!E$9:E$501,ROW(Calc!I152)-ROW(Calc!$B$7)))=0,"",INDEX(Database!E$9:E$501,ROW(Calc!I152)-ROW(Calc!$B$7))),"")</f>
        <v/>
      </c>
      <c r="L152" s="129" t="str">
        <f>IFERROR(IF(LEN(INDEX(Database!K$9:K$501,ROW(Calc!K152)-ROW(Calc!$B$7)))=0,$AD$3,INDEX(Database!K$9:K$501,ROW(Calc!K152)-ROW(Calc!$B$7))),"")</f>
        <v>Not Set</v>
      </c>
      <c r="M152" s="130" t="str">
        <f>IFERROR(IF(LEN(INDEX(Database!L$9:L$501,ROW(Calc!L152)-ROW(Calc!$B$7)))=0,$AD$3,INDEX(Database!L$9:L$501,ROW(Calc!L152)-ROW(Calc!$B$7))),"")</f>
        <v>Not Set</v>
      </c>
      <c r="N152" s="131" t="str">
        <f>IFERROR(IF(LEN(INDEX(Database!M$9:M$501,ROW(Calc!M152)-ROW(Calc!$B$7)))=0,"",INDEX(Database!M$9:M$501,ROW(Calc!M152)-ROW(Calc!$B$7))),"")</f>
        <v/>
      </c>
      <c r="O152" s="132" t="str">
        <f t="shared" si="27"/>
        <v/>
      </c>
      <c r="P152" s="125" t="str">
        <f t="shared" si="24"/>
        <v>Not Set</v>
      </c>
      <c r="Q152" s="125" t="str">
        <f t="shared" si="25"/>
        <v>Not Set</v>
      </c>
      <c r="R152" s="125" t="str">
        <f>IFERROR(IF(G152=$AD$3,$AD$3,INDEX(Kanban_Helper!$C$317:$C$328,MATCH(MONTH(G152),Kanban_Helper!$B$317:$B$328,0))&amp;" - "&amp;YEAR(G152)),"$AD$3")</f>
        <v>Not Set</v>
      </c>
      <c r="S152" s="125" t="str">
        <f>IFERROR(IF(I152=$AD$3,$AD$3,INDEX(Kanban_Helper!$C$317:$C$328,MATCH(MONTH(I152),Kanban_Helper!$B$317:$B$328,0))&amp;" - "&amp;YEAR(I152)),$AD$3)</f>
        <v>Not Set</v>
      </c>
      <c r="T152" s="125" t="str">
        <f t="shared" ca="1" si="28"/>
        <v/>
      </c>
      <c r="U152" s="125" t="str">
        <f t="shared" ca="1" si="29"/>
        <v/>
      </c>
      <c r="V152" s="125" t="str">
        <f t="shared" si="26"/>
        <v>Not Set</v>
      </c>
      <c r="W152" s="126" t="str">
        <f t="shared" si="30"/>
        <v/>
      </c>
      <c r="X152" s="126" t="str">
        <f t="shared" si="31"/>
        <v/>
      </c>
      <c r="Y152" s="125" t="str">
        <f>IFERROR(IF(LEN(D152)=0,"",IF(SUBTOTAL(3,E152:E152)=0,MIN($Y$7:Y151)-1,SUBTOTAL(3,$E$8:E152))),"")</f>
        <v/>
      </c>
      <c r="Z152" s="17"/>
      <c r="AA152" s="10"/>
      <c r="AB152" s="10"/>
      <c r="AC152" s="10"/>
      <c r="AD152" s="10"/>
      <c r="AE152" s="10"/>
      <c r="AF152" s="10"/>
      <c r="AG152" s="10"/>
      <c r="AH152" s="10"/>
      <c r="AI152" s="10"/>
      <c r="AJ152" s="10"/>
      <c r="AK152" s="10"/>
      <c r="AL152" s="10"/>
      <c r="AM152" s="10"/>
      <c r="AN152" s="10"/>
    </row>
    <row r="153" spans="2:40" hidden="1" x14ac:dyDescent="0.35">
      <c r="B153" s="15"/>
      <c r="C153" s="127" t="str">
        <f>IFERROR(IF(LEN(INDEX(Database!C$9:C$501,ROW(Calc!A153)-ROW(Calc!$B$7)))=0,"",INDEX(Database!C$9:C$501,ROW(Calc!A153)-ROW(Calc!$B$7))),"")</f>
        <v/>
      </c>
      <c r="D153" s="70" t="str">
        <f>IFERROR(IF(LEN(INDEX(Database!D$9:D$501,ROW(Calc!B153)-ROW(Calc!$B$7)))=0,"",INDEX(Database!D$9:D$501,ROW(Calc!B153)-ROW(Calc!$B$7))),"")</f>
        <v/>
      </c>
      <c r="E153" s="124" t="str">
        <f>IFERROR(IF(LEN(INDEX(Database!G$9:G$501,ROW(Calc!D153)-ROW(Calc!$B$7)))=0,$AD$3,INDEX(Database!G$9:G$501,ROW(Calc!D153)-ROW(Calc!$B$7))),"")</f>
        <v>Not Set</v>
      </c>
      <c r="F153" s="124" t="str">
        <f>IFERROR(IF(LEN(INDEX(Database!F$9:F$501,ROW(Calc!E153)-ROW(Calc!$B$7)))=0,$AD$3,INDEX(Database!F$9:F$501,ROW(Calc!E153)-ROW(Calc!$B$7))),"")</f>
        <v>Not Set</v>
      </c>
      <c r="G153" s="128" t="str">
        <f>IFERROR(IF(LEN(INDEX(Database!H$9:H$501,ROW(Calc!F153)-ROW(Calc!$B$7)))=0,$AD$3,INDEX(Database!H$9:H$501,ROW(Calc!F153)-ROW(Calc!$B$7))),"")</f>
        <v>Not Set</v>
      </c>
      <c r="H153" s="128" t="str">
        <f>IFERROR(IF(LEN(INDEX(Database!I$9:I$501,ROW(Calc!G153)-ROW(Calc!$B$7)))=0,$AD$3,INDEX(Database!I$9:I$501,ROW(Calc!G153)-ROW(Calc!$B$7))),"")</f>
        <v>Not Set</v>
      </c>
      <c r="I153" s="128" t="str">
        <f>IFERROR(IF(LEN(INDEX(Database!J$9:J$501,ROW(Calc!H153)-ROW(Calc!$B$7)))=0,$AD$3,INDEX(Database!J$9:J$501,ROW(Calc!H153)-ROW(Calc!$B$7))),"")</f>
        <v>Not Set</v>
      </c>
      <c r="J153" s="128" t="str">
        <f t="shared" si="23"/>
        <v>Not Set</v>
      </c>
      <c r="K153" s="124" t="str">
        <f>IFERROR(IF(LEN(INDEX(Database!E$9:E$501,ROW(Calc!I153)-ROW(Calc!$B$7)))=0,"",INDEX(Database!E$9:E$501,ROW(Calc!I153)-ROW(Calc!$B$7))),"")</f>
        <v/>
      </c>
      <c r="L153" s="129" t="str">
        <f>IFERROR(IF(LEN(INDEX(Database!K$9:K$501,ROW(Calc!K153)-ROW(Calc!$B$7)))=0,$AD$3,INDEX(Database!K$9:K$501,ROW(Calc!K153)-ROW(Calc!$B$7))),"")</f>
        <v>Not Set</v>
      </c>
      <c r="M153" s="130" t="str">
        <f>IFERROR(IF(LEN(INDEX(Database!L$9:L$501,ROW(Calc!L153)-ROW(Calc!$B$7)))=0,$AD$3,INDEX(Database!L$9:L$501,ROW(Calc!L153)-ROW(Calc!$B$7))),"")</f>
        <v>Not Set</v>
      </c>
      <c r="N153" s="131" t="str">
        <f>IFERROR(IF(LEN(INDEX(Database!M$9:M$501,ROW(Calc!M153)-ROW(Calc!$B$7)))=0,"",INDEX(Database!M$9:M$501,ROW(Calc!M153)-ROW(Calc!$B$7))),"")</f>
        <v/>
      </c>
      <c r="O153" s="132" t="str">
        <f t="shared" si="27"/>
        <v/>
      </c>
      <c r="P153" s="125" t="str">
        <f t="shared" si="24"/>
        <v>Not Set</v>
      </c>
      <c r="Q153" s="125" t="str">
        <f t="shared" si="25"/>
        <v>Not Set</v>
      </c>
      <c r="R153" s="125" t="str">
        <f>IFERROR(IF(G153=$AD$3,$AD$3,INDEX(Kanban_Helper!$C$317:$C$328,MATCH(MONTH(G153),Kanban_Helper!$B$317:$B$328,0))&amp;" - "&amp;YEAR(G153)),"$AD$3")</f>
        <v>Not Set</v>
      </c>
      <c r="S153" s="125" t="str">
        <f>IFERROR(IF(I153=$AD$3,$AD$3,INDEX(Kanban_Helper!$C$317:$C$328,MATCH(MONTH(I153),Kanban_Helper!$B$317:$B$328,0))&amp;" - "&amp;YEAR(I153)),$AD$3)</f>
        <v>Not Set</v>
      </c>
      <c r="T153" s="125" t="str">
        <f t="shared" ca="1" si="28"/>
        <v/>
      </c>
      <c r="U153" s="125" t="str">
        <f t="shared" ca="1" si="29"/>
        <v/>
      </c>
      <c r="V153" s="125" t="str">
        <f t="shared" si="26"/>
        <v>Not Set</v>
      </c>
      <c r="W153" s="126" t="str">
        <f t="shared" si="30"/>
        <v/>
      </c>
      <c r="X153" s="126" t="str">
        <f t="shared" si="31"/>
        <v/>
      </c>
      <c r="Y153" s="125" t="str">
        <f>IFERROR(IF(LEN(D153)=0,"",IF(SUBTOTAL(3,E153:E153)=0,MIN($Y$7:Y152)-1,SUBTOTAL(3,$E$8:E153))),"")</f>
        <v/>
      </c>
      <c r="Z153" s="17"/>
      <c r="AA153" s="10"/>
      <c r="AB153" s="10"/>
      <c r="AC153" s="10"/>
      <c r="AD153" s="10"/>
      <c r="AE153" s="10"/>
      <c r="AF153" s="10"/>
      <c r="AG153" s="10"/>
      <c r="AH153" s="10"/>
      <c r="AI153" s="10"/>
      <c r="AJ153" s="10"/>
      <c r="AK153" s="10"/>
      <c r="AL153" s="10"/>
      <c r="AM153" s="10"/>
      <c r="AN153" s="10"/>
    </row>
    <row r="154" spans="2:40" hidden="1" x14ac:dyDescent="0.35">
      <c r="B154" s="15"/>
      <c r="C154" s="127" t="str">
        <f>IFERROR(IF(LEN(INDEX(Database!C$9:C$501,ROW(Calc!A154)-ROW(Calc!$B$7)))=0,"",INDEX(Database!C$9:C$501,ROW(Calc!A154)-ROW(Calc!$B$7))),"")</f>
        <v/>
      </c>
      <c r="D154" s="70" t="str">
        <f>IFERROR(IF(LEN(INDEX(Database!D$9:D$501,ROW(Calc!B154)-ROW(Calc!$B$7)))=0,"",INDEX(Database!D$9:D$501,ROW(Calc!B154)-ROW(Calc!$B$7))),"")</f>
        <v/>
      </c>
      <c r="E154" s="124" t="str">
        <f>IFERROR(IF(LEN(INDEX(Database!G$9:G$501,ROW(Calc!D154)-ROW(Calc!$B$7)))=0,$AD$3,INDEX(Database!G$9:G$501,ROW(Calc!D154)-ROW(Calc!$B$7))),"")</f>
        <v>Not Set</v>
      </c>
      <c r="F154" s="124" t="str">
        <f>IFERROR(IF(LEN(INDEX(Database!F$9:F$501,ROW(Calc!E154)-ROW(Calc!$B$7)))=0,$AD$3,INDEX(Database!F$9:F$501,ROW(Calc!E154)-ROW(Calc!$B$7))),"")</f>
        <v>Not Set</v>
      </c>
      <c r="G154" s="128" t="str">
        <f>IFERROR(IF(LEN(INDEX(Database!H$9:H$501,ROW(Calc!F154)-ROW(Calc!$B$7)))=0,$AD$3,INDEX(Database!H$9:H$501,ROW(Calc!F154)-ROW(Calc!$B$7))),"")</f>
        <v>Not Set</v>
      </c>
      <c r="H154" s="128" t="str">
        <f>IFERROR(IF(LEN(INDEX(Database!I$9:I$501,ROW(Calc!G154)-ROW(Calc!$B$7)))=0,$AD$3,INDEX(Database!I$9:I$501,ROW(Calc!G154)-ROW(Calc!$B$7))),"")</f>
        <v>Not Set</v>
      </c>
      <c r="I154" s="128" t="str">
        <f>IFERROR(IF(LEN(INDEX(Database!J$9:J$501,ROW(Calc!H154)-ROW(Calc!$B$7)))=0,$AD$3,INDEX(Database!J$9:J$501,ROW(Calc!H154)-ROW(Calc!$B$7))),"")</f>
        <v>Not Set</v>
      </c>
      <c r="J154" s="128" t="str">
        <f t="shared" si="23"/>
        <v>Not Set</v>
      </c>
      <c r="K154" s="124" t="str">
        <f>IFERROR(IF(LEN(INDEX(Database!E$9:E$501,ROW(Calc!I154)-ROW(Calc!$B$7)))=0,"",INDEX(Database!E$9:E$501,ROW(Calc!I154)-ROW(Calc!$B$7))),"")</f>
        <v/>
      </c>
      <c r="L154" s="129" t="str">
        <f>IFERROR(IF(LEN(INDEX(Database!K$9:K$501,ROW(Calc!K154)-ROW(Calc!$B$7)))=0,$AD$3,INDEX(Database!K$9:K$501,ROW(Calc!K154)-ROW(Calc!$B$7))),"")</f>
        <v>Not Set</v>
      </c>
      <c r="M154" s="130" t="str">
        <f>IFERROR(IF(LEN(INDEX(Database!L$9:L$501,ROW(Calc!L154)-ROW(Calc!$B$7)))=0,$AD$3,INDEX(Database!L$9:L$501,ROW(Calc!L154)-ROW(Calc!$B$7))),"")</f>
        <v>Not Set</v>
      </c>
      <c r="N154" s="131" t="str">
        <f>IFERROR(IF(LEN(INDEX(Database!M$9:M$501,ROW(Calc!M154)-ROW(Calc!$B$7)))=0,"",INDEX(Database!M$9:M$501,ROW(Calc!M154)-ROW(Calc!$B$7))),"")</f>
        <v/>
      </c>
      <c r="O154" s="132" t="str">
        <f t="shared" si="27"/>
        <v/>
      </c>
      <c r="P154" s="125" t="str">
        <f t="shared" si="24"/>
        <v>Not Set</v>
      </c>
      <c r="Q154" s="125" t="str">
        <f t="shared" si="25"/>
        <v>Not Set</v>
      </c>
      <c r="R154" s="125" t="str">
        <f>IFERROR(IF(G154=$AD$3,$AD$3,INDEX(Kanban_Helper!$C$317:$C$328,MATCH(MONTH(G154),Kanban_Helper!$B$317:$B$328,0))&amp;" - "&amp;YEAR(G154)),"$AD$3")</f>
        <v>Not Set</v>
      </c>
      <c r="S154" s="125" t="str">
        <f>IFERROR(IF(I154=$AD$3,$AD$3,INDEX(Kanban_Helper!$C$317:$C$328,MATCH(MONTH(I154),Kanban_Helper!$B$317:$B$328,0))&amp;" - "&amp;YEAR(I154)),$AD$3)</f>
        <v>Not Set</v>
      </c>
      <c r="T154" s="125" t="str">
        <f t="shared" ca="1" si="28"/>
        <v/>
      </c>
      <c r="U154" s="125" t="str">
        <f t="shared" ca="1" si="29"/>
        <v/>
      </c>
      <c r="V154" s="125" t="str">
        <f t="shared" si="26"/>
        <v>Not Set</v>
      </c>
      <c r="W154" s="126" t="str">
        <f t="shared" si="30"/>
        <v/>
      </c>
      <c r="X154" s="126" t="str">
        <f t="shared" si="31"/>
        <v/>
      </c>
      <c r="Y154" s="125" t="str">
        <f>IFERROR(IF(LEN(D154)=0,"",IF(SUBTOTAL(3,E154:E154)=0,MIN($Y$7:Y153)-1,SUBTOTAL(3,$E$8:E154))),"")</f>
        <v/>
      </c>
      <c r="Z154" s="17"/>
      <c r="AA154" s="10"/>
      <c r="AB154" s="10"/>
      <c r="AC154" s="10"/>
      <c r="AD154" s="10"/>
      <c r="AE154" s="10"/>
      <c r="AF154" s="10"/>
      <c r="AG154" s="10"/>
      <c r="AH154" s="10"/>
      <c r="AI154" s="10"/>
      <c r="AJ154" s="10"/>
      <c r="AK154" s="10"/>
      <c r="AL154" s="10"/>
      <c r="AM154" s="10"/>
      <c r="AN154" s="10"/>
    </row>
    <row r="155" spans="2:40" hidden="1" x14ac:dyDescent="0.35">
      <c r="B155" s="15"/>
      <c r="C155" s="127" t="str">
        <f>IFERROR(IF(LEN(INDEX(Database!C$9:C$501,ROW(Calc!A155)-ROW(Calc!$B$7)))=0,"",INDEX(Database!C$9:C$501,ROW(Calc!A155)-ROW(Calc!$B$7))),"")</f>
        <v/>
      </c>
      <c r="D155" s="70" t="str">
        <f>IFERROR(IF(LEN(INDEX(Database!D$9:D$501,ROW(Calc!B155)-ROW(Calc!$B$7)))=0,"",INDEX(Database!D$9:D$501,ROW(Calc!B155)-ROW(Calc!$B$7))),"")</f>
        <v/>
      </c>
      <c r="E155" s="124" t="str">
        <f>IFERROR(IF(LEN(INDEX(Database!G$9:G$501,ROW(Calc!D155)-ROW(Calc!$B$7)))=0,$AD$3,INDEX(Database!G$9:G$501,ROW(Calc!D155)-ROW(Calc!$B$7))),"")</f>
        <v>Not Set</v>
      </c>
      <c r="F155" s="124" t="str">
        <f>IFERROR(IF(LEN(INDEX(Database!F$9:F$501,ROW(Calc!E155)-ROW(Calc!$B$7)))=0,$AD$3,INDEX(Database!F$9:F$501,ROW(Calc!E155)-ROW(Calc!$B$7))),"")</f>
        <v>Not Set</v>
      </c>
      <c r="G155" s="128" t="str">
        <f>IFERROR(IF(LEN(INDEX(Database!H$9:H$501,ROW(Calc!F155)-ROW(Calc!$B$7)))=0,$AD$3,INDEX(Database!H$9:H$501,ROW(Calc!F155)-ROW(Calc!$B$7))),"")</f>
        <v>Not Set</v>
      </c>
      <c r="H155" s="128" t="str">
        <f>IFERROR(IF(LEN(INDEX(Database!I$9:I$501,ROW(Calc!G155)-ROW(Calc!$B$7)))=0,$AD$3,INDEX(Database!I$9:I$501,ROW(Calc!G155)-ROW(Calc!$B$7))),"")</f>
        <v>Not Set</v>
      </c>
      <c r="I155" s="128" t="str">
        <f>IFERROR(IF(LEN(INDEX(Database!J$9:J$501,ROW(Calc!H155)-ROW(Calc!$B$7)))=0,$AD$3,INDEX(Database!J$9:J$501,ROW(Calc!H155)-ROW(Calc!$B$7))),"")</f>
        <v>Not Set</v>
      </c>
      <c r="J155" s="128" t="str">
        <f t="shared" si="23"/>
        <v>Not Set</v>
      </c>
      <c r="K155" s="124" t="str">
        <f>IFERROR(IF(LEN(INDEX(Database!E$9:E$501,ROW(Calc!I155)-ROW(Calc!$B$7)))=0,"",INDEX(Database!E$9:E$501,ROW(Calc!I155)-ROW(Calc!$B$7))),"")</f>
        <v/>
      </c>
      <c r="L155" s="129" t="str">
        <f>IFERROR(IF(LEN(INDEX(Database!K$9:K$501,ROW(Calc!K155)-ROW(Calc!$B$7)))=0,$AD$3,INDEX(Database!K$9:K$501,ROW(Calc!K155)-ROW(Calc!$B$7))),"")</f>
        <v>Not Set</v>
      </c>
      <c r="M155" s="130" t="str">
        <f>IFERROR(IF(LEN(INDEX(Database!L$9:L$501,ROW(Calc!L155)-ROW(Calc!$B$7)))=0,$AD$3,INDEX(Database!L$9:L$501,ROW(Calc!L155)-ROW(Calc!$B$7))),"")</f>
        <v>Not Set</v>
      </c>
      <c r="N155" s="131" t="str">
        <f>IFERROR(IF(LEN(INDEX(Database!M$9:M$501,ROW(Calc!M155)-ROW(Calc!$B$7)))=0,"",INDEX(Database!M$9:M$501,ROW(Calc!M155)-ROW(Calc!$B$7))),"")</f>
        <v/>
      </c>
      <c r="O155" s="132" t="str">
        <f t="shared" si="27"/>
        <v/>
      </c>
      <c r="P155" s="125" t="str">
        <f t="shared" si="24"/>
        <v>Not Set</v>
      </c>
      <c r="Q155" s="125" t="str">
        <f t="shared" si="25"/>
        <v>Not Set</v>
      </c>
      <c r="R155" s="125" t="str">
        <f>IFERROR(IF(G155=$AD$3,$AD$3,INDEX(Kanban_Helper!$C$317:$C$328,MATCH(MONTH(G155),Kanban_Helper!$B$317:$B$328,0))&amp;" - "&amp;YEAR(G155)),"$AD$3")</f>
        <v>Not Set</v>
      </c>
      <c r="S155" s="125" t="str">
        <f>IFERROR(IF(I155=$AD$3,$AD$3,INDEX(Kanban_Helper!$C$317:$C$328,MATCH(MONTH(I155),Kanban_Helper!$B$317:$B$328,0))&amp;" - "&amp;YEAR(I155)),$AD$3)</f>
        <v>Not Set</v>
      </c>
      <c r="T155" s="125" t="str">
        <f t="shared" ca="1" si="28"/>
        <v/>
      </c>
      <c r="U155" s="125" t="str">
        <f t="shared" ca="1" si="29"/>
        <v/>
      </c>
      <c r="V155" s="125" t="str">
        <f t="shared" si="26"/>
        <v>Not Set</v>
      </c>
      <c r="W155" s="126" t="str">
        <f t="shared" si="30"/>
        <v/>
      </c>
      <c r="X155" s="126" t="str">
        <f t="shared" si="31"/>
        <v/>
      </c>
      <c r="Y155" s="125" t="str">
        <f>IFERROR(IF(LEN(D155)=0,"",IF(SUBTOTAL(3,E155:E155)=0,MIN($Y$7:Y154)-1,SUBTOTAL(3,$E$8:E155))),"")</f>
        <v/>
      </c>
      <c r="Z155" s="17"/>
      <c r="AA155" s="10"/>
      <c r="AB155" s="10"/>
      <c r="AC155" s="10"/>
      <c r="AD155" s="10"/>
      <c r="AE155" s="10"/>
      <c r="AF155" s="10"/>
      <c r="AG155" s="10"/>
      <c r="AH155" s="10"/>
      <c r="AI155" s="10"/>
      <c r="AJ155" s="10"/>
      <c r="AK155" s="10"/>
      <c r="AL155" s="10"/>
      <c r="AM155" s="10"/>
      <c r="AN155" s="10"/>
    </row>
    <row r="156" spans="2:40" hidden="1" x14ac:dyDescent="0.35">
      <c r="B156" s="15"/>
      <c r="C156" s="127" t="str">
        <f>IFERROR(IF(LEN(INDEX(Database!C$9:C$501,ROW(Calc!A156)-ROW(Calc!$B$7)))=0,"",INDEX(Database!C$9:C$501,ROW(Calc!A156)-ROW(Calc!$B$7))),"")</f>
        <v/>
      </c>
      <c r="D156" s="70" t="str">
        <f>IFERROR(IF(LEN(INDEX(Database!D$9:D$501,ROW(Calc!B156)-ROW(Calc!$B$7)))=0,"",INDEX(Database!D$9:D$501,ROW(Calc!B156)-ROW(Calc!$B$7))),"")</f>
        <v/>
      </c>
      <c r="E156" s="124" t="str">
        <f>IFERROR(IF(LEN(INDEX(Database!G$9:G$501,ROW(Calc!D156)-ROW(Calc!$B$7)))=0,$AD$3,INDEX(Database!G$9:G$501,ROW(Calc!D156)-ROW(Calc!$B$7))),"")</f>
        <v>Not Set</v>
      </c>
      <c r="F156" s="124" t="str">
        <f>IFERROR(IF(LEN(INDEX(Database!F$9:F$501,ROW(Calc!E156)-ROW(Calc!$B$7)))=0,$AD$3,INDEX(Database!F$9:F$501,ROW(Calc!E156)-ROW(Calc!$B$7))),"")</f>
        <v>Not Set</v>
      </c>
      <c r="G156" s="128" t="str">
        <f>IFERROR(IF(LEN(INDEX(Database!H$9:H$501,ROW(Calc!F156)-ROW(Calc!$B$7)))=0,$AD$3,INDEX(Database!H$9:H$501,ROW(Calc!F156)-ROW(Calc!$B$7))),"")</f>
        <v>Not Set</v>
      </c>
      <c r="H156" s="128" t="str">
        <f>IFERROR(IF(LEN(INDEX(Database!I$9:I$501,ROW(Calc!G156)-ROW(Calc!$B$7)))=0,$AD$3,INDEX(Database!I$9:I$501,ROW(Calc!G156)-ROW(Calc!$B$7))),"")</f>
        <v>Not Set</v>
      </c>
      <c r="I156" s="128" t="str">
        <f>IFERROR(IF(LEN(INDEX(Database!J$9:J$501,ROW(Calc!H156)-ROW(Calc!$B$7)))=0,$AD$3,INDEX(Database!J$9:J$501,ROW(Calc!H156)-ROW(Calc!$B$7))),"")</f>
        <v>Not Set</v>
      </c>
      <c r="J156" s="128" t="str">
        <f t="shared" si="23"/>
        <v>Not Set</v>
      </c>
      <c r="K156" s="124" t="str">
        <f>IFERROR(IF(LEN(INDEX(Database!E$9:E$501,ROW(Calc!I156)-ROW(Calc!$B$7)))=0,"",INDEX(Database!E$9:E$501,ROW(Calc!I156)-ROW(Calc!$B$7))),"")</f>
        <v/>
      </c>
      <c r="L156" s="129" t="str">
        <f>IFERROR(IF(LEN(INDEX(Database!K$9:K$501,ROW(Calc!K156)-ROW(Calc!$B$7)))=0,$AD$3,INDEX(Database!K$9:K$501,ROW(Calc!K156)-ROW(Calc!$B$7))),"")</f>
        <v>Not Set</v>
      </c>
      <c r="M156" s="130" t="str">
        <f>IFERROR(IF(LEN(INDEX(Database!L$9:L$501,ROW(Calc!L156)-ROW(Calc!$B$7)))=0,$AD$3,INDEX(Database!L$9:L$501,ROW(Calc!L156)-ROW(Calc!$B$7))),"")</f>
        <v>Not Set</v>
      </c>
      <c r="N156" s="131" t="str">
        <f>IFERROR(IF(LEN(INDEX(Database!M$9:M$501,ROW(Calc!M156)-ROW(Calc!$B$7)))=0,"",INDEX(Database!M$9:M$501,ROW(Calc!M156)-ROW(Calc!$B$7))),"")</f>
        <v/>
      </c>
      <c r="O156" s="132" t="str">
        <f t="shared" si="27"/>
        <v/>
      </c>
      <c r="P156" s="125" t="str">
        <f t="shared" si="24"/>
        <v>Not Set</v>
      </c>
      <c r="Q156" s="125" t="str">
        <f t="shared" si="25"/>
        <v>Not Set</v>
      </c>
      <c r="R156" s="125" t="str">
        <f>IFERROR(IF(G156=$AD$3,$AD$3,INDEX(Kanban_Helper!$C$317:$C$328,MATCH(MONTH(G156),Kanban_Helper!$B$317:$B$328,0))&amp;" - "&amp;YEAR(G156)),"$AD$3")</f>
        <v>Not Set</v>
      </c>
      <c r="S156" s="125" t="str">
        <f>IFERROR(IF(I156=$AD$3,$AD$3,INDEX(Kanban_Helper!$C$317:$C$328,MATCH(MONTH(I156),Kanban_Helper!$B$317:$B$328,0))&amp;" - "&amp;YEAR(I156)),$AD$3)</f>
        <v>Not Set</v>
      </c>
      <c r="T156" s="125" t="str">
        <f t="shared" ca="1" si="28"/>
        <v/>
      </c>
      <c r="U156" s="125" t="str">
        <f t="shared" ca="1" si="29"/>
        <v/>
      </c>
      <c r="V156" s="125" t="str">
        <f t="shared" si="26"/>
        <v>Not Set</v>
      </c>
      <c r="W156" s="126" t="str">
        <f t="shared" si="30"/>
        <v/>
      </c>
      <c r="X156" s="126" t="str">
        <f t="shared" si="31"/>
        <v/>
      </c>
      <c r="Y156" s="125" t="str">
        <f>IFERROR(IF(LEN(D156)=0,"",IF(SUBTOTAL(3,E156:E156)=0,MIN($Y$7:Y155)-1,SUBTOTAL(3,$E$8:E156))),"")</f>
        <v/>
      </c>
      <c r="Z156" s="17"/>
      <c r="AA156" s="10"/>
      <c r="AB156" s="10"/>
      <c r="AC156" s="10"/>
      <c r="AD156" s="10"/>
      <c r="AE156" s="10"/>
      <c r="AF156" s="10"/>
      <c r="AG156" s="10"/>
      <c r="AH156" s="10"/>
      <c r="AI156" s="10"/>
      <c r="AJ156" s="10"/>
      <c r="AK156" s="10"/>
      <c r="AL156" s="10"/>
      <c r="AM156" s="10"/>
      <c r="AN156" s="10"/>
    </row>
    <row r="157" spans="2:40" hidden="1" x14ac:dyDescent="0.35">
      <c r="B157" s="15"/>
      <c r="C157" s="127" t="str">
        <f>IFERROR(IF(LEN(INDEX(Database!C$9:C$501,ROW(Calc!A157)-ROW(Calc!$B$7)))=0,"",INDEX(Database!C$9:C$501,ROW(Calc!A157)-ROW(Calc!$B$7))),"")</f>
        <v/>
      </c>
      <c r="D157" s="70" t="str">
        <f>IFERROR(IF(LEN(INDEX(Database!D$9:D$501,ROW(Calc!B157)-ROW(Calc!$B$7)))=0,"",INDEX(Database!D$9:D$501,ROW(Calc!B157)-ROW(Calc!$B$7))),"")</f>
        <v/>
      </c>
      <c r="E157" s="124" t="str">
        <f>IFERROR(IF(LEN(INDEX(Database!G$9:G$501,ROW(Calc!D157)-ROW(Calc!$B$7)))=0,$AD$3,INDEX(Database!G$9:G$501,ROW(Calc!D157)-ROW(Calc!$B$7))),"")</f>
        <v>Not Set</v>
      </c>
      <c r="F157" s="124" t="str">
        <f>IFERROR(IF(LEN(INDEX(Database!F$9:F$501,ROW(Calc!E157)-ROW(Calc!$B$7)))=0,$AD$3,INDEX(Database!F$9:F$501,ROW(Calc!E157)-ROW(Calc!$B$7))),"")</f>
        <v>Not Set</v>
      </c>
      <c r="G157" s="128" t="str">
        <f>IFERROR(IF(LEN(INDEX(Database!H$9:H$501,ROW(Calc!F157)-ROW(Calc!$B$7)))=0,$AD$3,INDEX(Database!H$9:H$501,ROW(Calc!F157)-ROW(Calc!$B$7))),"")</f>
        <v>Not Set</v>
      </c>
      <c r="H157" s="128" t="str">
        <f>IFERROR(IF(LEN(INDEX(Database!I$9:I$501,ROW(Calc!G157)-ROW(Calc!$B$7)))=0,$AD$3,INDEX(Database!I$9:I$501,ROW(Calc!G157)-ROW(Calc!$B$7))),"")</f>
        <v>Not Set</v>
      </c>
      <c r="I157" s="128" t="str">
        <f>IFERROR(IF(LEN(INDEX(Database!J$9:J$501,ROW(Calc!H157)-ROW(Calc!$B$7)))=0,$AD$3,INDEX(Database!J$9:J$501,ROW(Calc!H157)-ROW(Calc!$B$7))),"")</f>
        <v>Not Set</v>
      </c>
      <c r="J157" s="128" t="str">
        <f t="shared" si="23"/>
        <v>Not Set</v>
      </c>
      <c r="K157" s="124" t="str">
        <f>IFERROR(IF(LEN(INDEX(Database!E$9:E$501,ROW(Calc!I157)-ROW(Calc!$B$7)))=0,"",INDEX(Database!E$9:E$501,ROW(Calc!I157)-ROW(Calc!$B$7))),"")</f>
        <v/>
      </c>
      <c r="L157" s="129" t="str">
        <f>IFERROR(IF(LEN(INDEX(Database!K$9:K$501,ROW(Calc!K157)-ROW(Calc!$B$7)))=0,$AD$3,INDEX(Database!K$9:K$501,ROW(Calc!K157)-ROW(Calc!$B$7))),"")</f>
        <v>Not Set</v>
      </c>
      <c r="M157" s="130" t="str">
        <f>IFERROR(IF(LEN(INDEX(Database!L$9:L$501,ROW(Calc!L157)-ROW(Calc!$B$7)))=0,$AD$3,INDEX(Database!L$9:L$501,ROW(Calc!L157)-ROW(Calc!$B$7))),"")</f>
        <v>Not Set</v>
      </c>
      <c r="N157" s="131" t="str">
        <f>IFERROR(IF(LEN(INDEX(Database!M$9:M$501,ROW(Calc!M157)-ROW(Calc!$B$7)))=0,"",INDEX(Database!M$9:M$501,ROW(Calc!M157)-ROW(Calc!$B$7))),"")</f>
        <v/>
      </c>
      <c r="O157" s="132" t="str">
        <f t="shared" si="27"/>
        <v/>
      </c>
      <c r="P157" s="125" t="str">
        <f t="shared" si="24"/>
        <v>Not Set</v>
      </c>
      <c r="Q157" s="125" t="str">
        <f t="shared" si="25"/>
        <v>Not Set</v>
      </c>
      <c r="R157" s="125" t="str">
        <f>IFERROR(IF(G157=$AD$3,$AD$3,INDEX(Kanban_Helper!$C$317:$C$328,MATCH(MONTH(G157),Kanban_Helper!$B$317:$B$328,0))&amp;" - "&amp;YEAR(G157)),"$AD$3")</f>
        <v>Not Set</v>
      </c>
      <c r="S157" s="125" t="str">
        <f>IFERROR(IF(I157=$AD$3,$AD$3,INDEX(Kanban_Helper!$C$317:$C$328,MATCH(MONTH(I157),Kanban_Helper!$B$317:$B$328,0))&amp;" - "&amp;YEAR(I157)),$AD$3)</f>
        <v>Not Set</v>
      </c>
      <c r="T157" s="125" t="str">
        <f t="shared" ca="1" si="28"/>
        <v/>
      </c>
      <c r="U157" s="125" t="str">
        <f t="shared" ca="1" si="29"/>
        <v/>
      </c>
      <c r="V157" s="125" t="str">
        <f t="shared" si="26"/>
        <v>Not Set</v>
      </c>
      <c r="W157" s="126" t="str">
        <f t="shared" si="30"/>
        <v/>
      </c>
      <c r="X157" s="126" t="str">
        <f t="shared" si="31"/>
        <v/>
      </c>
      <c r="Y157" s="125" t="str">
        <f>IFERROR(IF(LEN(D157)=0,"",IF(SUBTOTAL(3,E157:E157)=0,MIN($Y$7:Y156)-1,SUBTOTAL(3,$E$8:E157))),"")</f>
        <v/>
      </c>
      <c r="Z157" s="17"/>
      <c r="AA157" s="10"/>
      <c r="AB157" s="10"/>
      <c r="AC157" s="10"/>
      <c r="AD157" s="10"/>
      <c r="AE157" s="10"/>
      <c r="AF157" s="10"/>
      <c r="AG157" s="10"/>
      <c r="AH157" s="10"/>
      <c r="AI157" s="10"/>
      <c r="AJ157" s="10"/>
      <c r="AK157" s="10"/>
      <c r="AL157" s="10"/>
      <c r="AM157" s="10"/>
      <c r="AN157" s="10"/>
    </row>
    <row r="158" spans="2:40" hidden="1" x14ac:dyDescent="0.35">
      <c r="B158" s="15"/>
      <c r="C158" s="127" t="str">
        <f>IFERROR(IF(LEN(INDEX(Database!C$9:C$501,ROW(Calc!A158)-ROW(Calc!$B$7)))=0,"",INDEX(Database!C$9:C$501,ROW(Calc!A158)-ROW(Calc!$B$7))),"")</f>
        <v/>
      </c>
      <c r="D158" s="70" t="str">
        <f>IFERROR(IF(LEN(INDEX(Database!D$9:D$501,ROW(Calc!B158)-ROW(Calc!$B$7)))=0,"",INDEX(Database!D$9:D$501,ROW(Calc!B158)-ROW(Calc!$B$7))),"")</f>
        <v/>
      </c>
      <c r="E158" s="124" t="str">
        <f>IFERROR(IF(LEN(INDEX(Database!G$9:G$501,ROW(Calc!D158)-ROW(Calc!$B$7)))=0,$AD$3,INDEX(Database!G$9:G$501,ROW(Calc!D158)-ROW(Calc!$B$7))),"")</f>
        <v>Not Set</v>
      </c>
      <c r="F158" s="124" t="str">
        <f>IFERROR(IF(LEN(INDEX(Database!F$9:F$501,ROW(Calc!E158)-ROW(Calc!$B$7)))=0,$AD$3,INDEX(Database!F$9:F$501,ROW(Calc!E158)-ROW(Calc!$B$7))),"")</f>
        <v>Not Set</v>
      </c>
      <c r="G158" s="128" t="str">
        <f>IFERROR(IF(LEN(INDEX(Database!H$9:H$501,ROW(Calc!F158)-ROW(Calc!$B$7)))=0,$AD$3,INDEX(Database!H$9:H$501,ROW(Calc!F158)-ROW(Calc!$B$7))),"")</f>
        <v>Not Set</v>
      </c>
      <c r="H158" s="128" t="str">
        <f>IFERROR(IF(LEN(INDEX(Database!I$9:I$501,ROW(Calc!G158)-ROW(Calc!$B$7)))=0,$AD$3,INDEX(Database!I$9:I$501,ROW(Calc!G158)-ROW(Calc!$B$7))),"")</f>
        <v>Not Set</v>
      </c>
      <c r="I158" s="128" t="str">
        <f>IFERROR(IF(LEN(INDEX(Database!J$9:J$501,ROW(Calc!H158)-ROW(Calc!$B$7)))=0,$AD$3,INDEX(Database!J$9:J$501,ROW(Calc!H158)-ROW(Calc!$B$7))),"")</f>
        <v>Not Set</v>
      </c>
      <c r="J158" s="128" t="str">
        <f t="shared" si="23"/>
        <v>Not Set</v>
      </c>
      <c r="K158" s="124" t="str">
        <f>IFERROR(IF(LEN(INDEX(Database!E$9:E$501,ROW(Calc!I158)-ROW(Calc!$B$7)))=0,"",INDEX(Database!E$9:E$501,ROW(Calc!I158)-ROW(Calc!$B$7))),"")</f>
        <v/>
      </c>
      <c r="L158" s="129" t="str">
        <f>IFERROR(IF(LEN(INDEX(Database!K$9:K$501,ROW(Calc!K158)-ROW(Calc!$B$7)))=0,$AD$3,INDEX(Database!K$9:K$501,ROW(Calc!K158)-ROW(Calc!$B$7))),"")</f>
        <v>Not Set</v>
      </c>
      <c r="M158" s="130" t="str">
        <f>IFERROR(IF(LEN(INDEX(Database!L$9:L$501,ROW(Calc!L158)-ROW(Calc!$B$7)))=0,$AD$3,INDEX(Database!L$9:L$501,ROW(Calc!L158)-ROW(Calc!$B$7))),"")</f>
        <v>Not Set</v>
      </c>
      <c r="N158" s="131" t="str">
        <f>IFERROR(IF(LEN(INDEX(Database!M$9:M$501,ROW(Calc!M158)-ROW(Calc!$B$7)))=0,"",INDEX(Database!M$9:M$501,ROW(Calc!M158)-ROW(Calc!$B$7))),"")</f>
        <v/>
      </c>
      <c r="O158" s="132" t="str">
        <f t="shared" si="27"/>
        <v/>
      </c>
      <c r="P158" s="125" t="str">
        <f t="shared" si="24"/>
        <v>Not Set</v>
      </c>
      <c r="Q158" s="125" t="str">
        <f t="shared" si="25"/>
        <v>Not Set</v>
      </c>
      <c r="R158" s="125" t="str">
        <f>IFERROR(IF(G158=$AD$3,$AD$3,INDEX(Kanban_Helper!$C$317:$C$328,MATCH(MONTH(G158),Kanban_Helper!$B$317:$B$328,0))&amp;" - "&amp;YEAR(G158)),"$AD$3")</f>
        <v>Not Set</v>
      </c>
      <c r="S158" s="125" t="str">
        <f>IFERROR(IF(I158=$AD$3,$AD$3,INDEX(Kanban_Helper!$C$317:$C$328,MATCH(MONTH(I158),Kanban_Helper!$B$317:$B$328,0))&amp;" - "&amp;YEAR(I158)),$AD$3)</f>
        <v>Not Set</v>
      </c>
      <c r="T158" s="125" t="str">
        <f t="shared" ca="1" si="28"/>
        <v/>
      </c>
      <c r="U158" s="125" t="str">
        <f t="shared" ca="1" si="29"/>
        <v/>
      </c>
      <c r="V158" s="125" t="str">
        <f t="shared" si="26"/>
        <v>Not Set</v>
      </c>
      <c r="W158" s="126" t="str">
        <f t="shared" si="30"/>
        <v/>
      </c>
      <c r="X158" s="126" t="str">
        <f t="shared" si="31"/>
        <v/>
      </c>
      <c r="Y158" s="125" t="str">
        <f>IFERROR(IF(LEN(D158)=0,"",IF(SUBTOTAL(3,E158:E158)=0,MIN($Y$7:Y157)-1,SUBTOTAL(3,$E$8:E158))),"")</f>
        <v/>
      </c>
      <c r="Z158" s="17"/>
      <c r="AA158" s="10"/>
      <c r="AB158" s="10"/>
      <c r="AC158" s="10"/>
      <c r="AD158" s="10"/>
      <c r="AE158" s="10"/>
      <c r="AF158" s="10"/>
      <c r="AG158" s="10"/>
      <c r="AH158" s="10"/>
      <c r="AI158" s="10"/>
      <c r="AJ158" s="10"/>
      <c r="AK158" s="10"/>
      <c r="AL158" s="10"/>
      <c r="AM158" s="10"/>
      <c r="AN158" s="10"/>
    </row>
    <row r="159" spans="2:40" hidden="1" x14ac:dyDescent="0.35">
      <c r="B159" s="15"/>
      <c r="C159" s="127" t="str">
        <f>IFERROR(IF(LEN(INDEX(Database!C$9:C$501,ROW(Calc!A159)-ROW(Calc!$B$7)))=0,"",INDEX(Database!C$9:C$501,ROW(Calc!A159)-ROW(Calc!$B$7))),"")</f>
        <v/>
      </c>
      <c r="D159" s="70" t="str">
        <f>IFERROR(IF(LEN(INDEX(Database!D$9:D$501,ROW(Calc!B159)-ROW(Calc!$B$7)))=0,"",INDEX(Database!D$9:D$501,ROW(Calc!B159)-ROW(Calc!$B$7))),"")</f>
        <v/>
      </c>
      <c r="E159" s="124" t="str">
        <f>IFERROR(IF(LEN(INDEX(Database!G$9:G$501,ROW(Calc!D159)-ROW(Calc!$B$7)))=0,$AD$3,INDEX(Database!G$9:G$501,ROW(Calc!D159)-ROW(Calc!$B$7))),"")</f>
        <v>Not Set</v>
      </c>
      <c r="F159" s="124" t="str">
        <f>IFERROR(IF(LEN(INDEX(Database!F$9:F$501,ROW(Calc!E159)-ROW(Calc!$B$7)))=0,$AD$3,INDEX(Database!F$9:F$501,ROW(Calc!E159)-ROW(Calc!$B$7))),"")</f>
        <v>Not Set</v>
      </c>
      <c r="G159" s="128" t="str">
        <f>IFERROR(IF(LEN(INDEX(Database!H$9:H$501,ROW(Calc!F159)-ROW(Calc!$B$7)))=0,$AD$3,INDEX(Database!H$9:H$501,ROW(Calc!F159)-ROW(Calc!$B$7))),"")</f>
        <v>Not Set</v>
      </c>
      <c r="H159" s="128" t="str">
        <f>IFERROR(IF(LEN(INDEX(Database!I$9:I$501,ROW(Calc!G159)-ROW(Calc!$B$7)))=0,$AD$3,INDEX(Database!I$9:I$501,ROW(Calc!G159)-ROW(Calc!$B$7))),"")</f>
        <v>Not Set</v>
      </c>
      <c r="I159" s="128" t="str">
        <f>IFERROR(IF(LEN(INDEX(Database!J$9:J$501,ROW(Calc!H159)-ROW(Calc!$B$7)))=0,$AD$3,INDEX(Database!J$9:J$501,ROW(Calc!H159)-ROW(Calc!$B$7))),"")</f>
        <v>Not Set</v>
      </c>
      <c r="J159" s="128" t="str">
        <f t="shared" si="23"/>
        <v>Not Set</v>
      </c>
      <c r="K159" s="124" t="str">
        <f>IFERROR(IF(LEN(INDEX(Database!E$9:E$501,ROW(Calc!I159)-ROW(Calc!$B$7)))=0,"",INDEX(Database!E$9:E$501,ROW(Calc!I159)-ROW(Calc!$B$7))),"")</f>
        <v/>
      </c>
      <c r="L159" s="129" t="str">
        <f>IFERROR(IF(LEN(INDEX(Database!K$9:K$501,ROW(Calc!K159)-ROW(Calc!$B$7)))=0,$AD$3,INDEX(Database!K$9:K$501,ROW(Calc!K159)-ROW(Calc!$B$7))),"")</f>
        <v>Not Set</v>
      </c>
      <c r="M159" s="130" t="str">
        <f>IFERROR(IF(LEN(INDEX(Database!L$9:L$501,ROW(Calc!L159)-ROW(Calc!$B$7)))=0,$AD$3,INDEX(Database!L$9:L$501,ROW(Calc!L159)-ROW(Calc!$B$7))),"")</f>
        <v>Not Set</v>
      </c>
      <c r="N159" s="131" t="str">
        <f>IFERROR(IF(LEN(INDEX(Database!M$9:M$501,ROW(Calc!M159)-ROW(Calc!$B$7)))=0,"",INDEX(Database!M$9:M$501,ROW(Calc!M159)-ROW(Calc!$B$7))),"")</f>
        <v/>
      </c>
      <c r="O159" s="132" t="str">
        <f t="shared" si="27"/>
        <v/>
      </c>
      <c r="P159" s="125" t="str">
        <f t="shared" si="24"/>
        <v>Not Set</v>
      </c>
      <c r="Q159" s="125" t="str">
        <f t="shared" si="25"/>
        <v>Not Set</v>
      </c>
      <c r="R159" s="125" t="str">
        <f>IFERROR(IF(G159=$AD$3,$AD$3,INDEX(Kanban_Helper!$C$317:$C$328,MATCH(MONTH(G159),Kanban_Helper!$B$317:$B$328,0))&amp;" - "&amp;YEAR(G159)),"$AD$3")</f>
        <v>Not Set</v>
      </c>
      <c r="S159" s="125" t="str">
        <f>IFERROR(IF(I159=$AD$3,$AD$3,INDEX(Kanban_Helper!$C$317:$C$328,MATCH(MONTH(I159),Kanban_Helper!$B$317:$B$328,0))&amp;" - "&amp;YEAR(I159)),$AD$3)</f>
        <v>Not Set</v>
      </c>
      <c r="T159" s="125" t="str">
        <f t="shared" ca="1" si="28"/>
        <v/>
      </c>
      <c r="U159" s="125" t="str">
        <f t="shared" ca="1" si="29"/>
        <v/>
      </c>
      <c r="V159" s="125" t="str">
        <f t="shared" si="26"/>
        <v>Not Set</v>
      </c>
      <c r="W159" s="126" t="str">
        <f t="shared" si="30"/>
        <v/>
      </c>
      <c r="X159" s="126" t="str">
        <f t="shared" si="31"/>
        <v/>
      </c>
      <c r="Y159" s="125" t="str">
        <f>IFERROR(IF(LEN(D159)=0,"",IF(SUBTOTAL(3,E159:E159)=0,MIN($Y$7:Y158)-1,SUBTOTAL(3,$E$8:E159))),"")</f>
        <v/>
      </c>
      <c r="Z159" s="17"/>
      <c r="AA159" s="10"/>
      <c r="AB159" s="10"/>
      <c r="AC159" s="10"/>
      <c r="AD159" s="10"/>
      <c r="AE159" s="10"/>
      <c r="AF159" s="10"/>
      <c r="AG159" s="10"/>
      <c r="AH159" s="10"/>
      <c r="AI159" s="10"/>
      <c r="AJ159" s="10"/>
      <c r="AK159" s="10"/>
      <c r="AL159" s="10"/>
      <c r="AM159" s="10"/>
      <c r="AN159" s="10"/>
    </row>
    <row r="160" spans="2:40" hidden="1" x14ac:dyDescent="0.35">
      <c r="B160" s="15"/>
      <c r="C160" s="127" t="str">
        <f>IFERROR(IF(LEN(INDEX(Database!C$9:C$501,ROW(Calc!A160)-ROW(Calc!$B$7)))=0,"",INDEX(Database!C$9:C$501,ROW(Calc!A160)-ROW(Calc!$B$7))),"")</f>
        <v/>
      </c>
      <c r="D160" s="70" t="str">
        <f>IFERROR(IF(LEN(INDEX(Database!D$9:D$501,ROW(Calc!B160)-ROW(Calc!$B$7)))=0,"",INDEX(Database!D$9:D$501,ROW(Calc!B160)-ROW(Calc!$B$7))),"")</f>
        <v/>
      </c>
      <c r="E160" s="124" t="str">
        <f>IFERROR(IF(LEN(INDEX(Database!G$9:G$501,ROW(Calc!D160)-ROW(Calc!$B$7)))=0,$AD$3,INDEX(Database!G$9:G$501,ROW(Calc!D160)-ROW(Calc!$B$7))),"")</f>
        <v>Not Set</v>
      </c>
      <c r="F160" s="124" t="str">
        <f>IFERROR(IF(LEN(INDEX(Database!F$9:F$501,ROW(Calc!E160)-ROW(Calc!$B$7)))=0,$AD$3,INDEX(Database!F$9:F$501,ROW(Calc!E160)-ROW(Calc!$B$7))),"")</f>
        <v>Not Set</v>
      </c>
      <c r="G160" s="128" t="str">
        <f>IFERROR(IF(LEN(INDEX(Database!H$9:H$501,ROW(Calc!F160)-ROW(Calc!$B$7)))=0,$AD$3,INDEX(Database!H$9:H$501,ROW(Calc!F160)-ROW(Calc!$B$7))),"")</f>
        <v>Not Set</v>
      </c>
      <c r="H160" s="128" t="str">
        <f>IFERROR(IF(LEN(INDEX(Database!I$9:I$501,ROW(Calc!G160)-ROW(Calc!$B$7)))=0,$AD$3,INDEX(Database!I$9:I$501,ROW(Calc!G160)-ROW(Calc!$B$7))),"")</f>
        <v>Not Set</v>
      </c>
      <c r="I160" s="128" t="str">
        <f>IFERROR(IF(LEN(INDEX(Database!J$9:J$501,ROW(Calc!H160)-ROW(Calc!$B$7)))=0,$AD$3,INDEX(Database!J$9:J$501,ROW(Calc!H160)-ROW(Calc!$B$7))),"")</f>
        <v>Not Set</v>
      </c>
      <c r="J160" s="128" t="str">
        <f t="shared" si="23"/>
        <v>Not Set</v>
      </c>
      <c r="K160" s="124" t="str">
        <f>IFERROR(IF(LEN(INDEX(Database!E$9:E$501,ROW(Calc!I160)-ROW(Calc!$B$7)))=0,"",INDEX(Database!E$9:E$501,ROW(Calc!I160)-ROW(Calc!$B$7))),"")</f>
        <v/>
      </c>
      <c r="L160" s="129" t="str">
        <f>IFERROR(IF(LEN(INDEX(Database!K$9:K$501,ROW(Calc!K160)-ROW(Calc!$B$7)))=0,$AD$3,INDEX(Database!K$9:K$501,ROW(Calc!K160)-ROW(Calc!$B$7))),"")</f>
        <v>Not Set</v>
      </c>
      <c r="M160" s="130" t="str">
        <f>IFERROR(IF(LEN(INDEX(Database!L$9:L$501,ROW(Calc!L160)-ROW(Calc!$B$7)))=0,$AD$3,INDEX(Database!L$9:L$501,ROW(Calc!L160)-ROW(Calc!$B$7))),"")</f>
        <v>Not Set</v>
      </c>
      <c r="N160" s="131" t="str">
        <f>IFERROR(IF(LEN(INDEX(Database!M$9:M$501,ROW(Calc!M160)-ROW(Calc!$B$7)))=0,"",INDEX(Database!M$9:M$501,ROW(Calc!M160)-ROW(Calc!$B$7))),"")</f>
        <v/>
      </c>
      <c r="O160" s="132" t="str">
        <f t="shared" si="27"/>
        <v/>
      </c>
      <c r="P160" s="125" t="str">
        <f t="shared" si="24"/>
        <v>Not Set</v>
      </c>
      <c r="Q160" s="125" t="str">
        <f t="shared" si="25"/>
        <v>Not Set</v>
      </c>
      <c r="R160" s="125" t="str">
        <f>IFERROR(IF(G160=$AD$3,$AD$3,INDEX(Kanban_Helper!$C$317:$C$328,MATCH(MONTH(G160),Kanban_Helper!$B$317:$B$328,0))&amp;" - "&amp;YEAR(G160)),"$AD$3")</f>
        <v>Not Set</v>
      </c>
      <c r="S160" s="125" t="str">
        <f>IFERROR(IF(I160=$AD$3,$AD$3,INDEX(Kanban_Helper!$C$317:$C$328,MATCH(MONTH(I160),Kanban_Helper!$B$317:$B$328,0))&amp;" - "&amp;YEAR(I160)),$AD$3)</f>
        <v>Not Set</v>
      </c>
      <c r="T160" s="125" t="str">
        <f t="shared" ca="1" si="28"/>
        <v/>
      </c>
      <c r="U160" s="125" t="str">
        <f t="shared" ca="1" si="29"/>
        <v/>
      </c>
      <c r="V160" s="125" t="str">
        <f t="shared" si="26"/>
        <v>Not Set</v>
      </c>
      <c r="W160" s="126" t="str">
        <f t="shared" si="30"/>
        <v/>
      </c>
      <c r="X160" s="126" t="str">
        <f t="shared" si="31"/>
        <v/>
      </c>
      <c r="Y160" s="125" t="str">
        <f>IFERROR(IF(LEN(D160)=0,"",IF(SUBTOTAL(3,E160:E160)=0,MIN($Y$7:Y159)-1,SUBTOTAL(3,$E$8:E160))),"")</f>
        <v/>
      </c>
      <c r="Z160" s="17"/>
      <c r="AA160" s="10"/>
      <c r="AB160" s="10"/>
      <c r="AC160" s="10"/>
      <c r="AD160" s="10"/>
      <c r="AE160" s="10"/>
      <c r="AF160" s="10"/>
      <c r="AG160" s="10"/>
      <c r="AH160" s="10"/>
      <c r="AI160" s="10"/>
      <c r="AJ160" s="10"/>
      <c r="AK160" s="10"/>
      <c r="AL160" s="10"/>
      <c r="AM160" s="10"/>
      <c r="AN160" s="10"/>
    </row>
    <row r="161" spans="2:40" hidden="1" x14ac:dyDescent="0.35">
      <c r="B161" s="15"/>
      <c r="C161" s="127" t="str">
        <f>IFERROR(IF(LEN(INDEX(Database!C$9:C$501,ROW(Calc!A161)-ROW(Calc!$B$7)))=0,"",INDEX(Database!C$9:C$501,ROW(Calc!A161)-ROW(Calc!$B$7))),"")</f>
        <v/>
      </c>
      <c r="D161" s="70" t="str">
        <f>IFERROR(IF(LEN(INDEX(Database!D$9:D$501,ROW(Calc!B161)-ROW(Calc!$B$7)))=0,"",INDEX(Database!D$9:D$501,ROW(Calc!B161)-ROW(Calc!$B$7))),"")</f>
        <v/>
      </c>
      <c r="E161" s="124" t="str">
        <f>IFERROR(IF(LEN(INDEX(Database!G$9:G$501,ROW(Calc!D161)-ROW(Calc!$B$7)))=0,$AD$3,INDEX(Database!G$9:G$501,ROW(Calc!D161)-ROW(Calc!$B$7))),"")</f>
        <v>Not Set</v>
      </c>
      <c r="F161" s="124" t="str">
        <f>IFERROR(IF(LEN(INDEX(Database!F$9:F$501,ROW(Calc!E161)-ROW(Calc!$B$7)))=0,$AD$3,INDEX(Database!F$9:F$501,ROW(Calc!E161)-ROW(Calc!$B$7))),"")</f>
        <v>Not Set</v>
      </c>
      <c r="G161" s="128" t="str">
        <f>IFERROR(IF(LEN(INDEX(Database!H$9:H$501,ROW(Calc!F161)-ROW(Calc!$B$7)))=0,$AD$3,INDEX(Database!H$9:H$501,ROW(Calc!F161)-ROW(Calc!$B$7))),"")</f>
        <v>Not Set</v>
      </c>
      <c r="H161" s="128" t="str">
        <f>IFERROR(IF(LEN(INDEX(Database!I$9:I$501,ROW(Calc!G161)-ROW(Calc!$B$7)))=0,$AD$3,INDEX(Database!I$9:I$501,ROW(Calc!G161)-ROW(Calc!$B$7))),"")</f>
        <v>Not Set</v>
      </c>
      <c r="I161" s="128" t="str">
        <f>IFERROR(IF(LEN(INDEX(Database!J$9:J$501,ROW(Calc!H161)-ROW(Calc!$B$7)))=0,$AD$3,INDEX(Database!J$9:J$501,ROW(Calc!H161)-ROW(Calc!$B$7))),"")</f>
        <v>Not Set</v>
      </c>
      <c r="J161" s="128" t="str">
        <f t="shared" si="23"/>
        <v>Not Set</v>
      </c>
      <c r="K161" s="124" t="str">
        <f>IFERROR(IF(LEN(INDEX(Database!E$9:E$501,ROW(Calc!I161)-ROW(Calc!$B$7)))=0,"",INDEX(Database!E$9:E$501,ROW(Calc!I161)-ROW(Calc!$B$7))),"")</f>
        <v/>
      </c>
      <c r="L161" s="129" t="str">
        <f>IFERROR(IF(LEN(INDEX(Database!K$9:K$501,ROW(Calc!K161)-ROW(Calc!$B$7)))=0,$AD$3,INDEX(Database!K$9:K$501,ROW(Calc!K161)-ROW(Calc!$B$7))),"")</f>
        <v>Not Set</v>
      </c>
      <c r="M161" s="130" t="str">
        <f>IFERROR(IF(LEN(INDEX(Database!L$9:L$501,ROW(Calc!L161)-ROW(Calc!$B$7)))=0,$AD$3,INDEX(Database!L$9:L$501,ROW(Calc!L161)-ROW(Calc!$B$7))),"")</f>
        <v>Not Set</v>
      </c>
      <c r="N161" s="131" t="str">
        <f>IFERROR(IF(LEN(INDEX(Database!M$9:M$501,ROW(Calc!M161)-ROW(Calc!$B$7)))=0,"",INDEX(Database!M$9:M$501,ROW(Calc!M161)-ROW(Calc!$B$7))),"")</f>
        <v/>
      </c>
      <c r="O161" s="132" t="str">
        <f t="shared" si="27"/>
        <v/>
      </c>
      <c r="P161" s="125" t="str">
        <f t="shared" si="24"/>
        <v>Not Set</v>
      </c>
      <c r="Q161" s="125" t="str">
        <f t="shared" si="25"/>
        <v>Not Set</v>
      </c>
      <c r="R161" s="125" t="str">
        <f>IFERROR(IF(G161=$AD$3,$AD$3,INDEX(Kanban_Helper!$C$317:$C$328,MATCH(MONTH(G161),Kanban_Helper!$B$317:$B$328,0))&amp;" - "&amp;YEAR(G161)),"$AD$3")</f>
        <v>Not Set</v>
      </c>
      <c r="S161" s="125" t="str">
        <f>IFERROR(IF(I161=$AD$3,$AD$3,INDEX(Kanban_Helper!$C$317:$C$328,MATCH(MONTH(I161),Kanban_Helper!$B$317:$B$328,0))&amp;" - "&amp;YEAR(I161)),$AD$3)</f>
        <v>Not Set</v>
      </c>
      <c r="T161" s="125" t="str">
        <f t="shared" ca="1" si="28"/>
        <v/>
      </c>
      <c r="U161" s="125" t="str">
        <f t="shared" ca="1" si="29"/>
        <v/>
      </c>
      <c r="V161" s="125" t="str">
        <f t="shared" si="26"/>
        <v>Not Set</v>
      </c>
      <c r="W161" s="126" t="str">
        <f t="shared" si="30"/>
        <v/>
      </c>
      <c r="X161" s="126" t="str">
        <f t="shared" si="31"/>
        <v/>
      </c>
      <c r="Y161" s="125" t="str">
        <f>IFERROR(IF(LEN(D161)=0,"",IF(SUBTOTAL(3,E161:E161)=0,MIN($Y$7:Y160)-1,SUBTOTAL(3,$E$8:E161))),"")</f>
        <v/>
      </c>
      <c r="Z161" s="17"/>
      <c r="AA161" s="10"/>
      <c r="AB161" s="10"/>
      <c r="AC161" s="10"/>
      <c r="AD161" s="10"/>
      <c r="AE161" s="10"/>
      <c r="AF161" s="10"/>
      <c r="AG161" s="10"/>
      <c r="AH161" s="10"/>
      <c r="AI161" s="10"/>
      <c r="AJ161" s="10"/>
      <c r="AK161" s="10"/>
      <c r="AL161" s="10"/>
      <c r="AM161" s="10"/>
      <c r="AN161" s="10"/>
    </row>
    <row r="162" spans="2:40" hidden="1" x14ac:dyDescent="0.35">
      <c r="B162" s="15"/>
      <c r="C162" s="127" t="str">
        <f>IFERROR(IF(LEN(INDEX(Database!C$9:C$501,ROW(Calc!A162)-ROW(Calc!$B$7)))=0,"",INDEX(Database!C$9:C$501,ROW(Calc!A162)-ROW(Calc!$B$7))),"")</f>
        <v/>
      </c>
      <c r="D162" s="70" t="str">
        <f>IFERROR(IF(LEN(INDEX(Database!D$9:D$501,ROW(Calc!B162)-ROW(Calc!$B$7)))=0,"",INDEX(Database!D$9:D$501,ROW(Calc!B162)-ROW(Calc!$B$7))),"")</f>
        <v/>
      </c>
      <c r="E162" s="124" t="str">
        <f>IFERROR(IF(LEN(INDEX(Database!G$9:G$501,ROW(Calc!D162)-ROW(Calc!$B$7)))=0,$AD$3,INDEX(Database!G$9:G$501,ROW(Calc!D162)-ROW(Calc!$B$7))),"")</f>
        <v>Not Set</v>
      </c>
      <c r="F162" s="124" t="str">
        <f>IFERROR(IF(LEN(INDEX(Database!F$9:F$501,ROW(Calc!E162)-ROW(Calc!$B$7)))=0,$AD$3,INDEX(Database!F$9:F$501,ROW(Calc!E162)-ROW(Calc!$B$7))),"")</f>
        <v>Not Set</v>
      </c>
      <c r="G162" s="128" t="str">
        <f>IFERROR(IF(LEN(INDEX(Database!H$9:H$501,ROW(Calc!F162)-ROW(Calc!$B$7)))=0,$AD$3,INDEX(Database!H$9:H$501,ROW(Calc!F162)-ROW(Calc!$B$7))),"")</f>
        <v>Not Set</v>
      </c>
      <c r="H162" s="128" t="str">
        <f>IFERROR(IF(LEN(INDEX(Database!I$9:I$501,ROW(Calc!G162)-ROW(Calc!$B$7)))=0,$AD$3,INDEX(Database!I$9:I$501,ROW(Calc!G162)-ROW(Calc!$B$7))),"")</f>
        <v>Not Set</v>
      </c>
      <c r="I162" s="128" t="str">
        <f>IFERROR(IF(LEN(INDEX(Database!J$9:J$501,ROW(Calc!H162)-ROW(Calc!$B$7)))=0,$AD$3,INDEX(Database!J$9:J$501,ROW(Calc!H162)-ROW(Calc!$B$7))),"")</f>
        <v>Not Set</v>
      </c>
      <c r="J162" s="128" t="str">
        <f t="shared" si="23"/>
        <v>Not Set</v>
      </c>
      <c r="K162" s="124" t="str">
        <f>IFERROR(IF(LEN(INDEX(Database!E$9:E$501,ROW(Calc!I162)-ROW(Calc!$B$7)))=0,"",INDEX(Database!E$9:E$501,ROW(Calc!I162)-ROW(Calc!$B$7))),"")</f>
        <v/>
      </c>
      <c r="L162" s="129" t="str">
        <f>IFERROR(IF(LEN(INDEX(Database!K$9:K$501,ROW(Calc!K162)-ROW(Calc!$B$7)))=0,$AD$3,INDEX(Database!K$9:K$501,ROW(Calc!K162)-ROW(Calc!$B$7))),"")</f>
        <v>Not Set</v>
      </c>
      <c r="M162" s="130" t="str">
        <f>IFERROR(IF(LEN(INDEX(Database!L$9:L$501,ROW(Calc!L162)-ROW(Calc!$B$7)))=0,$AD$3,INDEX(Database!L$9:L$501,ROW(Calc!L162)-ROW(Calc!$B$7))),"")</f>
        <v>Not Set</v>
      </c>
      <c r="N162" s="131" t="str">
        <f>IFERROR(IF(LEN(INDEX(Database!M$9:M$501,ROW(Calc!M162)-ROW(Calc!$B$7)))=0,"",INDEX(Database!M$9:M$501,ROW(Calc!M162)-ROW(Calc!$B$7))),"")</f>
        <v/>
      </c>
      <c r="O162" s="132" t="str">
        <f t="shared" si="27"/>
        <v/>
      </c>
      <c r="P162" s="125" t="str">
        <f t="shared" si="24"/>
        <v>Not Set</v>
      </c>
      <c r="Q162" s="125" t="str">
        <f t="shared" si="25"/>
        <v>Not Set</v>
      </c>
      <c r="R162" s="125" t="str">
        <f>IFERROR(IF(G162=$AD$3,$AD$3,INDEX(Kanban_Helper!$C$317:$C$328,MATCH(MONTH(G162),Kanban_Helper!$B$317:$B$328,0))&amp;" - "&amp;YEAR(G162)),"$AD$3")</f>
        <v>Not Set</v>
      </c>
      <c r="S162" s="125" t="str">
        <f>IFERROR(IF(I162=$AD$3,$AD$3,INDEX(Kanban_Helper!$C$317:$C$328,MATCH(MONTH(I162),Kanban_Helper!$B$317:$B$328,0))&amp;" - "&amp;YEAR(I162)),$AD$3)</f>
        <v>Not Set</v>
      </c>
      <c r="T162" s="125" t="str">
        <f t="shared" ca="1" si="28"/>
        <v/>
      </c>
      <c r="U162" s="125" t="str">
        <f t="shared" ca="1" si="29"/>
        <v/>
      </c>
      <c r="V162" s="125" t="str">
        <f t="shared" si="26"/>
        <v>Not Set</v>
      </c>
      <c r="W162" s="126" t="str">
        <f t="shared" si="30"/>
        <v/>
      </c>
      <c r="X162" s="126" t="str">
        <f t="shared" si="31"/>
        <v/>
      </c>
      <c r="Y162" s="125" t="str">
        <f>IFERROR(IF(LEN(D162)=0,"",IF(SUBTOTAL(3,E162:E162)=0,MIN($Y$7:Y161)-1,SUBTOTAL(3,$E$8:E162))),"")</f>
        <v/>
      </c>
      <c r="Z162" s="17"/>
      <c r="AA162" s="10"/>
      <c r="AB162" s="10"/>
      <c r="AC162" s="10"/>
      <c r="AD162" s="10"/>
      <c r="AE162" s="10"/>
      <c r="AF162" s="10"/>
      <c r="AG162" s="10"/>
      <c r="AH162" s="10"/>
      <c r="AI162" s="10"/>
      <c r="AJ162" s="10"/>
      <c r="AK162" s="10"/>
      <c r="AL162" s="10"/>
      <c r="AM162" s="10"/>
      <c r="AN162" s="10"/>
    </row>
    <row r="163" spans="2:40" hidden="1" x14ac:dyDescent="0.35">
      <c r="B163" s="15"/>
      <c r="C163" s="127" t="str">
        <f>IFERROR(IF(LEN(INDEX(Database!C$9:C$501,ROW(Calc!A163)-ROW(Calc!$B$7)))=0,"",INDEX(Database!C$9:C$501,ROW(Calc!A163)-ROW(Calc!$B$7))),"")</f>
        <v/>
      </c>
      <c r="D163" s="70" t="str">
        <f>IFERROR(IF(LEN(INDEX(Database!D$9:D$501,ROW(Calc!B163)-ROW(Calc!$B$7)))=0,"",INDEX(Database!D$9:D$501,ROW(Calc!B163)-ROW(Calc!$B$7))),"")</f>
        <v/>
      </c>
      <c r="E163" s="124" t="str">
        <f>IFERROR(IF(LEN(INDEX(Database!G$9:G$501,ROW(Calc!D163)-ROW(Calc!$B$7)))=0,$AD$3,INDEX(Database!G$9:G$501,ROW(Calc!D163)-ROW(Calc!$B$7))),"")</f>
        <v>Not Set</v>
      </c>
      <c r="F163" s="124" t="str">
        <f>IFERROR(IF(LEN(INDEX(Database!F$9:F$501,ROW(Calc!E163)-ROW(Calc!$B$7)))=0,$AD$3,INDEX(Database!F$9:F$501,ROW(Calc!E163)-ROW(Calc!$B$7))),"")</f>
        <v>Not Set</v>
      </c>
      <c r="G163" s="128" t="str">
        <f>IFERROR(IF(LEN(INDEX(Database!H$9:H$501,ROW(Calc!F163)-ROW(Calc!$B$7)))=0,$AD$3,INDEX(Database!H$9:H$501,ROW(Calc!F163)-ROW(Calc!$B$7))),"")</f>
        <v>Not Set</v>
      </c>
      <c r="H163" s="128" t="str">
        <f>IFERROR(IF(LEN(INDEX(Database!I$9:I$501,ROW(Calc!G163)-ROW(Calc!$B$7)))=0,$AD$3,INDEX(Database!I$9:I$501,ROW(Calc!G163)-ROW(Calc!$B$7))),"")</f>
        <v>Not Set</v>
      </c>
      <c r="I163" s="128" t="str">
        <f>IFERROR(IF(LEN(INDEX(Database!J$9:J$501,ROW(Calc!H163)-ROW(Calc!$B$7)))=0,$AD$3,INDEX(Database!J$9:J$501,ROW(Calc!H163)-ROW(Calc!$B$7))),"")</f>
        <v>Not Set</v>
      </c>
      <c r="J163" s="128" t="str">
        <f t="shared" si="23"/>
        <v>Not Set</v>
      </c>
      <c r="K163" s="124" t="str">
        <f>IFERROR(IF(LEN(INDEX(Database!E$9:E$501,ROW(Calc!I163)-ROW(Calc!$B$7)))=0,"",INDEX(Database!E$9:E$501,ROW(Calc!I163)-ROW(Calc!$B$7))),"")</f>
        <v/>
      </c>
      <c r="L163" s="129" t="str">
        <f>IFERROR(IF(LEN(INDEX(Database!K$9:K$501,ROW(Calc!K163)-ROW(Calc!$B$7)))=0,$AD$3,INDEX(Database!K$9:K$501,ROW(Calc!K163)-ROW(Calc!$B$7))),"")</f>
        <v>Not Set</v>
      </c>
      <c r="M163" s="130" t="str">
        <f>IFERROR(IF(LEN(INDEX(Database!L$9:L$501,ROW(Calc!L163)-ROW(Calc!$B$7)))=0,$AD$3,INDEX(Database!L$9:L$501,ROW(Calc!L163)-ROW(Calc!$B$7))),"")</f>
        <v>Not Set</v>
      </c>
      <c r="N163" s="131" t="str">
        <f>IFERROR(IF(LEN(INDEX(Database!M$9:M$501,ROW(Calc!M163)-ROW(Calc!$B$7)))=0,"",INDEX(Database!M$9:M$501,ROW(Calc!M163)-ROW(Calc!$B$7))),"")</f>
        <v/>
      </c>
      <c r="O163" s="132" t="str">
        <f t="shared" si="27"/>
        <v/>
      </c>
      <c r="P163" s="125" t="str">
        <f t="shared" si="24"/>
        <v>Not Set</v>
      </c>
      <c r="Q163" s="125" t="str">
        <f t="shared" si="25"/>
        <v>Not Set</v>
      </c>
      <c r="R163" s="125" t="str">
        <f>IFERROR(IF(G163=$AD$3,$AD$3,INDEX(Kanban_Helper!$C$317:$C$328,MATCH(MONTH(G163),Kanban_Helper!$B$317:$B$328,0))&amp;" - "&amp;YEAR(G163)),"$AD$3")</f>
        <v>Not Set</v>
      </c>
      <c r="S163" s="125" t="str">
        <f>IFERROR(IF(I163=$AD$3,$AD$3,INDEX(Kanban_Helper!$C$317:$C$328,MATCH(MONTH(I163),Kanban_Helper!$B$317:$B$328,0))&amp;" - "&amp;YEAR(I163)),$AD$3)</f>
        <v>Not Set</v>
      </c>
      <c r="T163" s="125" t="str">
        <f t="shared" ca="1" si="28"/>
        <v/>
      </c>
      <c r="U163" s="125" t="str">
        <f t="shared" ca="1" si="29"/>
        <v/>
      </c>
      <c r="V163" s="125" t="str">
        <f t="shared" si="26"/>
        <v>Not Set</v>
      </c>
      <c r="W163" s="126" t="str">
        <f t="shared" si="30"/>
        <v/>
      </c>
      <c r="X163" s="126" t="str">
        <f t="shared" si="31"/>
        <v/>
      </c>
      <c r="Y163" s="125" t="str">
        <f>IFERROR(IF(LEN(D163)=0,"",IF(SUBTOTAL(3,E163:E163)=0,MIN($Y$7:Y162)-1,SUBTOTAL(3,$E$8:E163))),"")</f>
        <v/>
      </c>
      <c r="Z163" s="17"/>
      <c r="AA163" s="10"/>
      <c r="AB163" s="10"/>
      <c r="AC163" s="10"/>
      <c r="AD163" s="10"/>
      <c r="AE163" s="10"/>
      <c r="AF163" s="10"/>
      <c r="AG163" s="10"/>
      <c r="AH163" s="10"/>
      <c r="AI163" s="10"/>
      <c r="AJ163" s="10"/>
      <c r="AK163" s="10"/>
      <c r="AL163" s="10"/>
      <c r="AM163" s="10"/>
      <c r="AN163" s="10"/>
    </row>
    <row r="164" spans="2:40" hidden="1" x14ac:dyDescent="0.35">
      <c r="B164" s="15"/>
      <c r="C164" s="127" t="str">
        <f>IFERROR(IF(LEN(INDEX(Database!C$9:C$501,ROW(Calc!A164)-ROW(Calc!$B$7)))=0,"",INDEX(Database!C$9:C$501,ROW(Calc!A164)-ROW(Calc!$B$7))),"")</f>
        <v/>
      </c>
      <c r="D164" s="70" t="str">
        <f>IFERROR(IF(LEN(INDEX(Database!D$9:D$501,ROW(Calc!B164)-ROW(Calc!$B$7)))=0,"",INDEX(Database!D$9:D$501,ROW(Calc!B164)-ROW(Calc!$B$7))),"")</f>
        <v/>
      </c>
      <c r="E164" s="124" t="str">
        <f>IFERROR(IF(LEN(INDEX(Database!G$9:G$501,ROW(Calc!D164)-ROW(Calc!$B$7)))=0,$AD$3,INDEX(Database!G$9:G$501,ROW(Calc!D164)-ROW(Calc!$B$7))),"")</f>
        <v>Not Set</v>
      </c>
      <c r="F164" s="124" t="str">
        <f>IFERROR(IF(LEN(INDEX(Database!F$9:F$501,ROW(Calc!E164)-ROW(Calc!$B$7)))=0,$AD$3,INDEX(Database!F$9:F$501,ROW(Calc!E164)-ROW(Calc!$B$7))),"")</f>
        <v>Not Set</v>
      </c>
      <c r="G164" s="128" t="str">
        <f>IFERROR(IF(LEN(INDEX(Database!H$9:H$501,ROW(Calc!F164)-ROW(Calc!$B$7)))=0,$AD$3,INDEX(Database!H$9:H$501,ROW(Calc!F164)-ROW(Calc!$B$7))),"")</f>
        <v>Not Set</v>
      </c>
      <c r="H164" s="128" t="str">
        <f>IFERROR(IF(LEN(INDEX(Database!I$9:I$501,ROW(Calc!G164)-ROW(Calc!$B$7)))=0,$AD$3,INDEX(Database!I$9:I$501,ROW(Calc!G164)-ROW(Calc!$B$7))),"")</f>
        <v>Not Set</v>
      </c>
      <c r="I164" s="128" t="str">
        <f>IFERROR(IF(LEN(INDEX(Database!J$9:J$501,ROW(Calc!H164)-ROW(Calc!$B$7)))=0,$AD$3,INDEX(Database!J$9:J$501,ROW(Calc!H164)-ROW(Calc!$B$7))),"")</f>
        <v>Not Set</v>
      </c>
      <c r="J164" s="128" t="str">
        <f t="shared" si="23"/>
        <v>Not Set</v>
      </c>
      <c r="K164" s="124" t="str">
        <f>IFERROR(IF(LEN(INDEX(Database!E$9:E$501,ROW(Calc!I164)-ROW(Calc!$B$7)))=0,"",INDEX(Database!E$9:E$501,ROW(Calc!I164)-ROW(Calc!$B$7))),"")</f>
        <v/>
      </c>
      <c r="L164" s="129" t="str">
        <f>IFERROR(IF(LEN(INDEX(Database!K$9:K$501,ROW(Calc!K164)-ROW(Calc!$B$7)))=0,$AD$3,INDEX(Database!K$9:K$501,ROW(Calc!K164)-ROW(Calc!$B$7))),"")</f>
        <v>Not Set</v>
      </c>
      <c r="M164" s="130" t="str">
        <f>IFERROR(IF(LEN(INDEX(Database!L$9:L$501,ROW(Calc!L164)-ROW(Calc!$B$7)))=0,$AD$3,INDEX(Database!L$9:L$501,ROW(Calc!L164)-ROW(Calc!$B$7))),"")</f>
        <v>Not Set</v>
      </c>
      <c r="N164" s="131" t="str">
        <f>IFERROR(IF(LEN(INDEX(Database!M$9:M$501,ROW(Calc!M164)-ROW(Calc!$B$7)))=0,"",INDEX(Database!M$9:M$501,ROW(Calc!M164)-ROW(Calc!$B$7))),"")</f>
        <v/>
      </c>
      <c r="O164" s="132" t="str">
        <f t="shared" si="27"/>
        <v/>
      </c>
      <c r="P164" s="125" t="str">
        <f t="shared" si="24"/>
        <v>Not Set</v>
      </c>
      <c r="Q164" s="125" t="str">
        <f t="shared" si="25"/>
        <v>Not Set</v>
      </c>
      <c r="R164" s="125" t="str">
        <f>IFERROR(IF(G164=$AD$3,$AD$3,INDEX(Kanban_Helper!$C$317:$C$328,MATCH(MONTH(G164),Kanban_Helper!$B$317:$B$328,0))&amp;" - "&amp;YEAR(G164)),"$AD$3")</f>
        <v>Not Set</v>
      </c>
      <c r="S164" s="125" t="str">
        <f>IFERROR(IF(I164=$AD$3,$AD$3,INDEX(Kanban_Helper!$C$317:$C$328,MATCH(MONTH(I164),Kanban_Helper!$B$317:$B$328,0))&amp;" - "&amp;YEAR(I164)),$AD$3)</f>
        <v>Not Set</v>
      </c>
      <c r="T164" s="125" t="str">
        <f t="shared" ca="1" si="28"/>
        <v/>
      </c>
      <c r="U164" s="125" t="str">
        <f t="shared" ca="1" si="29"/>
        <v/>
      </c>
      <c r="V164" s="125" t="str">
        <f t="shared" si="26"/>
        <v>Not Set</v>
      </c>
      <c r="W164" s="126" t="str">
        <f t="shared" si="30"/>
        <v/>
      </c>
      <c r="X164" s="126" t="str">
        <f t="shared" si="31"/>
        <v/>
      </c>
      <c r="Y164" s="125" t="str">
        <f>IFERROR(IF(LEN(D164)=0,"",IF(SUBTOTAL(3,E164:E164)=0,MIN($Y$7:Y163)-1,SUBTOTAL(3,$E$8:E164))),"")</f>
        <v/>
      </c>
      <c r="Z164" s="17"/>
      <c r="AA164" s="10"/>
      <c r="AB164" s="10"/>
      <c r="AC164" s="10"/>
      <c r="AD164" s="10"/>
      <c r="AE164" s="10"/>
      <c r="AF164" s="10"/>
      <c r="AG164" s="10"/>
      <c r="AH164" s="10"/>
      <c r="AI164" s="10"/>
      <c r="AJ164" s="10"/>
      <c r="AK164" s="10"/>
      <c r="AL164" s="10"/>
      <c r="AM164" s="10"/>
      <c r="AN164" s="10"/>
    </row>
    <row r="165" spans="2:40" hidden="1" x14ac:dyDescent="0.35">
      <c r="B165" s="15"/>
      <c r="C165" s="127" t="str">
        <f>IFERROR(IF(LEN(INDEX(Database!C$9:C$501,ROW(Calc!A165)-ROW(Calc!$B$7)))=0,"",INDEX(Database!C$9:C$501,ROW(Calc!A165)-ROW(Calc!$B$7))),"")</f>
        <v/>
      </c>
      <c r="D165" s="70" t="str">
        <f>IFERROR(IF(LEN(INDEX(Database!D$9:D$501,ROW(Calc!B165)-ROW(Calc!$B$7)))=0,"",INDEX(Database!D$9:D$501,ROW(Calc!B165)-ROW(Calc!$B$7))),"")</f>
        <v/>
      </c>
      <c r="E165" s="124" t="str">
        <f>IFERROR(IF(LEN(INDEX(Database!G$9:G$501,ROW(Calc!D165)-ROW(Calc!$B$7)))=0,$AD$3,INDEX(Database!G$9:G$501,ROW(Calc!D165)-ROW(Calc!$B$7))),"")</f>
        <v>Not Set</v>
      </c>
      <c r="F165" s="124" t="str">
        <f>IFERROR(IF(LEN(INDEX(Database!F$9:F$501,ROW(Calc!E165)-ROW(Calc!$B$7)))=0,$AD$3,INDEX(Database!F$9:F$501,ROW(Calc!E165)-ROW(Calc!$B$7))),"")</f>
        <v>Not Set</v>
      </c>
      <c r="G165" s="128" t="str">
        <f>IFERROR(IF(LEN(INDEX(Database!H$9:H$501,ROW(Calc!F165)-ROW(Calc!$B$7)))=0,$AD$3,INDEX(Database!H$9:H$501,ROW(Calc!F165)-ROW(Calc!$B$7))),"")</f>
        <v>Not Set</v>
      </c>
      <c r="H165" s="128" t="str">
        <f>IFERROR(IF(LEN(INDEX(Database!I$9:I$501,ROW(Calc!G165)-ROW(Calc!$B$7)))=0,$AD$3,INDEX(Database!I$9:I$501,ROW(Calc!G165)-ROW(Calc!$B$7))),"")</f>
        <v>Not Set</v>
      </c>
      <c r="I165" s="128" t="str">
        <f>IFERROR(IF(LEN(INDEX(Database!J$9:J$501,ROW(Calc!H165)-ROW(Calc!$B$7)))=0,$AD$3,INDEX(Database!J$9:J$501,ROW(Calc!H165)-ROW(Calc!$B$7))),"")</f>
        <v>Not Set</v>
      </c>
      <c r="J165" s="128" t="str">
        <f t="shared" si="23"/>
        <v>Not Set</v>
      </c>
      <c r="K165" s="124" t="str">
        <f>IFERROR(IF(LEN(INDEX(Database!E$9:E$501,ROW(Calc!I165)-ROW(Calc!$B$7)))=0,"",INDEX(Database!E$9:E$501,ROW(Calc!I165)-ROW(Calc!$B$7))),"")</f>
        <v/>
      </c>
      <c r="L165" s="129" t="str">
        <f>IFERROR(IF(LEN(INDEX(Database!K$9:K$501,ROW(Calc!K165)-ROW(Calc!$B$7)))=0,$AD$3,INDEX(Database!K$9:K$501,ROW(Calc!K165)-ROW(Calc!$B$7))),"")</f>
        <v>Not Set</v>
      </c>
      <c r="M165" s="130" t="str">
        <f>IFERROR(IF(LEN(INDEX(Database!L$9:L$501,ROW(Calc!L165)-ROW(Calc!$B$7)))=0,$AD$3,INDEX(Database!L$9:L$501,ROW(Calc!L165)-ROW(Calc!$B$7))),"")</f>
        <v>Not Set</v>
      </c>
      <c r="N165" s="131" t="str">
        <f>IFERROR(IF(LEN(INDEX(Database!M$9:M$501,ROW(Calc!M165)-ROW(Calc!$B$7)))=0,"",INDEX(Database!M$9:M$501,ROW(Calc!M165)-ROW(Calc!$B$7))),"")</f>
        <v/>
      </c>
      <c r="O165" s="132" t="str">
        <f t="shared" si="27"/>
        <v/>
      </c>
      <c r="P165" s="125" t="str">
        <f t="shared" si="24"/>
        <v>Not Set</v>
      </c>
      <c r="Q165" s="125" t="str">
        <f t="shared" si="25"/>
        <v>Not Set</v>
      </c>
      <c r="R165" s="125" t="str">
        <f>IFERROR(IF(G165=$AD$3,$AD$3,INDEX(Kanban_Helper!$C$317:$C$328,MATCH(MONTH(G165),Kanban_Helper!$B$317:$B$328,0))&amp;" - "&amp;YEAR(G165)),"$AD$3")</f>
        <v>Not Set</v>
      </c>
      <c r="S165" s="125" t="str">
        <f>IFERROR(IF(I165=$AD$3,$AD$3,INDEX(Kanban_Helper!$C$317:$C$328,MATCH(MONTH(I165),Kanban_Helper!$B$317:$B$328,0))&amp;" - "&amp;YEAR(I165)),$AD$3)</f>
        <v>Not Set</v>
      </c>
      <c r="T165" s="125" t="str">
        <f t="shared" ca="1" si="28"/>
        <v/>
      </c>
      <c r="U165" s="125" t="str">
        <f t="shared" ca="1" si="29"/>
        <v/>
      </c>
      <c r="V165" s="125" t="str">
        <f t="shared" si="26"/>
        <v>Not Set</v>
      </c>
      <c r="W165" s="126" t="str">
        <f t="shared" si="30"/>
        <v/>
      </c>
      <c r="X165" s="126" t="str">
        <f t="shared" si="31"/>
        <v/>
      </c>
      <c r="Y165" s="125" t="str">
        <f>IFERROR(IF(LEN(D165)=0,"",IF(SUBTOTAL(3,E165:E165)=0,MIN($Y$7:Y164)-1,SUBTOTAL(3,$E$8:E165))),"")</f>
        <v/>
      </c>
      <c r="Z165" s="17"/>
      <c r="AA165" s="10"/>
      <c r="AB165" s="10"/>
      <c r="AC165" s="10"/>
      <c r="AD165" s="10"/>
      <c r="AE165" s="10"/>
      <c r="AF165" s="10"/>
      <c r="AG165" s="10"/>
      <c r="AH165" s="10"/>
      <c r="AI165" s="10"/>
      <c r="AJ165" s="10"/>
      <c r="AK165" s="10"/>
      <c r="AL165" s="10"/>
      <c r="AM165" s="10"/>
      <c r="AN165" s="10"/>
    </row>
    <row r="166" spans="2:40" hidden="1" x14ac:dyDescent="0.35">
      <c r="B166" s="15"/>
      <c r="C166" s="127" t="str">
        <f>IFERROR(IF(LEN(INDEX(Database!C$9:C$501,ROW(Calc!A166)-ROW(Calc!$B$7)))=0,"",INDEX(Database!C$9:C$501,ROW(Calc!A166)-ROW(Calc!$B$7))),"")</f>
        <v/>
      </c>
      <c r="D166" s="70" t="str">
        <f>IFERROR(IF(LEN(INDEX(Database!D$9:D$501,ROW(Calc!B166)-ROW(Calc!$B$7)))=0,"",INDEX(Database!D$9:D$501,ROW(Calc!B166)-ROW(Calc!$B$7))),"")</f>
        <v/>
      </c>
      <c r="E166" s="124" t="str">
        <f>IFERROR(IF(LEN(INDEX(Database!G$9:G$501,ROW(Calc!D166)-ROW(Calc!$B$7)))=0,$AD$3,INDEX(Database!G$9:G$501,ROW(Calc!D166)-ROW(Calc!$B$7))),"")</f>
        <v>Not Set</v>
      </c>
      <c r="F166" s="124" t="str">
        <f>IFERROR(IF(LEN(INDEX(Database!F$9:F$501,ROW(Calc!E166)-ROW(Calc!$B$7)))=0,$AD$3,INDEX(Database!F$9:F$501,ROW(Calc!E166)-ROW(Calc!$B$7))),"")</f>
        <v>Not Set</v>
      </c>
      <c r="G166" s="128" t="str">
        <f>IFERROR(IF(LEN(INDEX(Database!H$9:H$501,ROW(Calc!F166)-ROW(Calc!$B$7)))=0,$AD$3,INDEX(Database!H$9:H$501,ROW(Calc!F166)-ROW(Calc!$B$7))),"")</f>
        <v>Not Set</v>
      </c>
      <c r="H166" s="128" t="str">
        <f>IFERROR(IF(LEN(INDEX(Database!I$9:I$501,ROW(Calc!G166)-ROW(Calc!$B$7)))=0,$AD$3,INDEX(Database!I$9:I$501,ROW(Calc!G166)-ROW(Calc!$B$7))),"")</f>
        <v>Not Set</v>
      </c>
      <c r="I166" s="128" t="str">
        <f>IFERROR(IF(LEN(INDEX(Database!J$9:J$501,ROW(Calc!H166)-ROW(Calc!$B$7)))=0,$AD$3,INDEX(Database!J$9:J$501,ROW(Calc!H166)-ROW(Calc!$B$7))),"")</f>
        <v>Not Set</v>
      </c>
      <c r="J166" s="128" t="str">
        <f t="shared" si="23"/>
        <v>Not Set</v>
      </c>
      <c r="K166" s="124" t="str">
        <f>IFERROR(IF(LEN(INDEX(Database!E$9:E$501,ROW(Calc!I166)-ROW(Calc!$B$7)))=0,"",INDEX(Database!E$9:E$501,ROW(Calc!I166)-ROW(Calc!$B$7))),"")</f>
        <v/>
      </c>
      <c r="L166" s="129" t="str">
        <f>IFERROR(IF(LEN(INDEX(Database!K$9:K$501,ROW(Calc!K166)-ROW(Calc!$B$7)))=0,$AD$3,INDEX(Database!K$9:K$501,ROW(Calc!K166)-ROW(Calc!$B$7))),"")</f>
        <v>Not Set</v>
      </c>
      <c r="M166" s="130" t="str">
        <f>IFERROR(IF(LEN(INDEX(Database!L$9:L$501,ROW(Calc!L166)-ROW(Calc!$B$7)))=0,$AD$3,INDEX(Database!L$9:L$501,ROW(Calc!L166)-ROW(Calc!$B$7))),"")</f>
        <v>Not Set</v>
      </c>
      <c r="N166" s="131" t="str">
        <f>IFERROR(IF(LEN(INDEX(Database!M$9:M$501,ROW(Calc!M166)-ROW(Calc!$B$7)))=0,"",INDEX(Database!M$9:M$501,ROW(Calc!M166)-ROW(Calc!$B$7))),"")</f>
        <v/>
      </c>
      <c r="O166" s="132" t="str">
        <f t="shared" si="27"/>
        <v/>
      </c>
      <c r="P166" s="125" t="str">
        <f t="shared" si="24"/>
        <v>Not Set</v>
      </c>
      <c r="Q166" s="125" t="str">
        <f t="shared" si="25"/>
        <v>Not Set</v>
      </c>
      <c r="R166" s="125" t="str">
        <f>IFERROR(IF(G166=$AD$3,$AD$3,INDEX(Kanban_Helper!$C$317:$C$328,MATCH(MONTH(G166),Kanban_Helper!$B$317:$B$328,0))&amp;" - "&amp;YEAR(G166)),"$AD$3")</f>
        <v>Not Set</v>
      </c>
      <c r="S166" s="125" t="str">
        <f>IFERROR(IF(I166=$AD$3,$AD$3,INDEX(Kanban_Helper!$C$317:$C$328,MATCH(MONTH(I166),Kanban_Helper!$B$317:$B$328,0))&amp;" - "&amp;YEAR(I166)),$AD$3)</f>
        <v>Not Set</v>
      </c>
      <c r="T166" s="125" t="str">
        <f t="shared" ca="1" si="28"/>
        <v/>
      </c>
      <c r="U166" s="125" t="str">
        <f t="shared" ca="1" si="29"/>
        <v/>
      </c>
      <c r="V166" s="125" t="str">
        <f t="shared" si="26"/>
        <v>Not Set</v>
      </c>
      <c r="W166" s="126" t="str">
        <f t="shared" si="30"/>
        <v/>
      </c>
      <c r="X166" s="126" t="str">
        <f t="shared" si="31"/>
        <v/>
      </c>
      <c r="Y166" s="125" t="str">
        <f>IFERROR(IF(LEN(D166)=0,"",IF(SUBTOTAL(3,E166:E166)=0,MIN($Y$7:Y165)-1,SUBTOTAL(3,$E$8:E166))),"")</f>
        <v/>
      </c>
      <c r="Z166" s="17"/>
      <c r="AA166" s="10"/>
      <c r="AB166" s="10"/>
      <c r="AC166" s="10"/>
      <c r="AD166" s="10"/>
      <c r="AE166" s="10"/>
      <c r="AF166" s="10"/>
      <c r="AG166" s="10"/>
      <c r="AH166" s="10"/>
      <c r="AI166" s="10"/>
      <c r="AJ166" s="10"/>
      <c r="AK166" s="10"/>
      <c r="AL166" s="10"/>
      <c r="AM166" s="10"/>
      <c r="AN166" s="10"/>
    </row>
    <row r="167" spans="2:40" hidden="1" x14ac:dyDescent="0.35">
      <c r="B167" s="15"/>
      <c r="C167" s="127" t="str">
        <f>IFERROR(IF(LEN(INDEX(Database!C$9:C$501,ROW(Calc!A167)-ROW(Calc!$B$7)))=0,"",INDEX(Database!C$9:C$501,ROW(Calc!A167)-ROW(Calc!$B$7))),"")</f>
        <v/>
      </c>
      <c r="D167" s="70" t="str">
        <f>IFERROR(IF(LEN(INDEX(Database!D$9:D$501,ROW(Calc!B167)-ROW(Calc!$B$7)))=0,"",INDEX(Database!D$9:D$501,ROW(Calc!B167)-ROW(Calc!$B$7))),"")</f>
        <v/>
      </c>
      <c r="E167" s="124" t="str">
        <f>IFERROR(IF(LEN(INDEX(Database!G$9:G$501,ROW(Calc!D167)-ROW(Calc!$B$7)))=0,$AD$3,INDEX(Database!G$9:G$501,ROW(Calc!D167)-ROW(Calc!$B$7))),"")</f>
        <v>Not Set</v>
      </c>
      <c r="F167" s="124" t="str">
        <f>IFERROR(IF(LEN(INDEX(Database!F$9:F$501,ROW(Calc!E167)-ROW(Calc!$B$7)))=0,$AD$3,INDEX(Database!F$9:F$501,ROW(Calc!E167)-ROW(Calc!$B$7))),"")</f>
        <v>Not Set</v>
      </c>
      <c r="G167" s="128" t="str">
        <f>IFERROR(IF(LEN(INDEX(Database!H$9:H$501,ROW(Calc!F167)-ROW(Calc!$B$7)))=0,$AD$3,INDEX(Database!H$9:H$501,ROW(Calc!F167)-ROW(Calc!$B$7))),"")</f>
        <v>Not Set</v>
      </c>
      <c r="H167" s="128" t="str">
        <f>IFERROR(IF(LEN(INDEX(Database!I$9:I$501,ROW(Calc!G167)-ROW(Calc!$B$7)))=0,$AD$3,INDEX(Database!I$9:I$501,ROW(Calc!G167)-ROW(Calc!$B$7))),"")</f>
        <v>Not Set</v>
      </c>
      <c r="I167" s="128" t="str">
        <f>IFERROR(IF(LEN(INDEX(Database!J$9:J$501,ROW(Calc!H167)-ROW(Calc!$B$7)))=0,$AD$3,INDEX(Database!J$9:J$501,ROW(Calc!H167)-ROW(Calc!$B$7))),"")</f>
        <v>Not Set</v>
      </c>
      <c r="J167" s="128" t="str">
        <f t="shared" si="23"/>
        <v>Not Set</v>
      </c>
      <c r="K167" s="124" t="str">
        <f>IFERROR(IF(LEN(INDEX(Database!E$9:E$501,ROW(Calc!I167)-ROW(Calc!$B$7)))=0,"",INDEX(Database!E$9:E$501,ROW(Calc!I167)-ROW(Calc!$B$7))),"")</f>
        <v/>
      </c>
      <c r="L167" s="129" t="str">
        <f>IFERROR(IF(LEN(INDEX(Database!K$9:K$501,ROW(Calc!K167)-ROW(Calc!$B$7)))=0,$AD$3,INDEX(Database!K$9:K$501,ROW(Calc!K167)-ROW(Calc!$B$7))),"")</f>
        <v>Not Set</v>
      </c>
      <c r="M167" s="130" t="str">
        <f>IFERROR(IF(LEN(INDEX(Database!L$9:L$501,ROW(Calc!L167)-ROW(Calc!$B$7)))=0,$AD$3,INDEX(Database!L$9:L$501,ROW(Calc!L167)-ROW(Calc!$B$7))),"")</f>
        <v>Not Set</v>
      </c>
      <c r="N167" s="131" t="str">
        <f>IFERROR(IF(LEN(INDEX(Database!M$9:M$501,ROW(Calc!M167)-ROW(Calc!$B$7)))=0,"",INDEX(Database!M$9:M$501,ROW(Calc!M167)-ROW(Calc!$B$7))),"")</f>
        <v/>
      </c>
      <c r="O167" s="132" t="str">
        <f t="shared" si="27"/>
        <v/>
      </c>
      <c r="P167" s="125" t="str">
        <f t="shared" si="24"/>
        <v>Not Set</v>
      </c>
      <c r="Q167" s="125" t="str">
        <f t="shared" si="25"/>
        <v>Not Set</v>
      </c>
      <c r="R167" s="125" t="str">
        <f>IFERROR(IF(G167=$AD$3,$AD$3,INDEX(Kanban_Helper!$C$317:$C$328,MATCH(MONTH(G167),Kanban_Helper!$B$317:$B$328,0))&amp;" - "&amp;YEAR(G167)),"$AD$3")</f>
        <v>Not Set</v>
      </c>
      <c r="S167" s="125" t="str">
        <f>IFERROR(IF(I167=$AD$3,$AD$3,INDEX(Kanban_Helper!$C$317:$C$328,MATCH(MONTH(I167),Kanban_Helper!$B$317:$B$328,0))&amp;" - "&amp;YEAR(I167)),$AD$3)</f>
        <v>Not Set</v>
      </c>
      <c r="T167" s="125" t="str">
        <f t="shared" ca="1" si="28"/>
        <v/>
      </c>
      <c r="U167" s="125" t="str">
        <f t="shared" ca="1" si="29"/>
        <v/>
      </c>
      <c r="V167" s="125" t="str">
        <f t="shared" si="26"/>
        <v>Not Set</v>
      </c>
      <c r="W167" s="126" t="str">
        <f t="shared" si="30"/>
        <v/>
      </c>
      <c r="X167" s="126" t="str">
        <f t="shared" si="31"/>
        <v/>
      </c>
      <c r="Y167" s="125" t="str">
        <f>IFERROR(IF(LEN(D167)=0,"",IF(SUBTOTAL(3,E167:E167)=0,MIN($Y$7:Y166)-1,SUBTOTAL(3,$E$8:E167))),"")</f>
        <v/>
      </c>
      <c r="Z167" s="17"/>
      <c r="AA167" s="10"/>
      <c r="AB167" s="10"/>
      <c r="AC167" s="10"/>
      <c r="AD167" s="10"/>
      <c r="AE167" s="10"/>
      <c r="AF167" s="10"/>
      <c r="AG167" s="10"/>
      <c r="AH167" s="10"/>
      <c r="AI167" s="10"/>
      <c r="AJ167" s="10"/>
      <c r="AK167" s="10"/>
      <c r="AL167" s="10"/>
      <c r="AM167" s="10"/>
      <c r="AN167" s="10"/>
    </row>
    <row r="168" spans="2:40" hidden="1" x14ac:dyDescent="0.35">
      <c r="B168" s="15"/>
      <c r="C168" s="127" t="str">
        <f>IFERROR(IF(LEN(INDEX(Database!C$9:C$501,ROW(Calc!A168)-ROW(Calc!$B$7)))=0,"",INDEX(Database!C$9:C$501,ROW(Calc!A168)-ROW(Calc!$B$7))),"")</f>
        <v/>
      </c>
      <c r="D168" s="70" t="str">
        <f>IFERROR(IF(LEN(INDEX(Database!D$9:D$501,ROW(Calc!B168)-ROW(Calc!$B$7)))=0,"",INDEX(Database!D$9:D$501,ROW(Calc!B168)-ROW(Calc!$B$7))),"")</f>
        <v/>
      </c>
      <c r="E168" s="124" t="str">
        <f>IFERROR(IF(LEN(INDEX(Database!G$9:G$501,ROW(Calc!D168)-ROW(Calc!$B$7)))=0,$AD$3,INDEX(Database!G$9:G$501,ROW(Calc!D168)-ROW(Calc!$B$7))),"")</f>
        <v>Not Set</v>
      </c>
      <c r="F168" s="124" t="str">
        <f>IFERROR(IF(LEN(INDEX(Database!F$9:F$501,ROW(Calc!E168)-ROW(Calc!$B$7)))=0,$AD$3,INDEX(Database!F$9:F$501,ROW(Calc!E168)-ROW(Calc!$B$7))),"")</f>
        <v>Not Set</v>
      </c>
      <c r="G168" s="128" t="str">
        <f>IFERROR(IF(LEN(INDEX(Database!H$9:H$501,ROW(Calc!F168)-ROW(Calc!$B$7)))=0,$AD$3,INDEX(Database!H$9:H$501,ROW(Calc!F168)-ROW(Calc!$B$7))),"")</f>
        <v>Not Set</v>
      </c>
      <c r="H168" s="128" t="str">
        <f>IFERROR(IF(LEN(INDEX(Database!I$9:I$501,ROW(Calc!G168)-ROW(Calc!$B$7)))=0,$AD$3,INDEX(Database!I$9:I$501,ROW(Calc!G168)-ROW(Calc!$B$7))),"")</f>
        <v>Not Set</v>
      </c>
      <c r="I168" s="128" t="str">
        <f>IFERROR(IF(LEN(INDEX(Database!J$9:J$501,ROW(Calc!H168)-ROW(Calc!$B$7)))=0,$AD$3,INDEX(Database!J$9:J$501,ROW(Calc!H168)-ROW(Calc!$B$7))),"")</f>
        <v>Not Set</v>
      </c>
      <c r="J168" s="128" t="str">
        <f t="shared" si="23"/>
        <v>Not Set</v>
      </c>
      <c r="K168" s="124" t="str">
        <f>IFERROR(IF(LEN(INDEX(Database!E$9:E$501,ROW(Calc!I168)-ROW(Calc!$B$7)))=0,"",INDEX(Database!E$9:E$501,ROW(Calc!I168)-ROW(Calc!$B$7))),"")</f>
        <v/>
      </c>
      <c r="L168" s="129" t="str">
        <f>IFERROR(IF(LEN(INDEX(Database!K$9:K$501,ROW(Calc!K168)-ROW(Calc!$B$7)))=0,$AD$3,INDEX(Database!K$9:K$501,ROW(Calc!K168)-ROW(Calc!$B$7))),"")</f>
        <v>Not Set</v>
      </c>
      <c r="M168" s="130" t="str">
        <f>IFERROR(IF(LEN(INDEX(Database!L$9:L$501,ROW(Calc!L168)-ROW(Calc!$B$7)))=0,$AD$3,INDEX(Database!L$9:L$501,ROW(Calc!L168)-ROW(Calc!$B$7))),"")</f>
        <v>Not Set</v>
      </c>
      <c r="N168" s="131" t="str">
        <f>IFERROR(IF(LEN(INDEX(Database!M$9:M$501,ROW(Calc!M168)-ROW(Calc!$B$7)))=0,"",INDEX(Database!M$9:M$501,ROW(Calc!M168)-ROW(Calc!$B$7))),"")</f>
        <v/>
      </c>
      <c r="O168" s="132" t="str">
        <f t="shared" si="27"/>
        <v/>
      </c>
      <c r="P168" s="125" t="str">
        <f t="shared" si="24"/>
        <v>Not Set</v>
      </c>
      <c r="Q168" s="125" t="str">
        <f t="shared" si="25"/>
        <v>Not Set</v>
      </c>
      <c r="R168" s="125" t="str">
        <f>IFERROR(IF(G168=$AD$3,$AD$3,INDEX(Kanban_Helper!$C$317:$C$328,MATCH(MONTH(G168),Kanban_Helper!$B$317:$B$328,0))&amp;" - "&amp;YEAR(G168)),"$AD$3")</f>
        <v>Not Set</v>
      </c>
      <c r="S168" s="125" t="str">
        <f>IFERROR(IF(I168=$AD$3,$AD$3,INDEX(Kanban_Helper!$C$317:$C$328,MATCH(MONTH(I168),Kanban_Helper!$B$317:$B$328,0))&amp;" - "&amp;YEAR(I168)),$AD$3)</f>
        <v>Not Set</v>
      </c>
      <c r="T168" s="125" t="str">
        <f t="shared" ca="1" si="28"/>
        <v/>
      </c>
      <c r="U168" s="125" t="str">
        <f t="shared" ca="1" si="29"/>
        <v/>
      </c>
      <c r="V168" s="125" t="str">
        <f t="shared" si="26"/>
        <v>Not Set</v>
      </c>
      <c r="W168" s="126" t="str">
        <f t="shared" si="30"/>
        <v/>
      </c>
      <c r="X168" s="126" t="str">
        <f t="shared" si="31"/>
        <v/>
      </c>
      <c r="Y168" s="125" t="str">
        <f>IFERROR(IF(LEN(D168)=0,"",IF(SUBTOTAL(3,E168:E168)=0,MIN($Y$7:Y167)-1,SUBTOTAL(3,$E$8:E168))),"")</f>
        <v/>
      </c>
      <c r="Z168" s="17"/>
      <c r="AA168" s="10"/>
      <c r="AB168" s="10"/>
      <c r="AC168" s="10"/>
      <c r="AD168" s="10"/>
      <c r="AE168" s="10"/>
      <c r="AF168" s="10"/>
      <c r="AG168" s="10"/>
      <c r="AH168" s="10"/>
      <c r="AI168" s="10"/>
      <c r="AJ168" s="10"/>
      <c r="AK168" s="10"/>
      <c r="AL168" s="10"/>
      <c r="AM168" s="10"/>
      <c r="AN168" s="10"/>
    </row>
    <row r="169" spans="2:40" hidden="1" x14ac:dyDescent="0.35">
      <c r="B169" s="15"/>
      <c r="C169" s="127" t="str">
        <f>IFERROR(IF(LEN(INDEX(Database!C$9:C$501,ROW(Calc!A169)-ROW(Calc!$B$7)))=0,"",INDEX(Database!C$9:C$501,ROW(Calc!A169)-ROW(Calc!$B$7))),"")</f>
        <v/>
      </c>
      <c r="D169" s="70" t="str">
        <f>IFERROR(IF(LEN(INDEX(Database!D$9:D$501,ROW(Calc!B169)-ROW(Calc!$B$7)))=0,"",INDEX(Database!D$9:D$501,ROW(Calc!B169)-ROW(Calc!$B$7))),"")</f>
        <v/>
      </c>
      <c r="E169" s="124" t="str">
        <f>IFERROR(IF(LEN(INDEX(Database!G$9:G$501,ROW(Calc!D169)-ROW(Calc!$B$7)))=0,$AD$3,INDEX(Database!G$9:G$501,ROW(Calc!D169)-ROW(Calc!$B$7))),"")</f>
        <v>Not Set</v>
      </c>
      <c r="F169" s="124" t="str">
        <f>IFERROR(IF(LEN(INDEX(Database!F$9:F$501,ROW(Calc!E169)-ROW(Calc!$B$7)))=0,$AD$3,INDEX(Database!F$9:F$501,ROW(Calc!E169)-ROW(Calc!$B$7))),"")</f>
        <v>Not Set</v>
      </c>
      <c r="G169" s="128" t="str">
        <f>IFERROR(IF(LEN(INDEX(Database!H$9:H$501,ROW(Calc!F169)-ROW(Calc!$B$7)))=0,$AD$3,INDEX(Database!H$9:H$501,ROW(Calc!F169)-ROW(Calc!$B$7))),"")</f>
        <v>Not Set</v>
      </c>
      <c r="H169" s="128" t="str">
        <f>IFERROR(IF(LEN(INDEX(Database!I$9:I$501,ROW(Calc!G169)-ROW(Calc!$B$7)))=0,$AD$3,INDEX(Database!I$9:I$501,ROW(Calc!G169)-ROW(Calc!$B$7))),"")</f>
        <v>Not Set</v>
      </c>
      <c r="I169" s="128" t="str">
        <f>IFERROR(IF(LEN(INDEX(Database!J$9:J$501,ROW(Calc!H169)-ROW(Calc!$B$7)))=0,$AD$3,INDEX(Database!J$9:J$501,ROW(Calc!H169)-ROW(Calc!$B$7))),"")</f>
        <v>Not Set</v>
      </c>
      <c r="J169" s="128" t="str">
        <f t="shared" si="23"/>
        <v>Not Set</v>
      </c>
      <c r="K169" s="124" t="str">
        <f>IFERROR(IF(LEN(INDEX(Database!E$9:E$501,ROW(Calc!I169)-ROW(Calc!$B$7)))=0,"",INDEX(Database!E$9:E$501,ROW(Calc!I169)-ROW(Calc!$B$7))),"")</f>
        <v/>
      </c>
      <c r="L169" s="129" t="str">
        <f>IFERROR(IF(LEN(INDEX(Database!K$9:K$501,ROW(Calc!K169)-ROW(Calc!$B$7)))=0,$AD$3,INDEX(Database!K$9:K$501,ROW(Calc!K169)-ROW(Calc!$B$7))),"")</f>
        <v>Not Set</v>
      </c>
      <c r="M169" s="130" t="str">
        <f>IFERROR(IF(LEN(INDEX(Database!L$9:L$501,ROW(Calc!L169)-ROW(Calc!$B$7)))=0,$AD$3,INDEX(Database!L$9:L$501,ROW(Calc!L169)-ROW(Calc!$B$7))),"")</f>
        <v>Not Set</v>
      </c>
      <c r="N169" s="131" t="str">
        <f>IFERROR(IF(LEN(INDEX(Database!M$9:M$501,ROW(Calc!M169)-ROW(Calc!$B$7)))=0,"",INDEX(Database!M$9:M$501,ROW(Calc!M169)-ROW(Calc!$B$7))),"")</f>
        <v/>
      </c>
      <c r="O169" s="132" t="str">
        <f t="shared" si="27"/>
        <v/>
      </c>
      <c r="P169" s="125" t="str">
        <f t="shared" si="24"/>
        <v>Not Set</v>
      </c>
      <c r="Q169" s="125" t="str">
        <f t="shared" si="25"/>
        <v>Not Set</v>
      </c>
      <c r="R169" s="125" t="str">
        <f>IFERROR(IF(G169=$AD$3,$AD$3,INDEX(Kanban_Helper!$C$317:$C$328,MATCH(MONTH(G169),Kanban_Helper!$B$317:$B$328,0))&amp;" - "&amp;YEAR(G169)),"$AD$3")</f>
        <v>Not Set</v>
      </c>
      <c r="S169" s="125" t="str">
        <f>IFERROR(IF(I169=$AD$3,$AD$3,INDEX(Kanban_Helper!$C$317:$C$328,MATCH(MONTH(I169),Kanban_Helper!$B$317:$B$328,0))&amp;" - "&amp;YEAR(I169)),$AD$3)</f>
        <v>Not Set</v>
      </c>
      <c r="T169" s="125" t="str">
        <f t="shared" ca="1" si="28"/>
        <v/>
      </c>
      <c r="U169" s="125" t="str">
        <f t="shared" ca="1" si="29"/>
        <v/>
      </c>
      <c r="V169" s="125" t="str">
        <f t="shared" si="26"/>
        <v>Not Set</v>
      </c>
      <c r="W169" s="126" t="str">
        <f t="shared" si="30"/>
        <v/>
      </c>
      <c r="X169" s="126" t="str">
        <f t="shared" si="31"/>
        <v/>
      </c>
      <c r="Y169" s="125" t="str">
        <f>IFERROR(IF(LEN(D169)=0,"",IF(SUBTOTAL(3,E169:E169)=0,MIN($Y$7:Y168)-1,SUBTOTAL(3,$E$8:E169))),"")</f>
        <v/>
      </c>
      <c r="Z169" s="17"/>
      <c r="AA169" s="10"/>
      <c r="AB169" s="10"/>
      <c r="AC169" s="10"/>
      <c r="AD169" s="10"/>
      <c r="AE169" s="10"/>
      <c r="AF169" s="10"/>
      <c r="AG169" s="10"/>
      <c r="AH169" s="10"/>
      <c r="AI169" s="10"/>
      <c r="AJ169" s="10"/>
      <c r="AK169" s="10"/>
      <c r="AL169" s="10"/>
      <c r="AM169" s="10"/>
      <c r="AN169" s="10"/>
    </row>
    <row r="170" spans="2:40" hidden="1" x14ac:dyDescent="0.35">
      <c r="B170" s="15"/>
      <c r="C170" s="127" t="str">
        <f>IFERROR(IF(LEN(INDEX(Database!C$9:C$501,ROW(Calc!A170)-ROW(Calc!$B$7)))=0,"",INDEX(Database!C$9:C$501,ROW(Calc!A170)-ROW(Calc!$B$7))),"")</f>
        <v/>
      </c>
      <c r="D170" s="70" t="str">
        <f>IFERROR(IF(LEN(INDEX(Database!D$9:D$501,ROW(Calc!B170)-ROW(Calc!$B$7)))=0,"",INDEX(Database!D$9:D$501,ROW(Calc!B170)-ROW(Calc!$B$7))),"")</f>
        <v/>
      </c>
      <c r="E170" s="124" t="str">
        <f>IFERROR(IF(LEN(INDEX(Database!G$9:G$501,ROW(Calc!D170)-ROW(Calc!$B$7)))=0,$AD$3,INDEX(Database!G$9:G$501,ROW(Calc!D170)-ROW(Calc!$B$7))),"")</f>
        <v>Not Set</v>
      </c>
      <c r="F170" s="124" t="str">
        <f>IFERROR(IF(LEN(INDEX(Database!F$9:F$501,ROW(Calc!E170)-ROW(Calc!$B$7)))=0,$AD$3,INDEX(Database!F$9:F$501,ROW(Calc!E170)-ROW(Calc!$B$7))),"")</f>
        <v>Not Set</v>
      </c>
      <c r="G170" s="128" t="str">
        <f>IFERROR(IF(LEN(INDEX(Database!H$9:H$501,ROW(Calc!F170)-ROW(Calc!$B$7)))=0,$AD$3,INDEX(Database!H$9:H$501,ROW(Calc!F170)-ROW(Calc!$B$7))),"")</f>
        <v>Not Set</v>
      </c>
      <c r="H170" s="128" t="str">
        <f>IFERROR(IF(LEN(INDEX(Database!I$9:I$501,ROW(Calc!G170)-ROW(Calc!$B$7)))=0,$AD$3,INDEX(Database!I$9:I$501,ROW(Calc!G170)-ROW(Calc!$B$7))),"")</f>
        <v>Not Set</v>
      </c>
      <c r="I170" s="128" t="str">
        <f>IFERROR(IF(LEN(INDEX(Database!J$9:J$501,ROW(Calc!H170)-ROW(Calc!$B$7)))=0,$AD$3,INDEX(Database!J$9:J$501,ROW(Calc!H170)-ROW(Calc!$B$7))),"")</f>
        <v>Not Set</v>
      </c>
      <c r="J170" s="128" t="str">
        <f t="shared" si="23"/>
        <v>Not Set</v>
      </c>
      <c r="K170" s="124" t="str">
        <f>IFERROR(IF(LEN(INDEX(Database!E$9:E$501,ROW(Calc!I170)-ROW(Calc!$B$7)))=0,"",INDEX(Database!E$9:E$501,ROW(Calc!I170)-ROW(Calc!$B$7))),"")</f>
        <v/>
      </c>
      <c r="L170" s="129" t="str">
        <f>IFERROR(IF(LEN(INDEX(Database!K$9:K$501,ROW(Calc!K170)-ROW(Calc!$B$7)))=0,$AD$3,INDEX(Database!K$9:K$501,ROW(Calc!K170)-ROW(Calc!$B$7))),"")</f>
        <v>Not Set</v>
      </c>
      <c r="M170" s="130" t="str">
        <f>IFERROR(IF(LEN(INDEX(Database!L$9:L$501,ROW(Calc!L170)-ROW(Calc!$B$7)))=0,$AD$3,INDEX(Database!L$9:L$501,ROW(Calc!L170)-ROW(Calc!$B$7))),"")</f>
        <v>Not Set</v>
      </c>
      <c r="N170" s="131" t="str">
        <f>IFERROR(IF(LEN(INDEX(Database!M$9:M$501,ROW(Calc!M170)-ROW(Calc!$B$7)))=0,"",INDEX(Database!M$9:M$501,ROW(Calc!M170)-ROW(Calc!$B$7))),"")</f>
        <v/>
      </c>
      <c r="O170" s="132" t="str">
        <f t="shared" si="27"/>
        <v/>
      </c>
      <c r="P170" s="125" t="str">
        <f t="shared" si="24"/>
        <v>Not Set</v>
      </c>
      <c r="Q170" s="125" t="str">
        <f t="shared" si="25"/>
        <v>Not Set</v>
      </c>
      <c r="R170" s="125" t="str">
        <f>IFERROR(IF(G170=$AD$3,$AD$3,INDEX(Kanban_Helper!$C$317:$C$328,MATCH(MONTH(G170),Kanban_Helper!$B$317:$B$328,0))&amp;" - "&amp;YEAR(G170)),"$AD$3")</f>
        <v>Not Set</v>
      </c>
      <c r="S170" s="125" t="str">
        <f>IFERROR(IF(I170=$AD$3,$AD$3,INDEX(Kanban_Helper!$C$317:$C$328,MATCH(MONTH(I170),Kanban_Helper!$B$317:$B$328,0))&amp;" - "&amp;YEAR(I170)),$AD$3)</f>
        <v>Not Set</v>
      </c>
      <c r="T170" s="125" t="str">
        <f t="shared" ca="1" si="28"/>
        <v/>
      </c>
      <c r="U170" s="125" t="str">
        <f t="shared" ca="1" si="29"/>
        <v/>
      </c>
      <c r="V170" s="125" t="str">
        <f t="shared" si="26"/>
        <v>Not Set</v>
      </c>
      <c r="W170" s="126" t="str">
        <f t="shared" si="30"/>
        <v/>
      </c>
      <c r="X170" s="126" t="str">
        <f t="shared" si="31"/>
        <v/>
      </c>
      <c r="Y170" s="125" t="str">
        <f>IFERROR(IF(LEN(D170)=0,"",IF(SUBTOTAL(3,E170:E170)=0,MIN($Y$7:Y169)-1,SUBTOTAL(3,$E$8:E170))),"")</f>
        <v/>
      </c>
      <c r="Z170" s="17"/>
      <c r="AA170" s="10"/>
      <c r="AB170" s="10"/>
      <c r="AC170" s="10"/>
      <c r="AD170" s="10"/>
      <c r="AE170" s="10"/>
      <c r="AF170" s="10"/>
      <c r="AG170" s="10"/>
      <c r="AH170" s="10"/>
      <c r="AI170" s="10"/>
      <c r="AJ170" s="10"/>
      <c r="AK170" s="10"/>
      <c r="AL170" s="10"/>
      <c r="AM170" s="10"/>
      <c r="AN170" s="10"/>
    </row>
    <row r="171" spans="2:40" hidden="1" x14ac:dyDescent="0.35">
      <c r="B171" s="15"/>
      <c r="C171" s="127" t="str">
        <f>IFERROR(IF(LEN(INDEX(Database!C$9:C$501,ROW(Calc!A171)-ROW(Calc!$B$7)))=0,"",INDEX(Database!C$9:C$501,ROW(Calc!A171)-ROW(Calc!$B$7))),"")</f>
        <v/>
      </c>
      <c r="D171" s="70" t="str">
        <f>IFERROR(IF(LEN(INDEX(Database!D$9:D$501,ROW(Calc!B171)-ROW(Calc!$B$7)))=0,"",INDEX(Database!D$9:D$501,ROW(Calc!B171)-ROW(Calc!$B$7))),"")</f>
        <v/>
      </c>
      <c r="E171" s="124" t="str">
        <f>IFERROR(IF(LEN(INDEX(Database!G$9:G$501,ROW(Calc!D171)-ROW(Calc!$B$7)))=0,$AD$3,INDEX(Database!G$9:G$501,ROW(Calc!D171)-ROW(Calc!$B$7))),"")</f>
        <v>Not Set</v>
      </c>
      <c r="F171" s="124" t="str">
        <f>IFERROR(IF(LEN(INDEX(Database!F$9:F$501,ROW(Calc!E171)-ROW(Calc!$B$7)))=0,$AD$3,INDEX(Database!F$9:F$501,ROW(Calc!E171)-ROW(Calc!$B$7))),"")</f>
        <v>Not Set</v>
      </c>
      <c r="G171" s="128" t="str">
        <f>IFERROR(IF(LEN(INDEX(Database!H$9:H$501,ROW(Calc!F171)-ROW(Calc!$B$7)))=0,$AD$3,INDEX(Database!H$9:H$501,ROW(Calc!F171)-ROW(Calc!$B$7))),"")</f>
        <v>Not Set</v>
      </c>
      <c r="H171" s="128" t="str">
        <f>IFERROR(IF(LEN(INDEX(Database!I$9:I$501,ROW(Calc!G171)-ROW(Calc!$B$7)))=0,$AD$3,INDEX(Database!I$9:I$501,ROW(Calc!G171)-ROW(Calc!$B$7))),"")</f>
        <v>Not Set</v>
      </c>
      <c r="I171" s="128" t="str">
        <f>IFERROR(IF(LEN(INDEX(Database!J$9:J$501,ROW(Calc!H171)-ROW(Calc!$B$7)))=0,$AD$3,INDEX(Database!J$9:J$501,ROW(Calc!H171)-ROW(Calc!$B$7))),"")</f>
        <v>Not Set</v>
      </c>
      <c r="J171" s="128" t="str">
        <f t="shared" si="23"/>
        <v>Not Set</v>
      </c>
      <c r="K171" s="124" t="str">
        <f>IFERROR(IF(LEN(INDEX(Database!E$9:E$501,ROW(Calc!I171)-ROW(Calc!$B$7)))=0,"",INDEX(Database!E$9:E$501,ROW(Calc!I171)-ROW(Calc!$B$7))),"")</f>
        <v/>
      </c>
      <c r="L171" s="129" t="str">
        <f>IFERROR(IF(LEN(INDEX(Database!K$9:K$501,ROW(Calc!K171)-ROW(Calc!$B$7)))=0,$AD$3,INDEX(Database!K$9:K$501,ROW(Calc!K171)-ROW(Calc!$B$7))),"")</f>
        <v>Not Set</v>
      </c>
      <c r="M171" s="130" t="str">
        <f>IFERROR(IF(LEN(INDEX(Database!L$9:L$501,ROW(Calc!L171)-ROW(Calc!$B$7)))=0,$AD$3,INDEX(Database!L$9:L$501,ROW(Calc!L171)-ROW(Calc!$B$7))),"")</f>
        <v>Not Set</v>
      </c>
      <c r="N171" s="131" t="str">
        <f>IFERROR(IF(LEN(INDEX(Database!M$9:M$501,ROW(Calc!M171)-ROW(Calc!$B$7)))=0,"",INDEX(Database!M$9:M$501,ROW(Calc!M171)-ROW(Calc!$B$7))),"")</f>
        <v/>
      </c>
      <c r="O171" s="132" t="str">
        <f t="shared" si="27"/>
        <v/>
      </c>
      <c r="P171" s="125" t="str">
        <f t="shared" si="24"/>
        <v>Not Set</v>
      </c>
      <c r="Q171" s="125" t="str">
        <f t="shared" si="25"/>
        <v>Not Set</v>
      </c>
      <c r="R171" s="125" t="str">
        <f>IFERROR(IF(G171=$AD$3,$AD$3,INDEX(Kanban_Helper!$C$317:$C$328,MATCH(MONTH(G171),Kanban_Helper!$B$317:$B$328,0))&amp;" - "&amp;YEAR(G171)),"$AD$3")</f>
        <v>Not Set</v>
      </c>
      <c r="S171" s="125" t="str">
        <f>IFERROR(IF(I171=$AD$3,$AD$3,INDEX(Kanban_Helper!$C$317:$C$328,MATCH(MONTH(I171),Kanban_Helper!$B$317:$B$328,0))&amp;" - "&amp;YEAR(I171)),$AD$3)</f>
        <v>Not Set</v>
      </c>
      <c r="T171" s="125" t="str">
        <f t="shared" ca="1" si="28"/>
        <v/>
      </c>
      <c r="U171" s="125" t="str">
        <f t="shared" ca="1" si="29"/>
        <v/>
      </c>
      <c r="V171" s="125" t="str">
        <f t="shared" si="26"/>
        <v>Not Set</v>
      </c>
      <c r="W171" s="126" t="str">
        <f t="shared" si="30"/>
        <v/>
      </c>
      <c r="X171" s="126" t="str">
        <f t="shared" si="31"/>
        <v/>
      </c>
      <c r="Y171" s="125" t="str">
        <f>IFERROR(IF(LEN(D171)=0,"",IF(SUBTOTAL(3,E171:E171)=0,MIN($Y$7:Y170)-1,SUBTOTAL(3,$E$8:E171))),"")</f>
        <v/>
      </c>
      <c r="Z171" s="17"/>
      <c r="AA171" s="10"/>
      <c r="AB171" s="10"/>
      <c r="AC171" s="10"/>
      <c r="AD171" s="10"/>
      <c r="AE171" s="10"/>
      <c r="AF171" s="10"/>
      <c r="AG171" s="10"/>
      <c r="AH171" s="10"/>
      <c r="AI171" s="10"/>
      <c r="AJ171" s="10"/>
      <c r="AK171" s="10"/>
      <c r="AL171" s="10"/>
      <c r="AM171" s="10"/>
      <c r="AN171" s="10"/>
    </row>
    <row r="172" spans="2:40" hidden="1" x14ac:dyDescent="0.35">
      <c r="B172" s="15"/>
      <c r="C172" s="127" t="str">
        <f>IFERROR(IF(LEN(INDEX(Database!C$9:C$501,ROW(Calc!A172)-ROW(Calc!$B$7)))=0,"",INDEX(Database!C$9:C$501,ROW(Calc!A172)-ROW(Calc!$B$7))),"")</f>
        <v/>
      </c>
      <c r="D172" s="70" t="str">
        <f>IFERROR(IF(LEN(INDEX(Database!D$9:D$501,ROW(Calc!B172)-ROW(Calc!$B$7)))=0,"",INDEX(Database!D$9:D$501,ROW(Calc!B172)-ROW(Calc!$B$7))),"")</f>
        <v/>
      </c>
      <c r="E172" s="124" t="str">
        <f>IFERROR(IF(LEN(INDEX(Database!G$9:G$501,ROW(Calc!D172)-ROW(Calc!$B$7)))=0,$AD$3,INDEX(Database!G$9:G$501,ROW(Calc!D172)-ROW(Calc!$B$7))),"")</f>
        <v>Not Set</v>
      </c>
      <c r="F172" s="124" t="str">
        <f>IFERROR(IF(LEN(INDEX(Database!F$9:F$501,ROW(Calc!E172)-ROW(Calc!$B$7)))=0,$AD$3,INDEX(Database!F$9:F$501,ROW(Calc!E172)-ROW(Calc!$B$7))),"")</f>
        <v>Not Set</v>
      </c>
      <c r="G172" s="128" t="str">
        <f>IFERROR(IF(LEN(INDEX(Database!H$9:H$501,ROW(Calc!F172)-ROW(Calc!$B$7)))=0,$AD$3,INDEX(Database!H$9:H$501,ROW(Calc!F172)-ROW(Calc!$B$7))),"")</f>
        <v>Not Set</v>
      </c>
      <c r="H172" s="128" t="str">
        <f>IFERROR(IF(LEN(INDEX(Database!I$9:I$501,ROW(Calc!G172)-ROW(Calc!$B$7)))=0,$AD$3,INDEX(Database!I$9:I$501,ROW(Calc!G172)-ROW(Calc!$B$7))),"")</f>
        <v>Not Set</v>
      </c>
      <c r="I172" s="128" t="str">
        <f>IFERROR(IF(LEN(INDEX(Database!J$9:J$501,ROW(Calc!H172)-ROW(Calc!$B$7)))=0,$AD$3,INDEX(Database!J$9:J$501,ROW(Calc!H172)-ROW(Calc!$B$7))),"")</f>
        <v>Not Set</v>
      </c>
      <c r="J172" s="128" t="str">
        <f t="shared" si="23"/>
        <v>Not Set</v>
      </c>
      <c r="K172" s="124" t="str">
        <f>IFERROR(IF(LEN(INDEX(Database!E$9:E$501,ROW(Calc!I172)-ROW(Calc!$B$7)))=0,"",INDEX(Database!E$9:E$501,ROW(Calc!I172)-ROW(Calc!$B$7))),"")</f>
        <v/>
      </c>
      <c r="L172" s="129" t="str">
        <f>IFERROR(IF(LEN(INDEX(Database!K$9:K$501,ROW(Calc!K172)-ROW(Calc!$B$7)))=0,$AD$3,INDEX(Database!K$9:K$501,ROW(Calc!K172)-ROW(Calc!$B$7))),"")</f>
        <v>Not Set</v>
      </c>
      <c r="M172" s="130" t="str">
        <f>IFERROR(IF(LEN(INDEX(Database!L$9:L$501,ROW(Calc!L172)-ROW(Calc!$B$7)))=0,$AD$3,INDEX(Database!L$9:L$501,ROW(Calc!L172)-ROW(Calc!$B$7))),"")</f>
        <v>Not Set</v>
      </c>
      <c r="N172" s="131" t="str">
        <f>IFERROR(IF(LEN(INDEX(Database!M$9:M$501,ROW(Calc!M172)-ROW(Calc!$B$7)))=0,"",INDEX(Database!M$9:M$501,ROW(Calc!M172)-ROW(Calc!$B$7))),"")</f>
        <v/>
      </c>
      <c r="O172" s="132" t="str">
        <f t="shared" si="27"/>
        <v/>
      </c>
      <c r="P172" s="125" t="str">
        <f t="shared" si="24"/>
        <v>Not Set</v>
      </c>
      <c r="Q172" s="125" t="str">
        <f t="shared" si="25"/>
        <v>Not Set</v>
      </c>
      <c r="R172" s="125" t="str">
        <f>IFERROR(IF(G172=$AD$3,$AD$3,INDEX(Kanban_Helper!$C$317:$C$328,MATCH(MONTH(G172),Kanban_Helper!$B$317:$B$328,0))&amp;" - "&amp;YEAR(G172)),"$AD$3")</f>
        <v>Not Set</v>
      </c>
      <c r="S172" s="125" t="str">
        <f>IFERROR(IF(I172=$AD$3,$AD$3,INDEX(Kanban_Helper!$C$317:$C$328,MATCH(MONTH(I172),Kanban_Helper!$B$317:$B$328,0))&amp;" - "&amp;YEAR(I172)),$AD$3)</f>
        <v>Not Set</v>
      </c>
      <c r="T172" s="125" t="str">
        <f t="shared" ca="1" si="28"/>
        <v/>
      </c>
      <c r="U172" s="125" t="str">
        <f t="shared" ca="1" si="29"/>
        <v/>
      </c>
      <c r="V172" s="125" t="str">
        <f t="shared" si="26"/>
        <v>Not Set</v>
      </c>
      <c r="W172" s="126" t="str">
        <f t="shared" si="30"/>
        <v/>
      </c>
      <c r="X172" s="126" t="str">
        <f t="shared" si="31"/>
        <v/>
      </c>
      <c r="Y172" s="125" t="str">
        <f>IFERROR(IF(LEN(D172)=0,"",IF(SUBTOTAL(3,E172:E172)=0,MIN($Y$7:Y171)-1,SUBTOTAL(3,$E$8:E172))),"")</f>
        <v/>
      </c>
      <c r="Z172" s="17"/>
      <c r="AA172" s="10"/>
      <c r="AB172" s="10"/>
      <c r="AC172" s="10"/>
      <c r="AD172" s="10"/>
      <c r="AE172" s="10"/>
      <c r="AF172" s="10"/>
      <c r="AG172" s="10"/>
      <c r="AH172" s="10"/>
      <c r="AI172" s="10"/>
      <c r="AJ172" s="10"/>
      <c r="AK172" s="10"/>
      <c r="AL172" s="10"/>
      <c r="AM172" s="10"/>
      <c r="AN172" s="10"/>
    </row>
    <row r="173" spans="2:40" hidden="1" x14ac:dyDescent="0.35">
      <c r="B173" s="15"/>
      <c r="C173" s="127" t="str">
        <f>IFERROR(IF(LEN(INDEX(Database!C$9:C$501,ROW(Calc!A173)-ROW(Calc!$B$7)))=0,"",INDEX(Database!C$9:C$501,ROW(Calc!A173)-ROW(Calc!$B$7))),"")</f>
        <v/>
      </c>
      <c r="D173" s="70" t="str">
        <f>IFERROR(IF(LEN(INDEX(Database!D$9:D$501,ROW(Calc!B173)-ROW(Calc!$B$7)))=0,"",INDEX(Database!D$9:D$501,ROW(Calc!B173)-ROW(Calc!$B$7))),"")</f>
        <v/>
      </c>
      <c r="E173" s="124" t="str">
        <f>IFERROR(IF(LEN(INDEX(Database!G$9:G$501,ROW(Calc!D173)-ROW(Calc!$B$7)))=0,$AD$3,INDEX(Database!G$9:G$501,ROW(Calc!D173)-ROW(Calc!$B$7))),"")</f>
        <v>Not Set</v>
      </c>
      <c r="F173" s="124" t="str">
        <f>IFERROR(IF(LEN(INDEX(Database!F$9:F$501,ROW(Calc!E173)-ROW(Calc!$B$7)))=0,$AD$3,INDEX(Database!F$9:F$501,ROW(Calc!E173)-ROW(Calc!$B$7))),"")</f>
        <v>Not Set</v>
      </c>
      <c r="G173" s="128" t="str">
        <f>IFERROR(IF(LEN(INDEX(Database!H$9:H$501,ROW(Calc!F173)-ROW(Calc!$B$7)))=0,$AD$3,INDEX(Database!H$9:H$501,ROW(Calc!F173)-ROW(Calc!$B$7))),"")</f>
        <v>Not Set</v>
      </c>
      <c r="H173" s="128" t="str">
        <f>IFERROR(IF(LEN(INDEX(Database!I$9:I$501,ROW(Calc!G173)-ROW(Calc!$B$7)))=0,$AD$3,INDEX(Database!I$9:I$501,ROW(Calc!G173)-ROW(Calc!$B$7))),"")</f>
        <v>Not Set</v>
      </c>
      <c r="I173" s="128" t="str">
        <f>IFERROR(IF(LEN(INDEX(Database!J$9:J$501,ROW(Calc!H173)-ROW(Calc!$B$7)))=0,$AD$3,INDEX(Database!J$9:J$501,ROW(Calc!H173)-ROW(Calc!$B$7))),"")</f>
        <v>Not Set</v>
      </c>
      <c r="J173" s="128" t="str">
        <f t="shared" si="23"/>
        <v>Not Set</v>
      </c>
      <c r="K173" s="124" t="str">
        <f>IFERROR(IF(LEN(INDEX(Database!E$9:E$501,ROW(Calc!I173)-ROW(Calc!$B$7)))=0,"",INDEX(Database!E$9:E$501,ROW(Calc!I173)-ROW(Calc!$B$7))),"")</f>
        <v/>
      </c>
      <c r="L173" s="129" t="str">
        <f>IFERROR(IF(LEN(INDEX(Database!K$9:K$501,ROW(Calc!K173)-ROW(Calc!$B$7)))=0,$AD$3,INDEX(Database!K$9:K$501,ROW(Calc!K173)-ROW(Calc!$B$7))),"")</f>
        <v>Not Set</v>
      </c>
      <c r="M173" s="130" t="str">
        <f>IFERROR(IF(LEN(INDEX(Database!L$9:L$501,ROW(Calc!L173)-ROW(Calc!$B$7)))=0,$AD$3,INDEX(Database!L$9:L$501,ROW(Calc!L173)-ROW(Calc!$B$7))),"")</f>
        <v>Not Set</v>
      </c>
      <c r="N173" s="131" t="str">
        <f>IFERROR(IF(LEN(INDEX(Database!M$9:M$501,ROW(Calc!M173)-ROW(Calc!$B$7)))=0,"",INDEX(Database!M$9:M$501,ROW(Calc!M173)-ROW(Calc!$B$7))),"")</f>
        <v/>
      </c>
      <c r="O173" s="132" t="str">
        <f t="shared" si="27"/>
        <v/>
      </c>
      <c r="P173" s="125" t="str">
        <f t="shared" si="24"/>
        <v>Not Set</v>
      </c>
      <c r="Q173" s="125" t="str">
        <f t="shared" si="25"/>
        <v>Not Set</v>
      </c>
      <c r="R173" s="125" t="str">
        <f>IFERROR(IF(G173=$AD$3,$AD$3,INDEX(Kanban_Helper!$C$317:$C$328,MATCH(MONTH(G173),Kanban_Helper!$B$317:$B$328,0))&amp;" - "&amp;YEAR(G173)),"$AD$3")</f>
        <v>Not Set</v>
      </c>
      <c r="S173" s="125" t="str">
        <f>IFERROR(IF(I173=$AD$3,$AD$3,INDEX(Kanban_Helper!$C$317:$C$328,MATCH(MONTH(I173),Kanban_Helper!$B$317:$B$328,0))&amp;" - "&amp;YEAR(I173)),$AD$3)</f>
        <v>Not Set</v>
      </c>
      <c r="T173" s="125" t="str">
        <f t="shared" ca="1" si="28"/>
        <v/>
      </c>
      <c r="U173" s="125" t="str">
        <f t="shared" ca="1" si="29"/>
        <v/>
      </c>
      <c r="V173" s="125" t="str">
        <f t="shared" si="26"/>
        <v>Not Set</v>
      </c>
      <c r="W173" s="126" t="str">
        <f t="shared" si="30"/>
        <v/>
      </c>
      <c r="X173" s="126" t="str">
        <f t="shared" si="31"/>
        <v/>
      </c>
      <c r="Y173" s="125" t="str">
        <f>IFERROR(IF(LEN(D173)=0,"",IF(SUBTOTAL(3,E173:E173)=0,MIN($Y$7:Y172)-1,SUBTOTAL(3,$E$8:E173))),"")</f>
        <v/>
      </c>
      <c r="Z173" s="17"/>
      <c r="AA173" s="10"/>
      <c r="AB173" s="10"/>
      <c r="AC173" s="10"/>
      <c r="AD173" s="10"/>
      <c r="AE173" s="10"/>
      <c r="AF173" s="10"/>
      <c r="AG173" s="10"/>
      <c r="AH173" s="10"/>
      <c r="AI173" s="10"/>
      <c r="AJ173" s="10"/>
      <c r="AK173" s="10"/>
      <c r="AL173" s="10"/>
      <c r="AM173" s="10"/>
      <c r="AN173" s="10"/>
    </row>
    <row r="174" spans="2:40" hidden="1" x14ac:dyDescent="0.35">
      <c r="B174" s="15"/>
      <c r="C174" s="127" t="str">
        <f>IFERROR(IF(LEN(INDEX(Database!C$9:C$501,ROW(Calc!A174)-ROW(Calc!$B$7)))=0,"",INDEX(Database!C$9:C$501,ROW(Calc!A174)-ROW(Calc!$B$7))),"")</f>
        <v/>
      </c>
      <c r="D174" s="70" t="str">
        <f>IFERROR(IF(LEN(INDEX(Database!D$9:D$501,ROW(Calc!B174)-ROW(Calc!$B$7)))=0,"",INDEX(Database!D$9:D$501,ROW(Calc!B174)-ROW(Calc!$B$7))),"")</f>
        <v/>
      </c>
      <c r="E174" s="124" t="str">
        <f>IFERROR(IF(LEN(INDEX(Database!G$9:G$501,ROW(Calc!D174)-ROW(Calc!$B$7)))=0,$AD$3,INDEX(Database!G$9:G$501,ROW(Calc!D174)-ROW(Calc!$B$7))),"")</f>
        <v>Not Set</v>
      </c>
      <c r="F174" s="124" t="str">
        <f>IFERROR(IF(LEN(INDEX(Database!F$9:F$501,ROW(Calc!E174)-ROW(Calc!$B$7)))=0,$AD$3,INDEX(Database!F$9:F$501,ROW(Calc!E174)-ROW(Calc!$B$7))),"")</f>
        <v>Not Set</v>
      </c>
      <c r="G174" s="128" t="str">
        <f>IFERROR(IF(LEN(INDEX(Database!H$9:H$501,ROW(Calc!F174)-ROW(Calc!$B$7)))=0,$AD$3,INDEX(Database!H$9:H$501,ROW(Calc!F174)-ROW(Calc!$B$7))),"")</f>
        <v>Not Set</v>
      </c>
      <c r="H174" s="128" t="str">
        <f>IFERROR(IF(LEN(INDEX(Database!I$9:I$501,ROW(Calc!G174)-ROW(Calc!$B$7)))=0,$AD$3,INDEX(Database!I$9:I$501,ROW(Calc!G174)-ROW(Calc!$B$7))),"")</f>
        <v>Not Set</v>
      </c>
      <c r="I174" s="128" t="str">
        <f>IFERROR(IF(LEN(INDEX(Database!J$9:J$501,ROW(Calc!H174)-ROW(Calc!$B$7)))=0,$AD$3,INDEX(Database!J$9:J$501,ROW(Calc!H174)-ROW(Calc!$B$7))),"")</f>
        <v>Not Set</v>
      </c>
      <c r="J174" s="128" t="str">
        <f t="shared" si="23"/>
        <v>Not Set</v>
      </c>
      <c r="K174" s="124" t="str">
        <f>IFERROR(IF(LEN(INDEX(Database!E$9:E$501,ROW(Calc!I174)-ROW(Calc!$B$7)))=0,"",INDEX(Database!E$9:E$501,ROW(Calc!I174)-ROW(Calc!$B$7))),"")</f>
        <v/>
      </c>
      <c r="L174" s="129" t="str">
        <f>IFERROR(IF(LEN(INDEX(Database!K$9:K$501,ROW(Calc!K174)-ROW(Calc!$B$7)))=0,$AD$3,INDEX(Database!K$9:K$501,ROW(Calc!K174)-ROW(Calc!$B$7))),"")</f>
        <v>Not Set</v>
      </c>
      <c r="M174" s="130" t="str">
        <f>IFERROR(IF(LEN(INDEX(Database!L$9:L$501,ROW(Calc!L174)-ROW(Calc!$B$7)))=0,$AD$3,INDEX(Database!L$9:L$501,ROW(Calc!L174)-ROW(Calc!$B$7))),"")</f>
        <v>Not Set</v>
      </c>
      <c r="N174" s="131" t="str">
        <f>IFERROR(IF(LEN(INDEX(Database!M$9:M$501,ROW(Calc!M174)-ROW(Calc!$B$7)))=0,"",INDEX(Database!M$9:M$501,ROW(Calc!M174)-ROW(Calc!$B$7))),"")</f>
        <v/>
      </c>
      <c r="O174" s="132" t="str">
        <f t="shared" si="27"/>
        <v/>
      </c>
      <c r="P174" s="125" t="str">
        <f t="shared" si="24"/>
        <v>Not Set</v>
      </c>
      <c r="Q174" s="125" t="str">
        <f t="shared" si="25"/>
        <v>Not Set</v>
      </c>
      <c r="R174" s="125" t="str">
        <f>IFERROR(IF(G174=$AD$3,$AD$3,INDEX(Kanban_Helper!$C$317:$C$328,MATCH(MONTH(G174),Kanban_Helper!$B$317:$B$328,0))&amp;" - "&amp;YEAR(G174)),"$AD$3")</f>
        <v>Not Set</v>
      </c>
      <c r="S174" s="125" t="str">
        <f>IFERROR(IF(I174=$AD$3,$AD$3,INDEX(Kanban_Helper!$C$317:$C$328,MATCH(MONTH(I174),Kanban_Helper!$B$317:$B$328,0))&amp;" - "&amp;YEAR(I174)),$AD$3)</f>
        <v>Not Set</v>
      </c>
      <c r="T174" s="125" t="str">
        <f t="shared" ca="1" si="28"/>
        <v/>
      </c>
      <c r="U174" s="125" t="str">
        <f t="shared" ca="1" si="29"/>
        <v/>
      </c>
      <c r="V174" s="125" t="str">
        <f t="shared" si="26"/>
        <v>Not Set</v>
      </c>
      <c r="W174" s="126" t="str">
        <f t="shared" si="30"/>
        <v/>
      </c>
      <c r="X174" s="126" t="str">
        <f t="shared" si="31"/>
        <v/>
      </c>
      <c r="Y174" s="125" t="str">
        <f>IFERROR(IF(LEN(D174)=0,"",IF(SUBTOTAL(3,E174:E174)=0,MIN($Y$7:Y173)-1,SUBTOTAL(3,$E$8:E174))),"")</f>
        <v/>
      </c>
      <c r="Z174" s="17"/>
      <c r="AA174" s="10"/>
      <c r="AB174" s="10"/>
      <c r="AC174" s="10"/>
      <c r="AD174" s="10"/>
      <c r="AE174" s="10"/>
      <c r="AF174" s="10"/>
      <c r="AG174" s="10"/>
      <c r="AH174" s="10"/>
      <c r="AI174" s="10"/>
      <c r="AJ174" s="10"/>
      <c r="AK174" s="10"/>
      <c r="AL174" s="10"/>
      <c r="AM174" s="10"/>
      <c r="AN174" s="10"/>
    </row>
    <row r="175" spans="2:40" hidden="1" x14ac:dyDescent="0.35">
      <c r="B175" s="15"/>
      <c r="C175" s="127" t="str">
        <f>IFERROR(IF(LEN(INDEX(Database!C$9:C$501,ROW(Calc!A175)-ROW(Calc!$B$7)))=0,"",INDEX(Database!C$9:C$501,ROW(Calc!A175)-ROW(Calc!$B$7))),"")</f>
        <v/>
      </c>
      <c r="D175" s="70" t="str">
        <f>IFERROR(IF(LEN(INDEX(Database!D$9:D$501,ROW(Calc!B175)-ROW(Calc!$B$7)))=0,"",INDEX(Database!D$9:D$501,ROW(Calc!B175)-ROW(Calc!$B$7))),"")</f>
        <v/>
      </c>
      <c r="E175" s="124" t="str">
        <f>IFERROR(IF(LEN(INDEX(Database!G$9:G$501,ROW(Calc!D175)-ROW(Calc!$B$7)))=0,$AD$3,INDEX(Database!G$9:G$501,ROW(Calc!D175)-ROW(Calc!$B$7))),"")</f>
        <v>Not Set</v>
      </c>
      <c r="F175" s="124" t="str">
        <f>IFERROR(IF(LEN(INDEX(Database!F$9:F$501,ROW(Calc!E175)-ROW(Calc!$B$7)))=0,$AD$3,INDEX(Database!F$9:F$501,ROW(Calc!E175)-ROW(Calc!$B$7))),"")</f>
        <v>Not Set</v>
      </c>
      <c r="G175" s="128" t="str">
        <f>IFERROR(IF(LEN(INDEX(Database!H$9:H$501,ROW(Calc!F175)-ROW(Calc!$B$7)))=0,$AD$3,INDEX(Database!H$9:H$501,ROW(Calc!F175)-ROW(Calc!$B$7))),"")</f>
        <v>Not Set</v>
      </c>
      <c r="H175" s="128" t="str">
        <f>IFERROR(IF(LEN(INDEX(Database!I$9:I$501,ROW(Calc!G175)-ROW(Calc!$B$7)))=0,$AD$3,INDEX(Database!I$9:I$501,ROW(Calc!G175)-ROW(Calc!$B$7))),"")</f>
        <v>Not Set</v>
      </c>
      <c r="I175" s="128" t="str">
        <f>IFERROR(IF(LEN(INDEX(Database!J$9:J$501,ROW(Calc!H175)-ROW(Calc!$B$7)))=0,$AD$3,INDEX(Database!J$9:J$501,ROW(Calc!H175)-ROW(Calc!$B$7))),"")</f>
        <v>Not Set</v>
      </c>
      <c r="J175" s="128" t="str">
        <f t="shared" si="23"/>
        <v>Not Set</v>
      </c>
      <c r="K175" s="124" t="str">
        <f>IFERROR(IF(LEN(INDEX(Database!E$9:E$501,ROW(Calc!I175)-ROW(Calc!$B$7)))=0,"",INDEX(Database!E$9:E$501,ROW(Calc!I175)-ROW(Calc!$B$7))),"")</f>
        <v/>
      </c>
      <c r="L175" s="129" t="str">
        <f>IFERROR(IF(LEN(INDEX(Database!K$9:K$501,ROW(Calc!K175)-ROW(Calc!$B$7)))=0,$AD$3,INDEX(Database!K$9:K$501,ROW(Calc!K175)-ROW(Calc!$B$7))),"")</f>
        <v>Not Set</v>
      </c>
      <c r="M175" s="130" t="str">
        <f>IFERROR(IF(LEN(INDEX(Database!L$9:L$501,ROW(Calc!L175)-ROW(Calc!$B$7)))=0,$AD$3,INDEX(Database!L$9:L$501,ROW(Calc!L175)-ROW(Calc!$B$7))),"")</f>
        <v>Not Set</v>
      </c>
      <c r="N175" s="131" t="str">
        <f>IFERROR(IF(LEN(INDEX(Database!M$9:M$501,ROW(Calc!M175)-ROW(Calc!$B$7)))=0,"",INDEX(Database!M$9:M$501,ROW(Calc!M175)-ROW(Calc!$B$7))),"")</f>
        <v/>
      </c>
      <c r="O175" s="132" t="str">
        <f t="shared" si="27"/>
        <v/>
      </c>
      <c r="P175" s="125" t="str">
        <f t="shared" si="24"/>
        <v>Not Set</v>
      </c>
      <c r="Q175" s="125" t="str">
        <f t="shared" si="25"/>
        <v>Not Set</v>
      </c>
      <c r="R175" s="125" t="str">
        <f>IFERROR(IF(G175=$AD$3,$AD$3,INDEX(Kanban_Helper!$C$317:$C$328,MATCH(MONTH(G175),Kanban_Helper!$B$317:$B$328,0))&amp;" - "&amp;YEAR(G175)),"$AD$3")</f>
        <v>Not Set</v>
      </c>
      <c r="S175" s="125" t="str">
        <f>IFERROR(IF(I175=$AD$3,$AD$3,INDEX(Kanban_Helper!$C$317:$C$328,MATCH(MONTH(I175),Kanban_Helper!$B$317:$B$328,0))&amp;" - "&amp;YEAR(I175)),$AD$3)</f>
        <v>Not Set</v>
      </c>
      <c r="T175" s="125" t="str">
        <f t="shared" ca="1" si="28"/>
        <v/>
      </c>
      <c r="U175" s="125" t="str">
        <f t="shared" ca="1" si="29"/>
        <v/>
      </c>
      <c r="V175" s="125" t="str">
        <f t="shared" si="26"/>
        <v>Not Set</v>
      </c>
      <c r="W175" s="126" t="str">
        <f t="shared" si="30"/>
        <v/>
      </c>
      <c r="X175" s="126" t="str">
        <f t="shared" si="31"/>
        <v/>
      </c>
      <c r="Y175" s="125" t="str">
        <f>IFERROR(IF(LEN(D175)=0,"",IF(SUBTOTAL(3,E175:E175)=0,MIN($Y$7:Y174)-1,SUBTOTAL(3,$E$8:E175))),"")</f>
        <v/>
      </c>
      <c r="Z175" s="17"/>
      <c r="AA175" s="10"/>
      <c r="AB175" s="10"/>
      <c r="AC175" s="10"/>
      <c r="AD175" s="10"/>
      <c r="AE175" s="10"/>
      <c r="AF175" s="10"/>
      <c r="AG175" s="10"/>
      <c r="AH175" s="10"/>
      <c r="AI175" s="10"/>
      <c r="AJ175" s="10"/>
      <c r="AK175" s="10"/>
      <c r="AL175" s="10"/>
      <c r="AM175" s="10"/>
      <c r="AN175" s="10"/>
    </row>
    <row r="176" spans="2:40" hidden="1" x14ac:dyDescent="0.35">
      <c r="B176" s="15"/>
      <c r="C176" s="127" t="str">
        <f>IFERROR(IF(LEN(INDEX(Database!C$9:C$501,ROW(Calc!A176)-ROW(Calc!$B$7)))=0,"",INDEX(Database!C$9:C$501,ROW(Calc!A176)-ROW(Calc!$B$7))),"")</f>
        <v/>
      </c>
      <c r="D176" s="70" t="str">
        <f>IFERROR(IF(LEN(INDEX(Database!D$9:D$501,ROW(Calc!B176)-ROW(Calc!$B$7)))=0,"",INDEX(Database!D$9:D$501,ROW(Calc!B176)-ROW(Calc!$B$7))),"")</f>
        <v/>
      </c>
      <c r="E176" s="124" t="str">
        <f>IFERROR(IF(LEN(INDEX(Database!G$9:G$501,ROW(Calc!D176)-ROW(Calc!$B$7)))=0,$AD$3,INDEX(Database!G$9:G$501,ROW(Calc!D176)-ROW(Calc!$B$7))),"")</f>
        <v>Not Set</v>
      </c>
      <c r="F176" s="124" t="str">
        <f>IFERROR(IF(LEN(INDEX(Database!F$9:F$501,ROW(Calc!E176)-ROW(Calc!$B$7)))=0,$AD$3,INDEX(Database!F$9:F$501,ROW(Calc!E176)-ROW(Calc!$B$7))),"")</f>
        <v>Not Set</v>
      </c>
      <c r="G176" s="128" t="str">
        <f>IFERROR(IF(LEN(INDEX(Database!H$9:H$501,ROW(Calc!F176)-ROW(Calc!$B$7)))=0,$AD$3,INDEX(Database!H$9:H$501,ROW(Calc!F176)-ROW(Calc!$B$7))),"")</f>
        <v>Not Set</v>
      </c>
      <c r="H176" s="128" t="str">
        <f>IFERROR(IF(LEN(INDEX(Database!I$9:I$501,ROW(Calc!G176)-ROW(Calc!$B$7)))=0,$AD$3,INDEX(Database!I$9:I$501,ROW(Calc!G176)-ROW(Calc!$B$7))),"")</f>
        <v>Not Set</v>
      </c>
      <c r="I176" s="128" t="str">
        <f>IFERROR(IF(LEN(INDEX(Database!J$9:J$501,ROW(Calc!H176)-ROW(Calc!$B$7)))=0,$AD$3,INDEX(Database!J$9:J$501,ROW(Calc!H176)-ROW(Calc!$B$7))),"")</f>
        <v>Not Set</v>
      </c>
      <c r="J176" s="128" t="str">
        <f t="shared" si="23"/>
        <v>Not Set</v>
      </c>
      <c r="K176" s="124" t="str">
        <f>IFERROR(IF(LEN(INDEX(Database!E$9:E$501,ROW(Calc!I176)-ROW(Calc!$B$7)))=0,"",INDEX(Database!E$9:E$501,ROW(Calc!I176)-ROW(Calc!$B$7))),"")</f>
        <v/>
      </c>
      <c r="L176" s="129" t="str">
        <f>IFERROR(IF(LEN(INDEX(Database!K$9:K$501,ROW(Calc!K176)-ROW(Calc!$B$7)))=0,$AD$3,INDEX(Database!K$9:K$501,ROW(Calc!K176)-ROW(Calc!$B$7))),"")</f>
        <v>Not Set</v>
      </c>
      <c r="M176" s="130" t="str">
        <f>IFERROR(IF(LEN(INDEX(Database!L$9:L$501,ROW(Calc!L176)-ROW(Calc!$B$7)))=0,$AD$3,INDEX(Database!L$9:L$501,ROW(Calc!L176)-ROW(Calc!$B$7))),"")</f>
        <v>Not Set</v>
      </c>
      <c r="N176" s="131" t="str">
        <f>IFERROR(IF(LEN(INDEX(Database!M$9:M$501,ROW(Calc!M176)-ROW(Calc!$B$7)))=0,"",INDEX(Database!M$9:M$501,ROW(Calc!M176)-ROW(Calc!$B$7))),"")</f>
        <v/>
      </c>
      <c r="O176" s="132" t="str">
        <f t="shared" si="27"/>
        <v/>
      </c>
      <c r="P176" s="125" t="str">
        <f t="shared" si="24"/>
        <v>Not Set</v>
      </c>
      <c r="Q176" s="125" t="str">
        <f t="shared" si="25"/>
        <v>Not Set</v>
      </c>
      <c r="R176" s="125" t="str">
        <f>IFERROR(IF(G176=$AD$3,$AD$3,INDEX(Kanban_Helper!$C$317:$C$328,MATCH(MONTH(G176),Kanban_Helper!$B$317:$B$328,0))&amp;" - "&amp;YEAR(G176)),"$AD$3")</f>
        <v>Not Set</v>
      </c>
      <c r="S176" s="125" t="str">
        <f>IFERROR(IF(I176=$AD$3,$AD$3,INDEX(Kanban_Helper!$C$317:$C$328,MATCH(MONTH(I176),Kanban_Helper!$B$317:$B$328,0))&amp;" - "&amp;YEAR(I176)),$AD$3)</f>
        <v>Not Set</v>
      </c>
      <c r="T176" s="125" t="str">
        <f t="shared" ca="1" si="28"/>
        <v/>
      </c>
      <c r="U176" s="125" t="str">
        <f t="shared" ca="1" si="29"/>
        <v/>
      </c>
      <c r="V176" s="125" t="str">
        <f t="shared" si="26"/>
        <v>Not Set</v>
      </c>
      <c r="W176" s="126" t="str">
        <f t="shared" si="30"/>
        <v/>
      </c>
      <c r="X176" s="126" t="str">
        <f t="shared" si="31"/>
        <v/>
      </c>
      <c r="Y176" s="125" t="str">
        <f>IFERROR(IF(LEN(D176)=0,"",IF(SUBTOTAL(3,E176:E176)=0,MIN($Y$7:Y175)-1,SUBTOTAL(3,$E$8:E176))),"")</f>
        <v/>
      </c>
      <c r="Z176" s="17"/>
      <c r="AA176" s="10"/>
      <c r="AB176" s="10"/>
      <c r="AC176" s="10"/>
      <c r="AD176" s="10"/>
      <c r="AE176" s="10"/>
      <c r="AF176" s="10"/>
      <c r="AG176" s="10"/>
      <c r="AH176" s="10"/>
      <c r="AI176" s="10"/>
      <c r="AJ176" s="10"/>
      <c r="AK176" s="10"/>
      <c r="AL176" s="10"/>
      <c r="AM176" s="10"/>
      <c r="AN176" s="10"/>
    </row>
    <row r="177" spans="2:40" hidden="1" x14ac:dyDescent="0.35">
      <c r="B177" s="15"/>
      <c r="C177" s="127" t="str">
        <f>IFERROR(IF(LEN(INDEX(Database!C$9:C$501,ROW(Calc!A177)-ROW(Calc!$B$7)))=0,"",INDEX(Database!C$9:C$501,ROW(Calc!A177)-ROW(Calc!$B$7))),"")</f>
        <v/>
      </c>
      <c r="D177" s="70" t="str">
        <f>IFERROR(IF(LEN(INDEX(Database!D$9:D$501,ROW(Calc!B177)-ROW(Calc!$B$7)))=0,"",INDEX(Database!D$9:D$501,ROW(Calc!B177)-ROW(Calc!$B$7))),"")</f>
        <v/>
      </c>
      <c r="E177" s="124" t="str">
        <f>IFERROR(IF(LEN(INDEX(Database!G$9:G$501,ROW(Calc!D177)-ROW(Calc!$B$7)))=0,$AD$3,INDEX(Database!G$9:G$501,ROW(Calc!D177)-ROW(Calc!$B$7))),"")</f>
        <v>Not Set</v>
      </c>
      <c r="F177" s="124" t="str">
        <f>IFERROR(IF(LEN(INDEX(Database!F$9:F$501,ROW(Calc!E177)-ROW(Calc!$B$7)))=0,$AD$3,INDEX(Database!F$9:F$501,ROW(Calc!E177)-ROW(Calc!$B$7))),"")</f>
        <v>Not Set</v>
      </c>
      <c r="G177" s="128" t="str">
        <f>IFERROR(IF(LEN(INDEX(Database!H$9:H$501,ROW(Calc!F177)-ROW(Calc!$B$7)))=0,$AD$3,INDEX(Database!H$9:H$501,ROW(Calc!F177)-ROW(Calc!$B$7))),"")</f>
        <v>Not Set</v>
      </c>
      <c r="H177" s="128" t="str">
        <f>IFERROR(IF(LEN(INDEX(Database!I$9:I$501,ROW(Calc!G177)-ROW(Calc!$B$7)))=0,$AD$3,INDEX(Database!I$9:I$501,ROW(Calc!G177)-ROW(Calc!$B$7))),"")</f>
        <v>Not Set</v>
      </c>
      <c r="I177" s="128" t="str">
        <f>IFERROR(IF(LEN(INDEX(Database!J$9:J$501,ROW(Calc!H177)-ROW(Calc!$B$7)))=0,$AD$3,INDEX(Database!J$9:J$501,ROW(Calc!H177)-ROW(Calc!$B$7))),"")</f>
        <v>Not Set</v>
      </c>
      <c r="J177" s="128" t="str">
        <f t="shared" si="23"/>
        <v>Not Set</v>
      </c>
      <c r="K177" s="124" t="str">
        <f>IFERROR(IF(LEN(INDEX(Database!E$9:E$501,ROW(Calc!I177)-ROW(Calc!$B$7)))=0,"",INDEX(Database!E$9:E$501,ROW(Calc!I177)-ROW(Calc!$B$7))),"")</f>
        <v/>
      </c>
      <c r="L177" s="129" t="str">
        <f>IFERROR(IF(LEN(INDEX(Database!K$9:K$501,ROW(Calc!K177)-ROW(Calc!$B$7)))=0,$AD$3,INDEX(Database!K$9:K$501,ROW(Calc!K177)-ROW(Calc!$B$7))),"")</f>
        <v>Not Set</v>
      </c>
      <c r="M177" s="130" t="str">
        <f>IFERROR(IF(LEN(INDEX(Database!L$9:L$501,ROW(Calc!L177)-ROW(Calc!$B$7)))=0,$AD$3,INDEX(Database!L$9:L$501,ROW(Calc!L177)-ROW(Calc!$B$7))),"")</f>
        <v>Not Set</v>
      </c>
      <c r="N177" s="131" t="str">
        <f>IFERROR(IF(LEN(INDEX(Database!M$9:M$501,ROW(Calc!M177)-ROW(Calc!$B$7)))=0,"",INDEX(Database!M$9:M$501,ROW(Calc!M177)-ROW(Calc!$B$7))),"")</f>
        <v/>
      </c>
      <c r="O177" s="132" t="str">
        <f t="shared" si="27"/>
        <v/>
      </c>
      <c r="P177" s="125" t="str">
        <f t="shared" si="24"/>
        <v>Not Set</v>
      </c>
      <c r="Q177" s="125" t="str">
        <f t="shared" si="25"/>
        <v>Not Set</v>
      </c>
      <c r="R177" s="125" t="str">
        <f>IFERROR(IF(G177=$AD$3,$AD$3,INDEX(Kanban_Helper!$C$317:$C$328,MATCH(MONTH(G177),Kanban_Helper!$B$317:$B$328,0))&amp;" - "&amp;YEAR(G177)),"$AD$3")</f>
        <v>Not Set</v>
      </c>
      <c r="S177" s="125" t="str">
        <f>IFERROR(IF(I177=$AD$3,$AD$3,INDEX(Kanban_Helper!$C$317:$C$328,MATCH(MONTH(I177),Kanban_Helper!$B$317:$B$328,0))&amp;" - "&amp;YEAR(I177)),$AD$3)</f>
        <v>Not Set</v>
      </c>
      <c r="T177" s="125" t="str">
        <f t="shared" ca="1" si="28"/>
        <v/>
      </c>
      <c r="U177" s="125" t="str">
        <f t="shared" ca="1" si="29"/>
        <v/>
      </c>
      <c r="V177" s="125" t="str">
        <f t="shared" si="26"/>
        <v>Not Set</v>
      </c>
      <c r="W177" s="126" t="str">
        <f t="shared" si="30"/>
        <v/>
      </c>
      <c r="X177" s="126" t="str">
        <f t="shared" si="31"/>
        <v/>
      </c>
      <c r="Y177" s="125" t="str">
        <f>IFERROR(IF(LEN(D177)=0,"",IF(SUBTOTAL(3,E177:E177)=0,MIN($Y$7:Y176)-1,SUBTOTAL(3,$E$8:E177))),"")</f>
        <v/>
      </c>
      <c r="Z177" s="17"/>
      <c r="AA177" s="10"/>
      <c r="AB177" s="10"/>
      <c r="AC177" s="10"/>
      <c r="AD177" s="10"/>
      <c r="AE177" s="10"/>
      <c r="AF177" s="10"/>
      <c r="AG177" s="10"/>
      <c r="AH177" s="10"/>
      <c r="AI177" s="10"/>
      <c r="AJ177" s="10"/>
      <c r="AK177" s="10"/>
      <c r="AL177" s="10"/>
      <c r="AM177" s="10"/>
      <c r="AN177" s="10"/>
    </row>
    <row r="178" spans="2:40" hidden="1" x14ac:dyDescent="0.35">
      <c r="B178" s="15"/>
      <c r="C178" s="127" t="str">
        <f>IFERROR(IF(LEN(INDEX(Database!C$9:C$501,ROW(Calc!A178)-ROW(Calc!$B$7)))=0,"",INDEX(Database!C$9:C$501,ROW(Calc!A178)-ROW(Calc!$B$7))),"")</f>
        <v/>
      </c>
      <c r="D178" s="70" t="str">
        <f>IFERROR(IF(LEN(INDEX(Database!D$9:D$501,ROW(Calc!B178)-ROW(Calc!$B$7)))=0,"",INDEX(Database!D$9:D$501,ROW(Calc!B178)-ROW(Calc!$B$7))),"")</f>
        <v/>
      </c>
      <c r="E178" s="124" t="str">
        <f>IFERROR(IF(LEN(INDEX(Database!G$9:G$501,ROW(Calc!D178)-ROW(Calc!$B$7)))=0,$AD$3,INDEX(Database!G$9:G$501,ROW(Calc!D178)-ROW(Calc!$B$7))),"")</f>
        <v>Not Set</v>
      </c>
      <c r="F178" s="124" t="str">
        <f>IFERROR(IF(LEN(INDEX(Database!F$9:F$501,ROW(Calc!E178)-ROW(Calc!$B$7)))=0,$AD$3,INDEX(Database!F$9:F$501,ROW(Calc!E178)-ROW(Calc!$B$7))),"")</f>
        <v>Not Set</v>
      </c>
      <c r="G178" s="128" t="str">
        <f>IFERROR(IF(LEN(INDEX(Database!H$9:H$501,ROW(Calc!F178)-ROW(Calc!$B$7)))=0,$AD$3,INDEX(Database!H$9:H$501,ROW(Calc!F178)-ROW(Calc!$B$7))),"")</f>
        <v>Not Set</v>
      </c>
      <c r="H178" s="128" t="str">
        <f>IFERROR(IF(LEN(INDEX(Database!I$9:I$501,ROW(Calc!G178)-ROW(Calc!$B$7)))=0,$AD$3,INDEX(Database!I$9:I$501,ROW(Calc!G178)-ROW(Calc!$B$7))),"")</f>
        <v>Not Set</v>
      </c>
      <c r="I178" s="128" t="str">
        <f>IFERROR(IF(LEN(INDEX(Database!J$9:J$501,ROW(Calc!H178)-ROW(Calc!$B$7)))=0,$AD$3,INDEX(Database!J$9:J$501,ROW(Calc!H178)-ROW(Calc!$B$7))),"")</f>
        <v>Not Set</v>
      </c>
      <c r="J178" s="128" t="str">
        <f t="shared" si="23"/>
        <v>Not Set</v>
      </c>
      <c r="K178" s="124" t="str">
        <f>IFERROR(IF(LEN(INDEX(Database!E$9:E$501,ROW(Calc!I178)-ROW(Calc!$B$7)))=0,"",INDEX(Database!E$9:E$501,ROW(Calc!I178)-ROW(Calc!$B$7))),"")</f>
        <v/>
      </c>
      <c r="L178" s="129" t="str">
        <f>IFERROR(IF(LEN(INDEX(Database!K$9:K$501,ROW(Calc!K178)-ROW(Calc!$B$7)))=0,$AD$3,INDEX(Database!K$9:K$501,ROW(Calc!K178)-ROW(Calc!$B$7))),"")</f>
        <v>Not Set</v>
      </c>
      <c r="M178" s="130" t="str">
        <f>IFERROR(IF(LEN(INDEX(Database!L$9:L$501,ROW(Calc!L178)-ROW(Calc!$B$7)))=0,$AD$3,INDEX(Database!L$9:L$501,ROW(Calc!L178)-ROW(Calc!$B$7))),"")</f>
        <v>Not Set</v>
      </c>
      <c r="N178" s="131" t="str">
        <f>IFERROR(IF(LEN(INDEX(Database!M$9:M$501,ROW(Calc!M178)-ROW(Calc!$B$7)))=0,"",INDEX(Database!M$9:M$501,ROW(Calc!M178)-ROW(Calc!$B$7))),"")</f>
        <v/>
      </c>
      <c r="O178" s="132" t="str">
        <f t="shared" si="27"/>
        <v/>
      </c>
      <c r="P178" s="125" t="str">
        <f t="shared" si="24"/>
        <v>Not Set</v>
      </c>
      <c r="Q178" s="125" t="str">
        <f t="shared" si="25"/>
        <v>Not Set</v>
      </c>
      <c r="R178" s="125" t="str">
        <f>IFERROR(IF(G178=$AD$3,$AD$3,INDEX(Kanban_Helper!$C$317:$C$328,MATCH(MONTH(G178),Kanban_Helper!$B$317:$B$328,0))&amp;" - "&amp;YEAR(G178)),"$AD$3")</f>
        <v>Not Set</v>
      </c>
      <c r="S178" s="125" t="str">
        <f>IFERROR(IF(I178=$AD$3,$AD$3,INDEX(Kanban_Helper!$C$317:$C$328,MATCH(MONTH(I178),Kanban_Helper!$B$317:$B$328,0))&amp;" - "&amp;YEAR(I178)),$AD$3)</f>
        <v>Not Set</v>
      </c>
      <c r="T178" s="125" t="str">
        <f t="shared" ca="1" si="28"/>
        <v/>
      </c>
      <c r="U178" s="125" t="str">
        <f t="shared" ca="1" si="29"/>
        <v/>
      </c>
      <c r="V178" s="125" t="str">
        <f t="shared" si="26"/>
        <v>Not Set</v>
      </c>
      <c r="W178" s="126" t="str">
        <f t="shared" si="30"/>
        <v/>
      </c>
      <c r="X178" s="126" t="str">
        <f t="shared" si="31"/>
        <v/>
      </c>
      <c r="Y178" s="125" t="str">
        <f>IFERROR(IF(LEN(D178)=0,"",IF(SUBTOTAL(3,E178:E178)=0,MIN($Y$7:Y177)-1,SUBTOTAL(3,$E$8:E178))),"")</f>
        <v/>
      </c>
      <c r="Z178" s="17"/>
      <c r="AA178" s="10"/>
      <c r="AB178" s="10"/>
      <c r="AC178" s="10"/>
      <c r="AD178" s="10"/>
      <c r="AE178" s="10"/>
      <c r="AF178" s="10"/>
      <c r="AG178" s="10"/>
      <c r="AH178" s="10"/>
      <c r="AI178" s="10"/>
      <c r="AJ178" s="10"/>
      <c r="AK178" s="10"/>
      <c r="AL178" s="10"/>
      <c r="AM178" s="10"/>
      <c r="AN178" s="10"/>
    </row>
    <row r="179" spans="2:40" hidden="1" x14ac:dyDescent="0.35">
      <c r="B179" s="15"/>
      <c r="C179" s="127" t="str">
        <f>IFERROR(IF(LEN(INDEX(Database!C$9:C$501,ROW(Calc!A179)-ROW(Calc!$B$7)))=0,"",INDEX(Database!C$9:C$501,ROW(Calc!A179)-ROW(Calc!$B$7))),"")</f>
        <v/>
      </c>
      <c r="D179" s="70" t="str">
        <f>IFERROR(IF(LEN(INDEX(Database!D$9:D$501,ROW(Calc!B179)-ROW(Calc!$B$7)))=0,"",INDEX(Database!D$9:D$501,ROW(Calc!B179)-ROW(Calc!$B$7))),"")</f>
        <v/>
      </c>
      <c r="E179" s="124" t="str">
        <f>IFERROR(IF(LEN(INDEX(Database!G$9:G$501,ROW(Calc!D179)-ROW(Calc!$B$7)))=0,$AD$3,INDEX(Database!G$9:G$501,ROW(Calc!D179)-ROW(Calc!$B$7))),"")</f>
        <v>Not Set</v>
      </c>
      <c r="F179" s="124" t="str">
        <f>IFERROR(IF(LEN(INDEX(Database!F$9:F$501,ROW(Calc!E179)-ROW(Calc!$B$7)))=0,$AD$3,INDEX(Database!F$9:F$501,ROW(Calc!E179)-ROW(Calc!$B$7))),"")</f>
        <v>Not Set</v>
      </c>
      <c r="G179" s="128" t="str">
        <f>IFERROR(IF(LEN(INDEX(Database!H$9:H$501,ROW(Calc!F179)-ROW(Calc!$B$7)))=0,$AD$3,INDEX(Database!H$9:H$501,ROW(Calc!F179)-ROW(Calc!$B$7))),"")</f>
        <v>Not Set</v>
      </c>
      <c r="H179" s="128" t="str">
        <f>IFERROR(IF(LEN(INDEX(Database!I$9:I$501,ROW(Calc!G179)-ROW(Calc!$B$7)))=0,$AD$3,INDEX(Database!I$9:I$501,ROW(Calc!G179)-ROW(Calc!$B$7))),"")</f>
        <v>Not Set</v>
      </c>
      <c r="I179" s="128" t="str">
        <f>IFERROR(IF(LEN(INDEX(Database!J$9:J$501,ROW(Calc!H179)-ROW(Calc!$B$7)))=0,$AD$3,INDEX(Database!J$9:J$501,ROW(Calc!H179)-ROW(Calc!$B$7))),"")</f>
        <v>Not Set</v>
      </c>
      <c r="J179" s="128" t="str">
        <f t="shared" si="23"/>
        <v>Not Set</v>
      </c>
      <c r="K179" s="124" t="str">
        <f>IFERROR(IF(LEN(INDEX(Database!E$9:E$501,ROW(Calc!I179)-ROW(Calc!$B$7)))=0,"",INDEX(Database!E$9:E$501,ROW(Calc!I179)-ROW(Calc!$B$7))),"")</f>
        <v/>
      </c>
      <c r="L179" s="129" t="str">
        <f>IFERROR(IF(LEN(INDEX(Database!K$9:K$501,ROW(Calc!K179)-ROW(Calc!$B$7)))=0,$AD$3,INDEX(Database!K$9:K$501,ROW(Calc!K179)-ROW(Calc!$B$7))),"")</f>
        <v>Not Set</v>
      </c>
      <c r="M179" s="130" t="str">
        <f>IFERROR(IF(LEN(INDEX(Database!L$9:L$501,ROW(Calc!L179)-ROW(Calc!$B$7)))=0,$AD$3,INDEX(Database!L$9:L$501,ROW(Calc!L179)-ROW(Calc!$B$7))),"")</f>
        <v>Not Set</v>
      </c>
      <c r="N179" s="131" t="str">
        <f>IFERROR(IF(LEN(INDEX(Database!M$9:M$501,ROW(Calc!M179)-ROW(Calc!$B$7)))=0,"",INDEX(Database!M$9:M$501,ROW(Calc!M179)-ROW(Calc!$B$7))),"")</f>
        <v/>
      </c>
      <c r="O179" s="132" t="str">
        <f t="shared" si="27"/>
        <v/>
      </c>
      <c r="P179" s="125" t="str">
        <f t="shared" si="24"/>
        <v>Not Set</v>
      </c>
      <c r="Q179" s="125" t="str">
        <f t="shared" si="25"/>
        <v>Not Set</v>
      </c>
      <c r="R179" s="125" t="str">
        <f>IFERROR(IF(G179=$AD$3,$AD$3,INDEX(Kanban_Helper!$C$317:$C$328,MATCH(MONTH(G179),Kanban_Helper!$B$317:$B$328,0))&amp;" - "&amp;YEAR(G179)),"$AD$3")</f>
        <v>Not Set</v>
      </c>
      <c r="S179" s="125" t="str">
        <f>IFERROR(IF(I179=$AD$3,$AD$3,INDEX(Kanban_Helper!$C$317:$C$328,MATCH(MONTH(I179),Kanban_Helper!$B$317:$B$328,0))&amp;" - "&amp;YEAR(I179)),$AD$3)</f>
        <v>Not Set</v>
      </c>
      <c r="T179" s="125" t="str">
        <f t="shared" ca="1" si="28"/>
        <v/>
      </c>
      <c r="U179" s="125" t="str">
        <f t="shared" ca="1" si="29"/>
        <v/>
      </c>
      <c r="V179" s="125" t="str">
        <f t="shared" si="26"/>
        <v>Not Set</v>
      </c>
      <c r="W179" s="126" t="str">
        <f t="shared" si="30"/>
        <v/>
      </c>
      <c r="X179" s="126" t="str">
        <f t="shared" si="31"/>
        <v/>
      </c>
      <c r="Y179" s="125" t="str">
        <f>IFERROR(IF(LEN(D179)=0,"",IF(SUBTOTAL(3,E179:E179)=0,MIN($Y$7:Y178)-1,SUBTOTAL(3,$E$8:E179))),"")</f>
        <v/>
      </c>
      <c r="Z179" s="17"/>
      <c r="AA179" s="10"/>
      <c r="AB179" s="10"/>
      <c r="AC179" s="10"/>
      <c r="AD179" s="10"/>
      <c r="AE179" s="10"/>
      <c r="AF179" s="10"/>
      <c r="AG179" s="10"/>
      <c r="AH179" s="10"/>
      <c r="AI179" s="10"/>
      <c r="AJ179" s="10"/>
      <c r="AK179" s="10"/>
      <c r="AL179" s="10"/>
      <c r="AM179" s="10"/>
      <c r="AN179" s="10"/>
    </row>
    <row r="180" spans="2:40" hidden="1" x14ac:dyDescent="0.35">
      <c r="B180" s="15"/>
      <c r="C180" s="127" t="str">
        <f>IFERROR(IF(LEN(INDEX(Database!C$9:C$501,ROW(Calc!A180)-ROW(Calc!$B$7)))=0,"",INDEX(Database!C$9:C$501,ROW(Calc!A180)-ROW(Calc!$B$7))),"")</f>
        <v/>
      </c>
      <c r="D180" s="70" t="str">
        <f>IFERROR(IF(LEN(INDEX(Database!D$9:D$501,ROW(Calc!B180)-ROW(Calc!$B$7)))=0,"",INDEX(Database!D$9:D$501,ROW(Calc!B180)-ROW(Calc!$B$7))),"")</f>
        <v/>
      </c>
      <c r="E180" s="124" t="str">
        <f>IFERROR(IF(LEN(INDEX(Database!G$9:G$501,ROW(Calc!D180)-ROW(Calc!$B$7)))=0,$AD$3,INDEX(Database!G$9:G$501,ROW(Calc!D180)-ROW(Calc!$B$7))),"")</f>
        <v>Not Set</v>
      </c>
      <c r="F180" s="124" t="str">
        <f>IFERROR(IF(LEN(INDEX(Database!F$9:F$501,ROW(Calc!E180)-ROW(Calc!$B$7)))=0,$AD$3,INDEX(Database!F$9:F$501,ROW(Calc!E180)-ROW(Calc!$B$7))),"")</f>
        <v>Not Set</v>
      </c>
      <c r="G180" s="128" t="str">
        <f>IFERROR(IF(LEN(INDEX(Database!H$9:H$501,ROW(Calc!F180)-ROW(Calc!$B$7)))=0,$AD$3,INDEX(Database!H$9:H$501,ROW(Calc!F180)-ROW(Calc!$B$7))),"")</f>
        <v>Not Set</v>
      </c>
      <c r="H180" s="128" t="str">
        <f>IFERROR(IF(LEN(INDEX(Database!I$9:I$501,ROW(Calc!G180)-ROW(Calc!$B$7)))=0,$AD$3,INDEX(Database!I$9:I$501,ROW(Calc!G180)-ROW(Calc!$B$7))),"")</f>
        <v>Not Set</v>
      </c>
      <c r="I180" s="128" t="str">
        <f>IFERROR(IF(LEN(INDEX(Database!J$9:J$501,ROW(Calc!H180)-ROW(Calc!$B$7)))=0,$AD$3,INDEX(Database!J$9:J$501,ROW(Calc!H180)-ROW(Calc!$B$7))),"")</f>
        <v>Not Set</v>
      </c>
      <c r="J180" s="128" t="str">
        <f t="shared" si="23"/>
        <v>Not Set</v>
      </c>
      <c r="K180" s="124" t="str">
        <f>IFERROR(IF(LEN(INDEX(Database!E$9:E$501,ROW(Calc!I180)-ROW(Calc!$B$7)))=0,"",INDEX(Database!E$9:E$501,ROW(Calc!I180)-ROW(Calc!$B$7))),"")</f>
        <v/>
      </c>
      <c r="L180" s="129" t="str">
        <f>IFERROR(IF(LEN(INDEX(Database!K$9:K$501,ROW(Calc!K180)-ROW(Calc!$B$7)))=0,$AD$3,INDEX(Database!K$9:K$501,ROW(Calc!K180)-ROW(Calc!$B$7))),"")</f>
        <v>Not Set</v>
      </c>
      <c r="M180" s="130" t="str">
        <f>IFERROR(IF(LEN(INDEX(Database!L$9:L$501,ROW(Calc!L180)-ROW(Calc!$B$7)))=0,$AD$3,INDEX(Database!L$9:L$501,ROW(Calc!L180)-ROW(Calc!$B$7))),"")</f>
        <v>Not Set</v>
      </c>
      <c r="N180" s="131" t="str">
        <f>IFERROR(IF(LEN(INDEX(Database!M$9:M$501,ROW(Calc!M180)-ROW(Calc!$B$7)))=0,"",INDEX(Database!M$9:M$501,ROW(Calc!M180)-ROW(Calc!$B$7))),"")</f>
        <v/>
      </c>
      <c r="O180" s="132" t="str">
        <f t="shared" si="27"/>
        <v/>
      </c>
      <c r="P180" s="125" t="str">
        <f t="shared" si="24"/>
        <v>Not Set</v>
      </c>
      <c r="Q180" s="125" t="str">
        <f t="shared" si="25"/>
        <v>Not Set</v>
      </c>
      <c r="R180" s="125" t="str">
        <f>IFERROR(IF(G180=$AD$3,$AD$3,INDEX(Kanban_Helper!$C$317:$C$328,MATCH(MONTH(G180),Kanban_Helper!$B$317:$B$328,0))&amp;" - "&amp;YEAR(G180)),"$AD$3")</f>
        <v>Not Set</v>
      </c>
      <c r="S180" s="125" t="str">
        <f>IFERROR(IF(I180=$AD$3,$AD$3,INDEX(Kanban_Helper!$C$317:$C$328,MATCH(MONTH(I180),Kanban_Helper!$B$317:$B$328,0))&amp;" - "&amp;YEAR(I180)),$AD$3)</f>
        <v>Not Set</v>
      </c>
      <c r="T180" s="125" t="str">
        <f t="shared" ca="1" si="28"/>
        <v/>
      </c>
      <c r="U180" s="125" t="str">
        <f t="shared" ca="1" si="29"/>
        <v/>
      </c>
      <c r="V180" s="125" t="str">
        <f t="shared" si="26"/>
        <v>Not Set</v>
      </c>
      <c r="W180" s="126" t="str">
        <f t="shared" si="30"/>
        <v/>
      </c>
      <c r="X180" s="126" t="str">
        <f t="shared" si="31"/>
        <v/>
      </c>
      <c r="Y180" s="125" t="str">
        <f>IFERROR(IF(LEN(D180)=0,"",IF(SUBTOTAL(3,E180:E180)=0,MIN($Y$7:Y179)-1,SUBTOTAL(3,$E$8:E180))),"")</f>
        <v/>
      </c>
      <c r="Z180" s="17"/>
      <c r="AA180" s="10"/>
      <c r="AB180" s="10"/>
      <c r="AC180" s="10"/>
      <c r="AD180" s="10"/>
      <c r="AE180" s="10"/>
      <c r="AF180" s="10"/>
      <c r="AG180" s="10"/>
      <c r="AH180" s="10"/>
      <c r="AI180" s="10"/>
      <c r="AJ180" s="10"/>
      <c r="AK180" s="10"/>
      <c r="AL180" s="10"/>
      <c r="AM180" s="10"/>
      <c r="AN180" s="10"/>
    </row>
    <row r="181" spans="2:40" hidden="1" x14ac:dyDescent="0.35">
      <c r="B181" s="15"/>
      <c r="C181" s="127" t="str">
        <f>IFERROR(IF(LEN(INDEX(Database!C$9:C$501,ROW(Calc!A181)-ROW(Calc!$B$7)))=0,"",INDEX(Database!C$9:C$501,ROW(Calc!A181)-ROW(Calc!$B$7))),"")</f>
        <v/>
      </c>
      <c r="D181" s="70" t="str">
        <f>IFERROR(IF(LEN(INDEX(Database!D$9:D$501,ROW(Calc!B181)-ROW(Calc!$B$7)))=0,"",INDEX(Database!D$9:D$501,ROW(Calc!B181)-ROW(Calc!$B$7))),"")</f>
        <v/>
      </c>
      <c r="E181" s="124" t="str">
        <f>IFERROR(IF(LEN(INDEX(Database!G$9:G$501,ROW(Calc!D181)-ROW(Calc!$B$7)))=0,$AD$3,INDEX(Database!G$9:G$501,ROW(Calc!D181)-ROW(Calc!$B$7))),"")</f>
        <v>Not Set</v>
      </c>
      <c r="F181" s="124" t="str">
        <f>IFERROR(IF(LEN(INDEX(Database!F$9:F$501,ROW(Calc!E181)-ROW(Calc!$B$7)))=0,$AD$3,INDEX(Database!F$9:F$501,ROW(Calc!E181)-ROW(Calc!$B$7))),"")</f>
        <v>Not Set</v>
      </c>
      <c r="G181" s="128" t="str">
        <f>IFERROR(IF(LEN(INDEX(Database!H$9:H$501,ROW(Calc!F181)-ROW(Calc!$B$7)))=0,$AD$3,INDEX(Database!H$9:H$501,ROW(Calc!F181)-ROW(Calc!$B$7))),"")</f>
        <v>Not Set</v>
      </c>
      <c r="H181" s="128" t="str">
        <f>IFERROR(IF(LEN(INDEX(Database!I$9:I$501,ROW(Calc!G181)-ROW(Calc!$B$7)))=0,$AD$3,INDEX(Database!I$9:I$501,ROW(Calc!G181)-ROW(Calc!$B$7))),"")</f>
        <v>Not Set</v>
      </c>
      <c r="I181" s="128" t="str">
        <f>IFERROR(IF(LEN(INDEX(Database!J$9:J$501,ROW(Calc!H181)-ROW(Calc!$B$7)))=0,$AD$3,INDEX(Database!J$9:J$501,ROW(Calc!H181)-ROW(Calc!$B$7))),"")</f>
        <v>Not Set</v>
      </c>
      <c r="J181" s="128" t="str">
        <f t="shared" si="23"/>
        <v>Not Set</v>
      </c>
      <c r="K181" s="124" t="str">
        <f>IFERROR(IF(LEN(INDEX(Database!E$9:E$501,ROW(Calc!I181)-ROW(Calc!$B$7)))=0,"",INDEX(Database!E$9:E$501,ROW(Calc!I181)-ROW(Calc!$B$7))),"")</f>
        <v/>
      </c>
      <c r="L181" s="129" t="str">
        <f>IFERROR(IF(LEN(INDEX(Database!K$9:K$501,ROW(Calc!K181)-ROW(Calc!$B$7)))=0,$AD$3,INDEX(Database!K$9:K$501,ROW(Calc!K181)-ROW(Calc!$B$7))),"")</f>
        <v>Not Set</v>
      </c>
      <c r="M181" s="130" t="str">
        <f>IFERROR(IF(LEN(INDEX(Database!L$9:L$501,ROW(Calc!L181)-ROW(Calc!$B$7)))=0,$AD$3,INDEX(Database!L$9:L$501,ROW(Calc!L181)-ROW(Calc!$B$7))),"")</f>
        <v>Not Set</v>
      </c>
      <c r="N181" s="131" t="str">
        <f>IFERROR(IF(LEN(INDEX(Database!M$9:M$501,ROW(Calc!M181)-ROW(Calc!$B$7)))=0,"",INDEX(Database!M$9:M$501,ROW(Calc!M181)-ROW(Calc!$B$7))),"")</f>
        <v/>
      </c>
      <c r="O181" s="132" t="str">
        <f t="shared" si="27"/>
        <v/>
      </c>
      <c r="P181" s="125" t="str">
        <f t="shared" si="24"/>
        <v>Not Set</v>
      </c>
      <c r="Q181" s="125" t="str">
        <f t="shared" si="25"/>
        <v>Not Set</v>
      </c>
      <c r="R181" s="125" t="str">
        <f>IFERROR(IF(G181=$AD$3,$AD$3,INDEX(Kanban_Helper!$C$317:$C$328,MATCH(MONTH(G181),Kanban_Helper!$B$317:$B$328,0))&amp;" - "&amp;YEAR(G181)),"$AD$3")</f>
        <v>Not Set</v>
      </c>
      <c r="S181" s="125" t="str">
        <f>IFERROR(IF(I181=$AD$3,$AD$3,INDEX(Kanban_Helper!$C$317:$C$328,MATCH(MONTH(I181),Kanban_Helper!$B$317:$B$328,0))&amp;" - "&amp;YEAR(I181)),$AD$3)</f>
        <v>Not Set</v>
      </c>
      <c r="T181" s="125" t="str">
        <f t="shared" ca="1" si="28"/>
        <v/>
      </c>
      <c r="U181" s="125" t="str">
        <f t="shared" ca="1" si="29"/>
        <v/>
      </c>
      <c r="V181" s="125" t="str">
        <f t="shared" si="26"/>
        <v>Not Set</v>
      </c>
      <c r="W181" s="126" t="str">
        <f t="shared" si="30"/>
        <v/>
      </c>
      <c r="X181" s="126" t="str">
        <f t="shared" si="31"/>
        <v/>
      </c>
      <c r="Y181" s="125" t="str">
        <f>IFERROR(IF(LEN(D181)=0,"",IF(SUBTOTAL(3,E181:E181)=0,MIN($Y$7:Y180)-1,SUBTOTAL(3,$E$8:E181))),"")</f>
        <v/>
      </c>
      <c r="Z181" s="17"/>
      <c r="AA181" s="10"/>
      <c r="AB181" s="10"/>
      <c r="AC181" s="10"/>
      <c r="AD181" s="10"/>
      <c r="AE181" s="10"/>
      <c r="AF181" s="10"/>
      <c r="AG181" s="10"/>
      <c r="AH181" s="10"/>
      <c r="AI181" s="10"/>
      <c r="AJ181" s="10"/>
      <c r="AK181" s="10"/>
      <c r="AL181" s="10"/>
      <c r="AM181" s="10"/>
      <c r="AN181" s="10"/>
    </row>
    <row r="182" spans="2:40" hidden="1" x14ac:dyDescent="0.35">
      <c r="B182" s="15"/>
      <c r="C182" s="127" t="str">
        <f>IFERROR(IF(LEN(INDEX(Database!C$9:C$501,ROW(Calc!A182)-ROW(Calc!$B$7)))=0,"",INDEX(Database!C$9:C$501,ROW(Calc!A182)-ROW(Calc!$B$7))),"")</f>
        <v/>
      </c>
      <c r="D182" s="70" t="str">
        <f>IFERROR(IF(LEN(INDEX(Database!D$9:D$501,ROW(Calc!B182)-ROW(Calc!$B$7)))=0,"",INDEX(Database!D$9:D$501,ROW(Calc!B182)-ROW(Calc!$B$7))),"")</f>
        <v/>
      </c>
      <c r="E182" s="124" t="str">
        <f>IFERROR(IF(LEN(INDEX(Database!G$9:G$501,ROW(Calc!D182)-ROW(Calc!$B$7)))=0,$AD$3,INDEX(Database!G$9:G$501,ROW(Calc!D182)-ROW(Calc!$B$7))),"")</f>
        <v>Not Set</v>
      </c>
      <c r="F182" s="124" t="str">
        <f>IFERROR(IF(LEN(INDEX(Database!F$9:F$501,ROW(Calc!E182)-ROW(Calc!$B$7)))=0,$AD$3,INDEX(Database!F$9:F$501,ROW(Calc!E182)-ROW(Calc!$B$7))),"")</f>
        <v>Not Set</v>
      </c>
      <c r="G182" s="128" t="str">
        <f>IFERROR(IF(LEN(INDEX(Database!H$9:H$501,ROW(Calc!F182)-ROW(Calc!$B$7)))=0,$AD$3,INDEX(Database!H$9:H$501,ROW(Calc!F182)-ROW(Calc!$B$7))),"")</f>
        <v>Not Set</v>
      </c>
      <c r="H182" s="128" t="str">
        <f>IFERROR(IF(LEN(INDEX(Database!I$9:I$501,ROW(Calc!G182)-ROW(Calc!$B$7)))=0,$AD$3,INDEX(Database!I$9:I$501,ROW(Calc!G182)-ROW(Calc!$B$7))),"")</f>
        <v>Not Set</v>
      </c>
      <c r="I182" s="128" t="str">
        <f>IFERROR(IF(LEN(INDEX(Database!J$9:J$501,ROW(Calc!H182)-ROW(Calc!$B$7)))=0,$AD$3,INDEX(Database!J$9:J$501,ROW(Calc!H182)-ROW(Calc!$B$7))),"")</f>
        <v>Not Set</v>
      </c>
      <c r="J182" s="128" t="str">
        <f t="shared" si="23"/>
        <v>Not Set</v>
      </c>
      <c r="K182" s="124" t="str">
        <f>IFERROR(IF(LEN(INDEX(Database!E$9:E$501,ROW(Calc!I182)-ROW(Calc!$B$7)))=0,"",INDEX(Database!E$9:E$501,ROW(Calc!I182)-ROW(Calc!$B$7))),"")</f>
        <v/>
      </c>
      <c r="L182" s="129" t="str">
        <f>IFERROR(IF(LEN(INDEX(Database!K$9:K$501,ROW(Calc!K182)-ROW(Calc!$B$7)))=0,$AD$3,INDEX(Database!K$9:K$501,ROW(Calc!K182)-ROW(Calc!$B$7))),"")</f>
        <v>Not Set</v>
      </c>
      <c r="M182" s="130" t="str">
        <f>IFERROR(IF(LEN(INDEX(Database!L$9:L$501,ROW(Calc!L182)-ROW(Calc!$B$7)))=0,$AD$3,INDEX(Database!L$9:L$501,ROW(Calc!L182)-ROW(Calc!$B$7))),"")</f>
        <v>Not Set</v>
      </c>
      <c r="N182" s="131" t="str">
        <f>IFERROR(IF(LEN(INDEX(Database!M$9:M$501,ROW(Calc!M182)-ROW(Calc!$B$7)))=0,"",INDEX(Database!M$9:M$501,ROW(Calc!M182)-ROW(Calc!$B$7))),"")</f>
        <v/>
      </c>
      <c r="O182" s="132" t="str">
        <f t="shared" si="27"/>
        <v/>
      </c>
      <c r="P182" s="125" t="str">
        <f t="shared" si="24"/>
        <v>Not Set</v>
      </c>
      <c r="Q182" s="125" t="str">
        <f t="shared" si="25"/>
        <v>Not Set</v>
      </c>
      <c r="R182" s="125" t="str">
        <f>IFERROR(IF(G182=$AD$3,$AD$3,INDEX(Kanban_Helper!$C$317:$C$328,MATCH(MONTH(G182),Kanban_Helper!$B$317:$B$328,0))&amp;" - "&amp;YEAR(G182)),"$AD$3")</f>
        <v>Not Set</v>
      </c>
      <c r="S182" s="125" t="str">
        <f>IFERROR(IF(I182=$AD$3,$AD$3,INDEX(Kanban_Helper!$C$317:$C$328,MATCH(MONTH(I182),Kanban_Helper!$B$317:$B$328,0))&amp;" - "&amp;YEAR(I182)),$AD$3)</f>
        <v>Not Set</v>
      </c>
      <c r="T182" s="125" t="str">
        <f t="shared" ca="1" si="28"/>
        <v/>
      </c>
      <c r="U182" s="125" t="str">
        <f t="shared" ca="1" si="29"/>
        <v/>
      </c>
      <c r="V182" s="125" t="str">
        <f t="shared" si="26"/>
        <v>Not Set</v>
      </c>
      <c r="W182" s="126" t="str">
        <f t="shared" si="30"/>
        <v/>
      </c>
      <c r="X182" s="126" t="str">
        <f t="shared" si="31"/>
        <v/>
      </c>
      <c r="Y182" s="125" t="str">
        <f>IFERROR(IF(LEN(D182)=0,"",IF(SUBTOTAL(3,E182:E182)=0,MIN($Y$7:Y181)-1,SUBTOTAL(3,$E$8:E182))),"")</f>
        <v/>
      </c>
      <c r="Z182" s="17"/>
      <c r="AA182" s="10"/>
      <c r="AB182" s="10"/>
      <c r="AC182" s="10"/>
      <c r="AD182" s="10"/>
      <c r="AE182" s="10"/>
      <c r="AF182" s="10"/>
      <c r="AG182" s="10"/>
      <c r="AH182" s="10"/>
      <c r="AI182" s="10"/>
      <c r="AJ182" s="10"/>
      <c r="AK182" s="10"/>
      <c r="AL182" s="10"/>
      <c r="AM182" s="10"/>
      <c r="AN182" s="10"/>
    </row>
    <row r="183" spans="2:40" hidden="1" x14ac:dyDescent="0.35">
      <c r="B183" s="15"/>
      <c r="C183" s="127" t="str">
        <f>IFERROR(IF(LEN(INDEX(Database!C$9:C$501,ROW(Calc!A183)-ROW(Calc!$B$7)))=0,"",INDEX(Database!C$9:C$501,ROW(Calc!A183)-ROW(Calc!$B$7))),"")</f>
        <v/>
      </c>
      <c r="D183" s="70" t="str">
        <f>IFERROR(IF(LEN(INDEX(Database!D$9:D$501,ROW(Calc!B183)-ROW(Calc!$B$7)))=0,"",INDEX(Database!D$9:D$501,ROW(Calc!B183)-ROW(Calc!$B$7))),"")</f>
        <v/>
      </c>
      <c r="E183" s="124" t="str">
        <f>IFERROR(IF(LEN(INDEX(Database!G$9:G$501,ROW(Calc!D183)-ROW(Calc!$B$7)))=0,$AD$3,INDEX(Database!G$9:G$501,ROW(Calc!D183)-ROW(Calc!$B$7))),"")</f>
        <v>Not Set</v>
      </c>
      <c r="F183" s="124" t="str">
        <f>IFERROR(IF(LEN(INDEX(Database!F$9:F$501,ROW(Calc!E183)-ROW(Calc!$B$7)))=0,$AD$3,INDEX(Database!F$9:F$501,ROW(Calc!E183)-ROW(Calc!$B$7))),"")</f>
        <v>Not Set</v>
      </c>
      <c r="G183" s="128" t="str">
        <f>IFERROR(IF(LEN(INDEX(Database!H$9:H$501,ROW(Calc!F183)-ROW(Calc!$B$7)))=0,$AD$3,INDEX(Database!H$9:H$501,ROW(Calc!F183)-ROW(Calc!$B$7))),"")</f>
        <v>Not Set</v>
      </c>
      <c r="H183" s="128" t="str">
        <f>IFERROR(IF(LEN(INDEX(Database!I$9:I$501,ROW(Calc!G183)-ROW(Calc!$B$7)))=0,$AD$3,INDEX(Database!I$9:I$501,ROW(Calc!G183)-ROW(Calc!$B$7))),"")</f>
        <v>Not Set</v>
      </c>
      <c r="I183" s="128" t="str">
        <f>IFERROR(IF(LEN(INDEX(Database!J$9:J$501,ROW(Calc!H183)-ROW(Calc!$B$7)))=0,$AD$3,INDEX(Database!J$9:J$501,ROW(Calc!H183)-ROW(Calc!$B$7))),"")</f>
        <v>Not Set</v>
      </c>
      <c r="J183" s="128" t="str">
        <f t="shared" si="23"/>
        <v>Not Set</v>
      </c>
      <c r="K183" s="124" t="str">
        <f>IFERROR(IF(LEN(INDEX(Database!E$9:E$501,ROW(Calc!I183)-ROW(Calc!$B$7)))=0,"",INDEX(Database!E$9:E$501,ROW(Calc!I183)-ROW(Calc!$B$7))),"")</f>
        <v/>
      </c>
      <c r="L183" s="129" t="str">
        <f>IFERROR(IF(LEN(INDEX(Database!K$9:K$501,ROW(Calc!K183)-ROW(Calc!$B$7)))=0,$AD$3,INDEX(Database!K$9:K$501,ROW(Calc!K183)-ROW(Calc!$B$7))),"")</f>
        <v>Not Set</v>
      </c>
      <c r="M183" s="130" t="str">
        <f>IFERROR(IF(LEN(INDEX(Database!L$9:L$501,ROW(Calc!L183)-ROW(Calc!$B$7)))=0,$AD$3,INDEX(Database!L$9:L$501,ROW(Calc!L183)-ROW(Calc!$B$7))),"")</f>
        <v>Not Set</v>
      </c>
      <c r="N183" s="131" t="str">
        <f>IFERROR(IF(LEN(INDEX(Database!M$9:M$501,ROW(Calc!M183)-ROW(Calc!$B$7)))=0,"",INDEX(Database!M$9:M$501,ROW(Calc!M183)-ROW(Calc!$B$7))),"")</f>
        <v/>
      </c>
      <c r="O183" s="132" t="str">
        <f t="shared" si="27"/>
        <v/>
      </c>
      <c r="P183" s="125" t="str">
        <f t="shared" si="24"/>
        <v>Not Set</v>
      </c>
      <c r="Q183" s="125" t="str">
        <f t="shared" si="25"/>
        <v>Not Set</v>
      </c>
      <c r="R183" s="125" t="str">
        <f>IFERROR(IF(G183=$AD$3,$AD$3,INDEX(Kanban_Helper!$C$317:$C$328,MATCH(MONTH(G183),Kanban_Helper!$B$317:$B$328,0))&amp;" - "&amp;YEAR(G183)),"$AD$3")</f>
        <v>Not Set</v>
      </c>
      <c r="S183" s="125" t="str">
        <f>IFERROR(IF(I183=$AD$3,$AD$3,INDEX(Kanban_Helper!$C$317:$C$328,MATCH(MONTH(I183),Kanban_Helper!$B$317:$B$328,0))&amp;" - "&amp;YEAR(I183)),$AD$3)</f>
        <v>Not Set</v>
      </c>
      <c r="T183" s="125" t="str">
        <f t="shared" ca="1" si="28"/>
        <v/>
      </c>
      <c r="U183" s="125" t="str">
        <f t="shared" ca="1" si="29"/>
        <v/>
      </c>
      <c r="V183" s="125" t="str">
        <f t="shared" si="26"/>
        <v>Not Set</v>
      </c>
      <c r="W183" s="126" t="str">
        <f t="shared" si="30"/>
        <v/>
      </c>
      <c r="X183" s="126" t="str">
        <f t="shared" si="31"/>
        <v/>
      </c>
      <c r="Y183" s="125" t="str">
        <f>IFERROR(IF(LEN(D183)=0,"",IF(SUBTOTAL(3,E183:E183)=0,MIN($Y$7:Y182)-1,SUBTOTAL(3,$E$8:E183))),"")</f>
        <v/>
      </c>
      <c r="Z183" s="17"/>
      <c r="AA183" s="10"/>
      <c r="AB183" s="10"/>
      <c r="AC183" s="10"/>
      <c r="AD183" s="10"/>
      <c r="AE183" s="10"/>
      <c r="AF183" s="10"/>
      <c r="AG183" s="10"/>
      <c r="AH183" s="10"/>
      <c r="AI183" s="10"/>
      <c r="AJ183" s="10"/>
      <c r="AK183" s="10"/>
      <c r="AL183" s="10"/>
      <c r="AM183" s="10"/>
      <c r="AN183" s="10"/>
    </row>
    <row r="184" spans="2:40" hidden="1" x14ac:dyDescent="0.35">
      <c r="B184" s="15"/>
      <c r="C184" s="127" t="str">
        <f>IFERROR(IF(LEN(INDEX(Database!C$9:C$501,ROW(Calc!A184)-ROW(Calc!$B$7)))=0,"",INDEX(Database!C$9:C$501,ROW(Calc!A184)-ROW(Calc!$B$7))),"")</f>
        <v/>
      </c>
      <c r="D184" s="70" t="str">
        <f>IFERROR(IF(LEN(INDEX(Database!D$9:D$501,ROW(Calc!B184)-ROW(Calc!$B$7)))=0,"",INDEX(Database!D$9:D$501,ROW(Calc!B184)-ROW(Calc!$B$7))),"")</f>
        <v/>
      </c>
      <c r="E184" s="124" t="str">
        <f>IFERROR(IF(LEN(INDEX(Database!G$9:G$501,ROW(Calc!D184)-ROW(Calc!$B$7)))=0,$AD$3,INDEX(Database!G$9:G$501,ROW(Calc!D184)-ROW(Calc!$B$7))),"")</f>
        <v>Not Set</v>
      </c>
      <c r="F184" s="124" t="str">
        <f>IFERROR(IF(LEN(INDEX(Database!F$9:F$501,ROW(Calc!E184)-ROW(Calc!$B$7)))=0,$AD$3,INDEX(Database!F$9:F$501,ROW(Calc!E184)-ROW(Calc!$B$7))),"")</f>
        <v>Not Set</v>
      </c>
      <c r="G184" s="128" t="str">
        <f>IFERROR(IF(LEN(INDEX(Database!H$9:H$501,ROW(Calc!F184)-ROW(Calc!$B$7)))=0,$AD$3,INDEX(Database!H$9:H$501,ROW(Calc!F184)-ROW(Calc!$B$7))),"")</f>
        <v>Not Set</v>
      </c>
      <c r="H184" s="128" t="str">
        <f>IFERROR(IF(LEN(INDEX(Database!I$9:I$501,ROW(Calc!G184)-ROW(Calc!$B$7)))=0,$AD$3,INDEX(Database!I$9:I$501,ROW(Calc!G184)-ROW(Calc!$B$7))),"")</f>
        <v>Not Set</v>
      </c>
      <c r="I184" s="128" t="str">
        <f>IFERROR(IF(LEN(INDEX(Database!J$9:J$501,ROW(Calc!H184)-ROW(Calc!$B$7)))=0,$AD$3,INDEX(Database!J$9:J$501,ROW(Calc!H184)-ROW(Calc!$B$7))),"")</f>
        <v>Not Set</v>
      </c>
      <c r="J184" s="128" t="str">
        <f t="shared" si="23"/>
        <v>Not Set</v>
      </c>
      <c r="K184" s="124" t="str">
        <f>IFERROR(IF(LEN(INDEX(Database!E$9:E$501,ROW(Calc!I184)-ROW(Calc!$B$7)))=0,"",INDEX(Database!E$9:E$501,ROW(Calc!I184)-ROW(Calc!$B$7))),"")</f>
        <v/>
      </c>
      <c r="L184" s="129" t="str">
        <f>IFERROR(IF(LEN(INDEX(Database!K$9:K$501,ROW(Calc!K184)-ROW(Calc!$B$7)))=0,$AD$3,INDEX(Database!K$9:K$501,ROW(Calc!K184)-ROW(Calc!$B$7))),"")</f>
        <v>Not Set</v>
      </c>
      <c r="M184" s="130" t="str">
        <f>IFERROR(IF(LEN(INDEX(Database!L$9:L$501,ROW(Calc!L184)-ROW(Calc!$B$7)))=0,$AD$3,INDEX(Database!L$9:L$501,ROW(Calc!L184)-ROW(Calc!$B$7))),"")</f>
        <v>Not Set</v>
      </c>
      <c r="N184" s="131" t="str">
        <f>IFERROR(IF(LEN(INDEX(Database!M$9:M$501,ROW(Calc!M184)-ROW(Calc!$B$7)))=0,"",INDEX(Database!M$9:M$501,ROW(Calc!M184)-ROW(Calc!$B$7))),"")</f>
        <v/>
      </c>
      <c r="O184" s="132" t="str">
        <f t="shared" si="27"/>
        <v/>
      </c>
      <c r="P184" s="125" t="str">
        <f t="shared" si="24"/>
        <v>Not Set</v>
      </c>
      <c r="Q184" s="125" t="str">
        <f t="shared" si="25"/>
        <v>Not Set</v>
      </c>
      <c r="R184" s="125" t="str">
        <f>IFERROR(IF(G184=$AD$3,$AD$3,INDEX(Kanban_Helper!$C$317:$C$328,MATCH(MONTH(G184),Kanban_Helper!$B$317:$B$328,0))&amp;" - "&amp;YEAR(G184)),"$AD$3")</f>
        <v>Not Set</v>
      </c>
      <c r="S184" s="125" t="str">
        <f>IFERROR(IF(I184=$AD$3,$AD$3,INDEX(Kanban_Helper!$C$317:$C$328,MATCH(MONTH(I184),Kanban_Helper!$B$317:$B$328,0))&amp;" - "&amp;YEAR(I184)),$AD$3)</f>
        <v>Not Set</v>
      </c>
      <c r="T184" s="125" t="str">
        <f t="shared" ca="1" si="28"/>
        <v/>
      </c>
      <c r="U184" s="125" t="str">
        <f t="shared" ca="1" si="29"/>
        <v/>
      </c>
      <c r="V184" s="125" t="str">
        <f t="shared" si="26"/>
        <v>Not Set</v>
      </c>
      <c r="W184" s="126" t="str">
        <f t="shared" si="30"/>
        <v/>
      </c>
      <c r="X184" s="126" t="str">
        <f t="shared" si="31"/>
        <v/>
      </c>
      <c r="Y184" s="125" t="str">
        <f>IFERROR(IF(LEN(D184)=0,"",IF(SUBTOTAL(3,E184:E184)=0,MIN($Y$7:Y183)-1,SUBTOTAL(3,$E$8:E184))),"")</f>
        <v/>
      </c>
      <c r="Z184" s="17"/>
      <c r="AA184" s="10"/>
      <c r="AB184" s="10"/>
      <c r="AC184" s="10"/>
      <c r="AD184" s="10"/>
      <c r="AE184" s="10"/>
      <c r="AF184" s="10"/>
      <c r="AG184" s="10"/>
      <c r="AH184" s="10"/>
      <c r="AI184" s="10"/>
      <c r="AJ184" s="10"/>
      <c r="AK184" s="10"/>
      <c r="AL184" s="10"/>
      <c r="AM184" s="10"/>
      <c r="AN184" s="10"/>
    </row>
    <row r="185" spans="2:40" hidden="1" x14ac:dyDescent="0.35">
      <c r="B185" s="15"/>
      <c r="C185" s="127" t="str">
        <f>IFERROR(IF(LEN(INDEX(Database!C$9:C$501,ROW(Calc!A185)-ROW(Calc!$B$7)))=0,"",INDEX(Database!C$9:C$501,ROW(Calc!A185)-ROW(Calc!$B$7))),"")</f>
        <v/>
      </c>
      <c r="D185" s="70" t="str">
        <f>IFERROR(IF(LEN(INDEX(Database!D$9:D$501,ROW(Calc!B185)-ROW(Calc!$B$7)))=0,"",INDEX(Database!D$9:D$501,ROW(Calc!B185)-ROW(Calc!$B$7))),"")</f>
        <v/>
      </c>
      <c r="E185" s="124" t="str">
        <f>IFERROR(IF(LEN(INDEX(Database!G$9:G$501,ROW(Calc!D185)-ROW(Calc!$B$7)))=0,$AD$3,INDEX(Database!G$9:G$501,ROW(Calc!D185)-ROW(Calc!$B$7))),"")</f>
        <v>Not Set</v>
      </c>
      <c r="F185" s="124" t="str">
        <f>IFERROR(IF(LEN(INDEX(Database!F$9:F$501,ROW(Calc!E185)-ROW(Calc!$B$7)))=0,$AD$3,INDEX(Database!F$9:F$501,ROW(Calc!E185)-ROW(Calc!$B$7))),"")</f>
        <v>Not Set</v>
      </c>
      <c r="G185" s="128" t="str">
        <f>IFERROR(IF(LEN(INDEX(Database!H$9:H$501,ROW(Calc!F185)-ROW(Calc!$B$7)))=0,$AD$3,INDEX(Database!H$9:H$501,ROW(Calc!F185)-ROW(Calc!$B$7))),"")</f>
        <v>Not Set</v>
      </c>
      <c r="H185" s="128" t="str">
        <f>IFERROR(IF(LEN(INDEX(Database!I$9:I$501,ROW(Calc!G185)-ROW(Calc!$B$7)))=0,$AD$3,INDEX(Database!I$9:I$501,ROW(Calc!G185)-ROW(Calc!$B$7))),"")</f>
        <v>Not Set</v>
      </c>
      <c r="I185" s="128" t="str">
        <f>IFERROR(IF(LEN(INDEX(Database!J$9:J$501,ROW(Calc!H185)-ROW(Calc!$B$7)))=0,$AD$3,INDEX(Database!J$9:J$501,ROW(Calc!H185)-ROW(Calc!$B$7))),"")</f>
        <v>Not Set</v>
      </c>
      <c r="J185" s="128" t="str">
        <f t="shared" si="23"/>
        <v>Not Set</v>
      </c>
      <c r="K185" s="124" t="str">
        <f>IFERROR(IF(LEN(INDEX(Database!E$9:E$501,ROW(Calc!I185)-ROW(Calc!$B$7)))=0,"",INDEX(Database!E$9:E$501,ROW(Calc!I185)-ROW(Calc!$B$7))),"")</f>
        <v/>
      </c>
      <c r="L185" s="129" t="str">
        <f>IFERROR(IF(LEN(INDEX(Database!K$9:K$501,ROW(Calc!K185)-ROW(Calc!$B$7)))=0,$AD$3,INDEX(Database!K$9:K$501,ROW(Calc!K185)-ROW(Calc!$B$7))),"")</f>
        <v>Not Set</v>
      </c>
      <c r="M185" s="130" t="str">
        <f>IFERROR(IF(LEN(INDEX(Database!L$9:L$501,ROW(Calc!L185)-ROW(Calc!$B$7)))=0,$AD$3,INDEX(Database!L$9:L$501,ROW(Calc!L185)-ROW(Calc!$B$7))),"")</f>
        <v>Not Set</v>
      </c>
      <c r="N185" s="131" t="str">
        <f>IFERROR(IF(LEN(INDEX(Database!M$9:M$501,ROW(Calc!M185)-ROW(Calc!$B$7)))=0,"",INDEX(Database!M$9:M$501,ROW(Calc!M185)-ROW(Calc!$B$7))),"")</f>
        <v/>
      </c>
      <c r="O185" s="132" t="str">
        <f t="shared" si="27"/>
        <v/>
      </c>
      <c r="P185" s="125" t="str">
        <f t="shared" si="24"/>
        <v>Not Set</v>
      </c>
      <c r="Q185" s="125" t="str">
        <f t="shared" si="25"/>
        <v>Not Set</v>
      </c>
      <c r="R185" s="125" t="str">
        <f>IFERROR(IF(G185=$AD$3,$AD$3,INDEX(Kanban_Helper!$C$317:$C$328,MATCH(MONTH(G185),Kanban_Helper!$B$317:$B$328,0))&amp;" - "&amp;YEAR(G185)),"$AD$3")</f>
        <v>Not Set</v>
      </c>
      <c r="S185" s="125" t="str">
        <f>IFERROR(IF(I185=$AD$3,$AD$3,INDEX(Kanban_Helper!$C$317:$C$328,MATCH(MONTH(I185),Kanban_Helper!$B$317:$B$328,0))&amp;" - "&amp;YEAR(I185)),$AD$3)</f>
        <v>Not Set</v>
      </c>
      <c r="T185" s="125" t="str">
        <f t="shared" ca="1" si="28"/>
        <v/>
      </c>
      <c r="U185" s="125" t="str">
        <f t="shared" ca="1" si="29"/>
        <v/>
      </c>
      <c r="V185" s="125" t="str">
        <f t="shared" si="26"/>
        <v>Not Set</v>
      </c>
      <c r="W185" s="126" t="str">
        <f t="shared" si="30"/>
        <v/>
      </c>
      <c r="X185" s="126" t="str">
        <f t="shared" si="31"/>
        <v/>
      </c>
      <c r="Y185" s="125" t="str">
        <f>IFERROR(IF(LEN(D185)=0,"",IF(SUBTOTAL(3,E185:E185)=0,MIN($Y$7:Y184)-1,SUBTOTAL(3,$E$8:E185))),"")</f>
        <v/>
      </c>
      <c r="Z185" s="17"/>
      <c r="AA185" s="10"/>
      <c r="AB185" s="10"/>
      <c r="AC185" s="10"/>
      <c r="AD185" s="10"/>
      <c r="AE185" s="10"/>
      <c r="AF185" s="10"/>
      <c r="AG185" s="10"/>
      <c r="AH185" s="10"/>
      <c r="AI185" s="10"/>
      <c r="AJ185" s="10"/>
      <c r="AK185" s="10"/>
      <c r="AL185" s="10"/>
      <c r="AM185" s="10"/>
      <c r="AN185" s="10"/>
    </row>
    <row r="186" spans="2:40" hidden="1" x14ac:dyDescent="0.35">
      <c r="B186" s="15"/>
      <c r="C186" s="127" t="str">
        <f>IFERROR(IF(LEN(INDEX(Database!C$9:C$501,ROW(Calc!A186)-ROW(Calc!$B$7)))=0,"",INDEX(Database!C$9:C$501,ROW(Calc!A186)-ROW(Calc!$B$7))),"")</f>
        <v/>
      </c>
      <c r="D186" s="70" t="str">
        <f>IFERROR(IF(LEN(INDEX(Database!D$9:D$501,ROW(Calc!B186)-ROW(Calc!$B$7)))=0,"",INDEX(Database!D$9:D$501,ROW(Calc!B186)-ROW(Calc!$B$7))),"")</f>
        <v/>
      </c>
      <c r="E186" s="124" t="str">
        <f>IFERROR(IF(LEN(INDEX(Database!G$9:G$501,ROW(Calc!D186)-ROW(Calc!$B$7)))=0,$AD$3,INDEX(Database!G$9:G$501,ROW(Calc!D186)-ROW(Calc!$B$7))),"")</f>
        <v>Not Set</v>
      </c>
      <c r="F186" s="124" t="str">
        <f>IFERROR(IF(LEN(INDEX(Database!F$9:F$501,ROW(Calc!E186)-ROW(Calc!$B$7)))=0,$AD$3,INDEX(Database!F$9:F$501,ROW(Calc!E186)-ROW(Calc!$B$7))),"")</f>
        <v>Not Set</v>
      </c>
      <c r="G186" s="128" t="str">
        <f>IFERROR(IF(LEN(INDEX(Database!H$9:H$501,ROW(Calc!F186)-ROW(Calc!$B$7)))=0,$AD$3,INDEX(Database!H$9:H$501,ROW(Calc!F186)-ROW(Calc!$B$7))),"")</f>
        <v>Not Set</v>
      </c>
      <c r="H186" s="128" t="str">
        <f>IFERROR(IF(LEN(INDEX(Database!I$9:I$501,ROW(Calc!G186)-ROW(Calc!$B$7)))=0,$AD$3,INDEX(Database!I$9:I$501,ROW(Calc!G186)-ROW(Calc!$B$7))),"")</f>
        <v>Not Set</v>
      </c>
      <c r="I186" s="128" t="str">
        <f>IFERROR(IF(LEN(INDEX(Database!J$9:J$501,ROW(Calc!H186)-ROW(Calc!$B$7)))=0,$AD$3,INDEX(Database!J$9:J$501,ROW(Calc!H186)-ROW(Calc!$B$7))),"")</f>
        <v>Not Set</v>
      </c>
      <c r="J186" s="128" t="str">
        <f t="shared" si="23"/>
        <v>Not Set</v>
      </c>
      <c r="K186" s="124" t="str">
        <f>IFERROR(IF(LEN(INDEX(Database!E$9:E$501,ROW(Calc!I186)-ROW(Calc!$B$7)))=0,"",INDEX(Database!E$9:E$501,ROW(Calc!I186)-ROW(Calc!$B$7))),"")</f>
        <v/>
      </c>
      <c r="L186" s="129" t="str">
        <f>IFERROR(IF(LEN(INDEX(Database!K$9:K$501,ROW(Calc!K186)-ROW(Calc!$B$7)))=0,$AD$3,INDEX(Database!K$9:K$501,ROW(Calc!K186)-ROW(Calc!$B$7))),"")</f>
        <v>Not Set</v>
      </c>
      <c r="M186" s="130" t="str">
        <f>IFERROR(IF(LEN(INDEX(Database!L$9:L$501,ROW(Calc!L186)-ROW(Calc!$B$7)))=0,$AD$3,INDEX(Database!L$9:L$501,ROW(Calc!L186)-ROW(Calc!$B$7))),"")</f>
        <v>Not Set</v>
      </c>
      <c r="N186" s="131" t="str">
        <f>IFERROR(IF(LEN(INDEX(Database!M$9:M$501,ROW(Calc!M186)-ROW(Calc!$B$7)))=0,"",INDEX(Database!M$9:M$501,ROW(Calc!M186)-ROW(Calc!$B$7))),"")</f>
        <v/>
      </c>
      <c r="O186" s="132" t="str">
        <f t="shared" si="27"/>
        <v/>
      </c>
      <c r="P186" s="125" t="str">
        <f t="shared" si="24"/>
        <v>Not Set</v>
      </c>
      <c r="Q186" s="125" t="str">
        <f t="shared" si="25"/>
        <v>Not Set</v>
      </c>
      <c r="R186" s="125" t="str">
        <f>IFERROR(IF(G186=$AD$3,$AD$3,INDEX(Kanban_Helper!$C$317:$C$328,MATCH(MONTH(G186),Kanban_Helper!$B$317:$B$328,0))&amp;" - "&amp;YEAR(G186)),"$AD$3")</f>
        <v>Not Set</v>
      </c>
      <c r="S186" s="125" t="str">
        <f>IFERROR(IF(I186=$AD$3,$AD$3,INDEX(Kanban_Helper!$C$317:$C$328,MATCH(MONTH(I186),Kanban_Helper!$B$317:$B$328,0))&amp;" - "&amp;YEAR(I186)),$AD$3)</f>
        <v>Not Set</v>
      </c>
      <c r="T186" s="125" t="str">
        <f t="shared" ca="1" si="28"/>
        <v/>
      </c>
      <c r="U186" s="125" t="str">
        <f t="shared" ca="1" si="29"/>
        <v/>
      </c>
      <c r="V186" s="125" t="str">
        <f t="shared" si="26"/>
        <v>Not Set</v>
      </c>
      <c r="W186" s="126" t="str">
        <f t="shared" si="30"/>
        <v/>
      </c>
      <c r="X186" s="126" t="str">
        <f t="shared" si="31"/>
        <v/>
      </c>
      <c r="Y186" s="125" t="str">
        <f>IFERROR(IF(LEN(D186)=0,"",IF(SUBTOTAL(3,E186:E186)=0,MIN($Y$7:Y185)-1,SUBTOTAL(3,$E$8:E186))),"")</f>
        <v/>
      </c>
      <c r="Z186" s="17"/>
      <c r="AA186" s="10"/>
      <c r="AB186" s="10"/>
      <c r="AC186" s="10"/>
      <c r="AD186" s="10"/>
      <c r="AE186" s="10"/>
      <c r="AF186" s="10"/>
      <c r="AG186" s="10"/>
      <c r="AH186" s="10"/>
      <c r="AI186" s="10"/>
      <c r="AJ186" s="10"/>
      <c r="AK186" s="10"/>
      <c r="AL186" s="10"/>
      <c r="AM186" s="10"/>
      <c r="AN186" s="10"/>
    </row>
    <row r="187" spans="2:40" hidden="1" x14ac:dyDescent="0.35">
      <c r="B187" s="15"/>
      <c r="C187" s="127" t="str">
        <f>IFERROR(IF(LEN(INDEX(Database!C$9:C$501,ROW(Calc!A187)-ROW(Calc!$B$7)))=0,"",INDEX(Database!C$9:C$501,ROW(Calc!A187)-ROW(Calc!$B$7))),"")</f>
        <v/>
      </c>
      <c r="D187" s="70" t="str">
        <f>IFERROR(IF(LEN(INDEX(Database!D$9:D$501,ROW(Calc!B187)-ROW(Calc!$B$7)))=0,"",INDEX(Database!D$9:D$501,ROW(Calc!B187)-ROW(Calc!$B$7))),"")</f>
        <v/>
      </c>
      <c r="E187" s="124" t="str">
        <f>IFERROR(IF(LEN(INDEX(Database!G$9:G$501,ROW(Calc!D187)-ROW(Calc!$B$7)))=0,$AD$3,INDEX(Database!G$9:G$501,ROW(Calc!D187)-ROW(Calc!$B$7))),"")</f>
        <v>Not Set</v>
      </c>
      <c r="F187" s="124" t="str">
        <f>IFERROR(IF(LEN(INDEX(Database!F$9:F$501,ROW(Calc!E187)-ROW(Calc!$B$7)))=0,$AD$3,INDEX(Database!F$9:F$501,ROW(Calc!E187)-ROW(Calc!$B$7))),"")</f>
        <v>Not Set</v>
      </c>
      <c r="G187" s="128" t="str">
        <f>IFERROR(IF(LEN(INDEX(Database!H$9:H$501,ROW(Calc!F187)-ROW(Calc!$B$7)))=0,$AD$3,INDEX(Database!H$9:H$501,ROW(Calc!F187)-ROW(Calc!$B$7))),"")</f>
        <v>Not Set</v>
      </c>
      <c r="H187" s="128" t="str">
        <f>IFERROR(IF(LEN(INDEX(Database!I$9:I$501,ROW(Calc!G187)-ROW(Calc!$B$7)))=0,$AD$3,INDEX(Database!I$9:I$501,ROW(Calc!G187)-ROW(Calc!$B$7))),"")</f>
        <v>Not Set</v>
      </c>
      <c r="I187" s="128" t="str">
        <f>IFERROR(IF(LEN(INDEX(Database!J$9:J$501,ROW(Calc!H187)-ROW(Calc!$B$7)))=0,$AD$3,INDEX(Database!J$9:J$501,ROW(Calc!H187)-ROW(Calc!$B$7))),"")</f>
        <v>Not Set</v>
      </c>
      <c r="J187" s="128" t="str">
        <f t="shared" si="23"/>
        <v>Not Set</v>
      </c>
      <c r="K187" s="124" t="str">
        <f>IFERROR(IF(LEN(INDEX(Database!E$9:E$501,ROW(Calc!I187)-ROW(Calc!$B$7)))=0,"",INDEX(Database!E$9:E$501,ROW(Calc!I187)-ROW(Calc!$B$7))),"")</f>
        <v/>
      </c>
      <c r="L187" s="129" t="str">
        <f>IFERROR(IF(LEN(INDEX(Database!K$9:K$501,ROW(Calc!K187)-ROW(Calc!$B$7)))=0,$AD$3,INDEX(Database!K$9:K$501,ROW(Calc!K187)-ROW(Calc!$B$7))),"")</f>
        <v>Not Set</v>
      </c>
      <c r="M187" s="130" t="str">
        <f>IFERROR(IF(LEN(INDEX(Database!L$9:L$501,ROW(Calc!L187)-ROW(Calc!$B$7)))=0,$AD$3,INDEX(Database!L$9:L$501,ROW(Calc!L187)-ROW(Calc!$B$7))),"")</f>
        <v>Not Set</v>
      </c>
      <c r="N187" s="131" t="str">
        <f>IFERROR(IF(LEN(INDEX(Database!M$9:M$501,ROW(Calc!M187)-ROW(Calc!$B$7)))=0,"",INDEX(Database!M$9:M$501,ROW(Calc!M187)-ROW(Calc!$B$7))),"")</f>
        <v/>
      </c>
      <c r="O187" s="132" t="str">
        <f t="shared" si="27"/>
        <v/>
      </c>
      <c r="P187" s="125" t="str">
        <f t="shared" si="24"/>
        <v>Not Set</v>
      </c>
      <c r="Q187" s="125" t="str">
        <f t="shared" si="25"/>
        <v>Not Set</v>
      </c>
      <c r="R187" s="125" t="str">
        <f>IFERROR(IF(G187=$AD$3,$AD$3,INDEX(Kanban_Helper!$C$317:$C$328,MATCH(MONTH(G187),Kanban_Helper!$B$317:$B$328,0))&amp;" - "&amp;YEAR(G187)),"$AD$3")</f>
        <v>Not Set</v>
      </c>
      <c r="S187" s="125" t="str">
        <f>IFERROR(IF(I187=$AD$3,$AD$3,INDEX(Kanban_Helper!$C$317:$C$328,MATCH(MONTH(I187),Kanban_Helper!$B$317:$B$328,0))&amp;" - "&amp;YEAR(I187)),$AD$3)</f>
        <v>Not Set</v>
      </c>
      <c r="T187" s="125" t="str">
        <f t="shared" ca="1" si="28"/>
        <v/>
      </c>
      <c r="U187" s="125" t="str">
        <f t="shared" ca="1" si="29"/>
        <v/>
      </c>
      <c r="V187" s="125" t="str">
        <f t="shared" si="26"/>
        <v>Not Set</v>
      </c>
      <c r="W187" s="126" t="str">
        <f t="shared" si="30"/>
        <v/>
      </c>
      <c r="X187" s="126" t="str">
        <f t="shared" si="31"/>
        <v/>
      </c>
      <c r="Y187" s="125" t="str">
        <f>IFERROR(IF(LEN(D187)=0,"",IF(SUBTOTAL(3,E187:E187)=0,MIN($Y$7:Y186)-1,SUBTOTAL(3,$E$8:E187))),"")</f>
        <v/>
      </c>
      <c r="Z187" s="17"/>
      <c r="AA187" s="10"/>
      <c r="AB187" s="10"/>
      <c r="AC187" s="10"/>
      <c r="AD187" s="10"/>
      <c r="AE187" s="10"/>
      <c r="AF187" s="10"/>
      <c r="AG187" s="10"/>
      <c r="AH187" s="10"/>
      <c r="AI187" s="10"/>
      <c r="AJ187" s="10"/>
      <c r="AK187" s="10"/>
      <c r="AL187" s="10"/>
      <c r="AM187" s="10"/>
      <c r="AN187" s="10"/>
    </row>
    <row r="188" spans="2:40" hidden="1" x14ac:dyDescent="0.35">
      <c r="B188" s="15"/>
      <c r="C188" s="127" t="str">
        <f>IFERROR(IF(LEN(INDEX(Database!C$9:C$501,ROW(Calc!A188)-ROW(Calc!$B$7)))=0,"",INDEX(Database!C$9:C$501,ROW(Calc!A188)-ROW(Calc!$B$7))),"")</f>
        <v/>
      </c>
      <c r="D188" s="70" t="str">
        <f>IFERROR(IF(LEN(INDEX(Database!D$9:D$501,ROW(Calc!B188)-ROW(Calc!$B$7)))=0,"",INDEX(Database!D$9:D$501,ROW(Calc!B188)-ROW(Calc!$B$7))),"")</f>
        <v/>
      </c>
      <c r="E188" s="124" t="str">
        <f>IFERROR(IF(LEN(INDEX(Database!G$9:G$501,ROW(Calc!D188)-ROW(Calc!$B$7)))=0,$AD$3,INDEX(Database!G$9:G$501,ROW(Calc!D188)-ROW(Calc!$B$7))),"")</f>
        <v>Not Set</v>
      </c>
      <c r="F188" s="124" t="str">
        <f>IFERROR(IF(LEN(INDEX(Database!F$9:F$501,ROW(Calc!E188)-ROW(Calc!$B$7)))=0,$AD$3,INDEX(Database!F$9:F$501,ROW(Calc!E188)-ROW(Calc!$B$7))),"")</f>
        <v>Not Set</v>
      </c>
      <c r="G188" s="128" t="str">
        <f>IFERROR(IF(LEN(INDEX(Database!H$9:H$501,ROW(Calc!F188)-ROW(Calc!$B$7)))=0,$AD$3,INDEX(Database!H$9:H$501,ROW(Calc!F188)-ROW(Calc!$B$7))),"")</f>
        <v>Not Set</v>
      </c>
      <c r="H188" s="128" t="str">
        <f>IFERROR(IF(LEN(INDEX(Database!I$9:I$501,ROW(Calc!G188)-ROW(Calc!$B$7)))=0,$AD$3,INDEX(Database!I$9:I$501,ROW(Calc!G188)-ROW(Calc!$B$7))),"")</f>
        <v>Not Set</v>
      </c>
      <c r="I188" s="128" t="str">
        <f>IFERROR(IF(LEN(INDEX(Database!J$9:J$501,ROW(Calc!H188)-ROW(Calc!$B$7)))=0,$AD$3,INDEX(Database!J$9:J$501,ROW(Calc!H188)-ROW(Calc!$B$7))),"")</f>
        <v>Not Set</v>
      </c>
      <c r="J188" s="128" t="str">
        <f t="shared" si="23"/>
        <v>Not Set</v>
      </c>
      <c r="K188" s="124" t="str">
        <f>IFERROR(IF(LEN(INDEX(Database!E$9:E$501,ROW(Calc!I188)-ROW(Calc!$B$7)))=0,"",INDEX(Database!E$9:E$501,ROW(Calc!I188)-ROW(Calc!$B$7))),"")</f>
        <v/>
      </c>
      <c r="L188" s="129" t="str">
        <f>IFERROR(IF(LEN(INDEX(Database!K$9:K$501,ROW(Calc!K188)-ROW(Calc!$B$7)))=0,$AD$3,INDEX(Database!K$9:K$501,ROW(Calc!K188)-ROW(Calc!$B$7))),"")</f>
        <v>Not Set</v>
      </c>
      <c r="M188" s="130" t="str">
        <f>IFERROR(IF(LEN(INDEX(Database!L$9:L$501,ROW(Calc!L188)-ROW(Calc!$B$7)))=0,$AD$3,INDEX(Database!L$9:L$501,ROW(Calc!L188)-ROW(Calc!$B$7))),"")</f>
        <v>Not Set</v>
      </c>
      <c r="N188" s="131" t="str">
        <f>IFERROR(IF(LEN(INDEX(Database!M$9:M$501,ROW(Calc!M188)-ROW(Calc!$B$7)))=0,"",INDEX(Database!M$9:M$501,ROW(Calc!M188)-ROW(Calc!$B$7))),"")</f>
        <v/>
      </c>
      <c r="O188" s="132" t="str">
        <f t="shared" si="27"/>
        <v/>
      </c>
      <c r="P188" s="125" t="str">
        <f t="shared" si="24"/>
        <v>Not Set</v>
      </c>
      <c r="Q188" s="125" t="str">
        <f t="shared" si="25"/>
        <v>Not Set</v>
      </c>
      <c r="R188" s="125" t="str">
        <f>IFERROR(IF(G188=$AD$3,$AD$3,INDEX(Kanban_Helper!$C$317:$C$328,MATCH(MONTH(G188),Kanban_Helper!$B$317:$B$328,0))&amp;" - "&amp;YEAR(G188)),"$AD$3")</f>
        <v>Not Set</v>
      </c>
      <c r="S188" s="125" t="str">
        <f>IFERROR(IF(I188=$AD$3,$AD$3,INDEX(Kanban_Helper!$C$317:$C$328,MATCH(MONTH(I188),Kanban_Helper!$B$317:$B$328,0))&amp;" - "&amp;YEAR(I188)),$AD$3)</f>
        <v>Not Set</v>
      </c>
      <c r="T188" s="125" t="str">
        <f t="shared" ca="1" si="28"/>
        <v/>
      </c>
      <c r="U188" s="125" t="str">
        <f t="shared" ca="1" si="29"/>
        <v/>
      </c>
      <c r="V188" s="125" t="str">
        <f t="shared" si="26"/>
        <v>Not Set</v>
      </c>
      <c r="W188" s="126" t="str">
        <f t="shared" si="30"/>
        <v/>
      </c>
      <c r="X188" s="126" t="str">
        <f t="shared" si="31"/>
        <v/>
      </c>
      <c r="Y188" s="125" t="str">
        <f>IFERROR(IF(LEN(D188)=0,"",IF(SUBTOTAL(3,E188:E188)=0,MIN($Y$7:Y187)-1,SUBTOTAL(3,$E$8:E188))),"")</f>
        <v/>
      </c>
      <c r="Z188" s="17"/>
      <c r="AA188" s="10"/>
      <c r="AB188" s="10"/>
      <c r="AC188" s="10"/>
      <c r="AD188" s="10"/>
      <c r="AE188" s="10"/>
      <c r="AF188" s="10"/>
      <c r="AG188" s="10"/>
      <c r="AH188" s="10"/>
      <c r="AI188" s="10"/>
      <c r="AJ188" s="10"/>
      <c r="AK188" s="10"/>
      <c r="AL188" s="10"/>
      <c r="AM188" s="10"/>
      <c r="AN188" s="10"/>
    </row>
    <row r="189" spans="2:40" hidden="1" x14ac:dyDescent="0.35">
      <c r="B189" s="15"/>
      <c r="C189" s="127" t="str">
        <f>IFERROR(IF(LEN(INDEX(Database!C$9:C$501,ROW(Calc!A189)-ROW(Calc!$B$7)))=0,"",INDEX(Database!C$9:C$501,ROW(Calc!A189)-ROW(Calc!$B$7))),"")</f>
        <v/>
      </c>
      <c r="D189" s="70" t="str">
        <f>IFERROR(IF(LEN(INDEX(Database!D$9:D$501,ROW(Calc!B189)-ROW(Calc!$B$7)))=0,"",INDEX(Database!D$9:D$501,ROW(Calc!B189)-ROW(Calc!$B$7))),"")</f>
        <v/>
      </c>
      <c r="E189" s="124" t="str">
        <f>IFERROR(IF(LEN(INDEX(Database!G$9:G$501,ROW(Calc!D189)-ROW(Calc!$B$7)))=0,$AD$3,INDEX(Database!G$9:G$501,ROW(Calc!D189)-ROW(Calc!$B$7))),"")</f>
        <v>Not Set</v>
      </c>
      <c r="F189" s="124" t="str">
        <f>IFERROR(IF(LEN(INDEX(Database!F$9:F$501,ROW(Calc!E189)-ROW(Calc!$B$7)))=0,$AD$3,INDEX(Database!F$9:F$501,ROW(Calc!E189)-ROW(Calc!$B$7))),"")</f>
        <v>Not Set</v>
      </c>
      <c r="G189" s="128" t="str">
        <f>IFERROR(IF(LEN(INDEX(Database!H$9:H$501,ROW(Calc!F189)-ROW(Calc!$B$7)))=0,$AD$3,INDEX(Database!H$9:H$501,ROW(Calc!F189)-ROW(Calc!$B$7))),"")</f>
        <v>Not Set</v>
      </c>
      <c r="H189" s="128" t="str">
        <f>IFERROR(IF(LEN(INDEX(Database!I$9:I$501,ROW(Calc!G189)-ROW(Calc!$B$7)))=0,$AD$3,INDEX(Database!I$9:I$501,ROW(Calc!G189)-ROW(Calc!$B$7))),"")</f>
        <v>Not Set</v>
      </c>
      <c r="I189" s="128" t="str">
        <f>IFERROR(IF(LEN(INDEX(Database!J$9:J$501,ROW(Calc!H189)-ROW(Calc!$B$7)))=0,$AD$3,INDEX(Database!J$9:J$501,ROW(Calc!H189)-ROW(Calc!$B$7))),"")</f>
        <v>Not Set</v>
      </c>
      <c r="J189" s="128" t="str">
        <f t="shared" si="23"/>
        <v>Not Set</v>
      </c>
      <c r="K189" s="124" t="str">
        <f>IFERROR(IF(LEN(INDEX(Database!E$9:E$501,ROW(Calc!I189)-ROW(Calc!$B$7)))=0,"",INDEX(Database!E$9:E$501,ROW(Calc!I189)-ROW(Calc!$B$7))),"")</f>
        <v/>
      </c>
      <c r="L189" s="129" t="str">
        <f>IFERROR(IF(LEN(INDEX(Database!K$9:K$501,ROW(Calc!K189)-ROW(Calc!$B$7)))=0,$AD$3,INDEX(Database!K$9:K$501,ROW(Calc!K189)-ROW(Calc!$B$7))),"")</f>
        <v>Not Set</v>
      </c>
      <c r="M189" s="130" t="str">
        <f>IFERROR(IF(LEN(INDEX(Database!L$9:L$501,ROW(Calc!L189)-ROW(Calc!$B$7)))=0,$AD$3,INDEX(Database!L$9:L$501,ROW(Calc!L189)-ROW(Calc!$B$7))),"")</f>
        <v>Not Set</v>
      </c>
      <c r="N189" s="131" t="str">
        <f>IFERROR(IF(LEN(INDEX(Database!M$9:M$501,ROW(Calc!M189)-ROW(Calc!$B$7)))=0,"",INDEX(Database!M$9:M$501,ROW(Calc!M189)-ROW(Calc!$B$7))),"")</f>
        <v/>
      </c>
      <c r="O189" s="132" t="str">
        <f t="shared" si="27"/>
        <v/>
      </c>
      <c r="P189" s="125" t="str">
        <f t="shared" si="24"/>
        <v>Not Set</v>
      </c>
      <c r="Q189" s="125" t="str">
        <f t="shared" si="25"/>
        <v>Not Set</v>
      </c>
      <c r="R189" s="125" t="str">
        <f>IFERROR(IF(G189=$AD$3,$AD$3,INDEX(Kanban_Helper!$C$317:$C$328,MATCH(MONTH(G189),Kanban_Helper!$B$317:$B$328,0))&amp;" - "&amp;YEAR(G189)),"$AD$3")</f>
        <v>Not Set</v>
      </c>
      <c r="S189" s="125" t="str">
        <f>IFERROR(IF(I189=$AD$3,$AD$3,INDEX(Kanban_Helper!$C$317:$C$328,MATCH(MONTH(I189),Kanban_Helper!$B$317:$B$328,0))&amp;" - "&amp;YEAR(I189)),$AD$3)</f>
        <v>Not Set</v>
      </c>
      <c r="T189" s="125" t="str">
        <f t="shared" ca="1" si="28"/>
        <v/>
      </c>
      <c r="U189" s="125" t="str">
        <f t="shared" ca="1" si="29"/>
        <v/>
      </c>
      <c r="V189" s="125" t="str">
        <f t="shared" si="26"/>
        <v>Not Set</v>
      </c>
      <c r="W189" s="126" t="str">
        <f t="shared" si="30"/>
        <v/>
      </c>
      <c r="X189" s="126" t="str">
        <f t="shared" si="31"/>
        <v/>
      </c>
      <c r="Y189" s="125" t="str">
        <f>IFERROR(IF(LEN(D189)=0,"",IF(SUBTOTAL(3,E189:E189)=0,MIN($Y$7:Y188)-1,SUBTOTAL(3,$E$8:E189))),"")</f>
        <v/>
      </c>
      <c r="Z189" s="17"/>
      <c r="AA189" s="10"/>
      <c r="AB189" s="10"/>
      <c r="AC189" s="10"/>
      <c r="AD189" s="10"/>
      <c r="AE189" s="10"/>
      <c r="AF189" s="10"/>
      <c r="AG189" s="10"/>
      <c r="AH189" s="10"/>
      <c r="AI189" s="10"/>
      <c r="AJ189" s="10"/>
      <c r="AK189" s="10"/>
      <c r="AL189" s="10"/>
      <c r="AM189" s="10"/>
      <c r="AN189" s="10"/>
    </row>
    <row r="190" spans="2:40" hidden="1" x14ac:dyDescent="0.35">
      <c r="B190" s="15"/>
      <c r="C190" s="127" t="str">
        <f>IFERROR(IF(LEN(INDEX(Database!C$9:C$501,ROW(Calc!A190)-ROW(Calc!$B$7)))=0,"",INDEX(Database!C$9:C$501,ROW(Calc!A190)-ROW(Calc!$B$7))),"")</f>
        <v/>
      </c>
      <c r="D190" s="70" t="str">
        <f>IFERROR(IF(LEN(INDEX(Database!D$9:D$501,ROW(Calc!B190)-ROW(Calc!$B$7)))=0,"",INDEX(Database!D$9:D$501,ROW(Calc!B190)-ROW(Calc!$B$7))),"")</f>
        <v/>
      </c>
      <c r="E190" s="124" t="str">
        <f>IFERROR(IF(LEN(INDEX(Database!G$9:G$501,ROW(Calc!D190)-ROW(Calc!$B$7)))=0,$AD$3,INDEX(Database!G$9:G$501,ROW(Calc!D190)-ROW(Calc!$B$7))),"")</f>
        <v>Not Set</v>
      </c>
      <c r="F190" s="124" t="str">
        <f>IFERROR(IF(LEN(INDEX(Database!F$9:F$501,ROW(Calc!E190)-ROW(Calc!$B$7)))=0,$AD$3,INDEX(Database!F$9:F$501,ROW(Calc!E190)-ROW(Calc!$B$7))),"")</f>
        <v>Not Set</v>
      </c>
      <c r="G190" s="128" t="str">
        <f>IFERROR(IF(LEN(INDEX(Database!H$9:H$501,ROW(Calc!F190)-ROW(Calc!$B$7)))=0,$AD$3,INDEX(Database!H$9:H$501,ROW(Calc!F190)-ROW(Calc!$B$7))),"")</f>
        <v>Not Set</v>
      </c>
      <c r="H190" s="128" t="str">
        <f>IFERROR(IF(LEN(INDEX(Database!I$9:I$501,ROW(Calc!G190)-ROW(Calc!$B$7)))=0,$AD$3,INDEX(Database!I$9:I$501,ROW(Calc!G190)-ROW(Calc!$B$7))),"")</f>
        <v>Not Set</v>
      </c>
      <c r="I190" s="128" t="str">
        <f>IFERROR(IF(LEN(INDEX(Database!J$9:J$501,ROW(Calc!H190)-ROW(Calc!$B$7)))=0,$AD$3,INDEX(Database!J$9:J$501,ROW(Calc!H190)-ROW(Calc!$B$7))),"")</f>
        <v>Not Set</v>
      </c>
      <c r="J190" s="128" t="str">
        <f t="shared" si="23"/>
        <v>Not Set</v>
      </c>
      <c r="K190" s="124" t="str">
        <f>IFERROR(IF(LEN(INDEX(Database!E$9:E$501,ROW(Calc!I190)-ROW(Calc!$B$7)))=0,"",INDEX(Database!E$9:E$501,ROW(Calc!I190)-ROW(Calc!$B$7))),"")</f>
        <v/>
      </c>
      <c r="L190" s="129" t="str">
        <f>IFERROR(IF(LEN(INDEX(Database!K$9:K$501,ROW(Calc!K190)-ROW(Calc!$B$7)))=0,$AD$3,INDEX(Database!K$9:K$501,ROW(Calc!K190)-ROW(Calc!$B$7))),"")</f>
        <v>Not Set</v>
      </c>
      <c r="M190" s="130" t="str">
        <f>IFERROR(IF(LEN(INDEX(Database!L$9:L$501,ROW(Calc!L190)-ROW(Calc!$B$7)))=0,$AD$3,INDEX(Database!L$9:L$501,ROW(Calc!L190)-ROW(Calc!$B$7))),"")</f>
        <v>Not Set</v>
      </c>
      <c r="N190" s="131" t="str">
        <f>IFERROR(IF(LEN(INDEX(Database!M$9:M$501,ROW(Calc!M190)-ROW(Calc!$B$7)))=0,"",INDEX(Database!M$9:M$501,ROW(Calc!M190)-ROW(Calc!$B$7))),"")</f>
        <v/>
      </c>
      <c r="O190" s="132" t="str">
        <f t="shared" si="27"/>
        <v/>
      </c>
      <c r="P190" s="125" t="str">
        <f t="shared" si="24"/>
        <v>Not Set</v>
      </c>
      <c r="Q190" s="125" t="str">
        <f t="shared" si="25"/>
        <v>Not Set</v>
      </c>
      <c r="R190" s="125" t="str">
        <f>IFERROR(IF(G190=$AD$3,$AD$3,INDEX(Kanban_Helper!$C$317:$C$328,MATCH(MONTH(G190),Kanban_Helper!$B$317:$B$328,0))&amp;" - "&amp;YEAR(G190)),"$AD$3")</f>
        <v>Not Set</v>
      </c>
      <c r="S190" s="125" t="str">
        <f>IFERROR(IF(I190=$AD$3,$AD$3,INDEX(Kanban_Helper!$C$317:$C$328,MATCH(MONTH(I190),Kanban_Helper!$B$317:$B$328,0))&amp;" - "&amp;YEAR(I190)),$AD$3)</f>
        <v>Not Set</v>
      </c>
      <c r="T190" s="125" t="str">
        <f t="shared" ca="1" si="28"/>
        <v/>
      </c>
      <c r="U190" s="125" t="str">
        <f t="shared" ca="1" si="29"/>
        <v/>
      </c>
      <c r="V190" s="125" t="str">
        <f t="shared" si="26"/>
        <v>Not Set</v>
      </c>
      <c r="W190" s="126" t="str">
        <f t="shared" si="30"/>
        <v/>
      </c>
      <c r="X190" s="126" t="str">
        <f t="shared" si="31"/>
        <v/>
      </c>
      <c r="Y190" s="125" t="str">
        <f>IFERROR(IF(LEN(D190)=0,"",IF(SUBTOTAL(3,E190:E190)=0,MIN($Y$7:Y189)-1,SUBTOTAL(3,$E$8:E190))),"")</f>
        <v/>
      </c>
      <c r="Z190" s="17"/>
      <c r="AA190" s="10"/>
      <c r="AB190" s="10"/>
      <c r="AC190" s="10"/>
      <c r="AD190" s="10"/>
      <c r="AE190" s="10"/>
      <c r="AF190" s="10"/>
      <c r="AG190" s="10"/>
      <c r="AH190" s="10"/>
      <c r="AI190" s="10"/>
      <c r="AJ190" s="10"/>
      <c r="AK190" s="10"/>
      <c r="AL190" s="10"/>
      <c r="AM190" s="10"/>
      <c r="AN190" s="10"/>
    </row>
    <row r="191" spans="2:40" hidden="1" x14ac:dyDescent="0.35">
      <c r="B191" s="15"/>
      <c r="C191" s="127" t="str">
        <f>IFERROR(IF(LEN(INDEX(Database!C$9:C$501,ROW(Calc!A191)-ROW(Calc!$B$7)))=0,"",INDEX(Database!C$9:C$501,ROW(Calc!A191)-ROW(Calc!$B$7))),"")</f>
        <v/>
      </c>
      <c r="D191" s="70" t="str">
        <f>IFERROR(IF(LEN(INDEX(Database!D$9:D$501,ROW(Calc!B191)-ROW(Calc!$B$7)))=0,"",INDEX(Database!D$9:D$501,ROW(Calc!B191)-ROW(Calc!$B$7))),"")</f>
        <v/>
      </c>
      <c r="E191" s="124" t="str">
        <f>IFERROR(IF(LEN(INDEX(Database!G$9:G$501,ROW(Calc!D191)-ROW(Calc!$B$7)))=0,$AD$3,INDEX(Database!G$9:G$501,ROW(Calc!D191)-ROW(Calc!$B$7))),"")</f>
        <v>Not Set</v>
      </c>
      <c r="F191" s="124" t="str">
        <f>IFERROR(IF(LEN(INDEX(Database!F$9:F$501,ROW(Calc!E191)-ROW(Calc!$B$7)))=0,$AD$3,INDEX(Database!F$9:F$501,ROW(Calc!E191)-ROW(Calc!$B$7))),"")</f>
        <v>Not Set</v>
      </c>
      <c r="G191" s="128" t="str">
        <f>IFERROR(IF(LEN(INDEX(Database!H$9:H$501,ROW(Calc!F191)-ROW(Calc!$B$7)))=0,$AD$3,INDEX(Database!H$9:H$501,ROW(Calc!F191)-ROW(Calc!$B$7))),"")</f>
        <v>Not Set</v>
      </c>
      <c r="H191" s="128" t="str">
        <f>IFERROR(IF(LEN(INDEX(Database!I$9:I$501,ROW(Calc!G191)-ROW(Calc!$B$7)))=0,$AD$3,INDEX(Database!I$9:I$501,ROW(Calc!G191)-ROW(Calc!$B$7))),"")</f>
        <v>Not Set</v>
      </c>
      <c r="I191" s="128" t="str">
        <f>IFERROR(IF(LEN(INDEX(Database!J$9:J$501,ROW(Calc!H191)-ROW(Calc!$B$7)))=0,$AD$3,INDEX(Database!J$9:J$501,ROW(Calc!H191)-ROW(Calc!$B$7))),"")</f>
        <v>Not Set</v>
      </c>
      <c r="J191" s="128" t="str">
        <f t="shared" si="23"/>
        <v>Not Set</v>
      </c>
      <c r="K191" s="124" t="str">
        <f>IFERROR(IF(LEN(INDEX(Database!E$9:E$501,ROW(Calc!I191)-ROW(Calc!$B$7)))=0,"",INDEX(Database!E$9:E$501,ROW(Calc!I191)-ROW(Calc!$B$7))),"")</f>
        <v/>
      </c>
      <c r="L191" s="129" t="str">
        <f>IFERROR(IF(LEN(INDEX(Database!K$9:K$501,ROW(Calc!K191)-ROW(Calc!$B$7)))=0,$AD$3,INDEX(Database!K$9:K$501,ROW(Calc!K191)-ROW(Calc!$B$7))),"")</f>
        <v>Not Set</v>
      </c>
      <c r="M191" s="130" t="str">
        <f>IFERROR(IF(LEN(INDEX(Database!L$9:L$501,ROW(Calc!L191)-ROW(Calc!$B$7)))=0,$AD$3,INDEX(Database!L$9:L$501,ROW(Calc!L191)-ROW(Calc!$B$7))),"")</f>
        <v>Not Set</v>
      </c>
      <c r="N191" s="131" t="str">
        <f>IFERROR(IF(LEN(INDEX(Database!M$9:M$501,ROW(Calc!M191)-ROW(Calc!$B$7)))=0,"",INDEX(Database!M$9:M$501,ROW(Calc!M191)-ROW(Calc!$B$7))),"")</f>
        <v/>
      </c>
      <c r="O191" s="132" t="str">
        <f t="shared" si="27"/>
        <v/>
      </c>
      <c r="P191" s="125" t="str">
        <f t="shared" si="24"/>
        <v>Not Set</v>
      </c>
      <c r="Q191" s="125" t="str">
        <f t="shared" si="25"/>
        <v>Not Set</v>
      </c>
      <c r="R191" s="125" t="str">
        <f>IFERROR(IF(G191=$AD$3,$AD$3,INDEX(Kanban_Helper!$C$317:$C$328,MATCH(MONTH(G191),Kanban_Helper!$B$317:$B$328,0))&amp;" - "&amp;YEAR(G191)),"$AD$3")</f>
        <v>Not Set</v>
      </c>
      <c r="S191" s="125" t="str">
        <f>IFERROR(IF(I191=$AD$3,$AD$3,INDEX(Kanban_Helper!$C$317:$C$328,MATCH(MONTH(I191),Kanban_Helper!$B$317:$B$328,0))&amp;" - "&amp;YEAR(I191)),$AD$3)</f>
        <v>Not Set</v>
      </c>
      <c r="T191" s="125" t="str">
        <f t="shared" ca="1" si="28"/>
        <v/>
      </c>
      <c r="U191" s="125" t="str">
        <f t="shared" ca="1" si="29"/>
        <v/>
      </c>
      <c r="V191" s="125" t="str">
        <f t="shared" si="26"/>
        <v>Not Set</v>
      </c>
      <c r="W191" s="126" t="str">
        <f t="shared" si="30"/>
        <v/>
      </c>
      <c r="X191" s="126" t="str">
        <f t="shared" si="31"/>
        <v/>
      </c>
      <c r="Y191" s="125" t="str">
        <f>IFERROR(IF(LEN(D191)=0,"",IF(SUBTOTAL(3,E191:E191)=0,MIN($Y$7:Y190)-1,SUBTOTAL(3,$E$8:E191))),"")</f>
        <v/>
      </c>
      <c r="Z191" s="17"/>
      <c r="AA191" s="10"/>
      <c r="AB191" s="10"/>
      <c r="AC191" s="10"/>
      <c r="AD191" s="10"/>
      <c r="AE191" s="10"/>
      <c r="AF191" s="10"/>
      <c r="AG191" s="10"/>
      <c r="AH191" s="10"/>
      <c r="AI191" s="10"/>
      <c r="AJ191" s="10"/>
      <c r="AK191" s="10"/>
      <c r="AL191" s="10"/>
      <c r="AM191" s="10"/>
      <c r="AN191" s="10"/>
    </row>
    <row r="192" spans="2:40" hidden="1" x14ac:dyDescent="0.35">
      <c r="B192" s="15"/>
      <c r="C192" s="127" t="str">
        <f>IFERROR(IF(LEN(INDEX(Database!C$9:C$501,ROW(Calc!A192)-ROW(Calc!$B$7)))=0,"",INDEX(Database!C$9:C$501,ROW(Calc!A192)-ROW(Calc!$B$7))),"")</f>
        <v/>
      </c>
      <c r="D192" s="70" t="str">
        <f>IFERROR(IF(LEN(INDEX(Database!D$9:D$501,ROW(Calc!B192)-ROW(Calc!$B$7)))=0,"",INDEX(Database!D$9:D$501,ROW(Calc!B192)-ROW(Calc!$B$7))),"")</f>
        <v/>
      </c>
      <c r="E192" s="124" t="str">
        <f>IFERROR(IF(LEN(INDEX(Database!G$9:G$501,ROW(Calc!D192)-ROW(Calc!$B$7)))=0,$AD$3,INDEX(Database!G$9:G$501,ROW(Calc!D192)-ROW(Calc!$B$7))),"")</f>
        <v>Not Set</v>
      </c>
      <c r="F192" s="124" t="str">
        <f>IFERROR(IF(LEN(INDEX(Database!F$9:F$501,ROW(Calc!E192)-ROW(Calc!$B$7)))=0,$AD$3,INDEX(Database!F$9:F$501,ROW(Calc!E192)-ROW(Calc!$B$7))),"")</f>
        <v>Not Set</v>
      </c>
      <c r="G192" s="128" t="str">
        <f>IFERROR(IF(LEN(INDEX(Database!H$9:H$501,ROW(Calc!F192)-ROW(Calc!$B$7)))=0,$AD$3,INDEX(Database!H$9:H$501,ROW(Calc!F192)-ROW(Calc!$B$7))),"")</f>
        <v>Not Set</v>
      </c>
      <c r="H192" s="128" t="str">
        <f>IFERROR(IF(LEN(INDEX(Database!I$9:I$501,ROW(Calc!G192)-ROW(Calc!$B$7)))=0,$AD$3,INDEX(Database!I$9:I$501,ROW(Calc!G192)-ROW(Calc!$B$7))),"")</f>
        <v>Not Set</v>
      </c>
      <c r="I192" s="128" t="str">
        <f>IFERROR(IF(LEN(INDEX(Database!J$9:J$501,ROW(Calc!H192)-ROW(Calc!$B$7)))=0,$AD$3,INDEX(Database!J$9:J$501,ROW(Calc!H192)-ROW(Calc!$B$7))),"")</f>
        <v>Not Set</v>
      </c>
      <c r="J192" s="128" t="str">
        <f t="shared" si="23"/>
        <v>Not Set</v>
      </c>
      <c r="K192" s="124" t="str">
        <f>IFERROR(IF(LEN(INDEX(Database!E$9:E$501,ROW(Calc!I192)-ROW(Calc!$B$7)))=0,"",INDEX(Database!E$9:E$501,ROW(Calc!I192)-ROW(Calc!$B$7))),"")</f>
        <v/>
      </c>
      <c r="L192" s="129" t="str">
        <f>IFERROR(IF(LEN(INDEX(Database!K$9:K$501,ROW(Calc!K192)-ROW(Calc!$B$7)))=0,$AD$3,INDEX(Database!K$9:K$501,ROW(Calc!K192)-ROW(Calc!$B$7))),"")</f>
        <v>Not Set</v>
      </c>
      <c r="M192" s="130" t="str">
        <f>IFERROR(IF(LEN(INDEX(Database!L$9:L$501,ROW(Calc!L192)-ROW(Calc!$B$7)))=0,$AD$3,INDEX(Database!L$9:L$501,ROW(Calc!L192)-ROW(Calc!$B$7))),"")</f>
        <v>Not Set</v>
      </c>
      <c r="N192" s="131" t="str">
        <f>IFERROR(IF(LEN(INDEX(Database!M$9:M$501,ROW(Calc!M192)-ROW(Calc!$B$7)))=0,"",INDEX(Database!M$9:M$501,ROW(Calc!M192)-ROW(Calc!$B$7))),"")</f>
        <v/>
      </c>
      <c r="O192" s="132" t="str">
        <f t="shared" si="27"/>
        <v/>
      </c>
      <c r="P192" s="125" t="str">
        <f t="shared" si="24"/>
        <v>Not Set</v>
      </c>
      <c r="Q192" s="125" t="str">
        <f t="shared" si="25"/>
        <v>Not Set</v>
      </c>
      <c r="R192" s="125" t="str">
        <f>IFERROR(IF(G192=$AD$3,$AD$3,INDEX(Kanban_Helper!$C$317:$C$328,MATCH(MONTH(G192),Kanban_Helper!$B$317:$B$328,0))&amp;" - "&amp;YEAR(G192)),"$AD$3")</f>
        <v>Not Set</v>
      </c>
      <c r="S192" s="125" t="str">
        <f>IFERROR(IF(I192=$AD$3,$AD$3,INDEX(Kanban_Helper!$C$317:$C$328,MATCH(MONTH(I192),Kanban_Helper!$B$317:$B$328,0))&amp;" - "&amp;YEAR(I192)),$AD$3)</f>
        <v>Not Set</v>
      </c>
      <c r="T192" s="125" t="str">
        <f t="shared" ca="1" si="28"/>
        <v/>
      </c>
      <c r="U192" s="125" t="str">
        <f t="shared" ca="1" si="29"/>
        <v/>
      </c>
      <c r="V192" s="125" t="str">
        <f t="shared" si="26"/>
        <v>Not Set</v>
      </c>
      <c r="W192" s="126" t="str">
        <f t="shared" si="30"/>
        <v/>
      </c>
      <c r="X192" s="126" t="str">
        <f t="shared" si="31"/>
        <v/>
      </c>
      <c r="Y192" s="125" t="str">
        <f>IFERROR(IF(LEN(D192)=0,"",IF(SUBTOTAL(3,E192:E192)=0,MIN($Y$7:Y191)-1,SUBTOTAL(3,$E$8:E192))),"")</f>
        <v/>
      </c>
      <c r="Z192" s="17"/>
      <c r="AA192" s="10"/>
      <c r="AB192" s="10"/>
      <c r="AC192" s="10"/>
      <c r="AD192" s="10"/>
      <c r="AE192" s="10"/>
      <c r="AF192" s="10"/>
      <c r="AG192" s="10"/>
      <c r="AH192" s="10"/>
      <c r="AI192" s="10"/>
      <c r="AJ192" s="10"/>
      <c r="AK192" s="10"/>
      <c r="AL192" s="10"/>
      <c r="AM192" s="10"/>
      <c r="AN192" s="10"/>
    </row>
    <row r="193" spans="2:40" hidden="1" x14ac:dyDescent="0.35">
      <c r="B193" s="15"/>
      <c r="C193" s="127" t="str">
        <f>IFERROR(IF(LEN(INDEX(Database!C$9:C$501,ROW(Calc!A193)-ROW(Calc!$B$7)))=0,"",INDEX(Database!C$9:C$501,ROW(Calc!A193)-ROW(Calc!$B$7))),"")</f>
        <v/>
      </c>
      <c r="D193" s="70" t="str">
        <f>IFERROR(IF(LEN(INDEX(Database!D$9:D$501,ROW(Calc!B193)-ROW(Calc!$B$7)))=0,"",INDEX(Database!D$9:D$501,ROW(Calc!B193)-ROW(Calc!$B$7))),"")</f>
        <v/>
      </c>
      <c r="E193" s="124" t="str">
        <f>IFERROR(IF(LEN(INDEX(Database!G$9:G$501,ROW(Calc!D193)-ROW(Calc!$B$7)))=0,$AD$3,INDEX(Database!G$9:G$501,ROW(Calc!D193)-ROW(Calc!$B$7))),"")</f>
        <v>Not Set</v>
      </c>
      <c r="F193" s="124" t="str">
        <f>IFERROR(IF(LEN(INDEX(Database!F$9:F$501,ROW(Calc!E193)-ROW(Calc!$B$7)))=0,$AD$3,INDEX(Database!F$9:F$501,ROW(Calc!E193)-ROW(Calc!$B$7))),"")</f>
        <v>Not Set</v>
      </c>
      <c r="G193" s="128" t="str">
        <f>IFERROR(IF(LEN(INDEX(Database!H$9:H$501,ROW(Calc!F193)-ROW(Calc!$B$7)))=0,$AD$3,INDEX(Database!H$9:H$501,ROW(Calc!F193)-ROW(Calc!$B$7))),"")</f>
        <v>Not Set</v>
      </c>
      <c r="H193" s="128" t="str">
        <f>IFERROR(IF(LEN(INDEX(Database!I$9:I$501,ROW(Calc!G193)-ROW(Calc!$B$7)))=0,$AD$3,INDEX(Database!I$9:I$501,ROW(Calc!G193)-ROW(Calc!$B$7))),"")</f>
        <v>Not Set</v>
      </c>
      <c r="I193" s="128" t="str">
        <f>IFERROR(IF(LEN(INDEX(Database!J$9:J$501,ROW(Calc!H193)-ROW(Calc!$B$7)))=0,$AD$3,INDEX(Database!J$9:J$501,ROW(Calc!H193)-ROW(Calc!$B$7))),"")</f>
        <v>Not Set</v>
      </c>
      <c r="J193" s="128" t="str">
        <f t="shared" si="23"/>
        <v>Not Set</v>
      </c>
      <c r="K193" s="124" t="str">
        <f>IFERROR(IF(LEN(INDEX(Database!E$9:E$501,ROW(Calc!I193)-ROW(Calc!$B$7)))=0,"",INDEX(Database!E$9:E$501,ROW(Calc!I193)-ROW(Calc!$B$7))),"")</f>
        <v/>
      </c>
      <c r="L193" s="129" t="str">
        <f>IFERROR(IF(LEN(INDEX(Database!K$9:K$501,ROW(Calc!K193)-ROW(Calc!$B$7)))=0,$AD$3,INDEX(Database!K$9:K$501,ROW(Calc!K193)-ROW(Calc!$B$7))),"")</f>
        <v>Not Set</v>
      </c>
      <c r="M193" s="130" t="str">
        <f>IFERROR(IF(LEN(INDEX(Database!L$9:L$501,ROW(Calc!L193)-ROW(Calc!$B$7)))=0,$AD$3,INDEX(Database!L$9:L$501,ROW(Calc!L193)-ROW(Calc!$B$7))),"")</f>
        <v>Not Set</v>
      </c>
      <c r="N193" s="131" t="str">
        <f>IFERROR(IF(LEN(INDEX(Database!M$9:M$501,ROW(Calc!M193)-ROW(Calc!$B$7)))=0,"",INDEX(Database!M$9:M$501,ROW(Calc!M193)-ROW(Calc!$B$7))),"")</f>
        <v/>
      </c>
      <c r="O193" s="132" t="str">
        <f t="shared" si="27"/>
        <v/>
      </c>
      <c r="P193" s="125" t="str">
        <f t="shared" si="24"/>
        <v>Not Set</v>
      </c>
      <c r="Q193" s="125" t="str">
        <f t="shared" si="25"/>
        <v>Not Set</v>
      </c>
      <c r="R193" s="125" t="str">
        <f>IFERROR(IF(G193=$AD$3,$AD$3,INDEX(Kanban_Helper!$C$317:$C$328,MATCH(MONTH(G193),Kanban_Helper!$B$317:$B$328,0))&amp;" - "&amp;YEAR(G193)),"$AD$3")</f>
        <v>Not Set</v>
      </c>
      <c r="S193" s="125" t="str">
        <f>IFERROR(IF(I193=$AD$3,$AD$3,INDEX(Kanban_Helper!$C$317:$C$328,MATCH(MONTH(I193),Kanban_Helper!$B$317:$B$328,0))&amp;" - "&amp;YEAR(I193)),$AD$3)</f>
        <v>Not Set</v>
      </c>
      <c r="T193" s="125" t="str">
        <f t="shared" ca="1" si="28"/>
        <v/>
      </c>
      <c r="U193" s="125" t="str">
        <f t="shared" ca="1" si="29"/>
        <v/>
      </c>
      <c r="V193" s="125" t="str">
        <f t="shared" si="26"/>
        <v>Not Set</v>
      </c>
      <c r="W193" s="126" t="str">
        <f t="shared" si="30"/>
        <v/>
      </c>
      <c r="X193" s="126" t="str">
        <f t="shared" si="31"/>
        <v/>
      </c>
      <c r="Y193" s="125" t="str">
        <f>IFERROR(IF(LEN(D193)=0,"",IF(SUBTOTAL(3,E193:E193)=0,MIN($Y$7:Y192)-1,SUBTOTAL(3,$E$8:E193))),"")</f>
        <v/>
      </c>
      <c r="Z193" s="17"/>
      <c r="AA193" s="10"/>
      <c r="AB193" s="10"/>
      <c r="AC193" s="10"/>
      <c r="AD193" s="10"/>
      <c r="AE193" s="10"/>
      <c r="AF193" s="10"/>
      <c r="AG193" s="10"/>
      <c r="AH193" s="10"/>
      <c r="AI193" s="10"/>
      <c r="AJ193" s="10"/>
      <c r="AK193" s="10"/>
      <c r="AL193" s="10"/>
      <c r="AM193" s="10"/>
      <c r="AN193" s="10"/>
    </row>
    <row r="194" spans="2:40" hidden="1" x14ac:dyDescent="0.35">
      <c r="B194" s="15"/>
      <c r="C194" s="127" t="str">
        <f>IFERROR(IF(LEN(INDEX(Database!C$9:C$501,ROW(Calc!A194)-ROW(Calc!$B$7)))=0,"",INDEX(Database!C$9:C$501,ROW(Calc!A194)-ROW(Calc!$B$7))),"")</f>
        <v/>
      </c>
      <c r="D194" s="70" t="str">
        <f>IFERROR(IF(LEN(INDEX(Database!D$9:D$501,ROW(Calc!B194)-ROW(Calc!$B$7)))=0,"",INDEX(Database!D$9:D$501,ROW(Calc!B194)-ROW(Calc!$B$7))),"")</f>
        <v/>
      </c>
      <c r="E194" s="124" t="str">
        <f>IFERROR(IF(LEN(INDEX(Database!G$9:G$501,ROW(Calc!D194)-ROW(Calc!$B$7)))=0,$AD$3,INDEX(Database!G$9:G$501,ROW(Calc!D194)-ROW(Calc!$B$7))),"")</f>
        <v>Not Set</v>
      </c>
      <c r="F194" s="124" t="str">
        <f>IFERROR(IF(LEN(INDEX(Database!F$9:F$501,ROW(Calc!E194)-ROW(Calc!$B$7)))=0,$AD$3,INDEX(Database!F$9:F$501,ROW(Calc!E194)-ROW(Calc!$B$7))),"")</f>
        <v>Not Set</v>
      </c>
      <c r="G194" s="128" t="str">
        <f>IFERROR(IF(LEN(INDEX(Database!H$9:H$501,ROW(Calc!F194)-ROW(Calc!$B$7)))=0,$AD$3,INDEX(Database!H$9:H$501,ROW(Calc!F194)-ROW(Calc!$B$7))),"")</f>
        <v>Not Set</v>
      </c>
      <c r="H194" s="128" t="str">
        <f>IFERROR(IF(LEN(INDEX(Database!I$9:I$501,ROW(Calc!G194)-ROW(Calc!$B$7)))=0,$AD$3,INDEX(Database!I$9:I$501,ROW(Calc!G194)-ROW(Calc!$B$7))),"")</f>
        <v>Not Set</v>
      </c>
      <c r="I194" s="128" t="str">
        <f>IFERROR(IF(LEN(INDEX(Database!J$9:J$501,ROW(Calc!H194)-ROW(Calc!$B$7)))=0,$AD$3,INDEX(Database!J$9:J$501,ROW(Calc!H194)-ROW(Calc!$B$7))),"")</f>
        <v>Not Set</v>
      </c>
      <c r="J194" s="128" t="str">
        <f t="shared" si="23"/>
        <v>Not Set</v>
      </c>
      <c r="K194" s="124" t="str">
        <f>IFERROR(IF(LEN(INDEX(Database!E$9:E$501,ROW(Calc!I194)-ROW(Calc!$B$7)))=0,"",INDEX(Database!E$9:E$501,ROW(Calc!I194)-ROW(Calc!$B$7))),"")</f>
        <v/>
      </c>
      <c r="L194" s="129" t="str">
        <f>IFERROR(IF(LEN(INDEX(Database!K$9:K$501,ROW(Calc!K194)-ROW(Calc!$B$7)))=0,$AD$3,INDEX(Database!K$9:K$501,ROW(Calc!K194)-ROW(Calc!$B$7))),"")</f>
        <v>Not Set</v>
      </c>
      <c r="M194" s="130" t="str">
        <f>IFERROR(IF(LEN(INDEX(Database!L$9:L$501,ROW(Calc!L194)-ROW(Calc!$B$7)))=0,$AD$3,INDEX(Database!L$9:L$501,ROW(Calc!L194)-ROW(Calc!$B$7))),"")</f>
        <v>Not Set</v>
      </c>
      <c r="N194" s="131" t="str">
        <f>IFERROR(IF(LEN(INDEX(Database!M$9:M$501,ROW(Calc!M194)-ROW(Calc!$B$7)))=0,"",INDEX(Database!M$9:M$501,ROW(Calc!M194)-ROW(Calc!$B$7))),"")</f>
        <v/>
      </c>
      <c r="O194" s="132" t="str">
        <f t="shared" si="27"/>
        <v/>
      </c>
      <c r="P194" s="125" t="str">
        <f t="shared" si="24"/>
        <v>Not Set</v>
      </c>
      <c r="Q194" s="125" t="str">
        <f t="shared" si="25"/>
        <v>Not Set</v>
      </c>
      <c r="R194" s="125" t="str">
        <f>IFERROR(IF(G194=$AD$3,$AD$3,INDEX(Kanban_Helper!$C$317:$C$328,MATCH(MONTH(G194),Kanban_Helper!$B$317:$B$328,0))&amp;" - "&amp;YEAR(G194)),"$AD$3")</f>
        <v>Not Set</v>
      </c>
      <c r="S194" s="125" t="str">
        <f>IFERROR(IF(I194=$AD$3,$AD$3,INDEX(Kanban_Helper!$C$317:$C$328,MATCH(MONTH(I194),Kanban_Helper!$B$317:$B$328,0))&amp;" - "&amp;YEAR(I194)),$AD$3)</f>
        <v>Not Set</v>
      </c>
      <c r="T194" s="125" t="str">
        <f t="shared" ca="1" si="28"/>
        <v/>
      </c>
      <c r="U194" s="125" t="str">
        <f t="shared" ca="1" si="29"/>
        <v/>
      </c>
      <c r="V194" s="125" t="str">
        <f t="shared" si="26"/>
        <v>Not Set</v>
      </c>
      <c r="W194" s="126" t="str">
        <f t="shared" si="30"/>
        <v/>
      </c>
      <c r="X194" s="126" t="str">
        <f t="shared" si="31"/>
        <v/>
      </c>
      <c r="Y194" s="125" t="str">
        <f>IFERROR(IF(LEN(D194)=0,"",IF(SUBTOTAL(3,E194:E194)=0,MIN($Y$7:Y193)-1,SUBTOTAL(3,$E$8:E194))),"")</f>
        <v/>
      </c>
      <c r="Z194" s="17"/>
      <c r="AA194" s="10"/>
      <c r="AB194" s="10"/>
      <c r="AC194" s="10"/>
      <c r="AD194" s="10"/>
      <c r="AE194" s="10"/>
      <c r="AF194" s="10"/>
      <c r="AG194" s="10"/>
      <c r="AH194" s="10"/>
      <c r="AI194" s="10"/>
      <c r="AJ194" s="10"/>
      <c r="AK194" s="10"/>
      <c r="AL194" s="10"/>
      <c r="AM194" s="10"/>
      <c r="AN194" s="10"/>
    </row>
    <row r="195" spans="2:40" hidden="1" x14ac:dyDescent="0.35">
      <c r="B195" s="15"/>
      <c r="C195" s="127" t="str">
        <f>IFERROR(IF(LEN(INDEX(Database!C$9:C$501,ROW(Calc!A195)-ROW(Calc!$B$7)))=0,"",INDEX(Database!C$9:C$501,ROW(Calc!A195)-ROW(Calc!$B$7))),"")</f>
        <v/>
      </c>
      <c r="D195" s="70" t="str">
        <f>IFERROR(IF(LEN(INDEX(Database!D$9:D$501,ROW(Calc!B195)-ROW(Calc!$B$7)))=0,"",INDEX(Database!D$9:D$501,ROW(Calc!B195)-ROW(Calc!$B$7))),"")</f>
        <v/>
      </c>
      <c r="E195" s="124" t="str">
        <f>IFERROR(IF(LEN(INDEX(Database!G$9:G$501,ROW(Calc!D195)-ROW(Calc!$B$7)))=0,$AD$3,INDEX(Database!G$9:G$501,ROW(Calc!D195)-ROW(Calc!$B$7))),"")</f>
        <v>Not Set</v>
      </c>
      <c r="F195" s="124" t="str">
        <f>IFERROR(IF(LEN(INDEX(Database!F$9:F$501,ROW(Calc!E195)-ROW(Calc!$B$7)))=0,$AD$3,INDEX(Database!F$9:F$501,ROW(Calc!E195)-ROW(Calc!$B$7))),"")</f>
        <v>Not Set</v>
      </c>
      <c r="G195" s="128" t="str">
        <f>IFERROR(IF(LEN(INDEX(Database!H$9:H$501,ROW(Calc!F195)-ROW(Calc!$B$7)))=0,$AD$3,INDEX(Database!H$9:H$501,ROW(Calc!F195)-ROW(Calc!$B$7))),"")</f>
        <v>Not Set</v>
      </c>
      <c r="H195" s="128" t="str">
        <f>IFERROR(IF(LEN(INDEX(Database!I$9:I$501,ROW(Calc!G195)-ROW(Calc!$B$7)))=0,$AD$3,INDEX(Database!I$9:I$501,ROW(Calc!G195)-ROW(Calc!$B$7))),"")</f>
        <v>Not Set</v>
      </c>
      <c r="I195" s="128" t="str">
        <f>IFERROR(IF(LEN(INDEX(Database!J$9:J$501,ROW(Calc!H195)-ROW(Calc!$B$7)))=0,$AD$3,INDEX(Database!J$9:J$501,ROW(Calc!H195)-ROW(Calc!$B$7))),"")</f>
        <v>Not Set</v>
      </c>
      <c r="J195" s="128" t="str">
        <f t="shared" si="23"/>
        <v>Not Set</v>
      </c>
      <c r="K195" s="124" t="str">
        <f>IFERROR(IF(LEN(INDEX(Database!E$9:E$501,ROW(Calc!I195)-ROW(Calc!$B$7)))=0,"",INDEX(Database!E$9:E$501,ROW(Calc!I195)-ROW(Calc!$B$7))),"")</f>
        <v/>
      </c>
      <c r="L195" s="129" t="str">
        <f>IFERROR(IF(LEN(INDEX(Database!K$9:K$501,ROW(Calc!K195)-ROW(Calc!$B$7)))=0,$AD$3,INDEX(Database!K$9:K$501,ROW(Calc!K195)-ROW(Calc!$B$7))),"")</f>
        <v>Not Set</v>
      </c>
      <c r="M195" s="130" t="str">
        <f>IFERROR(IF(LEN(INDEX(Database!L$9:L$501,ROW(Calc!L195)-ROW(Calc!$B$7)))=0,$AD$3,INDEX(Database!L$9:L$501,ROW(Calc!L195)-ROW(Calc!$B$7))),"")</f>
        <v>Not Set</v>
      </c>
      <c r="N195" s="131" t="str">
        <f>IFERROR(IF(LEN(INDEX(Database!M$9:M$501,ROW(Calc!M195)-ROW(Calc!$B$7)))=0,"",INDEX(Database!M$9:M$501,ROW(Calc!M195)-ROW(Calc!$B$7))),"")</f>
        <v/>
      </c>
      <c r="O195" s="132" t="str">
        <f t="shared" si="27"/>
        <v/>
      </c>
      <c r="P195" s="125" t="str">
        <f t="shared" si="24"/>
        <v>Not Set</v>
      </c>
      <c r="Q195" s="125" t="str">
        <f t="shared" si="25"/>
        <v>Not Set</v>
      </c>
      <c r="R195" s="125" t="str">
        <f>IFERROR(IF(G195=$AD$3,$AD$3,INDEX(Kanban_Helper!$C$317:$C$328,MATCH(MONTH(G195),Kanban_Helper!$B$317:$B$328,0))&amp;" - "&amp;YEAR(G195)),"$AD$3")</f>
        <v>Not Set</v>
      </c>
      <c r="S195" s="125" t="str">
        <f>IFERROR(IF(I195=$AD$3,$AD$3,INDEX(Kanban_Helper!$C$317:$C$328,MATCH(MONTH(I195),Kanban_Helper!$B$317:$B$328,0))&amp;" - "&amp;YEAR(I195)),$AD$3)</f>
        <v>Not Set</v>
      </c>
      <c r="T195" s="125" t="str">
        <f t="shared" ca="1" si="28"/>
        <v/>
      </c>
      <c r="U195" s="125" t="str">
        <f t="shared" ca="1" si="29"/>
        <v/>
      </c>
      <c r="V195" s="125" t="str">
        <f t="shared" si="26"/>
        <v>Not Set</v>
      </c>
      <c r="W195" s="126" t="str">
        <f t="shared" si="30"/>
        <v/>
      </c>
      <c r="X195" s="126" t="str">
        <f t="shared" si="31"/>
        <v/>
      </c>
      <c r="Y195" s="125" t="str">
        <f>IFERROR(IF(LEN(D195)=0,"",IF(SUBTOTAL(3,E195:E195)=0,MIN($Y$7:Y194)-1,SUBTOTAL(3,$E$8:E195))),"")</f>
        <v/>
      </c>
      <c r="Z195" s="17"/>
      <c r="AA195" s="10"/>
      <c r="AB195" s="10"/>
      <c r="AC195" s="10"/>
      <c r="AD195" s="10"/>
      <c r="AE195" s="10"/>
      <c r="AF195" s="10"/>
      <c r="AG195" s="10"/>
      <c r="AH195" s="10"/>
      <c r="AI195" s="10"/>
      <c r="AJ195" s="10"/>
      <c r="AK195" s="10"/>
      <c r="AL195" s="10"/>
      <c r="AM195" s="10"/>
      <c r="AN195" s="10"/>
    </row>
    <row r="196" spans="2:40" hidden="1" x14ac:dyDescent="0.35">
      <c r="B196" s="15"/>
      <c r="C196" s="127" t="str">
        <f>IFERROR(IF(LEN(INDEX(Database!C$9:C$501,ROW(Calc!A196)-ROW(Calc!$B$7)))=0,"",INDEX(Database!C$9:C$501,ROW(Calc!A196)-ROW(Calc!$B$7))),"")</f>
        <v/>
      </c>
      <c r="D196" s="70" t="str">
        <f>IFERROR(IF(LEN(INDEX(Database!D$9:D$501,ROW(Calc!B196)-ROW(Calc!$B$7)))=0,"",INDEX(Database!D$9:D$501,ROW(Calc!B196)-ROW(Calc!$B$7))),"")</f>
        <v/>
      </c>
      <c r="E196" s="124" t="str">
        <f>IFERROR(IF(LEN(INDEX(Database!G$9:G$501,ROW(Calc!D196)-ROW(Calc!$B$7)))=0,$AD$3,INDEX(Database!G$9:G$501,ROW(Calc!D196)-ROW(Calc!$B$7))),"")</f>
        <v>Not Set</v>
      </c>
      <c r="F196" s="124" t="str">
        <f>IFERROR(IF(LEN(INDEX(Database!F$9:F$501,ROW(Calc!E196)-ROW(Calc!$B$7)))=0,$AD$3,INDEX(Database!F$9:F$501,ROW(Calc!E196)-ROW(Calc!$B$7))),"")</f>
        <v>Not Set</v>
      </c>
      <c r="G196" s="128" t="str">
        <f>IFERROR(IF(LEN(INDEX(Database!H$9:H$501,ROW(Calc!F196)-ROW(Calc!$B$7)))=0,$AD$3,INDEX(Database!H$9:H$501,ROW(Calc!F196)-ROW(Calc!$B$7))),"")</f>
        <v>Not Set</v>
      </c>
      <c r="H196" s="128" t="str">
        <f>IFERROR(IF(LEN(INDEX(Database!I$9:I$501,ROW(Calc!G196)-ROW(Calc!$B$7)))=0,$AD$3,INDEX(Database!I$9:I$501,ROW(Calc!G196)-ROW(Calc!$B$7))),"")</f>
        <v>Not Set</v>
      </c>
      <c r="I196" s="128" t="str">
        <f>IFERROR(IF(LEN(INDEX(Database!J$9:J$501,ROW(Calc!H196)-ROW(Calc!$B$7)))=0,$AD$3,INDEX(Database!J$9:J$501,ROW(Calc!H196)-ROW(Calc!$B$7))),"")</f>
        <v>Not Set</v>
      </c>
      <c r="J196" s="128" t="str">
        <f t="shared" si="23"/>
        <v>Not Set</v>
      </c>
      <c r="K196" s="124" t="str">
        <f>IFERROR(IF(LEN(INDEX(Database!E$9:E$501,ROW(Calc!I196)-ROW(Calc!$B$7)))=0,"",INDEX(Database!E$9:E$501,ROW(Calc!I196)-ROW(Calc!$B$7))),"")</f>
        <v/>
      </c>
      <c r="L196" s="129" t="str">
        <f>IFERROR(IF(LEN(INDEX(Database!K$9:K$501,ROW(Calc!K196)-ROW(Calc!$B$7)))=0,$AD$3,INDEX(Database!K$9:K$501,ROW(Calc!K196)-ROW(Calc!$B$7))),"")</f>
        <v>Not Set</v>
      </c>
      <c r="M196" s="130" t="str">
        <f>IFERROR(IF(LEN(INDEX(Database!L$9:L$501,ROW(Calc!L196)-ROW(Calc!$B$7)))=0,$AD$3,INDEX(Database!L$9:L$501,ROW(Calc!L196)-ROW(Calc!$B$7))),"")</f>
        <v>Not Set</v>
      </c>
      <c r="N196" s="131" t="str">
        <f>IFERROR(IF(LEN(INDEX(Database!M$9:M$501,ROW(Calc!M196)-ROW(Calc!$B$7)))=0,"",INDEX(Database!M$9:M$501,ROW(Calc!M196)-ROW(Calc!$B$7))),"")</f>
        <v/>
      </c>
      <c r="O196" s="132" t="str">
        <f t="shared" si="27"/>
        <v/>
      </c>
      <c r="P196" s="125" t="str">
        <f t="shared" si="24"/>
        <v>Not Set</v>
      </c>
      <c r="Q196" s="125" t="str">
        <f t="shared" si="25"/>
        <v>Not Set</v>
      </c>
      <c r="R196" s="125" t="str">
        <f>IFERROR(IF(G196=$AD$3,$AD$3,INDEX(Kanban_Helper!$C$317:$C$328,MATCH(MONTH(G196),Kanban_Helper!$B$317:$B$328,0))&amp;" - "&amp;YEAR(G196)),"$AD$3")</f>
        <v>Not Set</v>
      </c>
      <c r="S196" s="125" t="str">
        <f>IFERROR(IF(I196=$AD$3,$AD$3,INDEX(Kanban_Helper!$C$317:$C$328,MATCH(MONTH(I196),Kanban_Helper!$B$317:$B$328,0))&amp;" - "&amp;YEAR(I196)),$AD$3)</f>
        <v>Not Set</v>
      </c>
      <c r="T196" s="125" t="str">
        <f t="shared" ca="1" si="28"/>
        <v/>
      </c>
      <c r="U196" s="125" t="str">
        <f t="shared" ca="1" si="29"/>
        <v/>
      </c>
      <c r="V196" s="125" t="str">
        <f t="shared" si="26"/>
        <v>Not Set</v>
      </c>
      <c r="W196" s="126" t="str">
        <f t="shared" si="30"/>
        <v/>
      </c>
      <c r="X196" s="126" t="str">
        <f t="shared" si="31"/>
        <v/>
      </c>
      <c r="Y196" s="125" t="str">
        <f>IFERROR(IF(LEN(D196)=0,"",IF(SUBTOTAL(3,E196:E196)=0,MIN($Y$7:Y195)-1,SUBTOTAL(3,$E$8:E196))),"")</f>
        <v/>
      </c>
      <c r="Z196" s="17"/>
      <c r="AA196" s="10"/>
      <c r="AB196" s="10"/>
      <c r="AC196" s="10"/>
      <c r="AD196" s="10"/>
      <c r="AE196" s="10"/>
      <c r="AF196" s="10"/>
      <c r="AG196" s="10"/>
      <c r="AH196" s="10"/>
      <c r="AI196" s="10"/>
      <c r="AJ196" s="10"/>
      <c r="AK196" s="10"/>
      <c r="AL196" s="10"/>
      <c r="AM196" s="10"/>
      <c r="AN196" s="10"/>
    </row>
    <row r="197" spans="2:40" hidden="1" x14ac:dyDescent="0.35">
      <c r="B197" s="15"/>
      <c r="C197" s="127" t="str">
        <f>IFERROR(IF(LEN(INDEX(Database!C$9:C$501,ROW(Calc!A197)-ROW(Calc!$B$7)))=0,"",INDEX(Database!C$9:C$501,ROW(Calc!A197)-ROW(Calc!$B$7))),"")</f>
        <v/>
      </c>
      <c r="D197" s="70" t="str">
        <f>IFERROR(IF(LEN(INDEX(Database!D$9:D$501,ROW(Calc!B197)-ROW(Calc!$B$7)))=0,"",INDEX(Database!D$9:D$501,ROW(Calc!B197)-ROW(Calc!$B$7))),"")</f>
        <v/>
      </c>
      <c r="E197" s="124" t="str">
        <f>IFERROR(IF(LEN(INDEX(Database!G$9:G$501,ROW(Calc!D197)-ROW(Calc!$B$7)))=0,$AD$3,INDEX(Database!G$9:G$501,ROW(Calc!D197)-ROW(Calc!$B$7))),"")</f>
        <v>Not Set</v>
      </c>
      <c r="F197" s="124" t="str">
        <f>IFERROR(IF(LEN(INDEX(Database!F$9:F$501,ROW(Calc!E197)-ROW(Calc!$B$7)))=0,$AD$3,INDEX(Database!F$9:F$501,ROW(Calc!E197)-ROW(Calc!$B$7))),"")</f>
        <v>Not Set</v>
      </c>
      <c r="G197" s="128" t="str">
        <f>IFERROR(IF(LEN(INDEX(Database!H$9:H$501,ROW(Calc!F197)-ROW(Calc!$B$7)))=0,$AD$3,INDEX(Database!H$9:H$501,ROW(Calc!F197)-ROW(Calc!$B$7))),"")</f>
        <v>Not Set</v>
      </c>
      <c r="H197" s="128" t="str">
        <f>IFERROR(IF(LEN(INDEX(Database!I$9:I$501,ROW(Calc!G197)-ROW(Calc!$B$7)))=0,$AD$3,INDEX(Database!I$9:I$501,ROW(Calc!G197)-ROW(Calc!$B$7))),"")</f>
        <v>Not Set</v>
      </c>
      <c r="I197" s="128" t="str">
        <f>IFERROR(IF(LEN(INDEX(Database!J$9:J$501,ROW(Calc!H197)-ROW(Calc!$B$7)))=0,$AD$3,INDEX(Database!J$9:J$501,ROW(Calc!H197)-ROW(Calc!$B$7))),"")</f>
        <v>Not Set</v>
      </c>
      <c r="J197" s="128" t="str">
        <f t="shared" si="23"/>
        <v>Not Set</v>
      </c>
      <c r="K197" s="124" t="str">
        <f>IFERROR(IF(LEN(INDEX(Database!E$9:E$501,ROW(Calc!I197)-ROW(Calc!$B$7)))=0,"",INDEX(Database!E$9:E$501,ROW(Calc!I197)-ROW(Calc!$B$7))),"")</f>
        <v/>
      </c>
      <c r="L197" s="129" t="str">
        <f>IFERROR(IF(LEN(INDEX(Database!K$9:K$501,ROW(Calc!K197)-ROW(Calc!$B$7)))=0,$AD$3,INDEX(Database!K$9:K$501,ROW(Calc!K197)-ROW(Calc!$B$7))),"")</f>
        <v>Not Set</v>
      </c>
      <c r="M197" s="130" t="str">
        <f>IFERROR(IF(LEN(INDEX(Database!L$9:L$501,ROW(Calc!L197)-ROW(Calc!$B$7)))=0,$AD$3,INDEX(Database!L$9:L$501,ROW(Calc!L197)-ROW(Calc!$B$7))),"")</f>
        <v>Not Set</v>
      </c>
      <c r="N197" s="131" t="str">
        <f>IFERROR(IF(LEN(INDEX(Database!M$9:M$501,ROW(Calc!M197)-ROW(Calc!$B$7)))=0,"",INDEX(Database!M$9:M$501,ROW(Calc!M197)-ROW(Calc!$B$7))),"")</f>
        <v/>
      </c>
      <c r="O197" s="132" t="str">
        <f t="shared" si="27"/>
        <v/>
      </c>
      <c r="P197" s="125" t="str">
        <f t="shared" si="24"/>
        <v>Not Set</v>
      </c>
      <c r="Q197" s="125" t="str">
        <f t="shared" si="25"/>
        <v>Not Set</v>
      </c>
      <c r="R197" s="125" t="str">
        <f>IFERROR(IF(G197=$AD$3,$AD$3,INDEX(Kanban_Helper!$C$317:$C$328,MATCH(MONTH(G197),Kanban_Helper!$B$317:$B$328,0))&amp;" - "&amp;YEAR(G197)),"$AD$3")</f>
        <v>Not Set</v>
      </c>
      <c r="S197" s="125" t="str">
        <f>IFERROR(IF(I197=$AD$3,$AD$3,INDEX(Kanban_Helper!$C$317:$C$328,MATCH(MONTH(I197),Kanban_Helper!$B$317:$B$328,0))&amp;" - "&amp;YEAR(I197)),$AD$3)</f>
        <v>Not Set</v>
      </c>
      <c r="T197" s="125" t="str">
        <f t="shared" ca="1" si="28"/>
        <v/>
      </c>
      <c r="U197" s="125" t="str">
        <f t="shared" ca="1" si="29"/>
        <v/>
      </c>
      <c r="V197" s="125" t="str">
        <f t="shared" si="26"/>
        <v>Not Set</v>
      </c>
      <c r="W197" s="126" t="str">
        <f t="shared" si="30"/>
        <v/>
      </c>
      <c r="X197" s="126" t="str">
        <f t="shared" si="31"/>
        <v/>
      </c>
      <c r="Y197" s="125" t="str">
        <f>IFERROR(IF(LEN(D197)=0,"",IF(SUBTOTAL(3,E197:E197)=0,MIN($Y$7:Y196)-1,SUBTOTAL(3,$E$8:E197))),"")</f>
        <v/>
      </c>
      <c r="Z197" s="17"/>
      <c r="AA197" s="10"/>
      <c r="AB197" s="10"/>
      <c r="AC197" s="10"/>
      <c r="AD197" s="10"/>
      <c r="AE197" s="10"/>
      <c r="AF197" s="10"/>
      <c r="AG197" s="10"/>
      <c r="AH197" s="10"/>
      <c r="AI197" s="10"/>
      <c r="AJ197" s="10"/>
      <c r="AK197" s="10"/>
      <c r="AL197" s="10"/>
      <c r="AM197" s="10"/>
      <c r="AN197" s="10"/>
    </row>
    <row r="198" spans="2:40" hidden="1" x14ac:dyDescent="0.35">
      <c r="B198" s="15"/>
      <c r="C198" s="127" t="str">
        <f>IFERROR(IF(LEN(INDEX(Database!C$9:C$501,ROW(Calc!A198)-ROW(Calc!$B$7)))=0,"",INDEX(Database!C$9:C$501,ROW(Calc!A198)-ROW(Calc!$B$7))),"")</f>
        <v/>
      </c>
      <c r="D198" s="70" t="str">
        <f>IFERROR(IF(LEN(INDEX(Database!D$9:D$501,ROW(Calc!B198)-ROW(Calc!$B$7)))=0,"",INDEX(Database!D$9:D$501,ROW(Calc!B198)-ROW(Calc!$B$7))),"")</f>
        <v/>
      </c>
      <c r="E198" s="124" t="str">
        <f>IFERROR(IF(LEN(INDEX(Database!G$9:G$501,ROW(Calc!D198)-ROW(Calc!$B$7)))=0,$AD$3,INDEX(Database!G$9:G$501,ROW(Calc!D198)-ROW(Calc!$B$7))),"")</f>
        <v>Not Set</v>
      </c>
      <c r="F198" s="124" t="str">
        <f>IFERROR(IF(LEN(INDEX(Database!F$9:F$501,ROW(Calc!E198)-ROW(Calc!$B$7)))=0,$AD$3,INDEX(Database!F$9:F$501,ROW(Calc!E198)-ROW(Calc!$B$7))),"")</f>
        <v>Not Set</v>
      </c>
      <c r="G198" s="128" t="str">
        <f>IFERROR(IF(LEN(INDEX(Database!H$9:H$501,ROW(Calc!F198)-ROW(Calc!$B$7)))=0,$AD$3,INDEX(Database!H$9:H$501,ROW(Calc!F198)-ROW(Calc!$B$7))),"")</f>
        <v>Not Set</v>
      </c>
      <c r="H198" s="128" t="str">
        <f>IFERROR(IF(LEN(INDEX(Database!I$9:I$501,ROW(Calc!G198)-ROW(Calc!$B$7)))=0,$AD$3,INDEX(Database!I$9:I$501,ROW(Calc!G198)-ROW(Calc!$B$7))),"")</f>
        <v>Not Set</v>
      </c>
      <c r="I198" s="128" t="str">
        <f>IFERROR(IF(LEN(INDEX(Database!J$9:J$501,ROW(Calc!H198)-ROW(Calc!$B$7)))=0,$AD$3,INDEX(Database!J$9:J$501,ROW(Calc!H198)-ROW(Calc!$B$7))),"")</f>
        <v>Not Set</v>
      </c>
      <c r="J198" s="128" t="str">
        <f t="shared" si="23"/>
        <v>Not Set</v>
      </c>
      <c r="K198" s="124" t="str">
        <f>IFERROR(IF(LEN(INDEX(Database!E$9:E$501,ROW(Calc!I198)-ROW(Calc!$B$7)))=0,"",INDEX(Database!E$9:E$501,ROW(Calc!I198)-ROW(Calc!$B$7))),"")</f>
        <v/>
      </c>
      <c r="L198" s="129" t="str">
        <f>IFERROR(IF(LEN(INDEX(Database!K$9:K$501,ROW(Calc!K198)-ROW(Calc!$B$7)))=0,$AD$3,INDEX(Database!K$9:K$501,ROW(Calc!K198)-ROW(Calc!$B$7))),"")</f>
        <v>Not Set</v>
      </c>
      <c r="M198" s="130" t="str">
        <f>IFERROR(IF(LEN(INDEX(Database!L$9:L$501,ROW(Calc!L198)-ROW(Calc!$B$7)))=0,$AD$3,INDEX(Database!L$9:L$501,ROW(Calc!L198)-ROW(Calc!$B$7))),"")</f>
        <v>Not Set</v>
      </c>
      <c r="N198" s="131" t="str">
        <f>IFERROR(IF(LEN(INDEX(Database!M$9:M$501,ROW(Calc!M198)-ROW(Calc!$B$7)))=0,"",INDEX(Database!M$9:M$501,ROW(Calc!M198)-ROW(Calc!$B$7))),"")</f>
        <v/>
      </c>
      <c r="O198" s="132" t="str">
        <f t="shared" si="27"/>
        <v/>
      </c>
      <c r="P198" s="125" t="str">
        <f t="shared" si="24"/>
        <v>Not Set</v>
      </c>
      <c r="Q198" s="125" t="str">
        <f t="shared" si="25"/>
        <v>Not Set</v>
      </c>
      <c r="R198" s="125" t="str">
        <f>IFERROR(IF(G198=$AD$3,$AD$3,INDEX(Kanban_Helper!$C$317:$C$328,MATCH(MONTH(G198),Kanban_Helper!$B$317:$B$328,0))&amp;" - "&amp;YEAR(G198)),"$AD$3")</f>
        <v>Not Set</v>
      </c>
      <c r="S198" s="125" t="str">
        <f>IFERROR(IF(I198=$AD$3,$AD$3,INDEX(Kanban_Helper!$C$317:$C$328,MATCH(MONTH(I198),Kanban_Helper!$B$317:$B$328,0))&amp;" - "&amp;YEAR(I198)),$AD$3)</f>
        <v>Not Set</v>
      </c>
      <c r="T198" s="125" t="str">
        <f t="shared" ca="1" si="28"/>
        <v/>
      </c>
      <c r="U198" s="125" t="str">
        <f t="shared" ca="1" si="29"/>
        <v/>
      </c>
      <c r="V198" s="125" t="str">
        <f t="shared" si="26"/>
        <v>Not Set</v>
      </c>
      <c r="W198" s="126" t="str">
        <f t="shared" si="30"/>
        <v/>
      </c>
      <c r="X198" s="126" t="str">
        <f t="shared" si="31"/>
        <v/>
      </c>
      <c r="Y198" s="125" t="str">
        <f>IFERROR(IF(LEN(D198)=0,"",IF(SUBTOTAL(3,E198:E198)=0,MIN($Y$7:Y197)-1,SUBTOTAL(3,$E$8:E198))),"")</f>
        <v/>
      </c>
      <c r="Z198" s="17"/>
      <c r="AA198" s="10"/>
      <c r="AB198" s="10"/>
      <c r="AC198" s="10"/>
      <c r="AD198" s="10"/>
      <c r="AE198" s="10"/>
      <c r="AF198" s="10"/>
      <c r="AG198" s="10"/>
      <c r="AH198" s="10"/>
      <c r="AI198" s="10"/>
      <c r="AJ198" s="10"/>
      <c r="AK198" s="10"/>
      <c r="AL198" s="10"/>
      <c r="AM198" s="10"/>
      <c r="AN198" s="10"/>
    </row>
    <row r="199" spans="2:40" hidden="1" x14ac:dyDescent="0.35">
      <c r="B199" s="15"/>
      <c r="C199" s="127" t="str">
        <f>IFERROR(IF(LEN(INDEX(Database!C$9:C$501,ROW(Calc!A199)-ROW(Calc!$B$7)))=0,"",INDEX(Database!C$9:C$501,ROW(Calc!A199)-ROW(Calc!$B$7))),"")</f>
        <v/>
      </c>
      <c r="D199" s="70" t="str">
        <f>IFERROR(IF(LEN(INDEX(Database!D$9:D$501,ROW(Calc!B199)-ROW(Calc!$B$7)))=0,"",INDEX(Database!D$9:D$501,ROW(Calc!B199)-ROW(Calc!$B$7))),"")</f>
        <v/>
      </c>
      <c r="E199" s="124" t="str">
        <f>IFERROR(IF(LEN(INDEX(Database!G$9:G$501,ROW(Calc!D199)-ROW(Calc!$B$7)))=0,$AD$3,INDEX(Database!G$9:G$501,ROW(Calc!D199)-ROW(Calc!$B$7))),"")</f>
        <v>Not Set</v>
      </c>
      <c r="F199" s="124" t="str">
        <f>IFERROR(IF(LEN(INDEX(Database!F$9:F$501,ROW(Calc!E199)-ROW(Calc!$B$7)))=0,$AD$3,INDEX(Database!F$9:F$501,ROW(Calc!E199)-ROW(Calc!$B$7))),"")</f>
        <v>Not Set</v>
      </c>
      <c r="G199" s="128" t="str">
        <f>IFERROR(IF(LEN(INDEX(Database!H$9:H$501,ROW(Calc!F199)-ROW(Calc!$B$7)))=0,$AD$3,INDEX(Database!H$9:H$501,ROW(Calc!F199)-ROW(Calc!$B$7))),"")</f>
        <v>Not Set</v>
      </c>
      <c r="H199" s="128" t="str">
        <f>IFERROR(IF(LEN(INDEX(Database!I$9:I$501,ROW(Calc!G199)-ROW(Calc!$B$7)))=0,$AD$3,INDEX(Database!I$9:I$501,ROW(Calc!G199)-ROW(Calc!$B$7))),"")</f>
        <v>Not Set</v>
      </c>
      <c r="I199" s="128" t="str">
        <f>IFERROR(IF(LEN(INDEX(Database!J$9:J$501,ROW(Calc!H199)-ROW(Calc!$B$7)))=0,$AD$3,INDEX(Database!J$9:J$501,ROW(Calc!H199)-ROW(Calc!$B$7))),"")</f>
        <v>Not Set</v>
      </c>
      <c r="J199" s="128" t="str">
        <f t="shared" si="23"/>
        <v>Not Set</v>
      </c>
      <c r="K199" s="124" t="str">
        <f>IFERROR(IF(LEN(INDEX(Database!E$9:E$501,ROW(Calc!I199)-ROW(Calc!$B$7)))=0,"",INDEX(Database!E$9:E$501,ROW(Calc!I199)-ROW(Calc!$B$7))),"")</f>
        <v/>
      </c>
      <c r="L199" s="129" t="str">
        <f>IFERROR(IF(LEN(INDEX(Database!K$9:K$501,ROW(Calc!K199)-ROW(Calc!$B$7)))=0,$AD$3,INDEX(Database!K$9:K$501,ROW(Calc!K199)-ROW(Calc!$B$7))),"")</f>
        <v>Not Set</v>
      </c>
      <c r="M199" s="130" t="str">
        <f>IFERROR(IF(LEN(INDEX(Database!L$9:L$501,ROW(Calc!L199)-ROW(Calc!$B$7)))=0,$AD$3,INDEX(Database!L$9:L$501,ROW(Calc!L199)-ROW(Calc!$B$7))),"")</f>
        <v>Not Set</v>
      </c>
      <c r="N199" s="131" t="str">
        <f>IFERROR(IF(LEN(INDEX(Database!M$9:M$501,ROW(Calc!M199)-ROW(Calc!$B$7)))=0,"",INDEX(Database!M$9:M$501,ROW(Calc!M199)-ROW(Calc!$B$7))),"")</f>
        <v/>
      </c>
      <c r="O199" s="132" t="str">
        <f t="shared" si="27"/>
        <v/>
      </c>
      <c r="P199" s="125" t="str">
        <f t="shared" si="24"/>
        <v>Not Set</v>
      </c>
      <c r="Q199" s="125" t="str">
        <f t="shared" si="25"/>
        <v>Not Set</v>
      </c>
      <c r="R199" s="125" t="str">
        <f>IFERROR(IF(G199=$AD$3,$AD$3,INDEX(Kanban_Helper!$C$317:$C$328,MATCH(MONTH(G199),Kanban_Helper!$B$317:$B$328,0))&amp;" - "&amp;YEAR(G199)),"$AD$3")</f>
        <v>Not Set</v>
      </c>
      <c r="S199" s="125" t="str">
        <f>IFERROR(IF(I199=$AD$3,$AD$3,INDEX(Kanban_Helper!$C$317:$C$328,MATCH(MONTH(I199),Kanban_Helper!$B$317:$B$328,0))&amp;" - "&amp;YEAR(I199)),$AD$3)</f>
        <v>Not Set</v>
      </c>
      <c r="T199" s="125" t="str">
        <f t="shared" ca="1" si="28"/>
        <v/>
      </c>
      <c r="U199" s="125" t="str">
        <f t="shared" ca="1" si="29"/>
        <v/>
      </c>
      <c r="V199" s="125" t="str">
        <f t="shared" si="26"/>
        <v>Not Set</v>
      </c>
      <c r="W199" s="126" t="str">
        <f t="shared" si="30"/>
        <v/>
      </c>
      <c r="X199" s="126" t="str">
        <f t="shared" si="31"/>
        <v/>
      </c>
      <c r="Y199" s="125" t="str">
        <f>IFERROR(IF(LEN(D199)=0,"",IF(SUBTOTAL(3,E199:E199)=0,MIN($Y$7:Y198)-1,SUBTOTAL(3,$E$8:E199))),"")</f>
        <v/>
      </c>
      <c r="Z199" s="17"/>
      <c r="AA199" s="10"/>
      <c r="AB199" s="10"/>
      <c r="AC199" s="10"/>
      <c r="AD199" s="10"/>
      <c r="AE199" s="10"/>
      <c r="AF199" s="10"/>
      <c r="AG199" s="10"/>
      <c r="AH199" s="10"/>
      <c r="AI199" s="10"/>
      <c r="AJ199" s="10"/>
      <c r="AK199" s="10"/>
      <c r="AL199" s="10"/>
      <c r="AM199" s="10"/>
      <c r="AN199" s="10"/>
    </row>
    <row r="200" spans="2:40" hidden="1" x14ac:dyDescent="0.35">
      <c r="B200" s="15"/>
      <c r="C200" s="127" t="str">
        <f>IFERROR(IF(LEN(INDEX(Database!C$9:C$501,ROW(Calc!A200)-ROW(Calc!$B$7)))=0,"",INDEX(Database!C$9:C$501,ROW(Calc!A200)-ROW(Calc!$B$7))),"")</f>
        <v/>
      </c>
      <c r="D200" s="70" t="str">
        <f>IFERROR(IF(LEN(INDEX(Database!D$9:D$501,ROW(Calc!B200)-ROW(Calc!$B$7)))=0,"",INDEX(Database!D$9:D$501,ROW(Calc!B200)-ROW(Calc!$B$7))),"")</f>
        <v/>
      </c>
      <c r="E200" s="124" t="str">
        <f>IFERROR(IF(LEN(INDEX(Database!G$9:G$501,ROW(Calc!D200)-ROW(Calc!$B$7)))=0,$AD$3,INDEX(Database!G$9:G$501,ROW(Calc!D200)-ROW(Calc!$B$7))),"")</f>
        <v>Not Set</v>
      </c>
      <c r="F200" s="124" t="str">
        <f>IFERROR(IF(LEN(INDEX(Database!F$9:F$501,ROW(Calc!E200)-ROW(Calc!$B$7)))=0,$AD$3,INDEX(Database!F$9:F$501,ROW(Calc!E200)-ROW(Calc!$B$7))),"")</f>
        <v>Not Set</v>
      </c>
      <c r="G200" s="128" t="str">
        <f>IFERROR(IF(LEN(INDEX(Database!H$9:H$501,ROW(Calc!F200)-ROW(Calc!$B$7)))=0,$AD$3,INDEX(Database!H$9:H$501,ROW(Calc!F200)-ROW(Calc!$B$7))),"")</f>
        <v>Not Set</v>
      </c>
      <c r="H200" s="128" t="str">
        <f>IFERROR(IF(LEN(INDEX(Database!I$9:I$501,ROW(Calc!G200)-ROW(Calc!$B$7)))=0,$AD$3,INDEX(Database!I$9:I$501,ROW(Calc!G200)-ROW(Calc!$B$7))),"")</f>
        <v>Not Set</v>
      </c>
      <c r="I200" s="128" t="str">
        <f>IFERROR(IF(LEN(INDEX(Database!J$9:J$501,ROW(Calc!H200)-ROW(Calc!$B$7)))=0,$AD$3,INDEX(Database!J$9:J$501,ROW(Calc!H200)-ROW(Calc!$B$7))),"")</f>
        <v>Not Set</v>
      </c>
      <c r="J200" s="128" t="str">
        <f t="shared" ref="J200:J263" si="32">IFERROR(IF(I200=$AD$3,$AD$3,CONCATENATE(DAY(I200),".",MONTH(I200),".",YEAR(I200))),"")</f>
        <v>Not Set</v>
      </c>
      <c r="K200" s="124" t="str">
        <f>IFERROR(IF(LEN(INDEX(Database!E$9:E$501,ROW(Calc!I200)-ROW(Calc!$B$7)))=0,"",INDEX(Database!E$9:E$501,ROW(Calc!I200)-ROW(Calc!$B$7))),"")</f>
        <v/>
      </c>
      <c r="L200" s="129" t="str">
        <f>IFERROR(IF(LEN(INDEX(Database!K$9:K$501,ROW(Calc!K200)-ROW(Calc!$B$7)))=0,$AD$3,INDEX(Database!K$9:K$501,ROW(Calc!K200)-ROW(Calc!$B$7))),"")</f>
        <v>Not Set</v>
      </c>
      <c r="M200" s="130" t="str">
        <f>IFERROR(IF(LEN(INDEX(Database!L$9:L$501,ROW(Calc!L200)-ROW(Calc!$B$7)))=0,$AD$3,INDEX(Database!L$9:L$501,ROW(Calc!L200)-ROW(Calc!$B$7))),"")</f>
        <v>Not Set</v>
      </c>
      <c r="N200" s="131" t="str">
        <f>IFERROR(IF(LEN(INDEX(Database!M$9:M$501,ROW(Calc!M200)-ROW(Calc!$B$7)))=0,"",INDEX(Database!M$9:M$501,ROW(Calc!M200)-ROW(Calc!$B$7))),"")</f>
        <v/>
      </c>
      <c r="O200" s="132" t="str">
        <f t="shared" si="27"/>
        <v/>
      </c>
      <c r="P200" s="125" t="str">
        <f t="shared" ref="P200:P263" si="33">IFERROR(IF(G200=$AD$3,$AD$3,MONTH(G200)),"")</f>
        <v>Not Set</v>
      </c>
      <c r="Q200" s="125" t="str">
        <f t="shared" ref="Q200:Q263" si="34">IFERROR(IF(I200=$AD$3,$AD$3,MONTH(I200)),"")</f>
        <v>Not Set</v>
      </c>
      <c r="R200" s="125" t="str">
        <f>IFERROR(IF(G200=$AD$3,$AD$3,INDEX(Kanban_Helper!$C$317:$C$328,MATCH(MONTH(G200),Kanban_Helper!$B$317:$B$328,0))&amp;" - "&amp;YEAR(G200)),"$AD$3")</f>
        <v>Not Set</v>
      </c>
      <c r="S200" s="125" t="str">
        <f>IFERROR(IF(I200=$AD$3,$AD$3,INDEX(Kanban_Helper!$C$317:$C$328,MATCH(MONTH(I200),Kanban_Helper!$B$317:$B$328,0))&amp;" - "&amp;YEAR(I200)),$AD$3)</f>
        <v>Not Set</v>
      </c>
      <c r="T200" s="125" t="str">
        <f t="shared" ca="1" si="28"/>
        <v/>
      </c>
      <c r="U200" s="125" t="str">
        <f t="shared" ca="1" si="29"/>
        <v/>
      </c>
      <c r="V200" s="125" t="str">
        <f t="shared" ref="V200:V263" si="35">IFERROR(IF(OR(G200=$AD$3,H200=$AD$3),$AD$3,IF(H200&lt;=I200,"No","Yes")),$AD$3)</f>
        <v>Not Set</v>
      </c>
      <c r="W200" s="126" t="str">
        <f t="shared" si="30"/>
        <v/>
      </c>
      <c r="X200" s="126" t="str">
        <f t="shared" si="31"/>
        <v/>
      </c>
      <c r="Y200" s="125" t="str">
        <f>IFERROR(IF(LEN(D200)=0,"",IF(SUBTOTAL(3,E200:E200)=0,MIN($Y$7:Y199)-1,SUBTOTAL(3,$E$8:E200))),"")</f>
        <v/>
      </c>
      <c r="Z200" s="17"/>
      <c r="AA200" s="10"/>
      <c r="AB200" s="10"/>
      <c r="AC200" s="10"/>
      <c r="AD200" s="10"/>
      <c r="AE200" s="10"/>
      <c r="AF200" s="10"/>
      <c r="AG200" s="10"/>
      <c r="AH200" s="10"/>
      <c r="AI200" s="10"/>
      <c r="AJ200" s="10"/>
      <c r="AK200" s="10"/>
      <c r="AL200" s="10"/>
      <c r="AM200" s="10"/>
      <c r="AN200" s="10"/>
    </row>
    <row r="201" spans="2:40" hidden="1" x14ac:dyDescent="0.35">
      <c r="B201" s="15"/>
      <c r="C201" s="127" t="str">
        <f>IFERROR(IF(LEN(INDEX(Database!C$9:C$501,ROW(Calc!A201)-ROW(Calc!$B$7)))=0,"",INDEX(Database!C$9:C$501,ROW(Calc!A201)-ROW(Calc!$B$7))),"")</f>
        <v/>
      </c>
      <c r="D201" s="70" t="str">
        <f>IFERROR(IF(LEN(INDEX(Database!D$9:D$501,ROW(Calc!B201)-ROW(Calc!$B$7)))=0,"",INDEX(Database!D$9:D$501,ROW(Calc!B201)-ROW(Calc!$B$7))),"")</f>
        <v/>
      </c>
      <c r="E201" s="124" t="str">
        <f>IFERROR(IF(LEN(INDEX(Database!G$9:G$501,ROW(Calc!D201)-ROW(Calc!$B$7)))=0,$AD$3,INDEX(Database!G$9:G$501,ROW(Calc!D201)-ROW(Calc!$B$7))),"")</f>
        <v>Not Set</v>
      </c>
      <c r="F201" s="124" t="str">
        <f>IFERROR(IF(LEN(INDEX(Database!F$9:F$501,ROW(Calc!E201)-ROW(Calc!$B$7)))=0,$AD$3,INDEX(Database!F$9:F$501,ROW(Calc!E201)-ROW(Calc!$B$7))),"")</f>
        <v>Not Set</v>
      </c>
      <c r="G201" s="128" t="str">
        <f>IFERROR(IF(LEN(INDEX(Database!H$9:H$501,ROW(Calc!F201)-ROW(Calc!$B$7)))=0,$AD$3,INDEX(Database!H$9:H$501,ROW(Calc!F201)-ROW(Calc!$B$7))),"")</f>
        <v>Not Set</v>
      </c>
      <c r="H201" s="128" t="str">
        <f>IFERROR(IF(LEN(INDEX(Database!I$9:I$501,ROW(Calc!G201)-ROW(Calc!$B$7)))=0,$AD$3,INDEX(Database!I$9:I$501,ROW(Calc!G201)-ROW(Calc!$B$7))),"")</f>
        <v>Not Set</v>
      </c>
      <c r="I201" s="128" t="str">
        <f>IFERROR(IF(LEN(INDEX(Database!J$9:J$501,ROW(Calc!H201)-ROW(Calc!$B$7)))=0,$AD$3,INDEX(Database!J$9:J$501,ROW(Calc!H201)-ROW(Calc!$B$7))),"")</f>
        <v>Not Set</v>
      </c>
      <c r="J201" s="128" t="str">
        <f t="shared" si="32"/>
        <v>Not Set</v>
      </c>
      <c r="K201" s="124" t="str">
        <f>IFERROR(IF(LEN(INDEX(Database!E$9:E$501,ROW(Calc!I201)-ROW(Calc!$B$7)))=0,"",INDEX(Database!E$9:E$501,ROW(Calc!I201)-ROW(Calc!$B$7))),"")</f>
        <v/>
      </c>
      <c r="L201" s="129" t="str">
        <f>IFERROR(IF(LEN(INDEX(Database!K$9:K$501,ROW(Calc!K201)-ROW(Calc!$B$7)))=0,$AD$3,INDEX(Database!K$9:K$501,ROW(Calc!K201)-ROW(Calc!$B$7))),"")</f>
        <v>Not Set</v>
      </c>
      <c r="M201" s="130" t="str">
        <f>IFERROR(IF(LEN(INDEX(Database!L$9:L$501,ROW(Calc!L201)-ROW(Calc!$B$7)))=0,$AD$3,INDEX(Database!L$9:L$501,ROW(Calc!L201)-ROW(Calc!$B$7))),"")</f>
        <v>Not Set</v>
      </c>
      <c r="N201" s="131" t="str">
        <f>IFERROR(IF(LEN(INDEX(Database!M$9:M$501,ROW(Calc!M201)-ROW(Calc!$B$7)))=0,"",INDEX(Database!M$9:M$501,ROW(Calc!M201)-ROW(Calc!$B$7))),"")</f>
        <v/>
      </c>
      <c r="O201" s="132" t="str">
        <f t="shared" ref="O201:O264" si="36">IFERROR(IF(LEN(D201)=0,"",ROW(D201)-ROW($D$7)),"")</f>
        <v/>
      </c>
      <c r="P201" s="125" t="str">
        <f t="shared" si="33"/>
        <v>Not Set</v>
      </c>
      <c r="Q201" s="125" t="str">
        <f t="shared" si="34"/>
        <v>Not Set</v>
      </c>
      <c r="R201" s="125" t="str">
        <f>IFERROR(IF(G201=$AD$3,$AD$3,INDEX(Kanban_Helper!$C$317:$C$328,MATCH(MONTH(G201),Kanban_Helper!$B$317:$B$328,0))&amp;" - "&amp;YEAR(G201)),"$AD$3")</f>
        <v>Not Set</v>
      </c>
      <c r="S201" s="125" t="str">
        <f>IFERROR(IF(I201=$AD$3,$AD$3,INDEX(Kanban_Helper!$C$317:$C$328,MATCH(MONTH(I201),Kanban_Helper!$B$317:$B$328,0))&amp;" - "&amp;YEAR(I201)),$AD$3)</f>
        <v>Not Set</v>
      </c>
      <c r="T201" s="125" t="str">
        <f t="shared" ref="T201:T264" ca="1" si="37">IFERROR(IF(LEN(G201)=0,"",IF(LEN(H201)=0,TODAY()-G201,H201-G201)),"")</f>
        <v/>
      </c>
      <c r="U201" s="125" t="str">
        <f t="shared" ref="U201:U264" ca="1" si="38">IFERROR(IF(LEN(I201)=0,"",IF(LEN(H201)=0,IF(TODAY()&gt;=I201,TODAY()-I201,""),IF(H201&gt;I201,H201-I201,""))),"")</f>
        <v/>
      </c>
      <c r="V201" s="125" t="str">
        <f t="shared" si="35"/>
        <v>Not Set</v>
      </c>
      <c r="W201" s="126" t="str">
        <f t="shared" ref="W201:W264" si="39">IFERROR(IF(OR(LEN(L201)=0,LEN(M201)=0),"",L201*M201),"")</f>
        <v/>
      </c>
      <c r="X201" s="126" t="str">
        <f t="shared" ref="X201:X264" si="40">IFERROR(IF(OR(LEN(W201)=0,LEN(M201)=0),"",M201-W201),"")</f>
        <v/>
      </c>
      <c r="Y201" s="125" t="str">
        <f>IFERROR(IF(LEN(D201)=0,"",IF(SUBTOTAL(3,E201:E201)=0,MIN($Y$7:Y200)-1,SUBTOTAL(3,$E$8:E201))),"")</f>
        <v/>
      </c>
      <c r="Z201" s="17"/>
      <c r="AA201" s="10"/>
      <c r="AB201" s="10"/>
      <c r="AC201" s="10"/>
      <c r="AD201" s="10"/>
      <c r="AE201" s="10"/>
      <c r="AF201" s="10"/>
      <c r="AG201" s="10"/>
      <c r="AH201" s="10"/>
      <c r="AI201" s="10"/>
      <c r="AJ201" s="10"/>
      <c r="AK201" s="10"/>
      <c r="AL201" s="10"/>
      <c r="AM201" s="10"/>
      <c r="AN201" s="10"/>
    </row>
    <row r="202" spans="2:40" hidden="1" x14ac:dyDescent="0.35">
      <c r="B202" s="15"/>
      <c r="C202" s="127" t="str">
        <f>IFERROR(IF(LEN(INDEX(Database!C$9:C$501,ROW(Calc!A202)-ROW(Calc!$B$7)))=0,"",INDEX(Database!C$9:C$501,ROW(Calc!A202)-ROW(Calc!$B$7))),"")</f>
        <v/>
      </c>
      <c r="D202" s="70" t="str">
        <f>IFERROR(IF(LEN(INDEX(Database!D$9:D$501,ROW(Calc!B202)-ROW(Calc!$B$7)))=0,"",INDEX(Database!D$9:D$501,ROW(Calc!B202)-ROW(Calc!$B$7))),"")</f>
        <v/>
      </c>
      <c r="E202" s="124" t="str">
        <f>IFERROR(IF(LEN(INDEX(Database!G$9:G$501,ROW(Calc!D202)-ROW(Calc!$B$7)))=0,$AD$3,INDEX(Database!G$9:G$501,ROW(Calc!D202)-ROW(Calc!$B$7))),"")</f>
        <v>Not Set</v>
      </c>
      <c r="F202" s="124" t="str">
        <f>IFERROR(IF(LEN(INDEX(Database!F$9:F$501,ROW(Calc!E202)-ROW(Calc!$B$7)))=0,$AD$3,INDEX(Database!F$9:F$501,ROW(Calc!E202)-ROW(Calc!$B$7))),"")</f>
        <v>Not Set</v>
      </c>
      <c r="G202" s="128" t="str">
        <f>IFERROR(IF(LEN(INDEX(Database!H$9:H$501,ROW(Calc!F202)-ROW(Calc!$B$7)))=0,$AD$3,INDEX(Database!H$9:H$501,ROW(Calc!F202)-ROW(Calc!$B$7))),"")</f>
        <v>Not Set</v>
      </c>
      <c r="H202" s="128" t="str">
        <f>IFERROR(IF(LEN(INDEX(Database!I$9:I$501,ROW(Calc!G202)-ROW(Calc!$B$7)))=0,$AD$3,INDEX(Database!I$9:I$501,ROW(Calc!G202)-ROW(Calc!$B$7))),"")</f>
        <v>Not Set</v>
      </c>
      <c r="I202" s="128" t="str">
        <f>IFERROR(IF(LEN(INDEX(Database!J$9:J$501,ROW(Calc!H202)-ROW(Calc!$B$7)))=0,$AD$3,INDEX(Database!J$9:J$501,ROW(Calc!H202)-ROW(Calc!$B$7))),"")</f>
        <v>Not Set</v>
      </c>
      <c r="J202" s="128" t="str">
        <f t="shared" si="32"/>
        <v>Not Set</v>
      </c>
      <c r="K202" s="124" t="str">
        <f>IFERROR(IF(LEN(INDEX(Database!E$9:E$501,ROW(Calc!I202)-ROW(Calc!$B$7)))=0,"",INDEX(Database!E$9:E$501,ROW(Calc!I202)-ROW(Calc!$B$7))),"")</f>
        <v/>
      </c>
      <c r="L202" s="129" t="str">
        <f>IFERROR(IF(LEN(INDEX(Database!K$9:K$501,ROW(Calc!K202)-ROW(Calc!$B$7)))=0,$AD$3,INDEX(Database!K$9:K$501,ROW(Calc!K202)-ROW(Calc!$B$7))),"")</f>
        <v>Not Set</v>
      </c>
      <c r="M202" s="130" t="str">
        <f>IFERROR(IF(LEN(INDEX(Database!L$9:L$501,ROW(Calc!L202)-ROW(Calc!$B$7)))=0,$AD$3,INDEX(Database!L$9:L$501,ROW(Calc!L202)-ROW(Calc!$B$7))),"")</f>
        <v>Not Set</v>
      </c>
      <c r="N202" s="131" t="str">
        <f>IFERROR(IF(LEN(INDEX(Database!M$9:M$501,ROW(Calc!M202)-ROW(Calc!$B$7)))=0,"",INDEX(Database!M$9:M$501,ROW(Calc!M202)-ROW(Calc!$B$7))),"")</f>
        <v/>
      </c>
      <c r="O202" s="132" t="str">
        <f t="shared" si="36"/>
        <v/>
      </c>
      <c r="P202" s="125" t="str">
        <f t="shared" si="33"/>
        <v>Not Set</v>
      </c>
      <c r="Q202" s="125" t="str">
        <f t="shared" si="34"/>
        <v>Not Set</v>
      </c>
      <c r="R202" s="125" t="str">
        <f>IFERROR(IF(G202=$AD$3,$AD$3,INDEX(Kanban_Helper!$C$317:$C$328,MATCH(MONTH(G202),Kanban_Helper!$B$317:$B$328,0))&amp;" - "&amp;YEAR(G202)),"$AD$3")</f>
        <v>Not Set</v>
      </c>
      <c r="S202" s="125" t="str">
        <f>IFERROR(IF(I202=$AD$3,$AD$3,INDEX(Kanban_Helper!$C$317:$C$328,MATCH(MONTH(I202),Kanban_Helper!$B$317:$B$328,0))&amp;" - "&amp;YEAR(I202)),$AD$3)</f>
        <v>Not Set</v>
      </c>
      <c r="T202" s="125" t="str">
        <f t="shared" ca="1" si="37"/>
        <v/>
      </c>
      <c r="U202" s="125" t="str">
        <f t="shared" ca="1" si="38"/>
        <v/>
      </c>
      <c r="V202" s="125" t="str">
        <f t="shared" si="35"/>
        <v>Not Set</v>
      </c>
      <c r="W202" s="126" t="str">
        <f t="shared" si="39"/>
        <v/>
      </c>
      <c r="X202" s="126" t="str">
        <f t="shared" si="40"/>
        <v/>
      </c>
      <c r="Y202" s="125" t="str">
        <f>IFERROR(IF(LEN(D202)=0,"",IF(SUBTOTAL(3,E202:E202)=0,MIN($Y$7:Y201)-1,SUBTOTAL(3,$E$8:E202))),"")</f>
        <v/>
      </c>
      <c r="Z202" s="17"/>
      <c r="AA202" s="10"/>
      <c r="AB202" s="10"/>
      <c r="AC202" s="10"/>
      <c r="AD202" s="10"/>
      <c r="AE202" s="10"/>
      <c r="AF202" s="10"/>
      <c r="AG202" s="10"/>
      <c r="AH202" s="10"/>
      <c r="AI202" s="10"/>
      <c r="AJ202" s="10"/>
      <c r="AK202" s="10"/>
      <c r="AL202" s="10"/>
      <c r="AM202" s="10"/>
      <c r="AN202" s="10"/>
    </row>
    <row r="203" spans="2:40" hidden="1" x14ac:dyDescent="0.35">
      <c r="B203" s="15"/>
      <c r="C203" s="127" t="str">
        <f>IFERROR(IF(LEN(INDEX(Database!C$9:C$501,ROW(Calc!A203)-ROW(Calc!$B$7)))=0,"",INDEX(Database!C$9:C$501,ROW(Calc!A203)-ROW(Calc!$B$7))),"")</f>
        <v/>
      </c>
      <c r="D203" s="70" t="str">
        <f>IFERROR(IF(LEN(INDEX(Database!D$9:D$501,ROW(Calc!B203)-ROW(Calc!$B$7)))=0,"",INDEX(Database!D$9:D$501,ROW(Calc!B203)-ROW(Calc!$B$7))),"")</f>
        <v/>
      </c>
      <c r="E203" s="124" t="str">
        <f>IFERROR(IF(LEN(INDEX(Database!G$9:G$501,ROW(Calc!D203)-ROW(Calc!$B$7)))=0,$AD$3,INDEX(Database!G$9:G$501,ROW(Calc!D203)-ROW(Calc!$B$7))),"")</f>
        <v>Not Set</v>
      </c>
      <c r="F203" s="124" t="str">
        <f>IFERROR(IF(LEN(INDEX(Database!F$9:F$501,ROW(Calc!E203)-ROW(Calc!$B$7)))=0,$AD$3,INDEX(Database!F$9:F$501,ROW(Calc!E203)-ROW(Calc!$B$7))),"")</f>
        <v>Not Set</v>
      </c>
      <c r="G203" s="128" t="str">
        <f>IFERROR(IF(LEN(INDEX(Database!H$9:H$501,ROW(Calc!F203)-ROW(Calc!$B$7)))=0,$AD$3,INDEX(Database!H$9:H$501,ROW(Calc!F203)-ROW(Calc!$B$7))),"")</f>
        <v>Not Set</v>
      </c>
      <c r="H203" s="128" t="str">
        <f>IFERROR(IF(LEN(INDEX(Database!I$9:I$501,ROW(Calc!G203)-ROW(Calc!$B$7)))=0,$AD$3,INDEX(Database!I$9:I$501,ROW(Calc!G203)-ROW(Calc!$B$7))),"")</f>
        <v>Not Set</v>
      </c>
      <c r="I203" s="128" t="str">
        <f>IFERROR(IF(LEN(INDEX(Database!J$9:J$501,ROW(Calc!H203)-ROW(Calc!$B$7)))=0,$AD$3,INDEX(Database!J$9:J$501,ROW(Calc!H203)-ROW(Calc!$B$7))),"")</f>
        <v>Not Set</v>
      </c>
      <c r="J203" s="128" t="str">
        <f t="shared" si="32"/>
        <v>Not Set</v>
      </c>
      <c r="K203" s="124" t="str">
        <f>IFERROR(IF(LEN(INDEX(Database!E$9:E$501,ROW(Calc!I203)-ROW(Calc!$B$7)))=0,"",INDEX(Database!E$9:E$501,ROW(Calc!I203)-ROW(Calc!$B$7))),"")</f>
        <v/>
      </c>
      <c r="L203" s="129" t="str">
        <f>IFERROR(IF(LEN(INDEX(Database!K$9:K$501,ROW(Calc!K203)-ROW(Calc!$B$7)))=0,$AD$3,INDEX(Database!K$9:K$501,ROW(Calc!K203)-ROW(Calc!$B$7))),"")</f>
        <v>Not Set</v>
      </c>
      <c r="M203" s="130" t="str">
        <f>IFERROR(IF(LEN(INDEX(Database!L$9:L$501,ROW(Calc!L203)-ROW(Calc!$B$7)))=0,$AD$3,INDEX(Database!L$9:L$501,ROW(Calc!L203)-ROW(Calc!$B$7))),"")</f>
        <v>Not Set</v>
      </c>
      <c r="N203" s="131" t="str">
        <f>IFERROR(IF(LEN(INDEX(Database!M$9:M$501,ROW(Calc!M203)-ROW(Calc!$B$7)))=0,"",INDEX(Database!M$9:M$501,ROW(Calc!M203)-ROW(Calc!$B$7))),"")</f>
        <v/>
      </c>
      <c r="O203" s="132" t="str">
        <f t="shared" si="36"/>
        <v/>
      </c>
      <c r="P203" s="125" t="str">
        <f t="shared" si="33"/>
        <v>Not Set</v>
      </c>
      <c r="Q203" s="125" t="str">
        <f t="shared" si="34"/>
        <v>Not Set</v>
      </c>
      <c r="R203" s="125" t="str">
        <f>IFERROR(IF(G203=$AD$3,$AD$3,INDEX(Kanban_Helper!$C$317:$C$328,MATCH(MONTH(G203),Kanban_Helper!$B$317:$B$328,0))&amp;" - "&amp;YEAR(G203)),"$AD$3")</f>
        <v>Not Set</v>
      </c>
      <c r="S203" s="125" t="str">
        <f>IFERROR(IF(I203=$AD$3,$AD$3,INDEX(Kanban_Helper!$C$317:$C$328,MATCH(MONTH(I203),Kanban_Helper!$B$317:$B$328,0))&amp;" - "&amp;YEAR(I203)),$AD$3)</f>
        <v>Not Set</v>
      </c>
      <c r="T203" s="125" t="str">
        <f t="shared" ca="1" si="37"/>
        <v/>
      </c>
      <c r="U203" s="125" t="str">
        <f t="shared" ca="1" si="38"/>
        <v/>
      </c>
      <c r="V203" s="125" t="str">
        <f t="shared" si="35"/>
        <v>Not Set</v>
      </c>
      <c r="W203" s="126" t="str">
        <f t="shared" si="39"/>
        <v/>
      </c>
      <c r="X203" s="126" t="str">
        <f t="shared" si="40"/>
        <v/>
      </c>
      <c r="Y203" s="125" t="str">
        <f>IFERROR(IF(LEN(D203)=0,"",IF(SUBTOTAL(3,E203:E203)=0,MIN($Y$7:Y202)-1,SUBTOTAL(3,$E$8:E203))),"")</f>
        <v/>
      </c>
      <c r="Z203" s="17"/>
      <c r="AA203" s="10"/>
      <c r="AB203" s="10"/>
      <c r="AC203" s="10"/>
      <c r="AD203" s="10"/>
      <c r="AE203" s="10"/>
      <c r="AF203" s="10"/>
      <c r="AG203" s="10"/>
      <c r="AH203" s="10"/>
      <c r="AI203" s="10"/>
      <c r="AJ203" s="10"/>
      <c r="AK203" s="10"/>
      <c r="AL203" s="10"/>
      <c r="AM203" s="10"/>
      <c r="AN203" s="10"/>
    </row>
    <row r="204" spans="2:40" hidden="1" x14ac:dyDescent="0.35">
      <c r="B204" s="15"/>
      <c r="C204" s="127" t="str">
        <f>IFERROR(IF(LEN(INDEX(Database!C$9:C$501,ROW(Calc!A204)-ROW(Calc!$B$7)))=0,"",INDEX(Database!C$9:C$501,ROW(Calc!A204)-ROW(Calc!$B$7))),"")</f>
        <v/>
      </c>
      <c r="D204" s="70" t="str">
        <f>IFERROR(IF(LEN(INDEX(Database!D$9:D$501,ROW(Calc!B204)-ROW(Calc!$B$7)))=0,"",INDEX(Database!D$9:D$501,ROW(Calc!B204)-ROW(Calc!$B$7))),"")</f>
        <v/>
      </c>
      <c r="E204" s="124" t="str">
        <f>IFERROR(IF(LEN(INDEX(Database!G$9:G$501,ROW(Calc!D204)-ROW(Calc!$B$7)))=0,$AD$3,INDEX(Database!G$9:G$501,ROW(Calc!D204)-ROW(Calc!$B$7))),"")</f>
        <v>Not Set</v>
      </c>
      <c r="F204" s="124" t="str">
        <f>IFERROR(IF(LEN(INDEX(Database!F$9:F$501,ROW(Calc!E204)-ROW(Calc!$B$7)))=0,$AD$3,INDEX(Database!F$9:F$501,ROW(Calc!E204)-ROW(Calc!$B$7))),"")</f>
        <v>Not Set</v>
      </c>
      <c r="G204" s="128" t="str">
        <f>IFERROR(IF(LEN(INDEX(Database!H$9:H$501,ROW(Calc!F204)-ROW(Calc!$B$7)))=0,$AD$3,INDEX(Database!H$9:H$501,ROW(Calc!F204)-ROW(Calc!$B$7))),"")</f>
        <v>Not Set</v>
      </c>
      <c r="H204" s="128" t="str">
        <f>IFERROR(IF(LEN(INDEX(Database!I$9:I$501,ROW(Calc!G204)-ROW(Calc!$B$7)))=0,$AD$3,INDEX(Database!I$9:I$501,ROW(Calc!G204)-ROW(Calc!$B$7))),"")</f>
        <v>Not Set</v>
      </c>
      <c r="I204" s="128" t="str">
        <f>IFERROR(IF(LEN(INDEX(Database!J$9:J$501,ROW(Calc!H204)-ROW(Calc!$B$7)))=0,$AD$3,INDEX(Database!J$9:J$501,ROW(Calc!H204)-ROW(Calc!$B$7))),"")</f>
        <v>Not Set</v>
      </c>
      <c r="J204" s="128" t="str">
        <f t="shared" si="32"/>
        <v>Not Set</v>
      </c>
      <c r="K204" s="124" t="str">
        <f>IFERROR(IF(LEN(INDEX(Database!E$9:E$501,ROW(Calc!I204)-ROW(Calc!$B$7)))=0,"",INDEX(Database!E$9:E$501,ROW(Calc!I204)-ROW(Calc!$B$7))),"")</f>
        <v/>
      </c>
      <c r="L204" s="129" t="str">
        <f>IFERROR(IF(LEN(INDEX(Database!K$9:K$501,ROW(Calc!K204)-ROW(Calc!$B$7)))=0,$AD$3,INDEX(Database!K$9:K$501,ROW(Calc!K204)-ROW(Calc!$B$7))),"")</f>
        <v>Not Set</v>
      </c>
      <c r="M204" s="130" t="str">
        <f>IFERROR(IF(LEN(INDEX(Database!L$9:L$501,ROW(Calc!L204)-ROW(Calc!$B$7)))=0,$AD$3,INDEX(Database!L$9:L$501,ROW(Calc!L204)-ROW(Calc!$B$7))),"")</f>
        <v>Not Set</v>
      </c>
      <c r="N204" s="131" t="str">
        <f>IFERROR(IF(LEN(INDEX(Database!M$9:M$501,ROW(Calc!M204)-ROW(Calc!$B$7)))=0,"",INDEX(Database!M$9:M$501,ROW(Calc!M204)-ROW(Calc!$B$7))),"")</f>
        <v/>
      </c>
      <c r="O204" s="132" t="str">
        <f t="shared" si="36"/>
        <v/>
      </c>
      <c r="P204" s="125" t="str">
        <f t="shared" si="33"/>
        <v>Not Set</v>
      </c>
      <c r="Q204" s="125" t="str">
        <f t="shared" si="34"/>
        <v>Not Set</v>
      </c>
      <c r="R204" s="125" t="str">
        <f>IFERROR(IF(G204=$AD$3,$AD$3,INDEX(Kanban_Helper!$C$317:$C$328,MATCH(MONTH(G204),Kanban_Helper!$B$317:$B$328,0))&amp;" - "&amp;YEAR(G204)),"$AD$3")</f>
        <v>Not Set</v>
      </c>
      <c r="S204" s="125" t="str">
        <f>IFERROR(IF(I204=$AD$3,$AD$3,INDEX(Kanban_Helper!$C$317:$C$328,MATCH(MONTH(I204),Kanban_Helper!$B$317:$B$328,0))&amp;" - "&amp;YEAR(I204)),$AD$3)</f>
        <v>Not Set</v>
      </c>
      <c r="T204" s="125" t="str">
        <f t="shared" ca="1" si="37"/>
        <v/>
      </c>
      <c r="U204" s="125" t="str">
        <f t="shared" ca="1" si="38"/>
        <v/>
      </c>
      <c r="V204" s="125" t="str">
        <f t="shared" si="35"/>
        <v>Not Set</v>
      </c>
      <c r="W204" s="126" t="str">
        <f t="shared" si="39"/>
        <v/>
      </c>
      <c r="X204" s="126" t="str">
        <f t="shared" si="40"/>
        <v/>
      </c>
      <c r="Y204" s="125" t="str">
        <f>IFERROR(IF(LEN(D204)=0,"",IF(SUBTOTAL(3,E204:E204)=0,MIN($Y$7:Y203)-1,SUBTOTAL(3,$E$8:E204))),"")</f>
        <v/>
      </c>
      <c r="Z204" s="17"/>
      <c r="AA204" s="10"/>
      <c r="AB204" s="10"/>
      <c r="AC204" s="10"/>
      <c r="AD204" s="10"/>
      <c r="AE204" s="10"/>
      <c r="AF204" s="10"/>
      <c r="AG204" s="10"/>
      <c r="AH204" s="10"/>
      <c r="AI204" s="10"/>
      <c r="AJ204" s="10"/>
      <c r="AK204" s="10"/>
      <c r="AL204" s="10"/>
      <c r="AM204" s="10"/>
      <c r="AN204" s="10"/>
    </row>
    <row r="205" spans="2:40" hidden="1" x14ac:dyDescent="0.35">
      <c r="B205" s="15"/>
      <c r="C205" s="127" t="str">
        <f>IFERROR(IF(LEN(INDEX(Database!C$9:C$501,ROW(Calc!A205)-ROW(Calc!$B$7)))=0,"",INDEX(Database!C$9:C$501,ROW(Calc!A205)-ROW(Calc!$B$7))),"")</f>
        <v/>
      </c>
      <c r="D205" s="70" t="str">
        <f>IFERROR(IF(LEN(INDEX(Database!D$9:D$501,ROW(Calc!B205)-ROW(Calc!$B$7)))=0,"",INDEX(Database!D$9:D$501,ROW(Calc!B205)-ROW(Calc!$B$7))),"")</f>
        <v/>
      </c>
      <c r="E205" s="124" t="str">
        <f>IFERROR(IF(LEN(INDEX(Database!G$9:G$501,ROW(Calc!D205)-ROW(Calc!$B$7)))=0,$AD$3,INDEX(Database!G$9:G$501,ROW(Calc!D205)-ROW(Calc!$B$7))),"")</f>
        <v>Not Set</v>
      </c>
      <c r="F205" s="124" t="str">
        <f>IFERROR(IF(LEN(INDEX(Database!F$9:F$501,ROW(Calc!E205)-ROW(Calc!$B$7)))=0,$AD$3,INDEX(Database!F$9:F$501,ROW(Calc!E205)-ROW(Calc!$B$7))),"")</f>
        <v>Not Set</v>
      </c>
      <c r="G205" s="128" t="str">
        <f>IFERROR(IF(LEN(INDEX(Database!H$9:H$501,ROW(Calc!F205)-ROW(Calc!$B$7)))=0,$AD$3,INDEX(Database!H$9:H$501,ROW(Calc!F205)-ROW(Calc!$B$7))),"")</f>
        <v>Not Set</v>
      </c>
      <c r="H205" s="128" t="str">
        <f>IFERROR(IF(LEN(INDEX(Database!I$9:I$501,ROW(Calc!G205)-ROW(Calc!$B$7)))=0,$AD$3,INDEX(Database!I$9:I$501,ROW(Calc!G205)-ROW(Calc!$B$7))),"")</f>
        <v>Not Set</v>
      </c>
      <c r="I205" s="128" t="str">
        <f>IFERROR(IF(LEN(INDEX(Database!J$9:J$501,ROW(Calc!H205)-ROW(Calc!$B$7)))=0,$AD$3,INDEX(Database!J$9:J$501,ROW(Calc!H205)-ROW(Calc!$B$7))),"")</f>
        <v>Not Set</v>
      </c>
      <c r="J205" s="128" t="str">
        <f t="shared" si="32"/>
        <v>Not Set</v>
      </c>
      <c r="K205" s="124" t="str">
        <f>IFERROR(IF(LEN(INDEX(Database!E$9:E$501,ROW(Calc!I205)-ROW(Calc!$B$7)))=0,"",INDEX(Database!E$9:E$501,ROW(Calc!I205)-ROW(Calc!$B$7))),"")</f>
        <v/>
      </c>
      <c r="L205" s="129" t="str">
        <f>IFERROR(IF(LEN(INDEX(Database!K$9:K$501,ROW(Calc!K205)-ROW(Calc!$B$7)))=0,$AD$3,INDEX(Database!K$9:K$501,ROW(Calc!K205)-ROW(Calc!$B$7))),"")</f>
        <v>Not Set</v>
      </c>
      <c r="M205" s="130" t="str">
        <f>IFERROR(IF(LEN(INDEX(Database!L$9:L$501,ROW(Calc!L205)-ROW(Calc!$B$7)))=0,$AD$3,INDEX(Database!L$9:L$501,ROW(Calc!L205)-ROW(Calc!$B$7))),"")</f>
        <v>Not Set</v>
      </c>
      <c r="N205" s="131" t="str">
        <f>IFERROR(IF(LEN(INDEX(Database!M$9:M$501,ROW(Calc!M205)-ROW(Calc!$B$7)))=0,"",INDEX(Database!M$9:M$501,ROW(Calc!M205)-ROW(Calc!$B$7))),"")</f>
        <v/>
      </c>
      <c r="O205" s="132" t="str">
        <f t="shared" si="36"/>
        <v/>
      </c>
      <c r="P205" s="125" t="str">
        <f t="shared" si="33"/>
        <v>Not Set</v>
      </c>
      <c r="Q205" s="125" t="str">
        <f t="shared" si="34"/>
        <v>Not Set</v>
      </c>
      <c r="R205" s="125" t="str">
        <f>IFERROR(IF(G205=$AD$3,$AD$3,INDEX(Kanban_Helper!$C$317:$C$328,MATCH(MONTH(G205),Kanban_Helper!$B$317:$B$328,0))&amp;" - "&amp;YEAR(G205)),"$AD$3")</f>
        <v>Not Set</v>
      </c>
      <c r="S205" s="125" t="str">
        <f>IFERROR(IF(I205=$AD$3,$AD$3,INDEX(Kanban_Helper!$C$317:$C$328,MATCH(MONTH(I205),Kanban_Helper!$B$317:$B$328,0))&amp;" - "&amp;YEAR(I205)),$AD$3)</f>
        <v>Not Set</v>
      </c>
      <c r="T205" s="125" t="str">
        <f t="shared" ca="1" si="37"/>
        <v/>
      </c>
      <c r="U205" s="125" t="str">
        <f t="shared" ca="1" si="38"/>
        <v/>
      </c>
      <c r="V205" s="125" t="str">
        <f t="shared" si="35"/>
        <v>Not Set</v>
      </c>
      <c r="W205" s="126" t="str">
        <f t="shared" si="39"/>
        <v/>
      </c>
      <c r="X205" s="126" t="str">
        <f t="shared" si="40"/>
        <v/>
      </c>
      <c r="Y205" s="125" t="str">
        <f>IFERROR(IF(LEN(D205)=0,"",IF(SUBTOTAL(3,E205:E205)=0,MIN($Y$7:Y204)-1,SUBTOTAL(3,$E$8:E205))),"")</f>
        <v/>
      </c>
      <c r="Z205" s="17"/>
      <c r="AA205" s="10"/>
      <c r="AB205" s="10"/>
      <c r="AC205" s="10"/>
      <c r="AD205" s="10"/>
      <c r="AE205" s="10"/>
      <c r="AF205" s="10"/>
      <c r="AG205" s="10"/>
      <c r="AH205" s="10"/>
      <c r="AI205" s="10"/>
      <c r="AJ205" s="10"/>
      <c r="AK205" s="10"/>
      <c r="AL205" s="10"/>
      <c r="AM205" s="10"/>
      <c r="AN205" s="10"/>
    </row>
    <row r="206" spans="2:40" hidden="1" x14ac:dyDescent="0.35">
      <c r="B206" s="15"/>
      <c r="C206" s="127" t="str">
        <f>IFERROR(IF(LEN(INDEX(Database!C$9:C$501,ROW(Calc!A206)-ROW(Calc!$B$7)))=0,"",INDEX(Database!C$9:C$501,ROW(Calc!A206)-ROW(Calc!$B$7))),"")</f>
        <v/>
      </c>
      <c r="D206" s="70" t="str">
        <f>IFERROR(IF(LEN(INDEX(Database!D$9:D$501,ROW(Calc!B206)-ROW(Calc!$B$7)))=0,"",INDEX(Database!D$9:D$501,ROW(Calc!B206)-ROW(Calc!$B$7))),"")</f>
        <v/>
      </c>
      <c r="E206" s="124" t="str">
        <f>IFERROR(IF(LEN(INDEX(Database!G$9:G$501,ROW(Calc!D206)-ROW(Calc!$B$7)))=0,$AD$3,INDEX(Database!G$9:G$501,ROW(Calc!D206)-ROW(Calc!$B$7))),"")</f>
        <v>Not Set</v>
      </c>
      <c r="F206" s="124" t="str">
        <f>IFERROR(IF(LEN(INDEX(Database!F$9:F$501,ROW(Calc!E206)-ROW(Calc!$B$7)))=0,$AD$3,INDEX(Database!F$9:F$501,ROW(Calc!E206)-ROW(Calc!$B$7))),"")</f>
        <v>Not Set</v>
      </c>
      <c r="G206" s="128" t="str">
        <f>IFERROR(IF(LEN(INDEX(Database!H$9:H$501,ROW(Calc!F206)-ROW(Calc!$B$7)))=0,$AD$3,INDEX(Database!H$9:H$501,ROW(Calc!F206)-ROW(Calc!$B$7))),"")</f>
        <v>Not Set</v>
      </c>
      <c r="H206" s="128" t="str">
        <f>IFERROR(IF(LEN(INDEX(Database!I$9:I$501,ROW(Calc!G206)-ROW(Calc!$B$7)))=0,$AD$3,INDEX(Database!I$9:I$501,ROW(Calc!G206)-ROW(Calc!$B$7))),"")</f>
        <v>Not Set</v>
      </c>
      <c r="I206" s="128" t="str">
        <f>IFERROR(IF(LEN(INDEX(Database!J$9:J$501,ROW(Calc!H206)-ROW(Calc!$B$7)))=0,$AD$3,INDEX(Database!J$9:J$501,ROW(Calc!H206)-ROW(Calc!$B$7))),"")</f>
        <v>Not Set</v>
      </c>
      <c r="J206" s="128" t="str">
        <f t="shared" si="32"/>
        <v>Not Set</v>
      </c>
      <c r="K206" s="124" t="str">
        <f>IFERROR(IF(LEN(INDEX(Database!E$9:E$501,ROW(Calc!I206)-ROW(Calc!$B$7)))=0,"",INDEX(Database!E$9:E$501,ROW(Calc!I206)-ROW(Calc!$B$7))),"")</f>
        <v/>
      </c>
      <c r="L206" s="129" t="str">
        <f>IFERROR(IF(LEN(INDEX(Database!K$9:K$501,ROW(Calc!K206)-ROW(Calc!$B$7)))=0,$AD$3,INDEX(Database!K$9:K$501,ROW(Calc!K206)-ROW(Calc!$B$7))),"")</f>
        <v>Not Set</v>
      </c>
      <c r="M206" s="130" t="str">
        <f>IFERROR(IF(LEN(INDEX(Database!L$9:L$501,ROW(Calc!L206)-ROW(Calc!$B$7)))=0,$AD$3,INDEX(Database!L$9:L$501,ROW(Calc!L206)-ROW(Calc!$B$7))),"")</f>
        <v>Not Set</v>
      </c>
      <c r="N206" s="131" t="str">
        <f>IFERROR(IF(LEN(INDEX(Database!M$9:M$501,ROW(Calc!M206)-ROW(Calc!$B$7)))=0,"",INDEX(Database!M$9:M$501,ROW(Calc!M206)-ROW(Calc!$B$7))),"")</f>
        <v/>
      </c>
      <c r="O206" s="132" t="str">
        <f t="shared" si="36"/>
        <v/>
      </c>
      <c r="P206" s="125" t="str">
        <f t="shared" si="33"/>
        <v>Not Set</v>
      </c>
      <c r="Q206" s="125" t="str">
        <f t="shared" si="34"/>
        <v>Not Set</v>
      </c>
      <c r="R206" s="125" t="str">
        <f>IFERROR(IF(G206=$AD$3,$AD$3,INDEX(Kanban_Helper!$C$317:$C$328,MATCH(MONTH(G206),Kanban_Helper!$B$317:$B$328,0))&amp;" - "&amp;YEAR(G206)),"$AD$3")</f>
        <v>Not Set</v>
      </c>
      <c r="S206" s="125" t="str">
        <f>IFERROR(IF(I206=$AD$3,$AD$3,INDEX(Kanban_Helper!$C$317:$C$328,MATCH(MONTH(I206),Kanban_Helper!$B$317:$B$328,0))&amp;" - "&amp;YEAR(I206)),$AD$3)</f>
        <v>Not Set</v>
      </c>
      <c r="T206" s="125" t="str">
        <f t="shared" ca="1" si="37"/>
        <v/>
      </c>
      <c r="U206" s="125" t="str">
        <f t="shared" ca="1" si="38"/>
        <v/>
      </c>
      <c r="V206" s="125" t="str">
        <f t="shared" si="35"/>
        <v>Not Set</v>
      </c>
      <c r="W206" s="126" t="str">
        <f t="shared" si="39"/>
        <v/>
      </c>
      <c r="X206" s="126" t="str">
        <f t="shared" si="40"/>
        <v/>
      </c>
      <c r="Y206" s="125" t="str">
        <f>IFERROR(IF(LEN(D206)=0,"",IF(SUBTOTAL(3,E206:E206)=0,MIN($Y$7:Y205)-1,SUBTOTAL(3,$E$8:E206))),"")</f>
        <v/>
      </c>
      <c r="Z206" s="17"/>
      <c r="AA206" s="10"/>
      <c r="AB206" s="10"/>
      <c r="AC206" s="10"/>
      <c r="AD206" s="10"/>
      <c r="AE206" s="10"/>
      <c r="AF206" s="10"/>
      <c r="AG206" s="10"/>
      <c r="AH206" s="10"/>
      <c r="AI206" s="10"/>
      <c r="AJ206" s="10"/>
      <c r="AK206" s="10"/>
      <c r="AL206" s="10"/>
      <c r="AM206" s="10"/>
      <c r="AN206" s="10"/>
    </row>
    <row r="207" spans="2:40" hidden="1" x14ac:dyDescent="0.35">
      <c r="B207" s="15"/>
      <c r="C207" s="127" t="str">
        <f>IFERROR(IF(LEN(INDEX(Database!C$9:C$501,ROW(Calc!A207)-ROW(Calc!$B$7)))=0,"",INDEX(Database!C$9:C$501,ROW(Calc!A207)-ROW(Calc!$B$7))),"")</f>
        <v/>
      </c>
      <c r="D207" s="70" t="str">
        <f>IFERROR(IF(LEN(INDEX(Database!D$9:D$501,ROW(Calc!B207)-ROW(Calc!$B$7)))=0,"",INDEX(Database!D$9:D$501,ROW(Calc!B207)-ROW(Calc!$B$7))),"")</f>
        <v/>
      </c>
      <c r="E207" s="124" t="str">
        <f>IFERROR(IF(LEN(INDEX(Database!G$9:G$501,ROW(Calc!D207)-ROW(Calc!$B$7)))=0,$AD$3,INDEX(Database!G$9:G$501,ROW(Calc!D207)-ROW(Calc!$B$7))),"")</f>
        <v>Not Set</v>
      </c>
      <c r="F207" s="124" t="str">
        <f>IFERROR(IF(LEN(INDEX(Database!F$9:F$501,ROW(Calc!E207)-ROW(Calc!$B$7)))=0,$AD$3,INDEX(Database!F$9:F$501,ROW(Calc!E207)-ROW(Calc!$B$7))),"")</f>
        <v>Not Set</v>
      </c>
      <c r="G207" s="128" t="str">
        <f>IFERROR(IF(LEN(INDEX(Database!H$9:H$501,ROW(Calc!F207)-ROW(Calc!$B$7)))=0,$AD$3,INDEX(Database!H$9:H$501,ROW(Calc!F207)-ROW(Calc!$B$7))),"")</f>
        <v>Not Set</v>
      </c>
      <c r="H207" s="128" t="str">
        <f>IFERROR(IF(LEN(INDEX(Database!I$9:I$501,ROW(Calc!G207)-ROW(Calc!$B$7)))=0,$AD$3,INDEX(Database!I$9:I$501,ROW(Calc!G207)-ROW(Calc!$B$7))),"")</f>
        <v>Not Set</v>
      </c>
      <c r="I207" s="128" t="str">
        <f>IFERROR(IF(LEN(INDEX(Database!J$9:J$501,ROW(Calc!H207)-ROW(Calc!$B$7)))=0,$AD$3,INDEX(Database!J$9:J$501,ROW(Calc!H207)-ROW(Calc!$B$7))),"")</f>
        <v>Not Set</v>
      </c>
      <c r="J207" s="128" t="str">
        <f t="shared" si="32"/>
        <v>Not Set</v>
      </c>
      <c r="K207" s="124" t="str">
        <f>IFERROR(IF(LEN(INDEX(Database!E$9:E$501,ROW(Calc!I207)-ROW(Calc!$B$7)))=0,"",INDEX(Database!E$9:E$501,ROW(Calc!I207)-ROW(Calc!$B$7))),"")</f>
        <v/>
      </c>
      <c r="L207" s="129" t="str">
        <f>IFERROR(IF(LEN(INDEX(Database!K$9:K$501,ROW(Calc!K207)-ROW(Calc!$B$7)))=0,$AD$3,INDEX(Database!K$9:K$501,ROW(Calc!K207)-ROW(Calc!$B$7))),"")</f>
        <v>Not Set</v>
      </c>
      <c r="M207" s="130" t="str">
        <f>IFERROR(IF(LEN(INDEX(Database!L$9:L$501,ROW(Calc!L207)-ROW(Calc!$B$7)))=0,$AD$3,INDEX(Database!L$9:L$501,ROW(Calc!L207)-ROW(Calc!$B$7))),"")</f>
        <v>Not Set</v>
      </c>
      <c r="N207" s="131" t="str">
        <f>IFERROR(IF(LEN(INDEX(Database!M$9:M$501,ROW(Calc!M207)-ROW(Calc!$B$7)))=0,"",INDEX(Database!M$9:M$501,ROW(Calc!M207)-ROW(Calc!$B$7))),"")</f>
        <v/>
      </c>
      <c r="O207" s="132" t="str">
        <f t="shared" si="36"/>
        <v/>
      </c>
      <c r="P207" s="125" t="str">
        <f t="shared" si="33"/>
        <v>Not Set</v>
      </c>
      <c r="Q207" s="125" t="str">
        <f t="shared" si="34"/>
        <v>Not Set</v>
      </c>
      <c r="R207" s="125" t="str">
        <f>IFERROR(IF(G207=$AD$3,$AD$3,INDEX(Kanban_Helper!$C$317:$C$328,MATCH(MONTH(G207),Kanban_Helper!$B$317:$B$328,0))&amp;" - "&amp;YEAR(G207)),"$AD$3")</f>
        <v>Not Set</v>
      </c>
      <c r="S207" s="125" t="str">
        <f>IFERROR(IF(I207=$AD$3,$AD$3,INDEX(Kanban_Helper!$C$317:$C$328,MATCH(MONTH(I207),Kanban_Helper!$B$317:$B$328,0))&amp;" - "&amp;YEAR(I207)),$AD$3)</f>
        <v>Not Set</v>
      </c>
      <c r="T207" s="125" t="str">
        <f t="shared" ca="1" si="37"/>
        <v/>
      </c>
      <c r="U207" s="125" t="str">
        <f t="shared" ca="1" si="38"/>
        <v/>
      </c>
      <c r="V207" s="125" t="str">
        <f t="shared" si="35"/>
        <v>Not Set</v>
      </c>
      <c r="W207" s="126" t="str">
        <f t="shared" si="39"/>
        <v/>
      </c>
      <c r="X207" s="126" t="str">
        <f t="shared" si="40"/>
        <v/>
      </c>
      <c r="Y207" s="125" t="str">
        <f>IFERROR(IF(LEN(D207)=0,"",IF(SUBTOTAL(3,E207:E207)=0,MIN($Y$7:Y206)-1,SUBTOTAL(3,$E$8:E207))),"")</f>
        <v/>
      </c>
      <c r="Z207" s="17"/>
      <c r="AA207" s="10"/>
      <c r="AB207" s="10"/>
      <c r="AC207" s="10"/>
      <c r="AD207" s="10"/>
      <c r="AE207" s="10"/>
      <c r="AF207" s="10"/>
      <c r="AG207" s="10"/>
      <c r="AH207" s="10"/>
      <c r="AI207" s="10"/>
      <c r="AJ207" s="10"/>
      <c r="AK207" s="10"/>
      <c r="AL207" s="10"/>
      <c r="AM207" s="10"/>
      <c r="AN207" s="10"/>
    </row>
    <row r="208" spans="2:40" hidden="1" x14ac:dyDescent="0.35">
      <c r="B208" s="15"/>
      <c r="C208" s="127" t="str">
        <f>IFERROR(IF(LEN(INDEX(Database!C$9:C$501,ROW(Calc!A208)-ROW(Calc!$B$7)))=0,"",INDEX(Database!C$9:C$501,ROW(Calc!A208)-ROW(Calc!$B$7))),"")</f>
        <v/>
      </c>
      <c r="D208" s="70" t="str">
        <f>IFERROR(IF(LEN(INDEX(Database!D$9:D$501,ROW(Calc!B208)-ROW(Calc!$B$7)))=0,"",INDEX(Database!D$9:D$501,ROW(Calc!B208)-ROW(Calc!$B$7))),"")</f>
        <v/>
      </c>
      <c r="E208" s="124" t="str">
        <f>IFERROR(IF(LEN(INDEX(Database!G$9:G$501,ROW(Calc!D208)-ROW(Calc!$B$7)))=0,$AD$3,INDEX(Database!G$9:G$501,ROW(Calc!D208)-ROW(Calc!$B$7))),"")</f>
        <v>Not Set</v>
      </c>
      <c r="F208" s="124" t="str">
        <f>IFERROR(IF(LEN(INDEX(Database!F$9:F$501,ROW(Calc!E208)-ROW(Calc!$B$7)))=0,$AD$3,INDEX(Database!F$9:F$501,ROW(Calc!E208)-ROW(Calc!$B$7))),"")</f>
        <v>Not Set</v>
      </c>
      <c r="G208" s="128" t="str">
        <f>IFERROR(IF(LEN(INDEX(Database!H$9:H$501,ROW(Calc!F208)-ROW(Calc!$B$7)))=0,$AD$3,INDEX(Database!H$9:H$501,ROW(Calc!F208)-ROW(Calc!$B$7))),"")</f>
        <v>Not Set</v>
      </c>
      <c r="H208" s="128" t="str">
        <f>IFERROR(IF(LEN(INDEX(Database!I$9:I$501,ROW(Calc!G208)-ROW(Calc!$B$7)))=0,$AD$3,INDEX(Database!I$9:I$501,ROW(Calc!G208)-ROW(Calc!$B$7))),"")</f>
        <v>Not Set</v>
      </c>
      <c r="I208" s="128" t="str">
        <f>IFERROR(IF(LEN(INDEX(Database!J$9:J$501,ROW(Calc!H208)-ROW(Calc!$B$7)))=0,$AD$3,INDEX(Database!J$9:J$501,ROW(Calc!H208)-ROW(Calc!$B$7))),"")</f>
        <v>Not Set</v>
      </c>
      <c r="J208" s="128" t="str">
        <f t="shared" si="32"/>
        <v>Not Set</v>
      </c>
      <c r="K208" s="124" t="str">
        <f>IFERROR(IF(LEN(INDEX(Database!E$9:E$501,ROW(Calc!I208)-ROW(Calc!$B$7)))=0,"",INDEX(Database!E$9:E$501,ROW(Calc!I208)-ROW(Calc!$B$7))),"")</f>
        <v/>
      </c>
      <c r="L208" s="129" t="str">
        <f>IFERROR(IF(LEN(INDEX(Database!K$9:K$501,ROW(Calc!K208)-ROW(Calc!$B$7)))=0,$AD$3,INDEX(Database!K$9:K$501,ROW(Calc!K208)-ROW(Calc!$B$7))),"")</f>
        <v>Not Set</v>
      </c>
      <c r="M208" s="130" t="str">
        <f>IFERROR(IF(LEN(INDEX(Database!L$9:L$501,ROW(Calc!L208)-ROW(Calc!$B$7)))=0,$AD$3,INDEX(Database!L$9:L$501,ROW(Calc!L208)-ROW(Calc!$B$7))),"")</f>
        <v>Not Set</v>
      </c>
      <c r="N208" s="131" t="str">
        <f>IFERROR(IF(LEN(INDEX(Database!M$9:M$501,ROW(Calc!M208)-ROW(Calc!$B$7)))=0,"",INDEX(Database!M$9:M$501,ROW(Calc!M208)-ROW(Calc!$B$7))),"")</f>
        <v/>
      </c>
      <c r="O208" s="132" t="str">
        <f t="shared" si="36"/>
        <v/>
      </c>
      <c r="P208" s="125" t="str">
        <f t="shared" si="33"/>
        <v>Not Set</v>
      </c>
      <c r="Q208" s="125" t="str">
        <f t="shared" si="34"/>
        <v>Not Set</v>
      </c>
      <c r="R208" s="125" t="str">
        <f>IFERROR(IF(G208=$AD$3,$AD$3,INDEX(Kanban_Helper!$C$317:$C$328,MATCH(MONTH(G208),Kanban_Helper!$B$317:$B$328,0))&amp;" - "&amp;YEAR(G208)),"$AD$3")</f>
        <v>Not Set</v>
      </c>
      <c r="S208" s="125" t="str">
        <f>IFERROR(IF(I208=$AD$3,$AD$3,INDEX(Kanban_Helper!$C$317:$C$328,MATCH(MONTH(I208),Kanban_Helper!$B$317:$B$328,0))&amp;" - "&amp;YEAR(I208)),$AD$3)</f>
        <v>Not Set</v>
      </c>
      <c r="T208" s="125" t="str">
        <f t="shared" ca="1" si="37"/>
        <v/>
      </c>
      <c r="U208" s="125" t="str">
        <f t="shared" ca="1" si="38"/>
        <v/>
      </c>
      <c r="V208" s="125" t="str">
        <f t="shared" si="35"/>
        <v>Not Set</v>
      </c>
      <c r="W208" s="126" t="str">
        <f t="shared" si="39"/>
        <v/>
      </c>
      <c r="X208" s="126" t="str">
        <f t="shared" si="40"/>
        <v/>
      </c>
      <c r="Y208" s="125" t="str">
        <f>IFERROR(IF(LEN(D208)=0,"",IF(SUBTOTAL(3,E208:E208)=0,MIN($Y$7:Y207)-1,SUBTOTAL(3,$E$8:E208))),"")</f>
        <v/>
      </c>
      <c r="Z208" s="17"/>
      <c r="AA208" s="10"/>
      <c r="AB208" s="10"/>
      <c r="AC208" s="10"/>
      <c r="AD208" s="10"/>
      <c r="AE208" s="10"/>
      <c r="AF208" s="10"/>
      <c r="AG208" s="10"/>
      <c r="AH208" s="10"/>
      <c r="AI208" s="10"/>
      <c r="AJ208" s="10"/>
      <c r="AK208" s="10"/>
      <c r="AL208" s="10"/>
      <c r="AM208" s="10"/>
      <c r="AN208" s="10"/>
    </row>
    <row r="209" spans="2:40" hidden="1" x14ac:dyDescent="0.35">
      <c r="B209" s="15"/>
      <c r="C209" s="127" t="str">
        <f>IFERROR(IF(LEN(INDEX(Database!C$9:C$501,ROW(Calc!A209)-ROW(Calc!$B$7)))=0,"",INDEX(Database!C$9:C$501,ROW(Calc!A209)-ROW(Calc!$B$7))),"")</f>
        <v/>
      </c>
      <c r="D209" s="70" t="str">
        <f>IFERROR(IF(LEN(INDEX(Database!D$9:D$501,ROW(Calc!B209)-ROW(Calc!$B$7)))=0,"",INDEX(Database!D$9:D$501,ROW(Calc!B209)-ROW(Calc!$B$7))),"")</f>
        <v/>
      </c>
      <c r="E209" s="124" t="str">
        <f>IFERROR(IF(LEN(INDEX(Database!G$9:G$501,ROW(Calc!D209)-ROW(Calc!$B$7)))=0,$AD$3,INDEX(Database!G$9:G$501,ROW(Calc!D209)-ROW(Calc!$B$7))),"")</f>
        <v>Not Set</v>
      </c>
      <c r="F209" s="124" t="str">
        <f>IFERROR(IF(LEN(INDEX(Database!F$9:F$501,ROW(Calc!E209)-ROW(Calc!$B$7)))=0,$AD$3,INDEX(Database!F$9:F$501,ROW(Calc!E209)-ROW(Calc!$B$7))),"")</f>
        <v>Not Set</v>
      </c>
      <c r="G209" s="128" t="str">
        <f>IFERROR(IF(LEN(INDEX(Database!H$9:H$501,ROW(Calc!F209)-ROW(Calc!$B$7)))=0,$AD$3,INDEX(Database!H$9:H$501,ROW(Calc!F209)-ROW(Calc!$B$7))),"")</f>
        <v>Not Set</v>
      </c>
      <c r="H209" s="128" t="str">
        <f>IFERROR(IF(LEN(INDEX(Database!I$9:I$501,ROW(Calc!G209)-ROW(Calc!$B$7)))=0,$AD$3,INDEX(Database!I$9:I$501,ROW(Calc!G209)-ROW(Calc!$B$7))),"")</f>
        <v>Not Set</v>
      </c>
      <c r="I209" s="128" t="str">
        <f>IFERROR(IF(LEN(INDEX(Database!J$9:J$501,ROW(Calc!H209)-ROW(Calc!$B$7)))=0,$AD$3,INDEX(Database!J$9:J$501,ROW(Calc!H209)-ROW(Calc!$B$7))),"")</f>
        <v>Not Set</v>
      </c>
      <c r="J209" s="128" t="str">
        <f t="shared" si="32"/>
        <v>Not Set</v>
      </c>
      <c r="K209" s="124" t="str">
        <f>IFERROR(IF(LEN(INDEX(Database!E$9:E$501,ROW(Calc!I209)-ROW(Calc!$B$7)))=0,"",INDEX(Database!E$9:E$501,ROW(Calc!I209)-ROW(Calc!$B$7))),"")</f>
        <v/>
      </c>
      <c r="L209" s="129" t="str">
        <f>IFERROR(IF(LEN(INDEX(Database!K$9:K$501,ROW(Calc!K209)-ROW(Calc!$B$7)))=0,$AD$3,INDEX(Database!K$9:K$501,ROW(Calc!K209)-ROW(Calc!$B$7))),"")</f>
        <v>Not Set</v>
      </c>
      <c r="M209" s="130" t="str">
        <f>IFERROR(IF(LEN(INDEX(Database!L$9:L$501,ROW(Calc!L209)-ROW(Calc!$B$7)))=0,$AD$3,INDEX(Database!L$9:L$501,ROW(Calc!L209)-ROW(Calc!$B$7))),"")</f>
        <v>Not Set</v>
      </c>
      <c r="N209" s="131" t="str">
        <f>IFERROR(IF(LEN(INDEX(Database!M$9:M$501,ROW(Calc!M209)-ROW(Calc!$B$7)))=0,"",INDEX(Database!M$9:M$501,ROW(Calc!M209)-ROW(Calc!$B$7))),"")</f>
        <v/>
      </c>
      <c r="O209" s="132" t="str">
        <f t="shared" si="36"/>
        <v/>
      </c>
      <c r="P209" s="125" t="str">
        <f t="shared" si="33"/>
        <v>Not Set</v>
      </c>
      <c r="Q209" s="125" t="str">
        <f t="shared" si="34"/>
        <v>Not Set</v>
      </c>
      <c r="R209" s="125" t="str">
        <f>IFERROR(IF(G209=$AD$3,$AD$3,INDEX(Kanban_Helper!$C$317:$C$328,MATCH(MONTH(G209),Kanban_Helper!$B$317:$B$328,0))&amp;" - "&amp;YEAR(G209)),"$AD$3")</f>
        <v>Not Set</v>
      </c>
      <c r="S209" s="125" t="str">
        <f>IFERROR(IF(I209=$AD$3,$AD$3,INDEX(Kanban_Helper!$C$317:$C$328,MATCH(MONTH(I209),Kanban_Helper!$B$317:$B$328,0))&amp;" - "&amp;YEAR(I209)),$AD$3)</f>
        <v>Not Set</v>
      </c>
      <c r="T209" s="125" t="str">
        <f t="shared" ca="1" si="37"/>
        <v/>
      </c>
      <c r="U209" s="125" t="str">
        <f t="shared" ca="1" si="38"/>
        <v/>
      </c>
      <c r="V209" s="125" t="str">
        <f t="shared" si="35"/>
        <v>Not Set</v>
      </c>
      <c r="W209" s="126" t="str">
        <f t="shared" si="39"/>
        <v/>
      </c>
      <c r="X209" s="126" t="str">
        <f t="shared" si="40"/>
        <v/>
      </c>
      <c r="Y209" s="125" t="str">
        <f>IFERROR(IF(LEN(D209)=0,"",IF(SUBTOTAL(3,E209:E209)=0,MIN($Y$7:Y208)-1,SUBTOTAL(3,$E$8:E209))),"")</f>
        <v/>
      </c>
      <c r="Z209" s="17"/>
      <c r="AA209" s="10"/>
      <c r="AB209" s="10"/>
      <c r="AC209" s="10"/>
      <c r="AD209" s="10"/>
      <c r="AE209" s="10"/>
      <c r="AF209" s="10"/>
      <c r="AG209" s="10"/>
      <c r="AH209" s="10"/>
      <c r="AI209" s="10"/>
      <c r="AJ209" s="10"/>
      <c r="AK209" s="10"/>
      <c r="AL209" s="10"/>
      <c r="AM209" s="10"/>
      <c r="AN209" s="10"/>
    </row>
    <row r="210" spans="2:40" hidden="1" x14ac:dyDescent="0.35">
      <c r="B210" s="15"/>
      <c r="C210" s="127" t="str">
        <f>IFERROR(IF(LEN(INDEX(Database!C$9:C$501,ROW(Calc!A210)-ROW(Calc!$B$7)))=0,"",INDEX(Database!C$9:C$501,ROW(Calc!A210)-ROW(Calc!$B$7))),"")</f>
        <v/>
      </c>
      <c r="D210" s="70" t="str">
        <f>IFERROR(IF(LEN(INDEX(Database!D$9:D$501,ROW(Calc!B210)-ROW(Calc!$B$7)))=0,"",INDEX(Database!D$9:D$501,ROW(Calc!B210)-ROW(Calc!$B$7))),"")</f>
        <v/>
      </c>
      <c r="E210" s="124" t="str">
        <f>IFERROR(IF(LEN(INDEX(Database!G$9:G$501,ROW(Calc!D210)-ROW(Calc!$B$7)))=0,$AD$3,INDEX(Database!G$9:G$501,ROW(Calc!D210)-ROW(Calc!$B$7))),"")</f>
        <v>Not Set</v>
      </c>
      <c r="F210" s="124" t="str">
        <f>IFERROR(IF(LEN(INDEX(Database!F$9:F$501,ROW(Calc!E210)-ROW(Calc!$B$7)))=0,$AD$3,INDEX(Database!F$9:F$501,ROW(Calc!E210)-ROW(Calc!$B$7))),"")</f>
        <v>Not Set</v>
      </c>
      <c r="G210" s="128" t="str">
        <f>IFERROR(IF(LEN(INDEX(Database!H$9:H$501,ROW(Calc!F210)-ROW(Calc!$B$7)))=0,$AD$3,INDEX(Database!H$9:H$501,ROW(Calc!F210)-ROW(Calc!$B$7))),"")</f>
        <v>Not Set</v>
      </c>
      <c r="H210" s="128" t="str">
        <f>IFERROR(IF(LEN(INDEX(Database!I$9:I$501,ROW(Calc!G210)-ROW(Calc!$B$7)))=0,$AD$3,INDEX(Database!I$9:I$501,ROW(Calc!G210)-ROW(Calc!$B$7))),"")</f>
        <v>Not Set</v>
      </c>
      <c r="I210" s="128" t="str">
        <f>IFERROR(IF(LEN(INDEX(Database!J$9:J$501,ROW(Calc!H210)-ROW(Calc!$B$7)))=0,$AD$3,INDEX(Database!J$9:J$501,ROW(Calc!H210)-ROW(Calc!$B$7))),"")</f>
        <v>Not Set</v>
      </c>
      <c r="J210" s="128" t="str">
        <f t="shared" si="32"/>
        <v>Not Set</v>
      </c>
      <c r="K210" s="124" t="str">
        <f>IFERROR(IF(LEN(INDEX(Database!E$9:E$501,ROW(Calc!I210)-ROW(Calc!$B$7)))=0,"",INDEX(Database!E$9:E$501,ROW(Calc!I210)-ROW(Calc!$B$7))),"")</f>
        <v/>
      </c>
      <c r="L210" s="129" t="str">
        <f>IFERROR(IF(LEN(INDEX(Database!K$9:K$501,ROW(Calc!K210)-ROW(Calc!$B$7)))=0,$AD$3,INDEX(Database!K$9:K$501,ROW(Calc!K210)-ROW(Calc!$B$7))),"")</f>
        <v>Not Set</v>
      </c>
      <c r="M210" s="130" t="str">
        <f>IFERROR(IF(LEN(INDEX(Database!L$9:L$501,ROW(Calc!L210)-ROW(Calc!$B$7)))=0,$AD$3,INDEX(Database!L$9:L$501,ROW(Calc!L210)-ROW(Calc!$B$7))),"")</f>
        <v>Not Set</v>
      </c>
      <c r="N210" s="131" t="str">
        <f>IFERROR(IF(LEN(INDEX(Database!M$9:M$501,ROW(Calc!M210)-ROW(Calc!$B$7)))=0,"",INDEX(Database!M$9:M$501,ROW(Calc!M210)-ROW(Calc!$B$7))),"")</f>
        <v/>
      </c>
      <c r="O210" s="132" t="str">
        <f t="shared" si="36"/>
        <v/>
      </c>
      <c r="P210" s="125" t="str">
        <f t="shared" si="33"/>
        <v>Not Set</v>
      </c>
      <c r="Q210" s="125" t="str">
        <f t="shared" si="34"/>
        <v>Not Set</v>
      </c>
      <c r="R210" s="125" t="str">
        <f>IFERROR(IF(G210=$AD$3,$AD$3,INDEX(Kanban_Helper!$C$317:$C$328,MATCH(MONTH(G210),Kanban_Helper!$B$317:$B$328,0))&amp;" - "&amp;YEAR(G210)),"$AD$3")</f>
        <v>Not Set</v>
      </c>
      <c r="S210" s="125" t="str">
        <f>IFERROR(IF(I210=$AD$3,$AD$3,INDEX(Kanban_Helper!$C$317:$C$328,MATCH(MONTH(I210),Kanban_Helper!$B$317:$B$328,0))&amp;" - "&amp;YEAR(I210)),$AD$3)</f>
        <v>Not Set</v>
      </c>
      <c r="T210" s="125" t="str">
        <f t="shared" ca="1" si="37"/>
        <v/>
      </c>
      <c r="U210" s="125" t="str">
        <f t="shared" ca="1" si="38"/>
        <v/>
      </c>
      <c r="V210" s="125" t="str">
        <f t="shared" si="35"/>
        <v>Not Set</v>
      </c>
      <c r="W210" s="126" t="str">
        <f t="shared" si="39"/>
        <v/>
      </c>
      <c r="X210" s="126" t="str">
        <f t="shared" si="40"/>
        <v/>
      </c>
      <c r="Y210" s="125" t="str">
        <f>IFERROR(IF(LEN(D210)=0,"",IF(SUBTOTAL(3,E210:E210)=0,MIN($Y$7:Y209)-1,SUBTOTAL(3,$E$8:E210))),"")</f>
        <v/>
      </c>
      <c r="Z210" s="17"/>
      <c r="AA210" s="10"/>
      <c r="AB210" s="10"/>
      <c r="AC210" s="10"/>
      <c r="AD210" s="10"/>
      <c r="AE210" s="10"/>
      <c r="AF210" s="10"/>
      <c r="AG210" s="10"/>
      <c r="AH210" s="10"/>
      <c r="AI210" s="10"/>
      <c r="AJ210" s="10"/>
      <c r="AK210" s="10"/>
      <c r="AL210" s="10"/>
      <c r="AM210" s="10"/>
      <c r="AN210" s="10"/>
    </row>
    <row r="211" spans="2:40" hidden="1" x14ac:dyDescent="0.35">
      <c r="B211" s="15"/>
      <c r="C211" s="127" t="str">
        <f>IFERROR(IF(LEN(INDEX(Database!C$9:C$501,ROW(Calc!A211)-ROW(Calc!$B$7)))=0,"",INDEX(Database!C$9:C$501,ROW(Calc!A211)-ROW(Calc!$B$7))),"")</f>
        <v/>
      </c>
      <c r="D211" s="70" t="str">
        <f>IFERROR(IF(LEN(INDEX(Database!D$9:D$501,ROW(Calc!B211)-ROW(Calc!$B$7)))=0,"",INDEX(Database!D$9:D$501,ROW(Calc!B211)-ROW(Calc!$B$7))),"")</f>
        <v/>
      </c>
      <c r="E211" s="124" t="str">
        <f>IFERROR(IF(LEN(INDEX(Database!G$9:G$501,ROW(Calc!D211)-ROW(Calc!$B$7)))=0,$AD$3,INDEX(Database!G$9:G$501,ROW(Calc!D211)-ROW(Calc!$B$7))),"")</f>
        <v>Not Set</v>
      </c>
      <c r="F211" s="124" t="str">
        <f>IFERROR(IF(LEN(INDEX(Database!F$9:F$501,ROW(Calc!E211)-ROW(Calc!$B$7)))=0,$AD$3,INDEX(Database!F$9:F$501,ROW(Calc!E211)-ROW(Calc!$B$7))),"")</f>
        <v>Not Set</v>
      </c>
      <c r="G211" s="128" t="str">
        <f>IFERROR(IF(LEN(INDEX(Database!H$9:H$501,ROW(Calc!F211)-ROW(Calc!$B$7)))=0,$AD$3,INDEX(Database!H$9:H$501,ROW(Calc!F211)-ROW(Calc!$B$7))),"")</f>
        <v>Not Set</v>
      </c>
      <c r="H211" s="128" t="str">
        <f>IFERROR(IF(LEN(INDEX(Database!I$9:I$501,ROW(Calc!G211)-ROW(Calc!$B$7)))=0,$AD$3,INDEX(Database!I$9:I$501,ROW(Calc!G211)-ROW(Calc!$B$7))),"")</f>
        <v>Not Set</v>
      </c>
      <c r="I211" s="128" t="str">
        <f>IFERROR(IF(LEN(INDEX(Database!J$9:J$501,ROW(Calc!H211)-ROW(Calc!$B$7)))=0,$AD$3,INDEX(Database!J$9:J$501,ROW(Calc!H211)-ROW(Calc!$B$7))),"")</f>
        <v>Not Set</v>
      </c>
      <c r="J211" s="128" t="str">
        <f t="shared" si="32"/>
        <v>Not Set</v>
      </c>
      <c r="K211" s="124" t="str">
        <f>IFERROR(IF(LEN(INDEX(Database!E$9:E$501,ROW(Calc!I211)-ROW(Calc!$B$7)))=0,"",INDEX(Database!E$9:E$501,ROW(Calc!I211)-ROW(Calc!$B$7))),"")</f>
        <v/>
      </c>
      <c r="L211" s="129" t="str">
        <f>IFERROR(IF(LEN(INDEX(Database!K$9:K$501,ROW(Calc!K211)-ROW(Calc!$B$7)))=0,$AD$3,INDEX(Database!K$9:K$501,ROW(Calc!K211)-ROW(Calc!$B$7))),"")</f>
        <v>Not Set</v>
      </c>
      <c r="M211" s="130" t="str">
        <f>IFERROR(IF(LEN(INDEX(Database!L$9:L$501,ROW(Calc!L211)-ROW(Calc!$B$7)))=0,$AD$3,INDEX(Database!L$9:L$501,ROW(Calc!L211)-ROW(Calc!$B$7))),"")</f>
        <v>Not Set</v>
      </c>
      <c r="N211" s="131" t="str">
        <f>IFERROR(IF(LEN(INDEX(Database!M$9:M$501,ROW(Calc!M211)-ROW(Calc!$B$7)))=0,"",INDEX(Database!M$9:M$501,ROW(Calc!M211)-ROW(Calc!$B$7))),"")</f>
        <v/>
      </c>
      <c r="O211" s="132" t="str">
        <f t="shared" si="36"/>
        <v/>
      </c>
      <c r="P211" s="125" t="str">
        <f t="shared" si="33"/>
        <v>Not Set</v>
      </c>
      <c r="Q211" s="125" t="str">
        <f t="shared" si="34"/>
        <v>Not Set</v>
      </c>
      <c r="R211" s="125" t="str">
        <f>IFERROR(IF(G211=$AD$3,$AD$3,INDEX(Kanban_Helper!$C$317:$C$328,MATCH(MONTH(G211),Kanban_Helper!$B$317:$B$328,0))&amp;" - "&amp;YEAR(G211)),"$AD$3")</f>
        <v>Not Set</v>
      </c>
      <c r="S211" s="125" t="str">
        <f>IFERROR(IF(I211=$AD$3,$AD$3,INDEX(Kanban_Helper!$C$317:$C$328,MATCH(MONTH(I211),Kanban_Helper!$B$317:$B$328,0))&amp;" - "&amp;YEAR(I211)),$AD$3)</f>
        <v>Not Set</v>
      </c>
      <c r="T211" s="125" t="str">
        <f t="shared" ca="1" si="37"/>
        <v/>
      </c>
      <c r="U211" s="125" t="str">
        <f t="shared" ca="1" si="38"/>
        <v/>
      </c>
      <c r="V211" s="125" t="str">
        <f t="shared" si="35"/>
        <v>Not Set</v>
      </c>
      <c r="W211" s="126" t="str">
        <f t="shared" si="39"/>
        <v/>
      </c>
      <c r="X211" s="126" t="str">
        <f t="shared" si="40"/>
        <v/>
      </c>
      <c r="Y211" s="125" t="str">
        <f>IFERROR(IF(LEN(D211)=0,"",IF(SUBTOTAL(3,E211:E211)=0,MIN($Y$7:Y210)-1,SUBTOTAL(3,$E$8:E211))),"")</f>
        <v/>
      </c>
      <c r="Z211" s="17"/>
      <c r="AA211" s="10"/>
      <c r="AB211" s="10"/>
      <c r="AC211" s="10"/>
      <c r="AD211" s="10"/>
      <c r="AE211" s="10"/>
      <c r="AF211" s="10"/>
      <c r="AG211" s="10"/>
      <c r="AH211" s="10"/>
      <c r="AI211" s="10"/>
      <c r="AJ211" s="10"/>
      <c r="AK211" s="10"/>
      <c r="AL211" s="10"/>
      <c r="AM211" s="10"/>
      <c r="AN211" s="10"/>
    </row>
    <row r="212" spans="2:40" hidden="1" x14ac:dyDescent="0.35">
      <c r="B212" s="15"/>
      <c r="C212" s="127" t="str">
        <f>IFERROR(IF(LEN(INDEX(Database!C$9:C$501,ROW(Calc!A212)-ROW(Calc!$B$7)))=0,"",INDEX(Database!C$9:C$501,ROW(Calc!A212)-ROW(Calc!$B$7))),"")</f>
        <v/>
      </c>
      <c r="D212" s="70" t="str">
        <f>IFERROR(IF(LEN(INDEX(Database!D$9:D$501,ROW(Calc!B212)-ROW(Calc!$B$7)))=0,"",INDEX(Database!D$9:D$501,ROW(Calc!B212)-ROW(Calc!$B$7))),"")</f>
        <v/>
      </c>
      <c r="E212" s="124" t="str">
        <f>IFERROR(IF(LEN(INDEX(Database!G$9:G$501,ROW(Calc!D212)-ROW(Calc!$B$7)))=0,$AD$3,INDEX(Database!G$9:G$501,ROW(Calc!D212)-ROW(Calc!$B$7))),"")</f>
        <v>Not Set</v>
      </c>
      <c r="F212" s="124" t="str">
        <f>IFERROR(IF(LEN(INDEX(Database!F$9:F$501,ROW(Calc!E212)-ROW(Calc!$B$7)))=0,$AD$3,INDEX(Database!F$9:F$501,ROW(Calc!E212)-ROW(Calc!$B$7))),"")</f>
        <v>Not Set</v>
      </c>
      <c r="G212" s="128" t="str">
        <f>IFERROR(IF(LEN(INDEX(Database!H$9:H$501,ROW(Calc!F212)-ROW(Calc!$B$7)))=0,$AD$3,INDEX(Database!H$9:H$501,ROW(Calc!F212)-ROW(Calc!$B$7))),"")</f>
        <v>Not Set</v>
      </c>
      <c r="H212" s="128" t="str">
        <f>IFERROR(IF(LEN(INDEX(Database!I$9:I$501,ROW(Calc!G212)-ROW(Calc!$B$7)))=0,$AD$3,INDEX(Database!I$9:I$501,ROW(Calc!G212)-ROW(Calc!$B$7))),"")</f>
        <v>Not Set</v>
      </c>
      <c r="I212" s="128" t="str">
        <f>IFERROR(IF(LEN(INDEX(Database!J$9:J$501,ROW(Calc!H212)-ROW(Calc!$B$7)))=0,$AD$3,INDEX(Database!J$9:J$501,ROW(Calc!H212)-ROW(Calc!$B$7))),"")</f>
        <v>Not Set</v>
      </c>
      <c r="J212" s="128" t="str">
        <f t="shared" si="32"/>
        <v>Not Set</v>
      </c>
      <c r="K212" s="124" t="str">
        <f>IFERROR(IF(LEN(INDEX(Database!E$9:E$501,ROW(Calc!I212)-ROW(Calc!$B$7)))=0,"",INDEX(Database!E$9:E$501,ROW(Calc!I212)-ROW(Calc!$B$7))),"")</f>
        <v/>
      </c>
      <c r="L212" s="129" t="str">
        <f>IFERROR(IF(LEN(INDEX(Database!K$9:K$501,ROW(Calc!K212)-ROW(Calc!$B$7)))=0,$AD$3,INDEX(Database!K$9:K$501,ROW(Calc!K212)-ROW(Calc!$B$7))),"")</f>
        <v>Not Set</v>
      </c>
      <c r="M212" s="130" t="str">
        <f>IFERROR(IF(LEN(INDEX(Database!L$9:L$501,ROW(Calc!L212)-ROW(Calc!$B$7)))=0,$AD$3,INDEX(Database!L$9:L$501,ROW(Calc!L212)-ROW(Calc!$B$7))),"")</f>
        <v>Not Set</v>
      </c>
      <c r="N212" s="131" t="str">
        <f>IFERROR(IF(LEN(INDEX(Database!M$9:M$501,ROW(Calc!M212)-ROW(Calc!$B$7)))=0,"",INDEX(Database!M$9:M$501,ROW(Calc!M212)-ROW(Calc!$B$7))),"")</f>
        <v/>
      </c>
      <c r="O212" s="132" t="str">
        <f t="shared" si="36"/>
        <v/>
      </c>
      <c r="P212" s="125" t="str">
        <f t="shared" si="33"/>
        <v>Not Set</v>
      </c>
      <c r="Q212" s="125" t="str">
        <f t="shared" si="34"/>
        <v>Not Set</v>
      </c>
      <c r="R212" s="125" t="str">
        <f>IFERROR(IF(G212=$AD$3,$AD$3,INDEX(Kanban_Helper!$C$317:$C$328,MATCH(MONTH(G212),Kanban_Helper!$B$317:$B$328,0))&amp;" - "&amp;YEAR(G212)),"$AD$3")</f>
        <v>Not Set</v>
      </c>
      <c r="S212" s="125" t="str">
        <f>IFERROR(IF(I212=$AD$3,$AD$3,INDEX(Kanban_Helper!$C$317:$C$328,MATCH(MONTH(I212),Kanban_Helper!$B$317:$B$328,0))&amp;" - "&amp;YEAR(I212)),$AD$3)</f>
        <v>Not Set</v>
      </c>
      <c r="T212" s="125" t="str">
        <f t="shared" ca="1" si="37"/>
        <v/>
      </c>
      <c r="U212" s="125" t="str">
        <f t="shared" ca="1" si="38"/>
        <v/>
      </c>
      <c r="V212" s="125" t="str">
        <f t="shared" si="35"/>
        <v>Not Set</v>
      </c>
      <c r="W212" s="126" t="str">
        <f t="shared" si="39"/>
        <v/>
      </c>
      <c r="X212" s="126" t="str">
        <f t="shared" si="40"/>
        <v/>
      </c>
      <c r="Y212" s="125" t="str">
        <f>IFERROR(IF(LEN(D212)=0,"",IF(SUBTOTAL(3,E212:E212)=0,MIN($Y$7:Y211)-1,SUBTOTAL(3,$E$8:E212))),"")</f>
        <v/>
      </c>
      <c r="Z212" s="17"/>
      <c r="AA212" s="10"/>
      <c r="AB212" s="10"/>
      <c r="AC212" s="10"/>
      <c r="AD212" s="10"/>
      <c r="AE212" s="10"/>
      <c r="AF212" s="10"/>
      <c r="AG212" s="10"/>
      <c r="AH212" s="10"/>
      <c r="AI212" s="10"/>
      <c r="AJ212" s="10"/>
      <c r="AK212" s="10"/>
      <c r="AL212" s="10"/>
      <c r="AM212" s="10"/>
      <c r="AN212" s="10"/>
    </row>
    <row r="213" spans="2:40" hidden="1" x14ac:dyDescent="0.35">
      <c r="B213" s="15"/>
      <c r="C213" s="127" t="str">
        <f>IFERROR(IF(LEN(INDEX(Database!C$9:C$501,ROW(Calc!A213)-ROW(Calc!$B$7)))=0,"",INDEX(Database!C$9:C$501,ROW(Calc!A213)-ROW(Calc!$B$7))),"")</f>
        <v/>
      </c>
      <c r="D213" s="70" t="str">
        <f>IFERROR(IF(LEN(INDEX(Database!D$9:D$501,ROW(Calc!B213)-ROW(Calc!$B$7)))=0,"",INDEX(Database!D$9:D$501,ROW(Calc!B213)-ROW(Calc!$B$7))),"")</f>
        <v/>
      </c>
      <c r="E213" s="124" t="str">
        <f>IFERROR(IF(LEN(INDEX(Database!G$9:G$501,ROW(Calc!D213)-ROW(Calc!$B$7)))=0,$AD$3,INDEX(Database!G$9:G$501,ROW(Calc!D213)-ROW(Calc!$B$7))),"")</f>
        <v>Not Set</v>
      </c>
      <c r="F213" s="124" t="str">
        <f>IFERROR(IF(LEN(INDEX(Database!F$9:F$501,ROW(Calc!E213)-ROW(Calc!$B$7)))=0,$AD$3,INDEX(Database!F$9:F$501,ROW(Calc!E213)-ROW(Calc!$B$7))),"")</f>
        <v>Not Set</v>
      </c>
      <c r="G213" s="128" t="str">
        <f>IFERROR(IF(LEN(INDEX(Database!H$9:H$501,ROW(Calc!F213)-ROW(Calc!$B$7)))=0,$AD$3,INDEX(Database!H$9:H$501,ROW(Calc!F213)-ROW(Calc!$B$7))),"")</f>
        <v>Not Set</v>
      </c>
      <c r="H213" s="128" t="str">
        <f>IFERROR(IF(LEN(INDEX(Database!I$9:I$501,ROW(Calc!G213)-ROW(Calc!$B$7)))=0,$AD$3,INDEX(Database!I$9:I$501,ROW(Calc!G213)-ROW(Calc!$B$7))),"")</f>
        <v>Not Set</v>
      </c>
      <c r="I213" s="128" t="str">
        <f>IFERROR(IF(LEN(INDEX(Database!J$9:J$501,ROW(Calc!H213)-ROW(Calc!$B$7)))=0,$AD$3,INDEX(Database!J$9:J$501,ROW(Calc!H213)-ROW(Calc!$B$7))),"")</f>
        <v>Not Set</v>
      </c>
      <c r="J213" s="128" t="str">
        <f t="shared" si="32"/>
        <v>Not Set</v>
      </c>
      <c r="K213" s="124" t="str">
        <f>IFERROR(IF(LEN(INDEX(Database!E$9:E$501,ROW(Calc!I213)-ROW(Calc!$B$7)))=0,"",INDEX(Database!E$9:E$501,ROW(Calc!I213)-ROW(Calc!$B$7))),"")</f>
        <v/>
      </c>
      <c r="L213" s="129" t="str">
        <f>IFERROR(IF(LEN(INDEX(Database!K$9:K$501,ROW(Calc!K213)-ROW(Calc!$B$7)))=0,$AD$3,INDEX(Database!K$9:K$501,ROW(Calc!K213)-ROW(Calc!$B$7))),"")</f>
        <v>Not Set</v>
      </c>
      <c r="M213" s="130" t="str">
        <f>IFERROR(IF(LEN(INDEX(Database!L$9:L$501,ROW(Calc!L213)-ROW(Calc!$B$7)))=0,$AD$3,INDEX(Database!L$9:L$501,ROW(Calc!L213)-ROW(Calc!$B$7))),"")</f>
        <v>Not Set</v>
      </c>
      <c r="N213" s="131" t="str">
        <f>IFERROR(IF(LEN(INDEX(Database!M$9:M$501,ROW(Calc!M213)-ROW(Calc!$B$7)))=0,"",INDEX(Database!M$9:M$501,ROW(Calc!M213)-ROW(Calc!$B$7))),"")</f>
        <v/>
      </c>
      <c r="O213" s="132" t="str">
        <f t="shared" si="36"/>
        <v/>
      </c>
      <c r="P213" s="125" t="str">
        <f t="shared" si="33"/>
        <v>Not Set</v>
      </c>
      <c r="Q213" s="125" t="str">
        <f t="shared" si="34"/>
        <v>Not Set</v>
      </c>
      <c r="R213" s="125" t="str">
        <f>IFERROR(IF(G213=$AD$3,$AD$3,INDEX(Kanban_Helper!$C$317:$C$328,MATCH(MONTH(G213),Kanban_Helper!$B$317:$B$328,0))&amp;" - "&amp;YEAR(G213)),"$AD$3")</f>
        <v>Not Set</v>
      </c>
      <c r="S213" s="125" t="str">
        <f>IFERROR(IF(I213=$AD$3,$AD$3,INDEX(Kanban_Helper!$C$317:$C$328,MATCH(MONTH(I213),Kanban_Helper!$B$317:$B$328,0))&amp;" - "&amp;YEAR(I213)),$AD$3)</f>
        <v>Not Set</v>
      </c>
      <c r="T213" s="125" t="str">
        <f t="shared" ca="1" si="37"/>
        <v/>
      </c>
      <c r="U213" s="125" t="str">
        <f t="shared" ca="1" si="38"/>
        <v/>
      </c>
      <c r="V213" s="125" t="str">
        <f t="shared" si="35"/>
        <v>Not Set</v>
      </c>
      <c r="W213" s="126" t="str">
        <f t="shared" si="39"/>
        <v/>
      </c>
      <c r="X213" s="126" t="str">
        <f t="shared" si="40"/>
        <v/>
      </c>
      <c r="Y213" s="125" t="str">
        <f>IFERROR(IF(LEN(D213)=0,"",IF(SUBTOTAL(3,E213:E213)=0,MIN($Y$7:Y212)-1,SUBTOTAL(3,$E$8:E213))),"")</f>
        <v/>
      </c>
      <c r="Z213" s="17"/>
      <c r="AA213" s="10"/>
      <c r="AB213" s="10"/>
      <c r="AC213" s="10"/>
      <c r="AD213" s="10"/>
      <c r="AE213" s="10"/>
      <c r="AF213" s="10"/>
      <c r="AG213" s="10"/>
      <c r="AH213" s="10"/>
      <c r="AI213" s="10"/>
      <c r="AJ213" s="10"/>
      <c r="AK213" s="10"/>
      <c r="AL213" s="10"/>
      <c r="AM213" s="10"/>
      <c r="AN213" s="10"/>
    </row>
    <row r="214" spans="2:40" hidden="1" x14ac:dyDescent="0.35">
      <c r="B214" s="15"/>
      <c r="C214" s="127" t="str">
        <f>IFERROR(IF(LEN(INDEX(Database!C$9:C$501,ROW(Calc!A214)-ROW(Calc!$B$7)))=0,"",INDEX(Database!C$9:C$501,ROW(Calc!A214)-ROW(Calc!$B$7))),"")</f>
        <v/>
      </c>
      <c r="D214" s="70" t="str">
        <f>IFERROR(IF(LEN(INDEX(Database!D$9:D$501,ROW(Calc!B214)-ROW(Calc!$B$7)))=0,"",INDEX(Database!D$9:D$501,ROW(Calc!B214)-ROW(Calc!$B$7))),"")</f>
        <v/>
      </c>
      <c r="E214" s="124" t="str">
        <f>IFERROR(IF(LEN(INDEX(Database!G$9:G$501,ROW(Calc!D214)-ROW(Calc!$B$7)))=0,$AD$3,INDEX(Database!G$9:G$501,ROW(Calc!D214)-ROW(Calc!$B$7))),"")</f>
        <v>Not Set</v>
      </c>
      <c r="F214" s="124" t="str">
        <f>IFERROR(IF(LEN(INDEX(Database!F$9:F$501,ROW(Calc!E214)-ROW(Calc!$B$7)))=0,$AD$3,INDEX(Database!F$9:F$501,ROW(Calc!E214)-ROW(Calc!$B$7))),"")</f>
        <v>Not Set</v>
      </c>
      <c r="G214" s="128" t="str">
        <f>IFERROR(IF(LEN(INDEX(Database!H$9:H$501,ROW(Calc!F214)-ROW(Calc!$B$7)))=0,$AD$3,INDEX(Database!H$9:H$501,ROW(Calc!F214)-ROW(Calc!$B$7))),"")</f>
        <v>Not Set</v>
      </c>
      <c r="H214" s="128" t="str">
        <f>IFERROR(IF(LEN(INDEX(Database!I$9:I$501,ROW(Calc!G214)-ROW(Calc!$B$7)))=0,$AD$3,INDEX(Database!I$9:I$501,ROW(Calc!G214)-ROW(Calc!$B$7))),"")</f>
        <v>Not Set</v>
      </c>
      <c r="I214" s="128" t="str">
        <f>IFERROR(IF(LEN(INDEX(Database!J$9:J$501,ROW(Calc!H214)-ROW(Calc!$B$7)))=0,$AD$3,INDEX(Database!J$9:J$501,ROW(Calc!H214)-ROW(Calc!$B$7))),"")</f>
        <v>Not Set</v>
      </c>
      <c r="J214" s="128" t="str">
        <f t="shared" si="32"/>
        <v>Not Set</v>
      </c>
      <c r="K214" s="124" t="str">
        <f>IFERROR(IF(LEN(INDEX(Database!E$9:E$501,ROW(Calc!I214)-ROW(Calc!$B$7)))=0,"",INDEX(Database!E$9:E$501,ROW(Calc!I214)-ROW(Calc!$B$7))),"")</f>
        <v/>
      </c>
      <c r="L214" s="129" t="str">
        <f>IFERROR(IF(LEN(INDEX(Database!K$9:K$501,ROW(Calc!K214)-ROW(Calc!$B$7)))=0,$AD$3,INDEX(Database!K$9:K$501,ROW(Calc!K214)-ROW(Calc!$B$7))),"")</f>
        <v>Not Set</v>
      </c>
      <c r="M214" s="130" t="str">
        <f>IFERROR(IF(LEN(INDEX(Database!L$9:L$501,ROW(Calc!L214)-ROW(Calc!$B$7)))=0,$AD$3,INDEX(Database!L$9:L$501,ROW(Calc!L214)-ROW(Calc!$B$7))),"")</f>
        <v>Not Set</v>
      </c>
      <c r="N214" s="131" t="str">
        <f>IFERROR(IF(LEN(INDEX(Database!M$9:M$501,ROW(Calc!M214)-ROW(Calc!$B$7)))=0,"",INDEX(Database!M$9:M$501,ROW(Calc!M214)-ROW(Calc!$B$7))),"")</f>
        <v/>
      </c>
      <c r="O214" s="132" t="str">
        <f t="shared" si="36"/>
        <v/>
      </c>
      <c r="P214" s="125" t="str">
        <f t="shared" si="33"/>
        <v>Not Set</v>
      </c>
      <c r="Q214" s="125" t="str">
        <f t="shared" si="34"/>
        <v>Not Set</v>
      </c>
      <c r="R214" s="125" t="str">
        <f>IFERROR(IF(G214=$AD$3,$AD$3,INDEX(Kanban_Helper!$C$317:$C$328,MATCH(MONTH(G214),Kanban_Helper!$B$317:$B$328,0))&amp;" - "&amp;YEAR(G214)),"$AD$3")</f>
        <v>Not Set</v>
      </c>
      <c r="S214" s="125" t="str">
        <f>IFERROR(IF(I214=$AD$3,$AD$3,INDEX(Kanban_Helper!$C$317:$C$328,MATCH(MONTH(I214),Kanban_Helper!$B$317:$B$328,0))&amp;" - "&amp;YEAR(I214)),$AD$3)</f>
        <v>Not Set</v>
      </c>
      <c r="T214" s="125" t="str">
        <f t="shared" ca="1" si="37"/>
        <v/>
      </c>
      <c r="U214" s="125" t="str">
        <f t="shared" ca="1" si="38"/>
        <v/>
      </c>
      <c r="V214" s="125" t="str">
        <f t="shared" si="35"/>
        <v>Not Set</v>
      </c>
      <c r="W214" s="126" t="str">
        <f t="shared" si="39"/>
        <v/>
      </c>
      <c r="X214" s="126" t="str">
        <f t="shared" si="40"/>
        <v/>
      </c>
      <c r="Y214" s="125" t="str">
        <f>IFERROR(IF(LEN(D214)=0,"",IF(SUBTOTAL(3,E214:E214)=0,MIN($Y$7:Y213)-1,SUBTOTAL(3,$E$8:E214))),"")</f>
        <v/>
      </c>
      <c r="Z214" s="17"/>
      <c r="AA214" s="10"/>
      <c r="AB214" s="10"/>
      <c r="AC214" s="10"/>
      <c r="AD214" s="10"/>
      <c r="AE214" s="10"/>
      <c r="AF214" s="10"/>
      <c r="AG214" s="10"/>
      <c r="AH214" s="10"/>
      <c r="AI214" s="10"/>
      <c r="AJ214" s="10"/>
      <c r="AK214" s="10"/>
      <c r="AL214" s="10"/>
      <c r="AM214" s="10"/>
      <c r="AN214" s="10"/>
    </row>
    <row r="215" spans="2:40" hidden="1" x14ac:dyDescent="0.35">
      <c r="B215" s="15"/>
      <c r="C215" s="127" t="str">
        <f>IFERROR(IF(LEN(INDEX(Database!C$9:C$501,ROW(Calc!A215)-ROW(Calc!$B$7)))=0,"",INDEX(Database!C$9:C$501,ROW(Calc!A215)-ROW(Calc!$B$7))),"")</f>
        <v/>
      </c>
      <c r="D215" s="70" t="str">
        <f>IFERROR(IF(LEN(INDEX(Database!D$9:D$501,ROW(Calc!B215)-ROW(Calc!$B$7)))=0,"",INDEX(Database!D$9:D$501,ROW(Calc!B215)-ROW(Calc!$B$7))),"")</f>
        <v/>
      </c>
      <c r="E215" s="124" t="str">
        <f>IFERROR(IF(LEN(INDEX(Database!G$9:G$501,ROW(Calc!D215)-ROW(Calc!$B$7)))=0,$AD$3,INDEX(Database!G$9:G$501,ROW(Calc!D215)-ROW(Calc!$B$7))),"")</f>
        <v>Not Set</v>
      </c>
      <c r="F215" s="124" t="str">
        <f>IFERROR(IF(LEN(INDEX(Database!F$9:F$501,ROW(Calc!E215)-ROW(Calc!$B$7)))=0,$AD$3,INDEX(Database!F$9:F$501,ROW(Calc!E215)-ROW(Calc!$B$7))),"")</f>
        <v>Not Set</v>
      </c>
      <c r="G215" s="128" t="str">
        <f>IFERROR(IF(LEN(INDEX(Database!H$9:H$501,ROW(Calc!F215)-ROW(Calc!$B$7)))=0,$AD$3,INDEX(Database!H$9:H$501,ROW(Calc!F215)-ROW(Calc!$B$7))),"")</f>
        <v>Not Set</v>
      </c>
      <c r="H215" s="128" t="str">
        <f>IFERROR(IF(LEN(INDEX(Database!I$9:I$501,ROW(Calc!G215)-ROW(Calc!$B$7)))=0,$AD$3,INDEX(Database!I$9:I$501,ROW(Calc!G215)-ROW(Calc!$B$7))),"")</f>
        <v>Not Set</v>
      </c>
      <c r="I215" s="128" t="str">
        <f>IFERROR(IF(LEN(INDEX(Database!J$9:J$501,ROW(Calc!H215)-ROW(Calc!$B$7)))=0,$AD$3,INDEX(Database!J$9:J$501,ROW(Calc!H215)-ROW(Calc!$B$7))),"")</f>
        <v>Not Set</v>
      </c>
      <c r="J215" s="128" t="str">
        <f t="shared" si="32"/>
        <v>Not Set</v>
      </c>
      <c r="K215" s="124" t="str">
        <f>IFERROR(IF(LEN(INDEX(Database!E$9:E$501,ROW(Calc!I215)-ROW(Calc!$B$7)))=0,"",INDEX(Database!E$9:E$501,ROW(Calc!I215)-ROW(Calc!$B$7))),"")</f>
        <v/>
      </c>
      <c r="L215" s="129" t="str">
        <f>IFERROR(IF(LEN(INDEX(Database!K$9:K$501,ROW(Calc!K215)-ROW(Calc!$B$7)))=0,$AD$3,INDEX(Database!K$9:K$501,ROW(Calc!K215)-ROW(Calc!$B$7))),"")</f>
        <v>Not Set</v>
      </c>
      <c r="M215" s="130" t="str">
        <f>IFERROR(IF(LEN(INDEX(Database!L$9:L$501,ROW(Calc!L215)-ROW(Calc!$B$7)))=0,$AD$3,INDEX(Database!L$9:L$501,ROW(Calc!L215)-ROW(Calc!$B$7))),"")</f>
        <v>Not Set</v>
      </c>
      <c r="N215" s="131" t="str">
        <f>IFERROR(IF(LEN(INDEX(Database!M$9:M$501,ROW(Calc!M215)-ROW(Calc!$B$7)))=0,"",INDEX(Database!M$9:M$501,ROW(Calc!M215)-ROW(Calc!$B$7))),"")</f>
        <v/>
      </c>
      <c r="O215" s="132" t="str">
        <f t="shared" si="36"/>
        <v/>
      </c>
      <c r="P215" s="125" t="str">
        <f t="shared" si="33"/>
        <v>Not Set</v>
      </c>
      <c r="Q215" s="125" t="str">
        <f t="shared" si="34"/>
        <v>Not Set</v>
      </c>
      <c r="R215" s="125" t="str">
        <f>IFERROR(IF(G215=$AD$3,$AD$3,INDEX(Kanban_Helper!$C$317:$C$328,MATCH(MONTH(G215),Kanban_Helper!$B$317:$B$328,0))&amp;" - "&amp;YEAR(G215)),"$AD$3")</f>
        <v>Not Set</v>
      </c>
      <c r="S215" s="125" t="str">
        <f>IFERROR(IF(I215=$AD$3,$AD$3,INDEX(Kanban_Helper!$C$317:$C$328,MATCH(MONTH(I215),Kanban_Helper!$B$317:$B$328,0))&amp;" - "&amp;YEAR(I215)),$AD$3)</f>
        <v>Not Set</v>
      </c>
      <c r="T215" s="125" t="str">
        <f t="shared" ca="1" si="37"/>
        <v/>
      </c>
      <c r="U215" s="125" t="str">
        <f t="shared" ca="1" si="38"/>
        <v/>
      </c>
      <c r="V215" s="125" t="str">
        <f t="shared" si="35"/>
        <v>Not Set</v>
      </c>
      <c r="W215" s="126" t="str">
        <f t="shared" si="39"/>
        <v/>
      </c>
      <c r="X215" s="126" t="str">
        <f t="shared" si="40"/>
        <v/>
      </c>
      <c r="Y215" s="125" t="str">
        <f>IFERROR(IF(LEN(D215)=0,"",IF(SUBTOTAL(3,E215:E215)=0,MIN($Y$7:Y214)-1,SUBTOTAL(3,$E$8:E215))),"")</f>
        <v/>
      </c>
      <c r="Z215" s="17"/>
      <c r="AA215" s="10"/>
      <c r="AB215" s="10"/>
      <c r="AC215" s="10"/>
      <c r="AD215" s="10"/>
      <c r="AE215" s="10"/>
      <c r="AF215" s="10"/>
      <c r="AG215" s="10"/>
      <c r="AH215" s="10"/>
      <c r="AI215" s="10"/>
      <c r="AJ215" s="10"/>
      <c r="AK215" s="10"/>
      <c r="AL215" s="10"/>
      <c r="AM215" s="10"/>
      <c r="AN215" s="10"/>
    </row>
    <row r="216" spans="2:40" hidden="1" x14ac:dyDescent="0.35">
      <c r="B216" s="15"/>
      <c r="C216" s="127" t="str">
        <f>IFERROR(IF(LEN(INDEX(Database!C$9:C$501,ROW(Calc!A216)-ROW(Calc!$B$7)))=0,"",INDEX(Database!C$9:C$501,ROW(Calc!A216)-ROW(Calc!$B$7))),"")</f>
        <v/>
      </c>
      <c r="D216" s="70" t="str">
        <f>IFERROR(IF(LEN(INDEX(Database!D$9:D$501,ROW(Calc!B216)-ROW(Calc!$B$7)))=0,"",INDEX(Database!D$9:D$501,ROW(Calc!B216)-ROW(Calc!$B$7))),"")</f>
        <v/>
      </c>
      <c r="E216" s="124" t="str">
        <f>IFERROR(IF(LEN(INDEX(Database!G$9:G$501,ROW(Calc!D216)-ROW(Calc!$B$7)))=0,$AD$3,INDEX(Database!G$9:G$501,ROW(Calc!D216)-ROW(Calc!$B$7))),"")</f>
        <v>Not Set</v>
      </c>
      <c r="F216" s="124" t="str">
        <f>IFERROR(IF(LEN(INDEX(Database!F$9:F$501,ROW(Calc!E216)-ROW(Calc!$B$7)))=0,$AD$3,INDEX(Database!F$9:F$501,ROW(Calc!E216)-ROW(Calc!$B$7))),"")</f>
        <v>Not Set</v>
      </c>
      <c r="G216" s="128" t="str">
        <f>IFERROR(IF(LEN(INDEX(Database!H$9:H$501,ROW(Calc!F216)-ROW(Calc!$B$7)))=0,$AD$3,INDEX(Database!H$9:H$501,ROW(Calc!F216)-ROW(Calc!$B$7))),"")</f>
        <v>Not Set</v>
      </c>
      <c r="H216" s="128" t="str">
        <f>IFERROR(IF(LEN(INDEX(Database!I$9:I$501,ROW(Calc!G216)-ROW(Calc!$B$7)))=0,$AD$3,INDEX(Database!I$9:I$501,ROW(Calc!G216)-ROW(Calc!$B$7))),"")</f>
        <v>Not Set</v>
      </c>
      <c r="I216" s="128" t="str">
        <f>IFERROR(IF(LEN(INDEX(Database!J$9:J$501,ROW(Calc!H216)-ROW(Calc!$B$7)))=0,$AD$3,INDEX(Database!J$9:J$501,ROW(Calc!H216)-ROW(Calc!$B$7))),"")</f>
        <v>Not Set</v>
      </c>
      <c r="J216" s="128" t="str">
        <f t="shared" si="32"/>
        <v>Not Set</v>
      </c>
      <c r="K216" s="124" t="str">
        <f>IFERROR(IF(LEN(INDEX(Database!E$9:E$501,ROW(Calc!I216)-ROW(Calc!$B$7)))=0,"",INDEX(Database!E$9:E$501,ROW(Calc!I216)-ROW(Calc!$B$7))),"")</f>
        <v/>
      </c>
      <c r="L216" s="129" t="str">
        <f>IFERROR(IF(LEN(INDEX(Database!K$9:K$501,ROW(Calc!K216)-ROW(Calc!$B$7)))=0,$AD$3,INDEX(Database!K$9:K$501,ROW(Calc!K216)-ROW(Calc!$B$7))),"")</f>
        <v>Not Set</v>
      </c>
      <c r="M216" s="130" t="str">
        <f>IFERROR(IF(LEN(INDEX(Database!L$9:L$501,ROW(Calc!L216)-ROW(Calc!$B$7)))=0,$AD$3,INDEX(Database!L$9:L$501,ROW(Calc!L216)-ROW(Calc!$B$7))),"")</f>
        <v>Not Set</v>
      </c>
      <c r="N216" s="131" t="str">
        <f>IFERROR(IF(LEN(INDEX(Database!M$9:M$501,ROW(Calc!M216)-ROW(Calc!$B$7)))=0,"",INDEX(Database!M$9:M$501,ROW(Calc!M216)-ROW(Calc!$B$7))),"")</f>
        <v/>
      </c>
      <c r="O216" s="132" t="str">
        <f t="shared" si="36"/>
        <v/>
      </c>
      <c r="P216" s="125" t="str">
        <f t="shared" si="33"/>
        <v>Not Set</v>
      </c>
      <c r="Q216" s="125" t="str">
        <f t="shared" si="34"/>
        <v>Not Set</v>
      </c>
      <c r="R216" s="125" t="str">
        <f>IFERROR(IF(G216=$AD$3,$AD$3,INDEX(Kanban_Helper!$C$317:$C$328,MATCH(MONTH(G216),Kanban_Helper!$B$317:$B$328,0))&amp;" - "&amp;YEAR(G216)),"$AD$3")</f>
        <v>Not Set</v>
      </c>
      <c r="S216" s="125" t="str">
        <f>IFERROR(IF(I216=$AD$3,$AD$3,INDEX(Kanban_Helper!$C$317:$C$328,MATCH(MONTH(I216),Kanban_Helper!$B$317:$B$328,0))&amp;" - "&amp;YEAR(I216)),$AD$3)</f>
        <v>Not Set</v>
      </c>
      <c r="T216" s="125" t="str">
        <f t="shared" ca="1" si="37"/>
        <v/>
      </c>
      <c r="U216" s="125" t="str">
        <f t="shared" ca="1" si="38"/>
        <v/>
      </c>
      <c r="V216" s="125" t="str">
        <f t="shared" si="35"/>
        <v>Not Set</v>
      </c>
      <c r="W216" s="126" t="str">
        <f t="shared" si="39"/>
        <v/>
      </c>
      <c r="X216" s="126" t="str">
        <f t="shared" si="40"/>
        <v/>
      </c>
      <c r="Y216" s="125" t="str">
        <f>IFERROR(IF(LEN(D216)=0,"",IF(SUBTOTAL(3,E216:E216)=0,MIN($Y$7:Y215)-1,SUBTOTAL(3,$E$8:E216))),"")</f>
        <v/>
      </c>
      <c r="Z216" s="17"/>
      <c r="AA216" s="10"/>
      <c r="AB216" s="10"/>
      <c r="AC216" s="10"/>
      <c r="AD216" s="10"/>
      <c r="AE216" s="10"/>
      <c r="AF216" s="10"/>
      <c r="AG216" s="10"/>
      <c r="AH216" s="10"/>
      <c r="AI216" s="10"/>
      <c r="AJ216" s="10"/>
      <c r="AK216" s="10"/>
      <c r="AL216" s="10"/>
      <c r="AM216" s="10"/>
      <c r="AN216" s="10"/>
    </row>
    <row r="217" spans="2:40" hidden="1" x14ac:dyDescent="0.35">
      <c r="B217" s="15"/>
      <c r="C217" s="127" t="str">
        <f>IFERROR(IF(LEN(INDEX(Database!C$9:C$501,ROW(Calc!A217)-ROW(Calc!$B$7)))=0,"",INDEX(Database!C$9:C$501,ROW(Calc!A217)-ROW(Calc!$B$7))),"")</f>
        <v/>
      </c>
      <c r="D217" s="70" t="str">
        <f>IFERROR(IF(LEN(INDEX(Database!D$9:D$501,ROW(Calc!B217)-ROW(Calc!$B$7)))=0,"",INDEX(Database!D$9:D$501,ROW(Calc!B217)-ROW(Calc!$B$7))),"")</f>
        <v/>
      </c>
      <c r="E217" s="124" t="str">
        <f>IFERROR(IF(LEN(INDEX(Database!G$9:G$501,ROW(Calc!D217)-ROW(Calc!$B$7)))=0,$AD$3,INDEX(Database!G$9:G$501,ROW(Calc!D217)-ROW(Calc!$B$7))),"")</f>
        <v>Not Set</v>
      </c>
      <c r="F217" s="124" t="str">
        <f>IFERROR(IF(LEN(INDEX(Database!F$9:F$501,ROW(Calc!E217)-ROW(Calc!$B$7)))=0,$AD$3,INDEX(Database!F$9:F$501,ROW(Calc!E217)-ROW(Calc!$B$7))),"")</f>
        <v>Not Set</v>
      </c>
      <c r="G217" s="128" t="str">
        <f>IFERROR(IF(LEN(INDEX(Database!H$9:H$501,ROW(Calc!F217)-ROW(Calc!$B$7)))=0,$AD$3,INDEX(Database!H$9:H$501,ROW(Calc!F217)-ROW(Calc!$B$7))),"")</f>
        <v>Not Set</v>
      </c>
      <c r="H217" s="128" t="str">
        <f>IFERROR(IF(LEN(INDEX(Database!I$9:I$501,ROW(Calc!G217)-ROW(Calc!$B$7)))=0,$AD$3,INDEX(Database!I$9:I$501,ROW(Calc!G217)-ROW(Calc!$B$7))),"")</f>
        <v>Not Set</v>
      </c>
      <c r="I217" s="128" t="str">
        <f>IFERROR(IF(LEN(INDEX(Database!J$9:J$501,ROW(Calc!H217)-ROW(Calc!$B$7)))=0,$AD$3,INDEX(Database!J$9:J$501,ROW(Calc!H217)-ROW(Calc!$B$7))),"")</f>
        <v>Not Set</v>
      </c>
      <c r="J217" s="128" t="str">
        <f t="shared" si="32"/>
        <v>Not Set</v>
      </c>
      <c r="K217" s="124" t="str">
        <f>IFERROR(IF(LEN(INDEX(Database!E$9:E$501,ROW(Calc!I217)-ROW(Calc!$B$7)))=0,"",INDEX(Database!E$9:E$501,ROW(Calc!I217)-ROW(Calc!$B$7))),"")</f>
        <v/>
      </c>
      <c r="L217" s="129" t="str">
        <f>IFERROR(IF(LEN(INDEX(Database!K$9:K$501,ROW(Calc!K217)-ROW(Calc!$B$7)))=0,$AD$3,INDEX(Database!K$9:K$501,ROW(Calc!K217)-ROW(Calc!$B$7))),"")</f>
        <v>Not Set</v>
      </c>
      <c r="M217" s="130" t="str">
        <f>IFERROR(IF(LEN(INDEX(Database!L$9:L$501,ROW(Calc!L217)-ROW(Calc!$B$7)))=0,$AD$3,INDEX(Database!L$9:L$501,ROW(Calc!L217)-ROW(Calc!$B$7))),"")</f>
        <v>Not Set</v>
      </c>
      <c r="N217" s="131" t="str">
        <f>IFERROR(IF(LEN(INDEX(Database!M$9:M$501,ROW(Calc!M217)-ROW(Calc!$B$7)))=0,"",INDEX(Database!M$9:M$501,ROW(Calc!M217)-ROW(Calc!$B$7))),"")</f>
        <v/>
      </c>
      <c r="O217" s="132" t="str">
        <f t="shared" si="36"/>
        <v/>
      </c>
      <c r="P217" s="125" t="str">
        <f t="shared" si="33"/>
        <v>Not Set</v>
      </c>
      <c r="Q217" s="125" t="str">
        <f t="shared" si="34"/>
        <v>Not Set</v>
      </c>
      <c r="R217" s="125" t="str">
        <f>IFERROR(IF(G217=$AD$3,$AD$3,INDEX(Kanban_Helper!$C$317:$C$328,MATCH(MONTH(G217),Kanban_Helper!$B$317:$B$328,0))&amp;" - "&amp;YEAR(G217)),"$AD$3")</f>
        <v>Not Set</v>
      </c>
      <c r="S217" s="125" t="str">
        <f>IFERROR(IF(I217=$AD$3,$AD$3,INDEX(Kanban_Helper!$C$317:$C$328,MATCH(MONTH(I217),Kanban_Helper!$B$317:$B$328,0))&amp;" - "&amp;YEAR(I217)),$AD$3)</f>
        <v>Not Set</v>
      </c>
      <c r="T217" s="125" t="str">
        <f t="shared" ca="1" si="37"/>
        <v/>
      </c>
      <c r="U217" s="125" t="str">
        <f t="shared" ca="1" si="38"/>
        <v/>
      </c>
      <c r="V217" s="125" t="str">
        <f t="shared" si="35"/>
        <v>Not Set</v>
      </c>
      <c r="W217" s="126" t="str">
        <f t="shared" si="39"/>
        <v/>
      </c>
      <c r="X217" s="126" t="str">
        <f t="shared" si="40"/>
        <v/>
      </c>
      <c r="Y217" s="125" t="str">
        <f>IFERROR(IF(LEN(D217)=0,"",IF(SUBTOTAL(3,E217:E217)=0,MIN($Y$7:Y216)-1,SUBTOTAL(3,$E$8:E217))),"")</f>
        <v/>
      </c>
      <c r="Z217" s="17"/>
      <c r="AA217" s="10"/>
      <c r="AB217" s="10"/>
      <c r="AC217" s="10"/>
      <c r="AD217" s="10"/>
      <c r="AE217" s="10"/>
      <c r="AF217" s="10"/>
      <c r="AG217" s="10"/>
      <c r="AH217" s="10"/>
      <c r="AI217" s="10"/>
      <c r="AJ217" s="10"/>
      <c r="AK217" s="10"/>
      <c r="AL217" s="10"/>
      <c r="AM217" s="10"/>
      <c r="AN217" s="10"/>
    </row>
    <row r="218" spans="2:40" hidden="1" x14ac:dyDescent="0.35">
      <c r="B218" s="15"/>
      <c r="C218" s="127" t="str">
        <f>IFERROR(IF(LEN(INDEX(Database!C$9:C$501,ROW(Calc!A218)-ROW(Calc!$B$7)))=0,"",INDEX(Database!C$9:C$501,ROW(Calc!A218)-ROW(Calc!$B$7))),"")</f>
        <v/>
      </c>
      <c r="D218" s="70" t="str">
        <f>IFERROR(IF(LEN(INDEX(Database!D$9:D$501,ROW(Calc!B218)-ROW(Calc!$B$7)))=0,"",INDEX(Database!D$9:D$501,ROW(Calc!B218)-ROW(Calc!$B$7))),"")</f>
        <v/>
      </c>
      <c r="E218" s="124" t="str">
        <f>IFERROR(IF(LEN(INDEX(Database!G$9:G$501,ROW(Calc!D218)-ROW(Calc!$B$7)))=0,$AD$3,INDEX(Database!G$9:G$501,ROW(Calc!D218)-ROW(Calc!$B$7))),"")</f>
        <v>Not Set</v>
      </c>
      <c r="F218" s="124" t="str">
        <f>IFERROR(IF(LEN(INDEX(Database!F$9:F$501,ROW(Calc!E218)-ROW(Calc!$B$7)))=0,$AD$3,INDEX(Database!F$9:F$501,ROW(Calc!E218)-ROW(Calc!$B$7))),"")</f>
        <v>Not Set</v>
      </c>
      <c r="G218" s="128" t="str">
        <f>IFERROR(IF(LEN(INDEX(Database!H$9:H$501,ROW(Calc!F218)-ROW(Calc!$B$7)))=0,$AD$3,INDEX(Database!H$9:H$501,ROW(Calc!F218)-ROW(Calc!$B$7))),"")</f>
        <v>Not Set</v>
      </c>
      <c r="H218" s="128" t="str">
        <f>IFERROR(IF(LEN(INDEX(Database!I$9:I$501,ROW(Calc!G218)-ROW(Calc!$B$7)))=0,$AD$3,INDEX(Database!I$9:I$501,ROW(Calc!G218)-ROW(Calc!$B$7))),"")</f>
        <v>Not Set</v>
      </c>
      <c r="I218" s="128" t="str">
        <f>IFERROR(IF(LEN(INDEX(Database!J$9:J$501,ROW(Calc!H218)-ROW(Calc!$B$7)))=0,$AD$3,INDEX(Database!J$9:J$501,ROW(Calc!H218)-ROW(Calc!$B$7))),"")</f>
        <v>Not Set</v>
      </c>
      <c r="J218" s="128" t="str">
        <f t="shared" si="32"/>
        <v>Not Set</v>
      </c>
      <c r="K218" s="124" t="str">
        <f>IFERROR(IF(LEN(INDEX(Database!E$9:E$501,ROW(Calc!I218)-ROW(Calc!$B$7)))=0,"",INDEX(Database!E$9:E$501,ROW(Calc!I218)-ROW(Calc!$B$7))),"")</f>
        <v/>
      </c>
      <c r="L218" s="129" t="str">
        <f>IFERROR(IF(LEN(INDEX(Database!K$9:K$501,ROW(Calc!K218)-ROW(Calc!$B$7)))=0,$AD$3,INDEX(Database!K$9:K$501,ROW(Calc!K218)-ROW(Calc!$B$7))),"")</f>
        <v>Not Set</v>
      </c>
      <c r="M218" s="130" t="str">
        <f>IFERROR(IF(LEN(INDEX(Database!L$9:L$501,ROW(Calc!L218)-ROW(Calc!$B$7)))=0,$AD$3,INDEX(Database!L$9:L$501,ROW(Calc!L218)-ROW(Calc!$B$7))),"")</f>
        <v>Not Set</v>
      </c>
      <c r="N218" s="131" t="str">
        <f>IFERROR(IF(LEN(INDEX(Database!M$9:M$501,ROW(Calc!M218)-ROW(Calc!$B$7)))=0,"",INDEX(Database!M$9:M$501,ROW(Calc!M218)-ROW(Calc!$B$7))),"")</f>
        <v/>
      </c>
      <c r="O218" s="132" t="str">
        <f t="shared" si="36"/>
        <v/>
      </c>
      <c r="P218" s="125" t="str">
        <f t="shared" si="33"/>
        <v>Not Set</v>
      </c>
      <c r="Q218" s="125" t="str">
        <f t="shared" si="34"/>
        <v>Not Set</v>
      </c>
      <c r="R218" s="125" t="str">
        <f>IFERROR(IF(G218=$AD$3,$AD$3,INDEX(Kanban_Helper!$C$317:$C$328,MATCH(MONTH(G218),Kanban_Helper!$B$317:$B$328,0))&amp;" - "&amp;YEAR(G218)),"$AD$3")</f>
        <v>Not Set</v>
      </c>
      <c r="S218" s="125" t="str">
        <f>IFERROR(IF(I218=$AD$3,$AD$3,INDEX(Kanban_Helper!$C$317:$C$328,MATCH(MONTH(I218),Kanban_Helper!$B$317:$B$328,0))&amp;" - "&amp;YEAR(I218)),$AD$3)</f>
        <v>Not Set</v>
      </c>
      <c r="T218" s="125" t="str">
        <f t="shared" ca="1" si="37"/>
        <v/>
      </c>
      <c r="U218" s="125" t="str">
        <f t="shared" ca="1" si="38"/>
        <v/>
      </c>
      <c r="V218" s="125" t="str">
        <f t="shared" si="35"/>
        <v>Not Set</v>
      </c>
      <c r="W218" s="126" t="str">
        <f t="shared" si="39"/>
        <v/>
      </c>
      <c r="X218" s="126" t="str">
        <f t="shared" si="40"/>
        <v/>
      </c>
      <c r="Y218" s="125" t="str">
        <f>IFERROR(IF(LEN(D218)=0,"",IF(SUBTOTAL(3,E218:E218)=0,MIN($Y$7:Y217)-1,SUBTOTAL(3,$E$8:E218))),"")</f>
        <v/>
      </c>
      <c r="Z218" s="17"/>
      <c r="AA218" s="10"/>
      <c r="AB218" s="10"/>
      <c r="AC218" s="10"/>
      <c r="AD218" s="10"/>
      <c r="AE218" s="10"/>
      <c r="AF218" s="10"/>
      <c r="AG218" s="10"/>
      <c r="AH218" s="10"/>
      <c r="AI218" s="10"/>
      <c r="AJ218" s="10"/>
      <c r="AK218" s="10"/>
      <c r="AL218" s="10"/>
      <c r="AM218" s="10"/>
      <c r="AN218" s="10"/>
    </row>
    <row r="219" spans="2:40" hidden="1" x14ac:dyDescent="0.35">
      <c r="B219" s="15"/>
      <c r="C219" s="127" t="str">
        <f>IFERROR(IF(LEN(INDEX(Database!C$9:C$501,ROW(Calc!A219)-ROW(Calc!$B$7)))=0,"",INDEX(Database!C$9:C$501,ROW(Calc!A219)-ROW(Calc!$B$7))),"")</f>
        <v/>
      </c>
      <c r="D219" s="70" t="str">
        <f>IFERROR(IF(LEN(INDEX(Database!D$9:D$501,ROW(Calc!B219)-ROW(Calc!$B$7)))=0,"",INDEX(Database!D$9:D$501,ROW(Calc!B219)-ROW(Calc!$B$7))),"")</f>
        <v/>
      </c>
      <c r="E219" s="124" t="str">
        <f>IFERROR(IF(LEN(INDEX(Database!G$9:G$501,ROW(Calc!D219)-ROW(Calc!$B$7)))=0,$AD$3,INDEX(Database!G$9:G$501,ROW(Calc!D219)-ROW(Calc!$B$7))),"")</f>
        <v>Not Set</v>
      </c>
      <c r="F219" s="124" t="str">
        <f>IFERROR(IF(LEN(INDEX(Database!F$9:F$501,ROW(Calc!E219)-ROW(Calc!$B$7)))=0,$AD$3,INDEX(Database!F$9:F$501,ROW(Calc!E219)-ROW(Calc!$B$7))),"")</f>
        <v>Not Set</v>
      </c>
      <c r="G219" s="128" t="str">
        <f>IFERROR(IF(LEN(INDEX(Database!H$9:H$501,ROW(Calc!F219)-ROW(Calc!$B$7)))=0,$AD$3,INDEX(Database!H$9:H$501,ROW(Calc!F219)-ROW(Calc!$B$7))),"")</f>
        <v>Not Set</v>
      </c>
      <c r="H219" s="128" t="str">
        <f>IFERROR(IF(LEN(INDEX(Database!I$9:I$501,ROW(Calc!G219)-ROW(Calc!$B$7)))=0,$AD$3,INDEX(Database!I$9:I$501,ROW(Calc!G219)-ROW(Calc!$B$7))),"")</f>
        <v>Not Set</v>
      </c>
      <c r="I219" s="128" t="str">
        <f>IFERROR(IF(LEN(INDEX(Database!J$9:J$501,ROW(Calc!H219)-ROW(Calc!$B$7)))=0,$AD$3,INDEX(Database!J$9:J$501,ROW(Calc!H219)-ROW(Calc!$B$7))),"")</f>
        <v>Not Set</v>
      </c>
      <c r="J219" s="128" t="str">
        <f t="shared" si="32"/>
        <v>Not Set</v>
      </c>
      <c r="K219" s="124" t="str">
        <f>IFERROR(IF(LEN(INDEX(Database!E$9:E$501,ROW(Calc!I219)-ROW(Calc!$B$7)))=0,"",INDEX(Database!E$9:E$501,ROW(Calc!I219)-ROW(Calc!$B$7))),"")</f>
        <v/>
      </c>
      <c r="L219" s="129" t="str">
        <f>IFERROR(IF(LEN(INDEX(Database!K$9:K$501,ROW(Calc!K219)-ROW(Calc!$B$7)))=0,$AD$3,INDEX(Database!K$9:K$501,ROW(Calc!K219)-ROW(Calc!$B$7))),"")</f>
        <v>Not Set</v>
      </c>
      <c r="M219" s="130" t="str">
        <f>IFERROR(IF(LEN(INDEX(Database!L$9:L$501,ROW(Calc!L219)-ROW(Calc!$B$7)))=0,$AD$3,INDEX(Database!L$9:L$501,ROW(Calc!L219)-ROW(Calc!$B$7))),"")</f>
        <v>Not Set</v>
      </c>
      <c r="N219" s="131" t="str">
        <f>IFERROR(IF(LEN(INDEX(Database!M$9:M$501,ROW(Calc!M219)-ROW(Calc!$B$7)))=0,"",INDEX(Database!M$9:M$501,ROW(Calc!M219)-ROW(Calc!$B$7))),"")</f>
        <v/>
      </c>
      <c r="O219" s="132" t="str">
        <f t="shared" si="36"/>
        <v/>
      </c>
      <c r="P219" s="125" t="str">
        <f t="shared" si="33"/>
        <v>Not Set</v>
      </c>
      <c r="Q219" s="125" t="str">
        <f t="shared" si="34"/>
        <v>Not Set</v>
      </c>
      <c r="R219" s="125" t="str">
        <f>IFERROR(IF(G219=$AD$3,$AD$3,INDEX(Kanban_Helper!$C$317:$C$328,MATCH(MONTH(G219),Kanban_Helper!$B$317:$B$328,0))&amp;" - "&amp;YEAR(G219)),"$AD$3")</f>
        <v>Not Set</v>
      </c>
      <c r="S219" s="125" t="str">
        <f>IFERROR(IF(I219=$AD$3,$AD$3,INDEX(Kanban_Helper!$C$317:$C$328,MATCH(MONTH(I219),Kanban_Helper!$B$317:$B$328,0))&amp;" - "&amp;YEAR(I219)),$AD$3)</f>
        <v>Not Set</v>
      </c>
      <c r="T219" s="125" t="str">
        <f t="shared" ca="1" si="37"/>
        <v/>
      </c>
      <c r="U219" s="125" t="str">
        <f t="shared" ca="1" si="38"/>
        <v/>
      </c>
      <c r="V219" s="125" t="str">
        <f t="shared" si="35"/>
        <v>Not Set</v>
      </c>
      <c r="W219" s="126" t="str">
        <f t="shared" si="39"/>
        <v/>
      </c>
      <c r="X219" s="126" t="str">
        <f t="shared" si="40"/>
        <v/>
      </c>
      <c r="Y219" s="125" t="str">
        <f>IFERROR(IF(LEN(D219)=0,"",IF(SUBTOTAL(3,E219:E219)=0,MIN($Y$7:Y218)-1,SUBTOTAL(3,$E$8:E219))),"")</f>
        <v/>
      </c>
      <c r="Z219" s="17"/>
      <c r="AA219" s="10"/>
      <c r="AB219" s="10"/>
      <c r="AC219" s="10"/>
      <c r="AD219" s="10"/>
      <c r="AE219" s="10"/>
      <c r="AF219" s="10"/>
      <c r="AG219" s="10"/>
      <c r="AH219" s="10"/>
      <c r="AI219" s="10"/>
      <c r="AJ219" s="10"/>
      <c r="AK219" s="10"/>
      <c r="AL219" s="10"/>
      <c r="AM219" s="10"/>
      <c r="AN219" s="10"/>
    </row>
    <row r="220" spans="2:40" hidden="1" x14ac:dyDescent="0.35">
      <c r="B220" s="15"/>
      <c r="C220" s="127" t="str">
        <f>IFERROR(IF(LEN(INDEX(Database!C$9:C$501,ROW(Calc!A220)-ROW(Calc!$B$7)))=0,"",INDEX(Database!C$9:C$501,ROW(Calc!A220)-ROW(Calc!$B$7))),"")</f>
        <v/>
      </c>
      <c r="D220" s="70" t="str">
        <f>IFERROR(IF(LEN(INDEX(Database!D$9:D$501,ROW(Calc!B220)-ROW(Calc!$B$7)))=0,"",INDEX(Database!D$9:D$501,ROW(Calc!B220)-ROW(Calc!$B$7))),"")</f>
        <v/>
      </c>
      <c r="E220" s="124" t="str">
        <f>IFERROR(IF(LEN(INDEX(Database!G$9:G$501,ROW(Calc!D220)-ROW(Calc!$B$7)))=0,$AD$3,INDEX(Database!G$9:G$501,ROW(Calc!D220)-ROW(Calc!$B$7))),"")</f>
        <v>Not Set</v>
      </c>
      <c r="F220" s="124" t="str">
        <f>IFERROR(IF(LEN(INDEX(Database!F$9:F$501,ROW(Calc!E220)-ROW(Calc!$B$7)))=0,$AD$3,INDEX(Database!F$9:F$501,ROW(Calc!E220)-ROW(Calc!$B$7))),"")</f>
        <v>Not Set</v>
      </c>
      <c r="G220" s="128" t="str">
        <f>IFERROR(IF(LEN(INDEX(Database!H$9:H$501,ROW(Calc!F220)-ROW(Calc!$B$7)))=0,$AD$3,INDEX(Database!H$9:H$501,ROW(Calc!F220)-ROW(Calc!$B$7))),"")</f>
        <v>Not Set</v>
      </c>
      <c r="H220" s="128" t="str">
        <f>IFERROR(IF(LEN(INDEX(Database!I$9:I$501,ROW(Calc!G220)-ROW(Calc!$B$7)))=0,$AD$3,INDEX(Database!I$9:I$501,ROW(Calc!G220)-ROW(Calc!$B$7))),"")</f>
        <v>Not Set</v>
      </c>
      <c r="I220" s="128" t="str">
        <f>IFERROR(IF(LEN(INDEX(Database!J$9:J$501,ROW(Calc!H220)-ROW(Calc!$B$7)))=0,$AD$3,INDEX(Database!J$9:J$501,ROW(Calc!H220)-ROW(Calc!$B$7))),"")</f>
        <v>Not Set</v>
      </c>
      <c r="J220" s="128" t="str">
        <f t="shared" si="32"/>
        <v>Not Set</v>
      </c>
      <c r="K220" s="124" t="str">
        <f>IFERROR(IF(LEN(INDEX(Database!E$9:E$501,ROW(Calc!I220)-ROW(Calc!$B$7)))=0,"",INDEX(Database!E$9:E$501,ROW(Calc!I220)-ROW(Calc!$B$7))),"")</f>
        <v/>
      </c>
      <c r="L220" s="129" t="str">
        <f>IFERROR(IF(LEN(INDEX(Database!K$9:K$501,ROW(Calc!K220)-ROW(Calc!$B$7)))=0,$AD$3,INDEX(Database!K$9:K$501,ROW(Calc!K220)-ROW(Calc!$B$7))),"")</f>
        <v>Not Set</v>
      </c>
      <c r="M220" s="130" t="str">
        <f>IFERROR(IF(LEN(INDEX(Database!L$9:L$501,ROW(Calc!L220)-ROW(Calc!$B$7)))=0,$AD$3,INDEX(Database!L$9:L$501,ROW(Calc!L220)-ROW(Calc!$B$7))),"")</f>
        <v>Not Set</v>
      </c>
      <c r="N220" s="131" t="str">
        <f>IFERROR(IF(LEN(INDEX(Database!M$9:M$501,ROW(Calc!M220)-ROW(Calc!$B$7)))=0,"",INDEX(Database!M$9:M$501,ROW(Calc!M220)-ROW(Calc!$B$7))),"")</f>
        <v/>
      </c>
      <c r="O220" s="132" t="str">
        <f t="shared" si="36"/>
        <v/>
      </c>
      <c r="P220" s="125" t="str">
        <f t="shared" si="33"/>
        <v>Not Set</v>
      </c>
      <c r="Q220" s="125" t="str">
        <f t="shared" si="34"/>
        <v>Not Set</v>
      </c>
      <c r="R220" s="125" t="str">
        <f>IFERROR(IF(G220=$AD$3,$AD$3,INDEX(Kanban_Helper!$C$317:$C$328,MATCH(MONTH(G220),Kanban_Helper!$B$317:$B$328,0))&amp;" - "&amp;YEAR(G220)),"$AD$3")</f>
        <v>Not Set</v>
      </c>
      <c r="S220" s="125" t="str">
        <f>IFERROR(IF(I220=$AD$3,$AD$3,INDEX(Kanban_Helper!$C$317:$C$328,MATCH(MONTH(I220),Kanban_Helper!$B$317:$B$328,0))&amp;" - "&amp;YEAR(I220)),$AD$3)</f>
        <v>Not Set</v>
      </c>
      <c r="T220" s="125" t="str">
        <f t="shared" ca="1" si="37"/>
        <v/>
      </c>
      <c r="U220" s="125" t="str">
        <f t="shared" ca="1" si="38"/>
        <v/>
      </c>
      <c r="V220" s="125" t="str">
        <f t="shared" si="35"/>
        <v>Not Set</v>
      </c>
      <c r="W220" s="126" t="str">
        <f t="shared" si="39"/>
        <v/>
      </c>
      <c r="X220" s="126" t="str">
        <f t="shared" si="40"/>
        <v/>
      </c>
      <c r="Y220" s="125" t="str">
        <f>IFERROR(IF(LEN(D220)=0,"",IF(SUBTOTAL(3,E220:E220)=0,MIN($Y$7:Y219)-1,SUBTOTAL(3,$E$8:E220))),"")</f>
        <v/>
      </c>
      <c r="Z220" s="17"/>
      <c r="AA220" s="10"/>
      <c r="AB220" s="10"/>
      <c r="AC220" s="10"/>
      <c r="AD220" s="10"/>
      <c r="AE220" s="10"/>
      <c r="AF220" s="10"/>
      <c r="AG220" s="10"/>
      <c r="AH220" s="10"/>
      <c r="AI220" s="10"/>
      <c r="AJ220" s="10"/>
      <c r="AK220" s="10"/>
      <c r="AL220" s="10"/>
      <c r="AM220" s="10"/>
      <c r="AN220" s="10"/>
    </row>
    <row r="221" spans="2:40" hidden="1" x14ac:dyDescent="0.35">
      <c r="B221" s="15"/>
      <c r="C221" s="127" t="str">
        <f>IFERROR(IF(LEN(INDEX(Database!C$9:C$501,ROW(Calc!A221)-ROW(Calc!$B$7)))=0,"",INDEX(Database!C$9:C$501,ROW(Calc!A221)-ROW(Calc!$B$7))),"")</f>
        <v/>
      </c>
      <c r="D221" s="70" t="str">
        <f>IFERROR(IF(LEN(INDEX(Database!D$9:D$501,ROW(Calc!B221)-ROW(Calc!$B$7)))=0,"",INDEX(Database!D$9:D$501,ROW(Calc!B221)-ROW(Calc!$B$7))),"")</f>
        <v/>
      </c>
      <c r="E221" s="124" t="str">
        <f>IFERROR(IF(LEN(INDEX(Database!G$9:G$501,ROW(Calc!D221)-ROW(Calc!$B$7)))=0,$AD$3,INDEX(Database!G$9:G$501,ROW(Calc!D221)-ROW(Calc!$B$7))),"")</f>
        <v>Not Set</v>
      </c>
      <c r="F221" s="124" t="str">
        <f>IFERROR(IF(LEN(INDEX(Database!F$9:F$501,ROW(Calc!E221)-ROW(Calc!$B$7)))=0,$AD$3,INDEX(Database!F$9:F$501,ROW(Calc!E221)-ROW(Calc!$B$7))),"")</f>
        <v>Not Set</v>
      </c>
      <c r="G221" s="128" t="str">
        <f>IFERROR(IF(LEN(INDEX(Database!H$9:H$501,ROW(Calc!F221)-ROW(Calc!$B$7)))=0,$AD$3,INDEX(Database!H$9:H$501,ROW(Calc!F221)-ROW(Calc!$B$7))),"")</f>
        <v>Not Set</v>
      </c>
      <c r="H221" s="128" t="str">
        <f>IFERROR(IF(LEN(INDEX(Database!I$9:I$501,ROW(Calc!G221)-ROW(Calc!$B$7)))=0,$AD$3,INDEX(Database!I$9:I$501,ROW(Calc!G221)-ROW(Calc!$B$7))),"")</f>
        <v>Not Set</v>
      </c>
      <c r="I221" s="128" t="str">
        <f>IFERROR(IF(LEN(INDEX(Database!J$9:J$501,ROW(Calc!H221)-ROW(Calc!$B$7)))=0,$AD$3,INDEX(Database!J$9:J$501,ROW(Calc!H221)-ROW(Calc!$B$7))),"")</f>
        <v>Not Set</v>
      </c>
      <c r="J221" s="128" t="str">
        <f t="shared" si="32"/>
        <v>Not Set</v>
      </c>
      <c r="K221" s="124" t="str">
        <f>IFERROR(IF(LEN(INDEX(Database!E$9:E$501,ROW(Calc!I221)-ROW(Calc!$B$7)))=0,"",INDEX(Database!E$9:E$501,ROW(Calc!I221)-ROW(Calc!$B$7))),"")</f>
        <v/>
      </c>
      <c r="L221" s="129" t="str">
        <f>IFERROR(IF(LEN(INDEX(Database!K$9:K$501,ROW(Calc!K221)-ROW(Calc!$B$7)))=0,$AD$3,INDEX(Database!K$9:K$501,ROW(Calc!K221)-ROW(Calc!$B$7))),"")</f>
        <v>Not Set</v>
      </c>
      <c r="M221" s="130" t="str">
        <f>IFERROR(IF(LEN(INDEX(Database!L$9:L$501,ROW(Calc!L221)-ROW(Calc!$B$7)))=0,$AD$3,INDEX(Database!L$9:L$501,ROW(Calc!L221)-ROW(Calc!$B$7))),"")</f>
        <v>Not Set</v>
      </c>
      <c r="N221" s="131" t="str">
        <f>IFERROR(IF(LEN(INDEX(Database!M$9:M$501,ROW(Calc!M221)-ROW(Calc!$B$7)))=0,"",INDEX(Database!M$9:M$501,ROW(Calc!M221)-ROW(Calc!$B$7))),"")</f>
        <v/>
      </c>
      <c r="O221" s="132" t="str">
        <f t="shared" si="36"/>
        <v/>
      </c>
      <c r="P221" s="125" t="str">
        <f t="shared" si="33"/>
        <v>Not Set</v>
      </c>
      <c r="Q221" s="125" t="str">
        <f t="shared" si="34"/>
        <v>Not Set</v>
      </c>
      <c r="R221" s="125" t="str">
        <f>IFERROR(IF(G221=$AD$3,$AD$3,INDEX(Kanban_Helper!$C$317:$C$328,MATCH(MONTH(G221),Kanban_Helper!$B$317:$B$328,0))&amp;" - "&amp;YEAR(G221)),"$AD$3")</f>
        <v>Not Set</v>
      </c>
      <c r="S221" s="125" t="str">
        <f>IFERROR(IF(I221=$AD$3,$AD$3,INDEX(Kanban_Helper!$C$317:$C$328,MATCH(MONTH(I221),Kanban_Helper!$B$317:$B$328,0))&amp;" - "&amp;YEAR(I221)),$AD$3)</f>
        <v>Not Set</v>
      </c>
      <c r="T221" s="125" t="str">
        <f t="shared" ca="1" si="37"/>
        <v/>
      </c>
      <c r="U221" s="125" t="str">
        <f t="shared" ca="1" si="38"/>
        <v/>
      </c>
      <c r="V221" s="125" t="str">
        <f t="shared" si="35"/>
        <v>Not Set</v>
      </c>
      <c r="W221" s="126" t="str">
        <f t="shared" si="39"/>
        <v/>
      </c>
      <c r="X221" s="126" t="str">
        <f t="shared" si="40"/>
        <v/>
      </c>
      <c r="Y221" s="125" t="str">
        <f>IFERROR(IF(LEN(D221)=0,"",IF(SUBTOTAL(3,E221:E221)=0,MIN($Y$7:Y220)-1,SUBTOTAL(3,$E$8:E221))),"")</f>
        <v/>
      </c>
      <c r="Z221" s="17"/>
      <c r="AA221" s="10"/>
      <c r="AB221" s="10"/>
      <c r="AC221" s="10"/>
      <c r="AD221" s="10"/>
      <c r="AE221" s="10"/>
      <c r="AF221" s="10"/>
      <c r="AG221" s="10"/>
      <c r="AH221" s="10"/>
      <c r="AI221" s="10"/>
      <c r="AJ221" s="10"/>
      <c r="AK221" s="10"/>
      <c r="AL221" s="10"/>
      <c r="AM221" s="10"/>
      <c r="AN221" s="10"/>
    </row>
    <row r="222" spans="2:40" hidden="1" x14ac:dyDescent="0.35">
      <c r="B222" s="15"/>
      <c r="C222" s="127" t="str">
        <f>IFERROR(IF(LEN(INDEX(Database!C$9:C$501,ROW(Calc!A222)-ROW(Calc!$B$7)))=0,"",INDEX(Database!C$9:C$501,ROW(Calc!A222)-ROW(Calc!$B$7))),"")</f>
        <v/>
      </c>
      <c r="D222" s="70" t="str">
        <f>IFERROR(IF(LEN(INDEX(Database!D$9:D$501,ROW(Calc!B222)-ROW(Calc!$B$7)))=0,"",INDEX(Database!D$9:D$501,ROW(Calc!B222)-ROW(Calc!$B$7))),"")</f>
        <v/>
      </c>
      <c r="E222" s="124" t="str">
        <f>IFERROR(IF(LEN(INDEX(Database!G$9:G$501,ROW(Calc!D222)-ROW(Calc!$B$7)))=0,$AD$3,INDEX(Database!G$9:G$501,ROW(Calc!D222)-ROW(Calc!$B$7))),"")</f>
        <v>Not Set</v>
      </c>
      <c r="F222" s="124" t="str">
        <f>IFERROR(IF(LEN(INDEX(Database!F$9:F$501,ROW(Calc!E222)-ROW(Calc!$B$7)))=0,$AD$3,INDEX(Database!F$9:F$501,ROW(Calc!E222)-ROW(Calc!$B$7))),"")</f>
        <v>Not Set</v>
      </c>
      <c r="G222" s="128" t="str">
        <f>IFERROR(IF(LEN(INDEX(Database!H$9:H$501,ROW(Calc!F222)-ROW(Calc!$B$7)))=0,$AD$3,INDEX(Database!H$9:H$501,ROW(Calc!F222)-ROW(Calc!$B$7))),"")</f>
        <v>Not Set</v>
      </c>
      <c r="H222" s="128" t="str">
        <f>IFERROR(IF(LEN(INDEX(Database!I$9:I$501,ROW(Calc!G222)-ROW(Calc!$B$7)))=0,$AD$3,INDEX(Database!I$9:I$501,ROW(Calc!G222)-ROW(Calc!$B$7))),"")</f>
        <v>Not Set</v>
      </c>
      <c r="I222" s="128" t="str">
        <f>IFERROR(IF(LEN(INDEX(Database!J$9:J$501,ROW(Calc!H222)-ROW(Calc!$B$7)))=0,$AD$3,INDEX(Database!J$9:J$501,ROW(Calc!H222)-ROW(Calc!$B$7))),"")</f>
        <v>Not Set</v>
      </c>
      <c r="J222" s="128" t="str">
        <f t="shared" si="32"/>
        <v>Not Set</v>
      </c>
      <c r="K222" s="124" t="str">
        <f>IFERROR(IF(LEN(INDEX(Database!E$9:E$501,ROW(Calc!I222)-ROW(Calc!$B$7)))=0,"",INDEX(Database!E$9:E$501,ROW(Calc!I222)-ROW(Calc!$B$7))),"")</f>
        <v/>
      </c>
      <c r="L222" s="129" t="str">
        <f>IFERROR(IF(LEN(INDEX(Database!K$9:K$501,ROW(Calc!K222)-ROW(Calc!$B$7)))=0,$AD$3,INDEX(Database!K$9:K$501,ROW(Calc!K222)-ROW(Calc!$B$7))),"")</f>
        <v>Not Set</v>
      </c>
      <c r="M222" s="130" t="str">
        <f>IFERROR(IF(LEN(INDEX(Database!L$9:L$501,ROW(Calc!L222)-ROW(Calc!$B$7)))=0,$AD$3,INDEX(Database!L$9:L$501,ROW(Calc!L222)-ROW(Calc!$B$7))),"")</f>
        <v>Not Set</v>
      </c>
      <c r="N222" s="131" t="str">
        <f>IFERROR(IF(LEN(INDEX(Database!M$9:M$501,ROW(Calc!M222)-ROW(Calc!$B$7)))=0,"",INDEX(Database!M$9:M$501,ROW(Calc!M222)-ROW(Calc!$B$7))),"")</f>
        <v/>
      </c>
      <c r="O222" s="132" t="str">
        <f t="shared" si="36"/>
        <v/>
      </c>
      <c r="P222" s="125" t="str">
        <f t="shared" si="33"/>
        <v>Not Set</v>
      </c>
      <c r="Q222" s="125" t="str">
        <f t="shared" si="34"/>
        <v>Not Set</v>
      </c>
      <c r="R222" s="125" t="str">
        <f>IFERROR(IF(G222=$AD$3,$AD$3,INDEX(Kanban_Helper!$C$317:$C$328,MATCH(MONTH(G222),Kanban_Helper!$B$317:$B$328,0))&amp;" - "&amp;YEAR(G222)),"$AD$3")</f>
        <v>Not Set</v>
      </c>
      <c r="S222" s="125" t="str">
        <f>IFERROR(IF(I222=$AD$3,$AD$3,INDEX(Kanban_Helper!$C$317:$C$328,MATCH(MONTH(I222),Kanban_Helper!$B$317:$B$328,0))&amp;" - "&amp;YEAR(I222)),$AD$3)</f>
        <v>Not Set</v>
      </c>
      <c r="T222" s="125" t="str">
        <f t="shared" ca="1" si="37"/>
        <v/>
      </c>
      <c r="U222" s="125" t="str">
        <f t="shared" ca="1" si="38"/>
        <v/>
      </c>
      <c r="V222" s="125" t="str">
        <f t="shared" si="35"/>
        <v>Not Set</v>
      </c>
      <c r="W222" s="126" t="str">
        <f t="shared" si="39"/>
        <v/>
      </c>
      <c r="X222" s="126" t="str">
        <f t="shared" si="40"/>
        <v/>
      </c>
      <c r="Y222" s="125" t="str">
        <f>IFERROR(IF(LEN(D222)=0,"",IF(SUBTOTAL(3,E222:E222)=0,MIN($Y$7:Y221)-1,SUBTOTAL(3,$E$8:E222))),"")</f>
        <v/>
      </c>
      <c r="Z222" s="17"/>
      <c r="AA222" s="10"/>
      <c r="AB222" s="10"/>
      <c r="AC222" s="10"/>
      <c r="AD222" s="10"/>
      <c r="AE222" s="10"/>
      <c r="AF222" s="10"/>
      <c r="AG222" s="10"/>
      <c r="AH222" s="10"/>
      <c r="AI222" s="10"/>
      <c r="AJ222" s="10"/>
      <c r="AK222" s="10"/>
      <c r="AL222" s="10"/>
      <c r="AM222" s="10"/>
      <c r="AN222" s="10"/>
    </row>
    <row r="223" spans="2:40" hidden="1" x14ac:dyDescent="0.35">
      <c r="B223" s="15"/>
      <c r="C223" s="127" t="str">
        <f>IFERROR(IF(LEN(INDEX(Database!C$9:C$501,ROW(Calc!A223)-ROW(Calc!$B$7)))=0,"",INDEX(Database!C$9:C$501,ROW(Calc!A223)-ROW(Calc!$B$7))),"")</f>
        <v/>
      </c>
      <c r="D223" s="70" t="str">
        <f>IFERROR(IF(LEN(INDEX(Database!D$9:D$501,ROW(Calc!B223)-ROW(Calc!$B$7)))=0,"",INDEX(Database!D$9:D$501,ROW(Calc!B223)-ROW(Calc!$B$7))),"")</f>
        <v/>
      </c>
      <c r="E223" s="124" t="str">
        <f>IFERROR(IF(LEN(INDEX(Database!G$9:G$501,ROW(Calc!D223)-ROW(Calc!$B$7)))=0,$AD$3,INDEX(Database!G$9:G$501,ROW(Calc!D223)-ROW(Calc!$B$7))),"")</f>
        <v>Not Set</v>
      </c>
      <c r="F223" s="124" t="str">
        <f>IFERROR(IF(LEN(INDEX(Database!F$9:F$501,ROW(Calc!E223)-ROW(Calc!$B$7)))=0,$AD$3,INDEX(Database!F$9:F$501,ROW(Calc!E223)-ROW(Calc!$B$7))),"")</f>
        <v>Not Set</v>
      </c>
      <c r="G223" s="128" t="str">
        <f>IFERROR(IF(LEN(INDEX(Database!H$9:H$501,ROW(Calc!F223)-ROW(Calc!$B$7)))=0,$AD$3,INDEX(Database!H$9:H$501,ROW(Calc!F223)-ROW(Calc!$B$7))),"")</f>
        <v>Not Set</v>
      </c>
      <c r="H223" s="128" t="str">
        <f>IFERROR(IF(LEN(INDEX(Database!I$9:I$501,ROW(Calc!G223)-ROW(Calc!$B$7)))=0,$AD$3,INDEX(Database!I$9:I$501,ROW(Calc!G223)-ROW(Calc!$B$7))),"")</f>
        <v>Not Set</v>
      </c>
      <c r="I223" s="128" t="str">
        <f>IFERROR(IF(LEN(INDEX(Database!J$9:J$501,ROW(Calc!H223)-ROW(Calc!$B$7)))=0,$AD$3,INDEX(Database!J$9:J$501,ROW(Calc!H223)-ROW(Calc!$B$7))),"")</f>
        <v>Not Set</v>
      </c>
      <c r="J223" s="128" t="str">
        <f t="shared" si="32"/>
        <v>Not Set</v>
      </c>
      <c r="K223" s="124" t="str">
        <f>IFERROR(IF(LEN(INDEX(Database!E$9:E$501,ROW(Calc!I223)-ROW(Calc!$B$7)))=0,"",INDEX(Database!E$9:E$501,ROW(Calc!I223)-ROW(Calc!$B$7))),"")</f>
        <v/>
      </c>
      <c r="L223" s="129" t="str">
        <f>IFERROR(IF(LEN(INDEX(Database!K$9:K$501,ROW(Calc!K223)-ROW(Calc!$B$7)))=0,$AD$3,INDEX(Database!K$9:K$501,ROW(Calc!K223)-ROW(Calc!$B$7))),"")</f>
        <v>Not Set</v>
      </c>
      <c r="M223" s="130" t="str">
        <f>IFERROR(IF(LEN(INDEX(Database!L$9:L$501,ROW(Calc!L223)-ROW(Calc!$B$7)))=0,$AD$3,INDEX(Database!L$9:L$501,ROW(Calc!L223)-ROW(Calc!$B$7))),"")</f>
        <v>Not Set</v>
      </c>
      <c r="N223" s="131" t="str">
        <f>IFERROR(IF(LEN(INDEX(Database!M$9:M$501,ROW(Calc!M223)-ROW(Calc!$B$7)))=0,"",INDEX(Database!M$9:M$501,ROW(Calc!M223)-ROW(Calc!$B$7))),"")</f>
        <v/>
      </c>
      <c r="O223" s="132" t="str">
        <f t="shared" si="36"/>
        <v/>
      </c>
      <c r="P223" s="125" t="str">
        <f t="shared" si="33"/>
        <v>Not Set</v>
      </c>
      <c r="Q223" s="125" t="str">
        <f t="shared" si="34"/>
        <v>Not Set</v>
      </c>
      <c r="R223" s="125" t="str">
        <f>IFERROR(IF(G223=$AD$3,$AD$3,INDEX(Kanban_Helper!$C$317:$C$328,MATCH(MONTH(G223),Kanban_Helper!$B$317:$B$328,0))&amp;" - "&amp;YEAR(G223)),"$AD$3")</f>
        <v>Not Set</v>
      </c>
      <c r="S223" s="125" t="str">
        <f>IFERROR(IF(I223=$AD$3,$AD$3,INDEX(Kanban_Helper!$C$317:$C$328,MATCH(MONTH(I223),Kanban_Helper!$B$317:$B$328,0))&amp;" - "&amp;YEAR(I223)),$AD$3)</f>
        <v>Not Set</v>
      </c>
      <c r="T223" s="125" t="str">
        <f t="shared" ca="1" si="37"/>
        <v/>
      </c>
      <c r="U223" s="125" t="str">
        <f t="shared" ca="1" si="38"/>
        <v/>
      </c>
      <c r="V223" s="125" t="str">
        <f t="shared" si="35"/>
        <v>Not Set</v>
      </c>
      <c r="W223" s="126" t="str">
        <f t="shared" si="39"/>
        <v/>
      </c>
      <c r="X223" s="126" t="str">
        <f t="shared" si="40"/>
        <v/>
      </c>
      <c r="Y223" s="125" t="str">
        <f>IFERROR(IF(LEN(D223)=0,"",IF(SUBTOTAL(3,E223:E223)=0,MIN($Y$7:Y222)-1,SUBTOTAL(3,$E$8:E223))),"")</f>
        <v/>
      </c>
      <c r="Z223" s="17"/>
      <c r="AA223" s="10"/>
      <c r="AB223" s="10"/>
      <c r="AC223" s="10"/>
      <c r="AD223" s="10"/>
      <c r="AE223" s="10"/>
      <c r="AF223" s="10"/>
      <c r="AG223" s="10"/>
      <c r="AH223" s="10"/>
      <c r="AI223" s="10"/>
      <c r="AJ223" s="10"/>
      <c r="AK223" s="10"/>
      <c r="AL223" s="10"/>
      <c r="AM223" s="10"/>
      <c r="AN223" s="10"/>
    </row>
    <row r="224" spans="2:40" hidden="1" x14ac:dyDescent="0.35">
      <c r="B224" s="15"/>
      <c r="C224" s="127" t="str">
        <f>IFERROR(IF(LEN(INDEX(Database!C$9:C$501,ROW(Calc!A224)-ROW(Calc!$B$7)))=0,"",INDEX(Database!C$9:C$501,ROW(Calc!A224)-ROW(Calc!$B$7))),"")</f>
        <v/>
      </c>
      <c r="D224" s="70" t="str">
        <f>IFERROR(IF(LEN(INDEX(Database!D$9:D$501,ROW(Calc!B224)-ROW(Calc!$B$7)))=0,"",INDEX(Database!D$9:D$501,ROW(Calc!B224)-ROW(Calc!$B$7))),"")</f>
        <v/>
      </c>
      <c r="E224" s="124" t="str">
        <f>IFERROR(IF(LEN(INDEX(Database!G$9:G$501,ROW(Calc!D224)-ROW(Calc!$B$7)))=0,$AD$3,INDEX(Database!G$9:G$501,ROW(Calc!D224)-ROW(Calc!$B$7))),"")</f>
        <v>Not Set</v>
      </c>
      <c r="F224" s="124" t="str">
        <f>IFERROR(IF(LEN(INDEX(Database!F$9:F$501,ROW(Calc!E224)-ROW(Calc!$B$7)))=0,$AD$3,INDEX(Database!F$9:F$501,ROW(Calc!E224)-ROW(Calc!$B$7))),"")</f>
        <v>Not Set</v>
      </c>
      <c r="G224" s="128" t="str">
        <f>IFERROR(IF(LEN(INDEX(Database!H$9:H$501,ROW(Calc!F224)-ROW(Calc!$B$7)))=0,$AD$3,INDEX(Database!H$9:H$501,ROW(Calc!F224)-ROW(Calc!$B$7))),"")</f>
        <v>Not Set</v>
      </c>
      <c r="H224" s="128" t="str">
        <f>IFERROR(IF(LEN(INDEX(Database!I$9:I$501,ROW(Calc!G224)-ROW(Calc!$B$7)))=0,$AD$3,INDEX(Database!I$9:I$501,ROW(Calc!G224)-ROW(Calc!$B$7))),"")</f>
        <v>Not Set</v>
      </c>
      <c r="I224" s="128" t="str">
        <f>IFERROR(IF(LEN(INDEX(Database!J$9:J$501,ROW(Calc!H224)-ROW(Calc!$B$7)))=0,$AD$3,INDEX(Database!J$9:J$501,ROW(Calc!H224)-ROW(Calc!$B$7))),"")</f>
        <v>Not Set</v>
      </c>
      <c r="J224" s="128" t="str">
        <f t="shared" si="32"/>
        <v>Not Set</v>
      </c>
      <c r="K224" s="124" t="str">
        <f>IFERROR(IF(LEN(INDEX(Database!E$9:E$501,ROW(Calc!I224)-ROW(Calc!$B$7)))=0,"",INDEX(Database!E$9:E$501,ROW(Calc!I224)-ROW(Calc!$B$7))),"")</f>
        <v/>
      </c>
      <c r="L224" s="129" t="str">
        <f>IFERROR(IF(LEN(INDEX(Database!K$9:K$501,ROW(Calc!K224)-ROW(Calc!$B$7)))=0,$AD$3,INDEX(Database!K$9:K$501,ROW(Calc!K224)-ROW(Calc!$B$7))),"")</f>
        <v>Not Set</v>
      </c>
      <c r="M224" s="130" t="str">
        <f>IFERROR(IF(LEN(INDEX(Database!L$9:L$501,ROW(Calc!L224)-ROW(Calc!$B$7)))=0,$AD$3,INDEX(Database!L$9:L$501,ROW(Calc!L224)-ROW(Calc!$B$7))),"")</f>
        <v>Not Set</v>
      </c>
      <c r="N224" s="131" t="str">
        <f>IFERROR(IF(LEN(INDEX(Database!M$9:M$501,ROW(Calc!M224)-ROW(Calc!$B$7)))=0,"",INDEX(Database!M$9:M$501,ROW(Calc!M224)-ROW(Calc!$B$7))),"")</f>
        <v/>
      </c>
      <c r="O224" s="132" t="str">
        <f t="shared" si="36"/>
        <v/>
      </c>
      <c r="P224" s="125" t="str">
        <f t="shared" si="33"/>
        <v>Not Set</v>
      </c>
      <c r="Q224" s="125" t="str">
        <f t="shared" si="34"/>
        <v>Not Set</v>
      </c>
      <c r="R224" s="125" t="str">
        <f>IFERROR(IF(G224=$AD$3,$AD$3,INDEX(Kanban_Helper!$C$317:$C$328,MATCH(MONTH(G224),Kanban_Helper!$B$317:$B$328,0))&amp;" - "&amp;YEAR(G224)),"$AD$3")</f>
        <v>Not Set</v>
      </c>
      <c r="S224" s="125" t="str">
        <f>IFERROR(IF(I224=$AD$3,$AD$3,INDEX(Kanban_Helper!$C$317:$C$328,MATCH(MONTH(I224),Kanban_Helper!$B$317:$B$328,0))&amp;" - "&amp;YEAR(I224)),$AD$3)</f>
        <v>Not Set</v>
      </c>
      <c r="T224" s="125" t="str">
        <f t="shared" ca="1" si="37"/>
        <v/>
      </c>
      <c r="U224" s="125" t="str">
        <f t="shared" ca="1" si="38"/>
        <v/>
      </c>
      <c r="V224" s="125" t="str">
        <f t="shared" si="35"/>
        <v>Not Set</v>
      </c>
      <c r="W224" s="126" t="str">
        <f t="shared" si="39"/>
        <v/>
      </c>
      <c r="X224" s="126" t="str">
        <f t="shared" si="40"/>
        <v/>
      </c>
      <c r="Y224" s="125" t="str">
        <f>IFERROR(IF(LEN(D224)=0,"",IF(SUBTOTAL(3,E224:E224)=0,MIN($Y$7:Y223)-1,SUBTOTAL(3,$E$8:E224))),"")</f>
        <v/>
      </c>
      <c r="Z224" s="17"/>
      <c r="AA224" s="10"/>
      <c r="AB224" s="10"/>
      <c r="AC224" s="10"/>
      <c r="AD224" s="10"/>
      <c r="AE224" s="10"/>
      <c r="AF224" s="10"/>
      <c r="AG224" s="10"/>
      <c r="AH224" s="10"/>
      <c r="AI224" s="10"/>
      <c r="AJ224" s="10"/>
      <c r="AK224" s="10"/>
      <c r="AL224" s="10"/>
      <c r="AM224" s="10"/>
      <c r="AN224" s="10"/>
    </row>
    <row r="225" spans="2:40" hidden="1" x14ac:dyDescent="0.35">
      <c r="B225" s="15"/>
      <c r="C225" s="127" t="str">
        <f>IFERROR(IF(LEN(INDEX(Database!C$9:C$501,ROW(Calc!A225)-ROW(Calc!$B$7)))=0,"",INDEX(Database!C$9:C$501,ROW(Calc!A225)-ROW(Calc!$B$7))),"")</f>
        <v/>
      </c>
      <c r="D225" s="70" t="str">
        <f>IFERROR(IF(LEN(INDEX(Database!D$9:D$501,ROW(Calc!B225)-ROW(Calc!$B$7)))=0,"",INDEX(Database!D$9:D$501,ROW(Calc!B225)-ROW(Calc!$B$7))),"")</f>
        <v/>
      </c>
      <c r="E225" s="124" t="str">
        <f>IFERROR(IF(LEN(INDEX(Database!G$9:G$501,ROW(Calc!D225)-ROW(Calc!$B$7)))=0,$AD$3,INDEX(Database!G$9:G$501,ROW(Calc!D225)-ROW(Calc!$B$7))),"")</f>
        <v>Not Set</v>
      </c>
      <c r="F225" s="124" t="str">
        <f>IFERROR(IF(LEN(INDEX(Database!F$9:F$501,ROW(Calc!E225)-ROW(Calc!$B$7)))=0,$AD$3,INDEX(Database!F$9:F$501,ROW(Calc!E225)-ROW(Calc!$B$7))),"")</f>
        <v>Not Set</v>
      </c>
      <c r="G225" s="128" t="str">
        <f>IFERROR(IF(LEN(INDEX(Database!H$9:H$501,ROW(Calc!F225)-ROW(Calc!$B$7)))=0,$AD$3,INDEX(Database!H$9:H$501,ROW(Calc!F225)-ROW(Calc!$B$7))),"")</f>
        <v>Not Set</v>
      </c>
      <c r="H225" s="128" t="str">
        <f>IFERROR(IF(LEN(INDEX(Database!I$9:I$501,ROW(Calc!G225)-ROW(Calc!$B$7)))=0,$AD$3,INDEX(Database!I$9:I$501,ROW(Calc!G225)-ROW(Calc!$B$7))),"")</f>
        <v>Not Set</v>
      </c>
      <c r="I225" s="128" t="str">
        <f>IFERROR(IF(LEN(INDEX(Database!J$9:J$501,ROW(Calc!H225)-ROW(Calc!$B$7)))=0,$AD$3,INDEX(Database!J$9:J$501,ROW(Calc!H225)-ROW(Calc!$B$7))),"")</f>
        <v>Not Set</v>
      </c>
      <c r="J225" s="128" t="str">
        <f t="shared" si="32"/>
        <v>Not Set</v>
      </c>
      <c r="K225" s="124" t="str">
        <f>IFERROR(IF(LEN(INDEX(Database!E$9:E$501,ROW(Calc!I225)-ROW(Calc!$B$7)))=0,"",INDEX(Database!E$9:E$501,ROW(Calc!I225)-ROW(Calc!$B$7))),"")</f>
        <v/>
      </c>
      <c r="L225" s="129" t="str">
        <f>IFERROR(IF(LEN(INDEX(Database!K$9:K$501,ROW(Calc!K225)-ROW(Calc!$B$7)))=0,$AD$3,INDEX(Database!K$9:K$501,ROW(Calc!K225)-ROW(Calc!$B$7))),"")</f>
        <v>Not Set</v>
      </c>
      <c r="M225" s="130" t="str">
        <f>IFERROR(IF(LEN(INDEX(Database!L$9:L$501,ROW(Calc!L225)-ROW(Calc!$B$7)))=0,$AD$3,INDEX(Database!L$9:L$501,ROW(Calc!L225)-ROW(Calc!$B$7))),"")</f>
        <v>Not Set</v>
      </c>
      <c r="N225" s="131" t="str">
        <f>IFERROR(IF(LEN(INDEX(Database!M$9:M$501,ROW(Calc!M225)-ROW(Calc!$B$7)))=0,"",INDEX(Database!M$9:M$501,ROW(Calc!M225)-ROW(Calc!$B$7))),"")</f>
        <v/>
      </c>
      <c r="O225" s="132" t="str">
        <f t="shared" si="36"/>
        <v/>
      </c>
      <c r="P225" s="125" t="str">
        <f t="shared" si="33"/>
        <v>Not Set</v>
      </c>
      <c r="Q225" s="125" t="str">
        <f t="shared" si="34"/>
        <v>Not Set</v>
      </c>
      <c r="R225" s="125" t="str">
        <f>IFERROR(IF(G225=$AD$3,$AD$3,INDEX(Kanban_Helper!$C$317:$C$328,MATCH(MONTH(G225),Kanban_Helper!$B$317:$B$328,0))&amp;" - "&amp;YEAR(G225)),"$AD$3")</f>
        <v>Not Set</v>
      </c>
      <c r="S225" s="125" t="str">
        <f>IFERROR(IF(I225=$AD$3,$AD$3,INDEX(Kanban_Helper!$C$317:$C$328,MATCH(MONTH(I225),Kanban_Helper!$B$317:$B$328,0))&amp;" - "&amp;YEAR(I225)),$AD$3)</f>
        <v>Not Set</v>
      </c>
      <c r="T225" s="125" t="str">
        <f t="shared" ca="1" si="37"/>
        <v/>
      </c>
      <c r="U225" s="125" t="str">
        <f t="shared" ca="1" si="38"/>
        <v/>
      </c>
      <c r="V225" s="125" t="str">
        <f t="shared" si="35"/>
        <v>Not Set</v>
      </c>
      <c r="W225" s="126" t="str">
        <f t="shared" si="39"/>
        <v/>
      </c>
      <c r="X225" s="126" t="str">
        <f t="shared" si="40"/>
        <v/>
      </c>
      <c r="Y225" s="125" t="str">
        <f>IFERROR(IF(LEN(D225)=0,"",IF(SUBTOTAL(3,E225:E225)=0,MIN($Y$7:Y224)-1,SUBTOTAL(3,$E$8:E225))),"")</f>
        <v/>
      </c>
      <c r="Z225" s="17"/>
      <c r="AA225" s="10"/>
      <c r="AB225" s="10"/>
      <c r="AC225" s="10"/>
      <c r="AD225" s="10"/>
      <c r="AE225" s="10"/>
      <c r="AF225" s="10"/>
      <c r="AG225" s="10"/>
      <c r="AH225" s="10"/>
      <c r="AI225" s="10"/>
      <c r="AJ225" s="10"/>
      <c r="AK225" s="10"/>
      <c r="AL225" s="10"/>
      <c r="AM225" s="10"/>
      <c r="AN225" s="10"/>
    </row>
    <row r="226" spans="2:40" hidden="1" x14ac:dyDescent="0.35">
      <c r="B226" s="15"/>
      <c r="C226" s="127" t="str">
        <f>IFERROR(IF(LEN(INDEX(Database!C$9:C$501,ROW(Calc!A226)-ROW(Calc!$B$7)))=0,"",INDEX(Database!C$9:C$501,ROW(Calc!A226)-ROW(Calc!$B$7))),"")</f>
        <v/>
      </c>
      <c r="D226" s="70" t="str">
        <f>IFERROR(IF(LEN(INDEX(Database!D$9:D$501,ROW(Calc!B226)-ROW(Calc!$B$7)))=0,"",INDEX(Database!D$9:D$501,ROW(Calc!B226)-ROW(Calc!$B$7))),"")</f>
        <v/>
      </c>
      <c r="E226" s="124" t="str">
        <f>IFERROR(IF(LEN(INDEX(Database!G$9:G$501,ROW(Calc!D226)-ROW(Calc!$B$7)))=0,$AD$3,INDEX(Database!G$9:G$501,ROW(Calc!D226)-ROW(Calc!$B$7))),"")</f>
        <v>Not Set</v>
      </c>
      <c r="F226" s="124" t="str">
        <f>IFERROR(IF(LEN(INDEX(Database!F$9:F$501,ROW(Calc!E226)-ROW(Calc!$B$7)))=0,$AD$3,INDEX(Database!F$9:F$501,ROW(Calc!E226)-ROW(Calc!$B$7))),"")</f>
        <v>Not Set</v>
      </c>
      <c r="G226" s="128" t="str">
        <f>IFERROR(IF(LEN(INDEX(Database!H$9:H$501,ROW(Calc!F226)-ROW(Calc!$B$7)))=0,$AD$3,INDEX(Database!H$9:H$501,ROW(Calc!F226)-ROW(Calc!$B$7))),"")</f>
        <v>Not Set</v>
      </c>
      <c r="H226" s="128" t="str">
        <f>IFERROR(IF(LEN(INDEX(Database!I$9:I$501,ROW(Calc!G226)-ROW(Calc!$B$7)))=0,$AD$3,INDEX(Database!I$9:I$501,ROW(Calc!G226)-ROW(Calc!$B$7))),"")</f>
        <v>Not Set</v>
      </c>
      <c r="I226" s="128" t="str">
        <f>IFERROR(IF(LEN(INDEX(Database!J$9:J$501,ROW(Calc!H226)-ROW(Calc!$B$7)))=0,$AD$3,INDEX(Database!J$9:J$501,ROW(Calc!H226)-ROW(Calc!$B$7))),"")</f>
        <v>Not Set</v>
      </c>
      <c r="J226" s="128" t="str">
        <f t="shared" si="32"/>
        <v>Not Set</v>
      </c>
      <c r="K226" s="124" t="str">
        <f>IFERROR(IF(LEN(INDEX(Database!E$9:E$501,ROW(Calc!I226)-ROW(Calc!$B$7)))=0,"",INDEX(Database!E$9:E$501,ROW(Calc!I226)-ROW(Calc!$B$7))),"")</f>
        <v/>
      </c>
      <c r="L226" s="129" t="str">
        <f>IFERROR(IF(LEN(INDEX(Database!K$9:K$501,ROW(Calc!K226)-ROW(Calc!$B$7)))=0,$AD$3,INDEX(Database!K$9:K$501,ROW(Calc!K226)-ROW(Calc!$B$7))),"")</f>
        <v>Not Set</v>
      </c>
      <c r="M226" s="130" t="str">
        <f>IFERROR(IF(LEN(INDEX(Database!L$9:L$501,ROW(Calc!L226)-ROW(Calc!$B$7)))=0,$AD$3,INDEX(Database!L$9:L$501,ROW(Calc!L226)-ROW(Calc!$B$7))),"")</f>
        <v>Not Set</v>
      </c>
      <c r="N226" s="131" t="str">
        <f>IFERROR(IF(LEN(INDEX(Database!M$9:M$501,ROW(Calc!M226)-ROW(Calc!$B$7)))=0,"",INDEX(Database!M$9:M$501,ROW(Calc!M226)-ROW(Calc!$B$7))),"")</f>
        <v/>
      </c>
      <c r="O226" s="132" t="str">
        <f t="shared" si="36"/>
        <v/>
      </c>
      <c r="P226" s="125" t="str">
        <f t="shared" si="33"/>
        <v>Not Set</v>
      </c>
      <c r="Q226" s="125" t="str">
        <f t="shared" si="34"/>
        <v>Not Set</v>
      </c>
      <c r="R226" s="125" t="str">
        <f>IFERROR(IF(G226=$AD$3,$AD$3,INDEX(Kanban_Helper!$C$317:$C$328,MATCH(MONTH(G226),Kanban_Helper!$B$317:$B$328,0))&amp;" - "&amp;YEAR(G226)),"$AD$3")</f>
        <v>Not Set</v>
      </c>
      <c r="S226" s="125" t="str">
        <f>IFERROR(IF(I226=$AD$3,$AD$3,INDEX(Kanban_Helper!$C$317:$C$328,MATCH(MONTH(I226),Kanban_Helper!$B$317:$B$328,0))&amp;" - "&amp;YEAR(I226)),$AD$3)</f>
        <v>Not Set</v>
      </c>
      <c r="T226" s="125" t="str">
        <f t="shared" ca="1" si="37"/>
        <v/>
      </c>
      <c r="U226" s="125" t="str">
        <f t="shared" ca="1" si="38"/>
        <v/>
      </c>
      <c r="V226" s="125" t="str">
        <f t="shared" si="35"/>
        <v>Not Set</v>
      </c>
      <c r="W226" s="126" t="str">
        <f t="shared" si="39"/>
        <v/>
      </c>
      <c r="X226" s="126" t="str">
        <f t="shared" si="40"/>
        <v/>
      </c>
      <c r="Y226" s="125" t="str">
        <f>IFERROR(IF(LEN(D226)=0,"",IF(SUBTOTAL(3,E226:E226)=0,MIN($Y$7:Y225)-1,SUBTOTAL(3,$E$8:E226))),"")</f>
        <v/>
      </c>
      <c r="Z226" s="17"/>
      <c r="AA226" s="10"/>
      <c r="AB226" s="10"/>
      <c r="AC226" s="10"/>
      <c r="AD226" s="10"/>
      <c r="AE226" s="10"/>
      <c r="AF226" s="10"/>
      <c r="AG226" s="10"/>
      <c r="AH226" s="10"/>
      <c r="AI226" s="10"/>
      <c r="AJ226" s="10"/>
      <c r="AK226" s="10"/>
      <c r="AL226" s="10"/>
      <c r="AM226" s="10"/>
      <c r="AN226" s="10"/>
    </row>
    <row r="227" spans="2:40" hidden="1" x14ac:dyDescent="0.35">
      <c r="B227" s="15"/>
      <c r="C227" s="127" t="str">
        <f>IFERROR(IF(LEN(INDEX(Database!C$9:C$501,ROW(Calc!A227)-ROW(Calc!$B$7)))=0,"",INDEX(Database!C$9:C$501,ROW(Calc!A227)-ROW(Calc!$B$7))),"")</f>
        <v/>
      </c>
      <c r="D227" s="70" t="str">
        <f>IFERROR(IF(LEN(INDEX(Database!D$9:D$501,ROW(Calc!B227)-ROW(Calc!$B$7)))=0,"",INDEX(Database!D$9:D$501,ROW(Calc!B227)-ROW(Calc!$B$7))),"")</f>
        <v/>
      </c>
      <c r="E227" s="124" t="str">
        <f>IFERROR(IF(LEN(INDEX(Database!G$9:G$501,ROW(Calc!D227)-ROW(Calc!$B$7)))=0,$AD$3,INDEX(Database!G$9:G$501,ROW(Calc!D227)-ROW(Calc!$B$7))),"")</f>
        <v>Not Set</v>
      </c>
      <c r="F227" s="124" t="str">
        <f>IFERROR(IF(LEN(INDEX(Database!F$9:F$501,ROW(Calc!E227)-ROW(Calc!$B$7)))=0,$AD$3,INDEX(Database!F$9:F$501,ROW(Calc!E227)-ROW(Calc!$B$7))),"")</f>
        <v>Not Set</v>
      </c>
      <c r="G227" s="128" t="str">
        <f>IFERROR(IF(LEN(INDEX(Database!H$9:H$501,ROW(Calc!F227)-ROW(Calc!$B$7)))=0,$AD$3,INDEX(Database!H$9:H$501,ROW(Calc!F227)-ROW(Calc!$B$7))),"")</f>
        <v>Not Set</v>
      </c>
      <c r="H227" s="128" t="str">
        <f>IFERROR(IF(LEN(INDEX(Database!I$9:I$501,ROW(Calc!G227)-ROW(Calc!$B$7)))=0,$AD$3,INDEX(Database!I$9:I$501,ROW(Calc!G227)-ROW(Calc!$B$7))),"")</f>
        <v>Not Set</v>
      </c>
      <c r="I227" s="128" t="str">
        <f>IFERROR(IF(LEN(INDEX(Database!J$9:J$501,ROW(Calc!H227)-ROW(Calc!$B$7)))=0,$AD$3,INDEX(Database!J$9:J$501,ROW(Calc!H227)-ROW(Calc!$B$7))),"")</f>
        <v>Not Set</v>
      </c>
      <c r="J227" s="128" t="str">
        <f t="shared" si="32"/>
        <v>Not Set</v>
      </c>
      <c r="K227" s="124" t="str">
        <f>IFERROR(IF(LEN(INDEX(Database!E$9:E$501,ROW(Calc!I227)-ROW(Calc!$B$7)))=0,"",INDEX(Database!E$9:E$501,ROW(Calc!I227)-ROW(Calc!$B$7))),"")</f>
        <v/>
      </c>
      <c r="L227" s="129" t="str">
        <f>IFERROR(IF(LEN(INDEX(Database!K$9:K$501,ROW(Calc!K227)-ROW(Calc!$B$7)))=0,$AD$3,INDEX(Database!K$9:K$501,ROW(Calc!K227)-ROW(Calc!$B$7))),"")</f>
        <v>Not Set</v>
      </c>
      <c r="M227" s="130" t="str">
        <f>IFERROR(IF(LEN(INDEX(Database!L$9:L$501,ROW(Calc!L227)-ROW(Calc!$B$7)))=0,$AD$3,INDEX(Database!L$9:L$501,ROW(Calc!L227)-ROW(Calc!$B$7))),"")</f>
        <v>Not Set</v>
      </c>
      <c r="N227" s="131" t="str">
        <f>IFERROR(IF(LEN(INDEX(Database!M$9:M$501,ROW(Calc!M227)-ROW(Calc!$B$7)))=0,"",INDEX(Database!M$9:M$501,ROW(Calc!M227)-ROW(Calc!$B$7))),"")</f>
        <v/>
      </c>
      <c r="O227" s="132" t="str">
        <f t="shared" si="36"/>
        <v/>
      </c>
      <c r="P227" s="125" t="str">
        <f t="shared" si="33"/>
        <v>Not Set</v>
      </c>
      <c r="Q227" s="125" t="str">
        <f t="shared" si="34"/>
        <v>Not Set</v>
      </c>
      <c r="R227" s="125" t="str">
        <f>IFERROR(IF(G227=$AD$3,$AD$3,INDEX(Kanban_Helper!$C$317:$C$328,MATCH(MONTH(G227),Kanban_Helper!$B$317:$B$328,0))&amp;" - "&amp;YEAR(G227)),"$AD$3")</f>
        <v>Not Set</v>
      </c>
      <c r="S227" s="125" t="str">
        <f>IFERROR(IF(I227=$AD$3,$AD$3,INDEX(Kanban_Helper!$C$317:$C$328,MATCH(MONTH(I227),Kanban_Helper!$B$317:$B$328,0))&amp;" - "&amp;YEAR(I227)),$AD$3)</f>
        <v>Not Set</v>
      </c>
      <c r="T227" s="125" t="str">
        <f t="shared" ca="1" si="37"/>
        <v/>
      </c>
      <c r="U227" s="125" t="str">
        <f t="shared" ca="1" si="38"/>
        <v/>
      </c>
      <c r="V227" s="125" t="str">
        <f t="shared" si="35"/>
        <v>Not Set</v>
      </c>
      <c r="W227" s="126" t="str">
        <f t="shared" si="39"/>
        <v/>
      </c>
      <c r="X227" s="126" t="str">
        <f t="shared" si="40"/>
        <v/>
      </c>
      <c r="Y227" s="125" t="str">
        <f>IFERROR(IF(LEN(D227)=0,"",IF(SUBTOTAL(3,E227:E227)=0,MIN($Y$7:Y226)-1,SUBTOTAL(3,$E$8:E227))),"")</f>
        <v/>
      </c>
      <c r="Z227" s="17"/>
      <c r="AA227" s="10"/>
      <c r="AB227" s="10"/>
      <c r="AC227" s="10"/>
      <c r="AD227" s="10"/>
      <c r="AE227" s="10"/>
      <c r="AF227" s="10"/>
      <c r="AG227" s="10"/>
      <c r="AH227" s="10"/>
      <c r="AI227" s="10"/>
      <c r="AJ227" s="10"/>
      <c r="AK227" s="10"/>
      <c r="AL227" s="10"/>
      <c r="AM227" s="10"/>
      <c r="AN227" s="10"/>
    </row>
    <row r="228" spans="2:40" hidden="1" x14ac:dyDescent="0.35">
      <c r="B228" s="15"/>
      <c r="C228" s="127" t="str">
        <f>IFERROR(IF(LEN(INDEX(Database!C$9:C$501,ROW(Calc!A228)-ROW(Calc!$B$7)))=0,"",INDEX(Database!C$9:C$501,ROW(Calc!A228)-ROW(Calc!$B$7))),"")</f>
        <v/>
      </c>
      <c r="D228" s="70" t="str">
        <f>IFERROR(IF(LEN(INDEX(Database!D$9:D$501,ROW(Calc!B228)-ROW(Calc!$B$7)))=0,"",INDEX(Database!D$9:D$501,ROW(Calc!B228)-ROW(Calc!$B$7))),"")</f>
        <v/>
      </c>
      <c r="E228" s="124" t="str">
        <f>IFERROR(IF(LEN(INDEX(Database!G$9:G$501,ROW(Calc!D228)-ROW(Calc!$B$7)))=0,$AD$3,INDEX(Database!G$9:G$501,ROW(Calc!D228)-ROW(Calc!$B$7))),"")</f>
        <v>Not Set</v>
      </c>
      <c r="F228" s="124" t="str">
        <f>IFERROR(IF(LEN(INDEX(Database!F$9:F$501,ROW(Calc!E228)-ROW(Calc!$B$7)))=0,$AD$3,INDEX(Database!F$9:F$501,ROW(Calc!E228)-ROW(Calc!$B$7))),"")</f>
        <v>Not Set</v>
      </c>
      <c r="G228" s="128" t="str">
        <f>IFERROR(IF(LEN(INDEX(Database!H$9:H$501,ROW(Calc!F228)-ROW(Calc!$B$7)))=0,$AD$3,INDEX(Database!H$9:H$501,ROW(Calc!F228)-ROW(Calc!$B$7))),"")</f>
        <v>Not Set</v>
      </c>
      <c r="H228" s="128" t="str">
        <f>IFERROR(IF(LEN(INDEX(Database!I$9:I$501,ROW(Calc!G228)-ROW(Calc!$B$7)))=0,$AD$3,INDEX(Database!I$9:I$501,ROW(Calc!G228)-ROW(Calc!$B$7))),"")</f>
        <v>Not Set</v>
      </c>
      <c r="I228" s="128" t="str">
        <f>IFERROR(IF(LEN(INDEX(Database!J$9:J$501,ROW(Calc!H228)-ROW(Calc!$B$7)))=0,$AD$3,INDEX(Database!J$9:J$501,ROW(Calc!H228)-ROW(Calc!$B$7))),"")</f>
        <v>Not Set</v>
      </c>
      <c r="J228" s="128" t="str">
        <f t="shared" si="32"/>
        <v>Not Set</v>
      </c>
      <c r="K228" s="124" t="str">
        <f>IFERROR(IF(LEN(INDEX(Database!E$9:E$501,ROW(Calc!I228)-ROW(Calc!$B$7)))=0,"",INDEX(Database!E$9:E$501,ROW(Calc!I228)-ROW(Calc!$B$7))),"")</f>
        <v/>
      </c>
      <c r="L228" s="129" t="str">
        <f>IFERROR(IF(LEN(INDEX(Database!K$9:K$501,ROW(Calc!K228)-ROW(Calc!$B$7)))=0,$AD$3,INDEX(Database!K$9:K$501,ROW(Calc!K228)-ROW(Calc!$B$7))),"")</f>
        <v>Not Set</v>
      </c>
      <c r="M228" s="130" t="str">
        <f>IFERROR(IF(LEN(INDEX(Database!L$9:L$501,ROW(Calc!L228)-ROW(Calc!$B$7)))=0,$AD$3,INDEX(Database!L$9:L$501,ROW(Calc!L228)-ROW(Calc!$B$7))),"")</f>
        <v>Not Set</v>
      </c>
      <c r="N228" s="131" t="str">
        <f>IFERROR(IF(LEN(INDEX(Database!M$9:M$501,ROW(Calc!M228)-ROW(Calc!$B$7)))=0,"",INDEX(Database!M$9:M$501,ROW(Calc!M228)-ROW(Calc!$B$7))),"")</f>
        <v/>
      </c>
      <c r="O228" s="132" t="str">
        <f t="shared" si="36"/>
        <v/>
      </c>
      <c r="P228" s="125" t="str">
        <f t="shared" si="33"/>
        <v>Not Set</v>
      </c>
      <c r="Q228" s="125" t="str">
        <f t="shared" si="34"/>
        <v>Not Set</v>
      </c>
      <c r="R228" s="125" t="str">
        <f>IFERROR(IF(G228=$AD$3,$AD$3,INDEX(Kanban_Helper!$C$317:$C$328,MATCH(MONTH(G228),Kanban_Helper!$B$317:$B$328,0))&amp;" - "&amp;YEAR(G228)),"$AD$3")</f>
        <v>Not Set</v>
      </c>
      <c r="S228" s="125" t="str">
        <f>IFERROR(IF(I228=$AD$3,$AD$3,INDEX(Kanban_Helper!$C$317:$C$328,MATCH(MONTH(I228),Kanban_Helper!$B$317:$B$328,0))&amp;" - "&amp;YEAR(I228)),$AD$3)</f>
        <v>Not Set</v>
      </c>
      <c r="T228" s="125" t="str">
        <f t="shared" ca="1" si="37"/>
        <v/>
      </c>
      <c r="U228" s="125" t="str">
        <f t="shared" ca="1" si="38"/>
        <v/>
      </c>
      <c r="V228" s="125" t="str">
        <f t="shared" si="35"/>
        <v>Not Set</v>
      </c>
      <c r="W228" s="126" t="str">
        <f t="shared" si="39"/>
        <v/>
      </c>
      <c r="X228" s="126" t="str">
        <f t="shared" si="40"/>
        <v/>
      </c>
      <c r="Y228" s="125" t="str">
        <f>IFERROR(IF(LEN(D228)=0,"",IF(SUBTOTAL(3,E228:E228)=0,MIN($Y$7:Y227)-1,SUBTOTAL(3,$E$8:E228))),"")</f>
        <v/>
      </c>
      <c r="Z228" s="17"/>
      <c r="AA228" s="10"/>
      <c r="AB228" s="10"/>
      <c r="AC228" s="10"/>
      <c r="AD228" s="10"/>
      <c r="AE228" s="10"/>
      <c r="AF228" s="10"/>
      <c r="AG228" s="10"/>
      <c r="AH228" s="10"/>
      <c r="AI228" s="10"/>
      <c r="AJ228" s="10"/>
      <c r="AK228" s="10"/>
      <c r="AL228" s="10"/>
      <c r="AM228" s="10"/>
      <c r="AN228" s="10"/>
    </row>
    <row r="229" spans="2:40" hidden="1" x14ac:dyDescent="0.35">
      <c r="B229" s="15"/>
      <c r="C229" s="127" t="str">
        <f>IFERROR(IF(LEN(INDEX(Database!C$9:C$501,ROW(Calc!A229)-ROW(Calc!$B$7)))=0,"",INDEX(Database!C$9:C$501,ROW(Calc!A229)-ROW(Calc!$B$7))),"")</f>
        <v/>
      </c>
      <c r="D229" s="70" t="str">
        <f>IFERROR(IF(LEN(INDEX(Database!D$9:D$501,ROW(Calc!B229)-ROW(Calc!$B$7)))=0,"",INDEX(Database!D$9:D$501,ROW(Calc!B229)-ROW(Calc!$B$7))),"")</f>
        <v/>
      </c>
      <c r="E229" s="124" t="str">
        <f>IFERROR(IF(LEN(INDEX(Database!G$9:G$501,ROW(Calc!D229)-ROW(Calc!$B$7)))=0,$AD$3,INDEX(Database!G$9:G$501,ROW(Calc!D229)-ROW(Calc!$B$7))),"")</f>
        <v>Not Set</v>
      </c>
      <c r="F229" s="124" t="str">
        <f>IFERROR(IF(LEN(INDEX(Database!F$9:F$501,ROW(Calc!E229)-ROW(Calc!$B$7)))=0,$AD$3,INDEX(Database!F$9:F$501,ROW(Calc!E229)-ROW(Calc!$B$7))),"")</f>
        <v>Not Set</v>
      </c>
      <c r="G229" s="128" t="str">
        <f>IFERROR(IF(LEN(INDEX(Database!H$9:H$501,ROW(Calc!F229)-ROW(Calc!$B$7)))=0,$AD$3,INDEX(Database!H$9:H$501,ROW(Calc!F229)-ROW(Calc!$B$7))),"")</f>
        <v>Not Set</v>
      </c>
      <c r="H229" s="128" t="str">
        <f>IFERROR(IF(LEN(INDEX(Database!I$9:I$501,ROW(Calc!G229)-ROW(Calc!$B$7)))=0,$AD$3,INDEX(Database!I$9:I$501,ROW(Calc!G229)-ROW(Calc!$B$7))),"")</f>
        <v>Not Set</v>
      </c>
      <c r="I229" s="128" t="str">
        <f>IFERROR(IF(LEN(INDEX(Database!J$9:J$501,ROW(Calc!H229)-ROW(Calc!$B$7)))=0,$AD$3,INDEX(Database!J$9:J$501,ROW(Calc!H229)-ROW(Calc!$B$7))),"")</f>
        <v>Not Set</v>
      </c>
      <c r="J229" s="128" t="str">
        <f t="shared" si="32"/>
        <v>Not Set</v>
      </c>
      <c r="K229" s="124" t="str">
        <f>IFERROR(IF(LEN(INDEX(Database!E$9:E$501,ROW(Calc!I229)-ROW(Calc!$B$7)))=0,"",INDEX(Database!E$9:E$501,ROW(Calc!I229)-ROW(Calc!$B$7))),"")</f>
        <v/>
      </c>
      <c r="L229" s="129" t="str">
        <f>IFERROR(IF(LEN(INDEX(Database!K$9:K$501,ROW(Calc!K229)-ROW(Calc!$B$7)))=0,$AD$3,INDEX(Database!K$9:K$501,ROW(Calc!K229)-ROW(Calc!$B$7))),"")</f>
        <v>Not Set</v>
      </c>
      <c r="M229" s="130" t="str">
        <f>IFERROR(IF(LEN(INDEX(Database!L$9:L$501,ROW(Calc!L229)-ROW(Calc!$B$7)))=0,$AD$3,INDEX(Database!L$9:L$501,ROW(Calc!L229)-ROW(Calc!$B$7))),"")</f>
        <v>Not Set</v>
      </c>
      <c r="N229" s="131" t="str">
        <f>IFERROR(IF(LEN(INDEX(Database!M$9:M$501,ROW(Calc!M229)-ROW(Calc!$B$7)))=0,"",INDEX(Database!M$9:M$501,ROW(Calc!M229)-ROW(Calc!$B$7))),"")</f>
        <v/>
      </c>
      <c r="O229" s="132" t="str">
        <f t="shared" si="36"/>
        <v/>
      </c>
      <c r="P229" s="125" t="str">
        <f t="shared" si="33"/>
        <v>Not Set</v>
      </c>
      <c r="Q229" s="125" t="str">
        <f t="shared" si="34"/>
        <v>Not Set</v>
      </c>
      <c r="R229" s="125" t="str">
        <f>IFERROR(IF(G229=$AD$3,$AD$3,INDEX(Kanban_Helper!$C$317:$C$328,MATCH(MONTH(G229),Kanban_Helper!$B$317:$B$328,0))&amp;" - "&amp;YEAR(G229)),"$AD$3")</f>
        <v>Not Set</v>
      </c>
      <c r="S229" s="125" t="str">
        <f>IFERROR(IF(I229=$AD$3,$AD$3,INDEX(Kanban_Helper!$C$317:$C$328,MATCH(MONTH(I229),Kanban_Helper!$B$317:$B$328,0))&amp;" - "&amp;YEAR(I229)),$AD$3)</f>
        <v>Not Set</v>
      </c>
      <c r="T229" s="125" t="str">
        <f t="shared" ca="1" si="37"/>
        <v/>
      </c>
      <c r="U229" s="125" t="str">
        <f t="shared" ca="1" si="38"/>
        <v/>
      </c>
      <c r="V229" s="125" t="str">
        <f t="shared" si="35"/>
        <v>Not Set</v>
      </c>
      <c r="W229" s="126" t="str">
        <f t="shared" si="39"/>
        <v/>
      </c>
      <c r="X229" s="126" t="str">
        <f t="shared" si="40"/>
        <v/>
      </c>
      <c r="Y229" s="125" t="str">
        <f>IFERROR(IF(LEN(D229)=0,"",IF(SUBTOTAL(3,E229:E229)=0,MIN($Y$7:Y228)-1,SUBTOTAL(3,$E$8:E229))),"")</f>
        <v/>
      </c>
      <c r="Z229" s="17"/>
      <c r="AA229" s="10"/>
      <c r="AB229" s="10"/>
      <c r="AC229" s="10"/>
      <c r="AD229" s="10"/>
      <c r="AE229" s="10"/>
      <c r="AF229" s="10"/>
      <c r="AG229" s="10"/>
      <c r="AH229" s="10"/>
      <c r="AI229" s="10"/>
      <c r="AJ229" s="10"/>
      <c r="AK229" s="10"/>
      <c r="AL229" s="10"/>
      <c r="AM229" s="10"/>
      <c r="AN229" s="10"/>
    </row>
    <row r="230" spans="2:40" hidden="1" x14ac:dyDescent="0.35">
      <c r="B230" s="15"/>
      <c r="C230" s="127" t="str">
        <f>IFERROR(IF(LEN(INDEX(Database!C$9:C$501,ROW(Calc!A230)-ROW(Calc!$B$7)))=0,"",INDEX(Database!C$9:C$501,ROW(Calc!A230)-ROW(Calc!$B$7))),"")</f>
        <v/>
      </c>
      <c r="D230" s="70" t="str">
        <f>IFERROR(IF(LEN(INDEX(Database!D$9:D$501,ROW(Calc!B230)-ROW(Calc!$B$7)))=0,"",INDEX(Database!D$9:D$501,ROW(Calc!B230)-ROW(Calc!$B$7))),"")</f>
        <v/>
      </c>
      <c r="E230" s="124" t="str">
        <f>IFERROR(IF(LEN(INDEX(Database!G$9:G$501,ROW(Calc!D230)-ROW(Calc!$B$7)))=0,$AD$3,INDEX(Database!G$9:G$501,ROW(Calc!D230)-ROW(Calc!$B$7))),"")</f>
        <v>Not Set</v>
      </c>
      <c r="F230" s="124" t="str">
        <f>IFERROR(IF(LEN(INDEX(Database!F$9:F$501,ROW(Calc!E230)-ROW(Calc!$B$7)))=0,$AD$3,INDEX(Database!F$9:F$501,ROW(Calc!E230)-ROW(Calc!$B$7))),"")</f>
        <v>Not Set</v>
      </c>
      <c r="G230" s="128" t="str">
        <f>IFERROR(IF(LEN(INDEX(Database!H$9:H$501,ROW(Calc!F230)-ROW(Calc!$B$7)))=0,$AD$3,INDEX(Database!H$9:H$501,ROW(Calc!F230)-ROW(Calc!$B$7))),"")</f>
        <v>Not Set</v>
      </c>
      <c r="H230" s="128" t="str">
        <f>IFERROR(IF(LEN(INDEX(Database!I$9:I$501,ROW(Calc!G230)-ROW(Calc!$B$7)))=0,$AD$3,INDEX(Database!I$9:I$501,ROW(Calc!G230)-ROW(Calc!$B$7))),"")</f>
        <v>Not Set</v>
      </c>
      <c r="I230" s="128" t="str">
        <f>IFERROR(IF(LEN(INDEX(Database!J$9:J$501,ROW(Calc!H230)-ROW(Calc!$B$7)))=0,$AD$3,INDEX(Database!J$9:J$501,ROW(Calc!H230)-ROW(Calc!$B$7))),"")</f>
        <v>Not Set</v>
      </c>
      <c r="J230" s="128" t="str">
        <f t="shared" si="32"/>
        <v>Not Set</v>
      </c>
      <c r="K230" s="124" t="str">
        <f>IFERROR(IF(LEN(INDEX(Database!E$9:E$501,ROW(Calc!I230)-ROW(Calc!$B$7)))=0,"",INDEX(Database!E$9:E$501,ROW(Calc!I230)-ROW(Calc!$B$7))),"")</f>
        <v/>
      </c>
      <c r="L230" s="129" t="str">
        <f>IFERROR(IF(LEN(INDEX(Database!K$9:K$501,ROW(Calc!K230)-ROW(Calc!$B$7)))=0,$AD$3,INDEX(Database!K$9:K$501,ROW(Calc!K230)-ROW(Calc!$B$7))),"")</f>
        <v>Not Set</v>
      </c>
      <c r="M230" s="130" t="str">
        <f>IFERROR(IF(LEN(INDEX(Database!L$9:L$501,ROW(Calc!L230)-ROW(Calc!$B$7)))=0,$AD$3,INDEX(Database!L$9:L$501,ROW(Calc!L230)-ROW(Calc!$B$7))),"")</f>
        <v>Not Set</v>
      </c>
      <c r="N230" s="131" t="str">
        <f>IFERROR(IF(LEN(INDEX(Database!M$9:M$501,ROW(Calc!M230)-ROW(Calc!$B$7)))=0,"",INDEX(Database!M$9:M$501,ROW(Calc!M230)-ROW(Calc!$B$7))),"")</f>
        <v/>
      </c>
      <c r="O230" s="132" t="str">
        <f t="shared" si="36"/>
        <v/>
      </c>
      <c r="P230" s="125" t="str">
        <f t="shared" si="33"/>
        <v>Not Set</v>
      </c>
      <c r="Q230" s="125" t="str">
        <f t="shared" si="34"/>
        <v>Not Set</v>
      </c>
      <c r="R230" s="125" t="str">
        <f>IFERROR(IF(G230=$AD$3,$AD$3,INDEX(Kanban_Helper!$C$317:$C$328,MATCH(MONTH(G230),Kanban_Helper!$B$317:$B$328,0))&amp;" - "&amp;YEAR(G230)),"$AD$3")</f>
        <v>Not Set</v>
      </c>
      <c r="S230" s="125" t="str">
        <f>IFERROR(IF(I230=$AD$3,$AD$3,INDEX(Kanban_Helper!$C$317:$C$328,MATCH(MONTH(I230),Kanban_Helper!$B$317:$B$328,0))&amp;" - "&amp;YEAR(I230)),$AD$3)</f>
        <v>Not Set</v>
      </c>
      <c r="T230" s="125" t="str">
        <f t="shared" ca="1" si="37"/>
        <v/>
      </c>
      <c r="U230" s="125" t="str">
        <f t="shared" ca="1" si="38"/>
        <v/>
      </c>
      <c r="V230" s="125" t="str">
        <f t="shared" si="35"/>
        <v>Not Set</v>
      </c>
      <c r="W230" s="126" t="str">
        <f t="shared" si="39"/>
        <v/>
      </c>
      <c r="X230" s="126" t="str">
        <f t="shared" si="40"/>
        <v/>
      </c>
      <c r="Y230" s="125" t="str">
        <f>IFERROR(IF(LEN(D230)=0,"",IF(SUBTOTAL(3,E230:E230)=0,MIN($Y$7:Y229)-1,SUBTOTAL(3,$E$8:E230))),"")</f>
        <v/>
      </c>
      <c r="Z230" s="17"/>
      <c r="AA230" s="10"/>
      <c r="AB230" s="10"/>
      <c r="AC230" s="10"/>
      <c r="AD230" s="10"/>
      <c r="AE230" s="10"/>
      <c r="AF230" s="10"/>
      <c r="AG230" s="10"/>
      <c r="AH230" s="10"/>
      <c r="AI230" s="10"/>
      <c r="AJ230" s="10"/>
      <c r="AK230" s="10"/>
      <c r="AL230" s="10"/>
      <c r="AM230" s="10"/>
      <c r="AN230" s="10"/>
    </row>
    <row r="231" spans="2:40" hidden="1" x14ac:dyDescent="0.35">
      <c r="B231" s="15"/>
      <c r="C231" s="127" t="str">
        <f>IFERROR(IF(LEN(INDEX(Database!C$9:C$501,ROW(Calc!A231)-ROW(Calc!$B$7)))=0,"",INDEX(Database!C$9:C$501,ROW(Calc!A231)-ROW(Calc!$B$7))),"")</f>
        <v/>
      </c>
      <c r="D231" s="70" t="str">
        <f>IFERROR(IF(LEN(INDEX(Database!D$9:D$501,ROW(Calc!B231)-ROW(Calc!$B$7)))=0,"",INDEX(Database!D$9:D$501,ROW(Calc!B231)-ROW(Calc!$B$7))),"")</f>
        <v/>
      </c>
      <c r="E231" s="124" t="str">
        <f>IFERROR(IF(LEN(INDEX(Database!G$9:G$501,ROW(Calc!D231)-ROW(Calc!$B$7)))=0,$AD$3,INDEX(Database!G$9:G$501,ROW(Calc!D231)-ROW(Calc!$B$7))),"")</f>
        <v>Not Set</v>
      </c>
      <c r="F231" s="124" t="str">
        <f>IFERROR(IF(LEN(INDEX(Database!F$9:F$501,ROW(Calc!E231)-ROW(Calc!$B$7)))=0,$AD$3,INDEX(Database!F$9:F$501,ROW(Calc!E231)-ROW(Calc!$B$7))),"")</f>
        <v>Not Set</v>
      </c>
      <c r="G231" s="128" t="str">
        <f>IFERROR(IF(LEN(INDEX(Database!H$9:H$501,ROW(Calc!F231)-ROW(Calc!$B$7)))=0,$AD$3,INDEX(Database!H$9:H$501,ROW(Calc!F231)-ROW(Calc!$B$7))),"")</f>
        <v>Not Set</v>
      </c>
      <c r="H231" s="128" t="str">
        <f>IFERROR(IF(LEN(INDEX(Database!I$9:I$501,ROW(Calc!G231)-ROW(Calc!$B$7)))=0,$AD$3,INDEX(Database!I$9:I$501,ROW(Calc!G231)-ROW(Calc!$B$7))),"")</f>
        <v>Not Set</v>
      </c>
      <c r="I231" s="128" t="str">
        <f>IFERROR(IF(LEN(INDEX(Database!J$9:J$501,ROW(Calc!H231)-ROW(Calc!$B$7)))=0,$AD$3,INDEX(Database!J$9:J$501,ROW(Calc!H231)-ROW(Calc!$B$7))),"")</f>
        <v>Not Set</v>
      </c>
      <c r="J231" s="128" t="str">
        <f t="shared" si="32"/>
        <v>Not Set</v>
      </c>
      <c r="K231" s="124" t="str">
        <f>IFERROR(IF(LEN(INDEX(Database!E$9:E$501,ROW(Calc!I231)-ROW(Calc!$B$7)))=0,"",INDEX(Database!E$9:E$501,ROW(Calc!I231)-ROW(Calc!$B$7))),"")</f>
        <v/>
      </c>
      <c r="L231" s="129" t="str">
        <f>IFERROR(IF(LEN(INDEX(Database!K$9:K$501,ROW(Calc!K231)-ROW(Calc!$B$7)))=0,$AD$3,INDEX(Database!K$9:K$501,ROW(Calc!K231)-ROW(Calc!$B$7))),"")</f>
        <v>Not Set</v>
      </c>
      <c r="M231" s="130" t="str">
        <f>IFERROR(IF(LEN(INDEX(Database!L$9:L$501,ROW(Calc!L231)-ROW(Calc!$B$7)))=0,$AD$3,INDEX(Database!L$9:L$501,ROW(Calc!L231)-ROW(Calc!$B$7))),"")</f>
        <v>Not Set</v>
      </c>
      <c r="N231" s="131" t="str">
        <f>IFERROR(IF(LEN(INDEX(Database!M$9:M$501,ROW(Calc!M231)-ROW(Calc!$B$7)))=0,"",INDEX(Database!M$9:M$501,ROW(Calc!M231)-ROW(Calc!$B$7))),"")</f>
        <v/>
      </c>
      <c r="O231" s="132" t="str">
        <f t="shared" si="36"/>
        <v/>
      </c>
      <c r="P231" s="125" t="str">
        <f t="shared" si="33"/>
        <v>Not Set</v>
      </c>
      <c r="Q231" s="125" t="str">
        <f t="shared" si="34"/>
        <v>Not Set</v>
      </c>
      <c r="R231" s="125" t="str">
        <f>IFERROR(IF(G231=$AD$3,$AD$3,INDEX(Kanban_Helper!$C$317:$C$328,MATCH(MONTH(G231),Kanban_Helper!$B$317:$B$328,0))&amp;" - "&amp;YEAR(G231)),"$AD$3")</f>
        <v>Not Set</v>
      </c>
      <c r="S231" s="125" t="str">
        <f>IFERROR(IF(I231=$AD$3,$AD$3,INDEX(Kanban_Helper!$C$317:$C$328,MATCH(MONTH(I231),Kanban_Helper!$B$317:$B$328,0))&amp;" - "&amp;YEAR(I231)),$AD$3)</f>
        <v>Not Set</v>
      </c>
      <c r="T231" s="125" t="str">
        <f t="shared" ca="1" si="37"/>
        <v/>
      </c>
      <c r="U231" s="125" t="str">
        <f t="shared" ca="1" si="38"/>
        <v/>
      </c>
      <c r="V231" s="125" t="str">
        <f t="shared" si="35"/>
        <v>Not Set</v>
      </c>
      <c r="W231" s="126" t="str">
        <f t="shared" si="39"/>
        <v/>
      </c>
      <c r="X231" s="126" t="str">
        <f t="shared" si="40"/>
        <v/>
      </c>
      <c r="Y231" s="125" t="str">
        <f>IFERROR(IF(LEN(D231)=0,"",IF(SUBTOTAL(3,E231:E231)=0,MIN($Y$7:Y230)-1,SUBTOTAL(3,$E$8:E231))),"")</f>
        <v/>
      </c>
      <c r="Z231" s="17"/>
      <c r="AA231" s="10"/>
      <c r="AB231" s="10"/>
      <c r="AC231" s="10"/>
      <c r="AD231" s="10"/>
      <c r="AE231" s="10"/>
      <c r="AF231" s="10"/>
      <c r="AG231" s="10"/>
      <c r="AH231" s="10"/>
      <c r="AI231" s="10"/>
      <c r="AJ231" s="10"/>
      <c r="AK231" s="10"/>
      <c r="AL231" s="10"/>
      <c r="AM231" s="10"/>
      <c r="AN231" s="10"/>
    </row>
    <row r="232" spans="2:40" hidden="1" x14ac:dyDescent="0.35">
      <c r="B232" s="15"/>
      <c r="C232" s="127" t="str">
        <f>IFERROR(IF(LEN(INDEX(Database!C$9:C$501,ROW(Calc!A232)-ROW(Calc!$B$7)))=0,"",INDEX(Database!C$9:C$501,ROW(Calc!A232)-ROW(Calc!$B$7))),"")</f>
        <v/>
      </c>
      <c r="D232" s="70" t="str">
        <f>IFERROR(IF(LEN(INDEX(Database!D$9:D$501,ROW(Calc!B232)-ROW(Calc!$B$7)))=0,"",INDEX(Database!D$9:D$501,ROW(Calc!B232)-ROW(Calc!$B$7))),"")</f>
        <v/>
      </c>
      <c r="E232" s="124" t="str">
        <f>IFERROR(IF(LEN(INDEX(Database!G$9:G$501,ROW(Calc!D232)-ROW(Calc!$B$7)))=0,$AD$3,INDEX(Database!G$9:G$501,ROW(Calc!D232)-ROW(Calc!$B$7))),"")</f>
        <v>Not Set</v>
      </c>
      <c r="F232" s="124" t="str">
        <f>IFERROR(IF(LEN(INDEX(Database!F$9:F$501,ROW(Calc!E232)-ROW(Calc!$B$7)))=0,$AD$3,INDEX(Database!F$9:F$501,ROW(Calc!E232)-ROW(Calc!$B$7))),"")</f>
        <v>Not Set</v>
      </c>
      <c r="G232" s="128" t="str">
        <f>IFERROR(IF(LEN(INDEX(Database!H$9:H$501,ROW(Calc!F232)-ROW(Calc!$B$7)))=0,$AD$3,INDEX(Database!H$9:H$501,ROW(Calc!F232)-ROW(Calc!$B$7))),"")</f>
        <v>Not Set</v>
      </c>
      <c r="H232" s="128" t="str">
        <f>IFERROR(IF(LEN(INDEX(Database!I$9:I$501,ROW(Calc!G232)-ROW(Calc!$B$7)))=0,$AD$3,INDEX(Database!I$9:I$501,ROW(Calc!G232)-ROW(Calc!$B$7))),"")</f>
        <v>Not Set</v>
      </c>
      <c r="I232" s="128" t="str">
        <f>IFERROR(IF(LEN(INDEX(Database!J$9:J$501,ROW(Calc!H232)-ROW(Calc!$B$7)))=0,$AD$3,INDEX(Database!J$9:J$501,ROW(Calc!H232)-ROW(Calc!$B$7))),"")</f>
        <v>Not Set</v>
      </c>
      <c r="J232" s="128" t="str">
        <f t="shared" si="32"/>
        <v>Not Set</v>
      </c>
      <c r="K232" s="124" t="str">
        <f>IFERROR(IF(LEN(INDEX(Database!E$9:E$501,ROW(Calc!I232)-ROW(Calc!$B$7)))=0,"",INDEX(Database!E$9:E$501,ROW(Calc!I232)-ROW(Calc!$B$7))),"")</f>
        <v/>
      </c>
      <c r="L232" s="129" t="str">
        <f>IFERROR(IF(LEN(INDEX(Database!K$9:K$501,ROW(Calc!K232)-ROW(Calc!$B$7)))=0,$AD$3,INDEX(Database!K$9:K$501,ROW(Calc!K232)-ROW(Calc!$B$7))),"")</f>
        <v>Not Set</v>
      </c>
      <c r="M232" s="130" t="str">
        <f>IFERROR(IF(LEN(INDEX(Database!L$9:L$501,ROW(Calc!L232)-ROW(Calc!$B$7)))=0,$AD$3,INDEX(Database!L$9:L$501,ROW(Calc!L232)-ROW(Calc!$B$7))),"")</f>
        <v>Not Set</v>
      </c>
      <c r="N232" s="131" t="str">
        <f>IFERROR(IF(LEN(INDEX(Database!M$9:M$501,ROW(Calc!M232)-ROW(Calc!$B$7)))=0,"",INDEX(Database!M$9:M$501,ROW(Calc!M232)-ROW(Calc!$B$7))),"")</f>
        <v/>
      </c>
      <c r="O232" s="132" t="str">
        <f t="shared" si="36"/>
        <v/>
      </c>
      <c r="P232" s="125" t="str">
        <f t="shared" si="33"/>
        <v>Not Set</v>
      </c>
      <c r="Q232" s="125" t="str">
        <f t="shared" si="34"/>
        <v>Not Set</v>
      </c>
      <c r="R232" s="125" t="str">
        <f>IFERROR(IF(G232=$AD$3,$AD$3,INDEX(Kanban_Helper!$C$317:$C$328,MATCH(MONTH(G232),Kanban_Helper!$B$317:$B$328,0))&amp;" - "&amp;YEAR(G232)),"$AD$3")</f>
        <v>Not Set</v>
      </c>
      <c r="S232" s="125" t="str">
        <f>IFERROR(IF(I232=$AD$3,$AD$3,INDEX(Kanban_Helper!$C$317:$C$328,MATCH(MONTH(I232),Kanban_Helper!$B$317:$B$328,0))&amp;" - "&amp;YEAR(I232)),$AD$3)</f>
        <v>Not Set</v>
      </c>
      <c r="T232" s="125" t="str">
        <f t="shared" ca="1" si="37"/>
        <v/>
      </c>
      <c r="U232" s="125" t="str">
        <f t="shared" ca="1" si="38"/>
        <v/>
      </c>
      <c r="V232" s="125" t="str">
        <f t="shared" si="35"/>
        <v>Not Set</v>
      </c>
      <c r="W232" s="126" t="str">
        <f t="shared" si="39"/>
        <v/>
      </c>
      <c r="X232" s="126" t="str">
        <f t="shared" si="40"/>
        <v/>
      </c>
      <c r="Y232" s="125" t="str">
        <f>IFERROR(IF(LEN(D232)=0,"",IF(SUBTOTAL(3,E232:E232)=0,MIN($Y$7:Y231)-1,SUBTOTAL(3,$E$8:E232))),"")</f>
        <v/>
      </c>
      <c r="Z232" s="17"/>
      <c r="AA232" s="10"/>
      <c r="AB232" s="10"/>
      <c r="AC232" s="10"/>
      <c r="AD232" s="10"/>
      <c r="AE232" s="10"/>
      <c r="AF232" s="10"/>
      <c r="AG232" s="10"/>
      <c r="AH232" s="10"/>
      <c r="AI232" s="10"/>
      <c r="AJ232" s="10"/>
      <c r="AK232" s="10"/>
      <c r="AL232" s="10"/>
      <c r="AM232" s="10"/>
      <c r="AN232" s="10"/>
    </row>
    <row r="233" spans="2:40" hidden="1" x14ac:dyDescent="0.35">
      <c r="B233" s="15"/>
      <c r="C233" s="127" t="str">
        <f>IFERROR(IF(LEN(INDEX(Database!C$9:C$501,ROW(Calc!A233)-ROW(Calc!$B$7)))=0,"",INDEX(Database!C$9:C$501,ROW(Calc!A233)-ROW(Calc!$B$7))),"")</f>
        <v/>
      </c>
      <c r="D233" s="70" t="str">
        <f>IFERROR(IF(LEN(INDEX(Database!D$9:D$501,ROW(Calc!B233)-ROW(Calc!$B$7)))=0,"",INDEX(Database!D$9:D$501,ROW(Calc!B233)-ROW(Calc!$B$7))),"")</f>
        <v/>
      </c>
      <c r="E233" s="124" t="str">
        <f>IFERROR(IF(LEN(INDEX(Database!G$9:G$501,ROW(Calc!D233)-ROW(Calc!$B$7)))=0,$AD$3,INDEX(Database!G$9:G$501,ROW(Calc!D233)-ROW(Calc!$B$7))),"")</f>
        <v>Not Set</v>
      </c>
      <c r="F233" s="124" t="str">
        <f>IFERROR(IF(LEN(INDEX(Database!F$9:F$501,ROW(Calc!E233)-ROW(Calc!$B$7)))=0,$AD$3,INDEX(Database!F$9:F$501,ROW(Calc!E233)-ROW(Calc!$B$7))),"")</f>
        <v>Not Set</v>
      </c>
      <c r="G233" s="128" t="str">
        <f>IFERROR(IF(LEN(INDEX(Database!H$9:H$501,ROW(Calc!F233)-ROW(Calc!$B$7)))=0,$AD$3,INDEX(Database!H$9:H$501,ROW(Calc!F233)-ROW(Calc!$B$7))),"")</f>
        <v>Not Set</v>
      </c>
      <c r="H233" s="128" t="str">
        <f>IFERROR(IF(LEN(INDEX(Database!I$9:I$501,ROW(Calc!G233)-ROW(Calc!$B$7)))=0,$AD$3,INDEX(Database!I$9:I$501,ROW(Calc!G233)-ROW(Calc!$B$7))),"")</f>
        <v>Not Set</v>
      </c>
      <c r="I233" s="128" t="str">
        <f>IFERROR(IF(LEN(INDEX(Database!J$9:J$501,ROW(Calc!H233)-ROW(Calc!$B$7)))=0,$AD$3,INDEX(Database!J$9:J$501,ROW(Calc!H233)-ROW(Calc!$B$7))),"")</f>
        <v>Not Set</v>
      </c>
      <c r="J233" s="128" t="str">
        <f t="shared" si="32"/>
        <v>Not Set</v>
      </c>
      <c r="K233" s="124" t="str">
        <f>IFERROR(IF(LEN(INDEX(Database!E$9:E$501,ROW(Calc!I233)-ROW(Calc!$B$7)))=0,"",INDEX(Database!E$9:E$501,ROW(Calc!I233)-ROW(Calc!$B$7))),"")</f>
        <v/>
      </c>
      <c r="L233" s="129" t="str">
        <f>IFERROR(IF(LEN(INDEX(Database!K$9:K$501,ROW(Calc!K233)-ROW(Calc!$B$7)))=0,$AD$3,INDEX(Database!K$9:K$501,ROW(Calc!K233)-ROW(Calc!$B$7))),"")</f>
        <v>Not Set</v>
      </c>
      <c r="M233" s="130" t="str">
        <f>IFERROR(IF(LEN(INDEX(Database!L$9:L$501,ROW(Calc!L233)-ROW(Calc!$B$7)))=0,$AD$3,INDEX(Database!L$9:L$501,ROW(Calc!L233)-ROW(Calc!$B$7))),"")</f>
        <v>Not Set</v>
      </c>
      <c r="N233" s="131" t="str">
        <f>IFERROR(IF(LEN(INDEX(Database!M$9:M$501,ROW(Calc!M233)-ROW(Calc!$B$7)))=0,"",INDEX(Database!M$9:M$501,ROW(Calc!M233)-ROW(Calc!$B$7))),"")</f>
        <v/>
      </c>
      <c r="O233" s="132" t="str">
        <f t="shared" si="36"/>
        <v/>
      </c>
      <c r="P233" s="125" t="str">
        <f t="shared" si="33"/>
        <v>Not Set</v>
      </c>
      <c r="Q233" s="125" t="str">
        <f t="shared" si="34"/>
        <v>Not Set</v>
      </c>
      <c r="R233" s="125" t="str">
        <f>IFERROR(IF(G233=$AD$3,$AD$3,INDEX(Kanban_Helper!$C$317:$C$328,MATCH(MONTH(G233),Kanban_Helper!$B$317:$B$328,0))&amp;" - "&amp;YEAR(G233)),"$AD$3")</f>
        <v>Not Set</v>
      </c>
      <c r="S233" s="125" t="str">
        <f>IFERROR(IF(I233=$AD$3,$AD$3,INDEX(Kanban_Helper!$C$317:$C$328,MATCH(MONTH(I233),Kanban_Helper!$B$317:$B$328,0))&amp;" - "&amp;YEAR(I233)),$AD$3)</f>
        <v>Not Set</v>
      </c>
      <c r="T233" s="125" t="str">
        <f t="shared" ca="1" si="37"/>
        <v/>
      </c>
      <c r="U233" s="125" t="str">
        <f t="shared" ca="1" si="38"/>
        <v/>
      </c>
      <c r="V233" s="125" t="str">
        <f t="shared" si="35"/>
        <v>Not Set</v>
      </c>
      <c r="W233" s="126" t="str">
        <f t="shared" si="39"/>
        <v/>
      </c>
      <c r="X233" s="126" t="str">
        <f t="shared" si="40"/>
        <v/>
      </c>
      <c r="Y233" s="125" t="str">
        <f>IFERROR(IF(LEN(D233)=0,"",IF(SUBTOTAL(3,E233:E233)=0,MIN($Y$7:Y232)-1,SUBTOTAL(3,$E$8:E233))),"")</f>
        <v/>
      </c>
      <c r="Z233" s="17"/>
      <c r="AA233" s="10"/>
      <c r="AB233" s="10"/>
      <c r="AC233" s="10"/>
      <c r="AD233" s="10"/>
      <c r="AE233" s="10"/>
      <c r="AF233" s="10"/>
      <c r="AG233" s="10"/>
      <c r="AH233" s="10"/>
      <c r="AI233" s="10"/>
      <c r="AJ233" s="10"/>
      <c r="AK233" s="10"/>
      <c r="AL233" s="10"/>
      <c r="AM233" s="10"/>
      <c r="AN233" s="10"/>
    </row>
    <row r="234" spans="2:40" hidden="1" x14ac:dyDescent="0.35">
      <c r="B234" s="15"/>
      <c r="C234" s="127" t="str">
        <f>IFERROR(IF(LEN(INDEX(Database!C$9:C$501,ROW(Calc!A234)-ROW(Calc!$B$7)))=0,"",INDEX(Database!C$9:C$501,ROW(Calc!A234)-ROW(Calc!$B$7))),"")</f>
        <v/>
      </c>
      <c r="D234" s="70" t="str">
        <f>IFERROR(IF(LEN(INDEX(Database!D$9:D$501,ROW(Calc!B234)-ROW(Calc!$B$7)))=0,"",INDEX(Database!D$9:D$501,ROW(Calc!B234)-ROW(Calc!$B$7))),"")</f>
        <v/>
      </c>
      <c r="E234" s="124" t="str">
        <f>IFERROR(IF(LEN(INDEX(Database!G$9:G$501,ROW(Calc!D234)-ROW(Calc!$B$7)))=0,$AD$3,INDEX(Database!G$9:G$501,ROW(Calc!D234)-ROW(Calc!$B$7))),"")</f>
        <v>Not Set</v>
      </c>
      <c r="F234" s="124" t="str">
        <f>IFERROR(IF(LEN(INDEX(Database!F$9:F$501,ROW(Calc!E234)-ROW(Calc!$B$7)))=0,$AD$3,INDEX(Database!F$9:F$501,ROW(Calc!E234)-ROW(Calc!$B$7))),"")</f>
        <v>Not Set</v>
      </c>
      <c r="G234" s="128" t="str">
        <f>IFERROR(IF(LEN(INDEX(Database!H$9:H$501,ROW(Calc!F234)-ROW(Calc!$B$7)))=0,$AD$3,INDEX(Database!H$9:H$501,ROW(Calc!F234)-ROW(Calc!$B$7))),"")</f>
        <v>Not Set</v>
      </c>
      <c r="H234" s="128" t="str">
        <f>IFERROR(IF(LEN(INDEX(Database!I$9:I$501,ROW(Calc!G234)-ROW(Calc!$B$7)))=0,$AD$3,INDEX(Database!I$9:I$501,ROW(Calc!G234)-ROW(Calc!$B$7))),"")</f>
        <v>Not Set</v>
      </c>
      <c r="I234" s="128" t="str">
        <f>IFERROR(IF(LEN(INDEX(Database!J$9:J$501,ROW(Calc!H234)-ROW(Calc!$B$7)))=0,$AD$3,INDEX(Database!J$9:J$501,ROW(Calc!H234)-ROW(Calc!$B$7))),"")</f>
        <v>Not Set</v>
      </c>
      <c r="J234" s="128" t="str">
        <f t="shared" si="32"/>
        <v>Not Set</v>
      </c>
      <c r="K234" s="124" t="str">
        <f>IFERROR(IF(LEN(INDEX(Database!E$9:E$501,ROW(Calc!I234)-ROW(Calc!$B$7)))=0,"",INDEX(Database!E$9:E$501,ROW(Calc!I234)-ROW(Calc!$B$7))),"")</f>
        <v/>
      </c>
      <c r="L234" s="129" t="str">
        <f>IFERROR(IF(LEN(INDEX(Database!K$9:K$501,ROW(Calc!K234)-ROW(Calc!$B$7)))=0,$AD$3,INDEX(Database!K$9:K$501,ROW(Calc!K234)-ROW(Calc!$B$7))),"")</f>
        <v>Not Set</v>
      </c>
      <c r="M234" s="130" t="str">
        <f>IFERROR(IF(LEN(INDEX(Database!L$9:L$501,ROW(Calc!L234)-ROW(Calc!$B$7)))=0,$AD$3,INDEX(Database!L$9:L$501,ROW(Calc!L234)-ROW(Calc!$B$7))),"")</f>
        <v>Not Set</v>
      </c>
      <c r="N234" s="131" t="str">
        <f>IFERROR(IF(LEN(INDEX(Database!M$9:M$501,ROW(Calc!M234)-ROW(Calc!$B$7)))=0,"",INDEX(Database!M$9:M$501,ROW(Calc!M234)-ROW(Calc!$B$7))),"")</f>
        <v/>
      </c>
      <c r="O234" s="132" t="str">
        <f t="shared" si="36"/>
        <v/>
      </c>
      <c r="P234" s="125" t="str">
        <f t="shared" si="33"/>
        <v>Not Set</v>
      </c>
      <c r="Q234" s="125" t="str">
        <f t="shared" si="34"/>
        <v>Not Set</v>
      </c>
      <c r="R234" s="125" t="str">
        <f>IFERROR(IF(G234=$AD$3,$AD$3,INDEX(Kanban_Helper!$C$317:$C$328,MATCH(MONTH(G234),Kanban_Helper!$B$317:$B$328,0))&amp;" - "&amp;YEAR(G234)),"$AD$3")</f>
        <v>Not Set</v>
      </c>
      <c r="S234" s="125" t="str">
        <f>IFERROR(IF(I234=$AD$3,$AD$3,INDEX(Kanban_Helper!$C$317:$C$328,MATCH(MONTH(I234),Kanban_Helper!$B$317:$B$328,0))&amp;" - "&amp;YEAR(I234)),$AD$3)</f>
        <v>Not Set</v>
      </c>
      <c r="T234" s="125" t="str">
        <f t="shared" ca="1" si="37"/>
        <v/>
      </c>
      <c r="U234" s="125" t="str">
        <f t="shared" ca="1" si="38"/>
        <v/>
      </c>
      <c r="V234" s="125" t="str">
        <f t="shared" si="35"/>
        <v>Not Set</v>
      </c>
      <c r="W234" s="126" t="str">
        <f t="shared" si="39"/>
        <v/>
      </c>
      <c r="X234" s="126" t="str">
        <f t="shared" si="40"/>
        <v/>
      </c>
      <c r="Y234" s="125" t="str">
        <f>IFERROR(IF(LEN(D234)=0,"",IF(SUBTOTAL(3,E234:E234)=0,MIN($Y$7:Y233)-1,SUBTOTAL(3,$E$8:E234))),"")</f>
        <v/>
      </c>
      <c r="Z234" s="17"/>
      <c r="AA234" s="10"/>
      <c r="AB234" s="10"/>
      <c r="AC234" s="10"/>
      <c r="AD234" s="10"/>
      <c r="AE234" s="10"/>
      <c r="AF234" s="10"/>
      <c r="AG234" s="10"/>
      <c r="AH234" s="10"/>
      <c r="AI234" s="10"/>
      <c r="AJ234" s="10"/>
      <c r="AK234" s="10"/>
      <c r="AL234" s="10"/>
      <c r="AM234" s="10"/>
      <c r="AN234" s="10"/>
    </row>
    <row r="235" spans="2:40" hidden="1" x14ac:dyDescent="0.35">
      <c r="B235" s="15"/>
      <c r="C235" s="127" t="str">
        <f>IFERROR(IF(LEN(INDEX(Database!C$9:C$501,ROW(Calc!A235)-ROW(Calc!$B$7)))=0,"",INDEX(Database!C$9:C$501,ROW(Calc!A235)-ROW(Calc!$B$7))),"")</f>
        <v/>
      </c>
      <c r="D235" s="70" t="str">
        <f>IFERROR(IF(LEN(INDEX(Database!D$9:D$501,ROW(Calc!B235)-ROW(Calc!$B$7)))=0,"",INDEX(Database!D$9:D$501,ROW(Calc!B235)-ROW(Calc!$B$7))),"")</f>
        <v/>
      </c>
      <c r="E235" s="124" t="str">
        <f>IFERROR(IF(LEN(INDEX(Database!G$9:G$501,ROW(Calc!D235)-ROW(Calc!$B$7)))=0,$AD$3,INDEX(Database!G$9:G$501,ROW(Calc!D235)-ROW(Calc!$B$7))),"")</f>
        <v>Not Set</v>
      </c>
      <c r="F235" s="124" t="str">
        <f>IFERROR(IF(LEN(INDEX(Database!F$9:F$501,ROW(Calc!E235)-ROW(Calc!$B$7)))=0,$AD$3,INDEX(Database!F$9:F$501,ROW(Calc!E235)-ROW(Calc!$B$7))),"")</f>
        <v>Not Set</v>
      </c>
      <c r="G235" s="128" t="str">
        <f>IFERROR(IF(LEN(INDEX(Database!H$9:H$501,ROW(Calc!F235)-ROW(Calc!$B$7)))=0,$AD$3,INDEX(Database!H$9:H$501,ROW(Calc!F235)-ROW(Calc!$B$7))),"")</f>
        <v>Not Set</v>
      </c>
      <c r="H235" s="128" t="str">
        <f>IFERROR(IF(LEN(INDEX(Database!I$9:I$501,ROW(Calc!G235)-ROW(Calc!$B$7)))=0,$AD$3,INDEX(Database!I$9:I$501,ROW(Calc!G235)-ROW(Calc!$B$7))),"")</f>
        <v>Not Set</v>
      </c>
      <c r="I235" s="128" t="str">
        <f>IFERROR(IF(LEN(INDEX(Database!J$9:J$501,ROW(Calc!H235)-ROW(Calc!$B$7)))=0,$AD$3,INDEX(Database!J$9:J$501,ROW(Calc!H235)-ROW(Calc!$B$7))),"")</f>
        <v>Not Set</v>
      </c>
      <c r="J235" s="128" t="str">
        <f t="shared" si="32"/>
        <v>Not Set</v>
      </c>
      <c r="K235" s="124" t="str">
        <f>IFERROR(IF(LEN(INDEX(Database!E$9:E$501,ROW(Calc!I235)-ROW(Calc!$B$7)))=0,"",INDEX(Database!E$9:E$501,ROW(Calc!I235)-ROW(Calc!$B$7))),"")</f>
        <v/>
      </c>
      <c r="L235" s="129" t="str">
        <f>IFERROR(IF(LEN(INDEX(Database!K$9:K$501,ROW(Calc!K235)-ROW(Calc!$B$7)))=0,$AD$3,INDEX(Database!K$9:K$501,ROW(Calc!K235)-ROW(Calc!$B$7))),"")</f>
        <v>Not Set</v>
      </c>
      <c r="M235" s="130" t="str">
        <f>IFERROR(IF(LEN(INDEX(Database!L$9:L$501,ROW(Calc!L235)-ROW(Calc!$B$7)))=0,$AD$3,INDEX(Database!L$9:L$501,ROW(Calc!L235)-ROW(Calc!$B$7))),"")</f>
        <v>Not Set</v>
      </c>
      <c r="N235" s="131" t="str">
        <f>IFERROR(IF(LEN(INDEX(Database!M$9:M$501,ROW(Calc!M235)-ROW(Calc!$B$7)))=0,"",INDEX(Database!M$9:M$501,ROW(Calc!M235)-ROW(Calc!$B$7))),"")</f>
        <v/>
      </c>
      <c r="O235" s="132" t="str">
        <f t="shared" si="36"/>
        <v/>
      </c>
      <c r="P235" s="125" t="str">
        <f t="shared" si="33"/>
        <v>Not Set</v>
      </c>
      <c r="Q235" s="125" t="str">
        <f t="shared" si="34"/>
        <v>Not Set</v>
      </c>
      <c r="R235" s="125" t="str">
        <f>IFERROR(IF(G235=$AD$3,$AD$3,INDEX(Kanban_Helper!$C$317:$C$328,MATCH(MONTH(G235),Kanban_Helper!$B$317:$B$328,0))&amp;" - "&amp;YEAR(G235)),"$AD$3")</f>
        <v>Not Set</v>
      </c>
      <c r="S235" s="125" t="str">
        <f>IFERROR(IF(I235=$AD$3,$AD$3,INDEX(Kanban_Helper!$C$317:$C$328,MATCH(MONTH(I235),Kanban_Helper!$B$317:$B$328,0))&amp;" - "&amp;YEAR(I235)),$AD$3)</f>
        <v>Not Set</v>
      </c>
      <c r="T235" s="125" t="str">
        <f t="shared" ca="1" si="37"/>
        <v/>
      </c>
      <c r="U235" s="125" t="str">
        <f t="shared" ca="1" si="38"/>
        <v/>
      </c>
      <c r="V235" s="125" t="str">
        <f t="shared" si="35"/>
        <v>Not Set</v>
      </c>
      <c r="W235" s="126" t="str">
        <f t="shared" si="39"/>
        <v/>
      </c>
      <c r="X235" s="126" t="str">
        <f t="shared" si="40"/>
        <v/>
      </c>
      <c r="Y235" s="125" t="str">
        <f>IFERROR(IF(LEN(D235)=0,"",IF(SUBTOTAL(3,E235:E235)=0,MIN($Y$7:Y234)-1,SUBTOTAL(3,$E$8:E235))),"")</f>
        <v/>
      </c>
      <c r="Z235" s="17"/>
      <c r="AA235" s="10"/>
      <c r="AB235" s="10"/>
      <c r="AC235" s="10"/>
      <c r="AD235" s="10"/>
      <c r="AE235" s="10"/>
      <c r="AF235" s="10"/>
      <c r="AG235" s="10"/>
      <c r="AH235" s="10"/>
      <c r="AI235" s="10"/>
      <c r="AJ235" s="10"/>
      <c r="AK235" s="10"/>
      <c r="AL235" s="10"/>
      <c r="AM235" s="10"/>
      <c r="AN235" s="10"/>
    </row>
    <row r="236" spans="2:40" hidden="1" x14ac:dyDescent="0.35">
      <c r="B236" s="15"/>
      <c r="C236" s="127" t="str">
        <f>IFERROR(IF(LEN(INDEX(Database!C$9:C$501,ROW(Calc!A236)-ROW(Calc!$B$7)))=0,"",INDEX(Database!C$9:C$501,ROW(Calc!A236)-ROW(Calc!$B$7))),"")</f>
        <v/>
      </c>
      <c r="D236" s="70" t="str">
        <f>IFERROR(IF(LEN(INDEX(Database!D$9:D$501,ROW(Calc!B236)-ROW(Calc!$B$7)))=0,"",INDEX(Database!D$9:D$501,ROW(Calc!B236)-ROW(Calc!$B$7))),"")</f>
        <v/>
      </c>
      <c r="E236" s="124" t="str">
        <f>IFERROR(IF(LEN(INDEX(Database!G$9:G$501,ROW(Calc!D236)-ROW(Calc!$B$7)))=0,$AD$3,INDEX(Database!G$9:G$501,ROW(Calc!D236)-ROW(Calc!$B$7))),"")</f>
        <v>Not Set</v>
      </c>
      <c r="F236" s="124" t="str">
        <f>IFERROR(IF(LEN(INDEX(Database!F$9:F$501,ROW(Calc!E236)-ROW(Calc!$B$7)))=0,$AD$3,INDEX(Database!F$9:F$501,ROW(Calc!E236)-ROW(Calc!$B$7))),"")</f>
        <v>Not Set</v>
      </c>
      <c r="G236" s="128" t="str">
        <f>IFERROR(IF(LEN(INDEX(Database!H$9:H$501,ROW(Calc!F236)-ROW(Calc!$B$7)))=0,$AD$3,INDEX(Database!H$9:H$501,ROW(Calc!F236)-ROW(Calc!$B$7))),"")</f>
        <v>Not Set</v>
      </c>
      <c r="H236" s="128" t="str">
        <f>IFERROR(IF(LEN(INDEX(Database!I$9:I$501,ROW(Calc!G236)-ROW(Calc!$B$7)))=0,$AD$3,INDEX(Database!I$9:I$501,ROW(Calc!G236)-ROW(Calc!$B$7))),"")</f>
        <v>Not Set</v>
      </c>
      <c r="I236" s="128" t="str">
        <f>IFERROR(IF(LEN(INDEX(Database!J$9:J$501,ROW(Calc!H236)-ROW(Calc!$B$7)))=0,$AD$3,INDEX(Database!J$9:J$501,ROW(Calc!H236)-ROW(Calc!$B$7))),"")</f>
        <v>Not Set</v>
      </c>
      <c r="J236" s="128" t="str">
        <f t="shared" si="32"/>
        <v>Not Set</v>
      </c>
      <c r="K236" s="124" t="str">
        <f>IFERROR(IF(LEN(INDEX(Database!E$9:E$501,ROW(Calc!I236)-ROW(Calc!$B$7)))=0,"",INDEX(Database!E$9:E$501,ROW(Calc!I236)-ROW(Calc!$B$7))),"")</f>
        <v/>
      </c>
      <c r="L236" s="129" t="str">
        <f>IFERROR(IF(LEN(INDEX(Database!K$9:K$501,ROW(Calc!K236)-ROW(Calc!$B$7)))=0,$AD$3,INDEX(Database!K$9:K$501,ROW(Calc!K236)-ROW(Calc!$B$7))),"")</f>
        <v>Not Set</v>
      </c>
      <c r="M236" s="130" t="str">
        <f>IFERROR(IF(LEN(INDEX(Database!L$9:L$501,ROW(Calc!L236)-ROW(Calc!$B$7)))=0,$AD$3,INDEX(Database!L$9:L$501,ROW(Calc!L236)-ROW(Calc!$B$7))),"")</f>
        <v>Not Set</v>
      </c>
      <c r="N236" s="131" t="str">
        <f>IFERROR(IF(LEN(INDEX(Database!M$9:M$501,ROW(Calc!M236)-ROW(Calc!$B$7)))=0,"",INDEX(Database!M$9:M$501,ROW(Calc!M236)-ROW(Calc!$B$7))),"")</f>
        <v/>
      </c>
      <c r="O236" s="132" t="str">
        <f t="shared" si="36"/>
        <v/>
      </c>
      <c r="P236" s="125" t="str">
        <f t="shared" si="33"/>
        <v>Not Set</v>
      </c>
      <c r="Q236" s="125" t="str">
        <f t="shared" si="34"/>
        <v>Not Set</v>
      </c>
      <c r="R236" s="125" t="str">
        <f>IFERROR(IF(G236=$AD$3,$AD$3,INDEX(Kanban_Helper!$C$317:$C$328,MATCH(MONTH(G236),Kanban_Helper!$B$317:$B$328,0))&amp;" - "&amp;YEAR(G236)),"$AD$3")</f>
        <v>Not Set</v>
      </c>
      <c r="S236" s="125" t="str">
        <f>IFERROR(IF(I236=$AD$3,$AD$3,INDEX(Kanban_Helper!$C$317:$C$328,MATCH(MONTH(I236),Kanban_Helper!$B$317:$B$328,0))&amp;" - "&amp;YEAR(I236)),$AD$3)</f>
        <v>Not Set</v>
      </c>
      <c r="T236" s="125" t="str">
        <f t="shared" ca="1" si="37"/>
        <v/>
      </c>
      <c r="U236" s="125" t="str">
        <f t="shared" ca="1" si="38"/>
        <v/>
      </c>
      <c r="V236" s="125" t="str">
        <f t="shared" si="35"/>
        <v>Not Set</v>
      </c>
      <c r="W236" s="126" t="str">
        <f t="shared" si="39"/>
        <v/>
      </c>
      <c r="X236" s="126" t="str">
        <f t="shared" si="40"/>
        <v/>
      </c>
      <c r="Y236" s="125" t="str">
        <f>IFERROR(IF(LEN(D236)=0,"",IF(SUBTOTAL(3,E236:E236)=0,MIN($Y$7:Y235)-1,SUBTOTAL(3,$E$8:E236))),"")</f>
        <v/>
      </c>
      <c r="Z236" s="17"/>
      <c r="AA236" s="10"/>
      <c r="AB236" s="10"/>
      <c r="AC236" s="10"/>
      <c r="AD236" s="10"/>
      <c r="AE236" s="10"/>
      <c r="AF236" s="10"/>
      <c r="AG236" s="10"/>
      <c r="AH236" s="10"/>
      <c r="AI236" s="10"/>
      <c r="AJ236" s="10"/>
      <c r="AK236" s="10"/>
      <c r="AL236" s="10"/>
      <c r="AM236" s="10"/>
      <c r="AN236" s="10"/>
    </row>
    <row r="237" spans="2:40" hidden="1" x14ac:dyDescent="0.35">
      <c r="B237" s="15"/>
      <c r="C237" s="127" t="str">
        <f>IFERROR(IF(LEN(INDEX(Database!C$9:C$501,ROW(Calc!A237)-ROW(Calc!$B$7)))=0,"",INDEX(Database!C$9:C$501,ROW(Calc!A237)-ROW(Calc!$B$7))),"")</f>
        <v/>
      </c>
      <c r="D237" s="70" t="str">
        <f>IFERROR(IF(LEN(INDEX(Database!D$9:D$501,ROW(Calc!B237)-ROW(Calc!$B$7)))=0,"",INDEX(Database!D$9:D$501,ROW(Calc!B237)-ROW(Calc!$B$7))),"")</f>
        <v/>
      </c>
      <c r="E237" s="124" t="str">
        <f>IFERROR(IF(LEN(INDEX(Database!G$9:G$501,ROW(Calc!D237)-ROW(Calc!$B$7)))=0,$AD$3,INDEX(Database!G$9:G$501,ROW(Calc!D237)-ROW(Calc!$B$7))),"")</f>
        <v>Not Set</v>
      </c>
      <c r="F237" s="124" t="str">
        <f>IFERROR(IF(LEN(INDEX(Database!F$9:F$501,ROW(Calc!E237)-ROW(Calc!$B$7)))=0,$AD$3,INDEX(Database!F$9:F$501,ROW(Calc!E237)-ROW(Calc!$B$7))),"")</f>
        <v>Not Set</v>
      </c>
      <c r="G237" s="128" t="str">
        <f>IFERROR(IF(LEN(INDEX(Database!H$9:H$501,ROW(Calc!F237)-ROW(Calc!$B$7)))=0,$AD$3,INDEX(Database!H$9:H$501,ROW(Calc!F237)-ROW(Calc!$B$7))),"")</f>
        <v>Not Set</v>
      </c>
      <c r="H237" s="128" t="str">
        <f>IFERROR(IF(LEN(INDEX(Database!I$9:I$501,ROW(Calc!G237)-ROW(Calc!$B$7)))=0,$AD$3,INDEX(Database!I$9:I$501,ROW(Calc!G237)-ROW(Calc!$B$7))),"")</f>
        <v>Not Set</v>
      </c>
      <c r="I237" s="128" t="str">
        <f>IFERROR(IF(LEN(INDEX(Database!J$9:J$501,ROW(Calc!H237)-ROW(Calc!$B$7)))=0,$AD$3,INDEX(Database!J$9:J$501,ROW(Calc!H237)-ROW(Calc!$B$7))),"")</f>
        <v>Not Set</v>
      </c>
      <c r="J237" s="128" t="str">
        <f t="shared" si="32"/>
        <v>Not Set</v>
      </c>
      <c r="K237" s="124" t="str">
        <f>IFERROR(IF(LEN(INDEX(Database!E$9:E$501,ROW(Calc!I237)-ROW(Calc!$B$7)))=0,"",INDEX(Database!E$9:E$501,ROW(Calc!I237)-ROW(Calc!$B$7))),"")</f>
        <v/>
      </c>
      <c r="L237" s="129" t="str">
        <f>IFERROR(IF(LEN(INDEX(Database!K$9:K$501,ROW(Calc!K237)-ROW(Calc!$B$7)))=0,$AD$3,INDEX(Database!K$9:K$501,ROW(Calc!K237)-ROW(Calc!$B$7))),"")</f>
        <v>Not Set</v>
      </c>
      <c r="M237" s="130" t="str">
        <f>IFERROR(IF(LEN(INDEX(Database!L$9:L$501,ROW(Calc!L237)-ROW(Calc!$B$7)))=0,$AD$3,INDEX(Database!L$9:L$501,ROW(Calc!L237)-ROW(Calc!$B$7))),"")</f>
        <v>Not Set</v>
      </c>
      <c r="N237" s="131" t="str">
        <f>IFERROR(IF(LEN(INDEX(Database!M$9:M$501,ROW(Calc!M237)-ROW(Calc!$B$7)))=0,"",INDEX(Database!M$9:M$501,ROW(Calc!M237)-ROW(Calc!$B$7))),"")</f>
        <v/>
      </c>
      <c r="O237" s="132" t="str">
        <f t="shared" si="36"/>
        <v/>
      </c>
      <c r="P237" s="125" t="str">
        <f t="shared" si="33"/>
        <v>Not Set</v>
      </c>
      <c r="Q237" s="125" t="str">
        <f t="shared" si="34"/>
        <v>Not Set</v>
      </c>
      <c r="R237" s="125" t="str">
        <f>IFERROR(IF(G237=$AD$3,$AD$3,INDEX(Kanban_Helper!$C$317:$C$328,MATCH(MONTH(G237),Kanban_Helper!$B$317:$B$328,0))&amp;" - "&amp;YEAR(G237)),"$AD$3")</f>
        <v>Not Set</v>
      </c>
      <c r="S237" s="125" t="str">
        <f>IFERROR(IF(I237=$AD$3,$AD$3,INDEX(Kanban_Helper!$C$317:$C$328,MATCH(MONTH(I237),Kanban_Helper!$B$317:$B$328,0))&amp;" - "&amp;YEAR(I237)),$AD$3)</f>
        <v>Not Set</v>
      </c>
      <c r="T237" s="125" t="str">
        <f t="shared" ca="1" si="37"/>
        <v/>
      </c>
      <c r="U237" s="125" t="str">
        <f t="shared" ca="1" si="38"/>
        <v/>
      </c>
      <c r="V237" s="125" t="str">
        <f t="shared" si="35"/>
        <v>Not Set</v>
      </c>
      <c r="W237" s="126" t="str">
        <f t="shared" si="39"/>
        <v/>
      </c>
      <c r="X237" s="126" t="str">
        <f t="shared" si="40"/>
        <v/>
      </c>
      <c r="Y237" s="125" t="str">
        <f>IFERROR(IF(LEN(D237)=0,"",IF(SUBTOTAL(3,E237:E237)=0,MIN($Y$7:Y236)-1,SUBTOTAL(3,$E$8:E237))),"")</f>
        <v/>
      </c>
      <c r="Z237" s="17"/>
      <c r="AA237" s="10"/>
      <c r="AB237" s="10"/>
      <c r="AC237" s="10"/>
      <c r="AD237" s="10"/>
      <c r="AE237" s="10"/>
      <c r="AF237" s="10"/>
      <c r="AG237" s="10"/>
      <c r="AH237" s="10"/>
      <c r="AI237" s="10"/>
      <c r="AJ237" s="10"/>
      <c r="AK237" s="10"/>
      <c r="AL237" s="10"/>
      <c r="AM237" s="10"/>
      <c r="AN237" s="10"/>
    </row>
    <row r="238" spans="2:40" hidden="1" x14ac:dyDescent="0.35">
      <c r="B238" s="15"/>
      <c r="C238" s="127" t="str">
        <f>IFERROR(IF(LEN(INDEX(Database!C$9:C$501,ROW(Calc!A238)-ROW(Calc!$B$7)))=0,"",INDEX(Database!C$9:C$501,ROW(Calc!A238)-ROW(Calc!$B$7))),"")</f>
        <v/>
      </c>
      <c r="D238" s="70" t="str">
        <f>IFERROR(IF(LEN(INDEX(Database!D$9:D$501,ROW(Calc!B238)-ROW(Calc!$B$7)))=0,"",INDEX(Database!D$9:D$501,ROW(Calc!B238)-ROW(Calc!$B$7))),"")</f>
        <v/>
      </c>
      <c r="E238" s="124" t="str">
        <f>IFERROR(IF(LEN(INDEX(Database!G$9:G$501,ROW(Calc!D238)-ROW(Calc!$B$7)))=0,$AD$3,INDEX(Database!G$9:G$501,ROW(Calc!D238)-ROW(Calc!$B$7))),"")</f>
        <v>Not Set</v>
      </c>
      <c r="F238" s="124" t="str">
        <f>IFERROR(IF(LEN(INDEX(Database!F$9:F$501,ROW(Calc!E238)-ROW(Calc!$B$7)))=0,$AD$3,INDEX(Database!F$9:F$501,ROW(Calc!E238)-ROW(Calc!$B$7))),"")</f>
        <v>Not Set</v>
      </c>
      <c r="G238" s="128" t="str">
        <f>IFERROR(IF(LEN(INDEX(Database!H$9:H$501,ROW(Calc!F238)-ROW(Calc!$B$7)))=0,$AD$3,INDEX(Database!H$9:H$501,ROW(Calc!F238)-ROW(Calc!$B$7))),"")</f>
        <v>Not Set</v>
      </c>
      <c r="H238" s="128" t="str">
        <f>IFERROR(IF(LEN(INDEX(Database!I$9:I$501,ROW(Calc!G238)-ROW(Calc!$B$7)))=0,$AD$3,INDEX(Database!I$9:I$501,ROW(Calc!G238)-ROW(Calc!$B$7))),"")</f>
        <v>Not Set</v>
      </c>
      <c r="I238" s="128" t="str">
        <f>IFERROR(IF(LEN(INDEX(Database!J$9:J$501,ROW(Calc!H238)-ROW(Calc!$B$7)))=0,$AD$3,INDEX(Database!J$9:J$501,ROW(Calc!H238)-ROW(Calc!$B$7))),"")</f>
        <v>Not Set</v>
      </c>
      <c r="J238" s="128" t="str">
        <f t="shared" si="32"/>
        <v>Not Set</v>
      </c>
      <c r="K238" s="124" t="str">
        <f>IFERROR(IF(LEN(INDEX(Database!E$9:E$501,ROW(Calc!I238)-ROW(Calc!$B$7)))=0,"",INDEX(Database!E$9:E$501,ROW(Calc!I238)-ROW(Calc!$B$7))),"")</f>
        <v/>
      </c>
      <c r="L238" s="129" t="str">
        <f>IFERROR(IF(LEN(INDEX(Database!K$9:K$501,ROW(Calc!K238)-ROW(Calc!$B$7)))=0,$AD$3,INDEX(Database!K$9:K$501,ROW(Calc!K238)-ROW(Calc!$B$7))),"")</f>
        <v>Not Set</v>
      </c>
      <c r="M238" s="130" t="str">
        <f>IFERROR(IF(LEN(INDEX(Database!L$9:L$501,ROW(Calc!L238)-ROW(Calc!$B$7)))=0,$AD$3,INDEX(Database!L$9:L$501,ROW(Calc!L238)-ROW(Calc!$B$7))),"")</f>
        <v>Not Set</v>
      </c>
      <c r="N238" s="131" t="str">
        <f>IFERROR(IF(LEN(INDEX(Database!M$9:M$501,ROW(Calc!M238)-ROW(Calc!$B$7)))=0,"",INDEX(Database!M$9:M$501,ROW(Calc!M238)-ROW(Calc!$B$7))),"")</f>
        <v/>
      </c>
      <c r="O238" s="132" t="str">
        <f t="shared" si="36"/>
        <v/>
      </c>
      <c r="P238" s="125" t="str">
        <f t="shared" si="33"/>
        <v>Not Set</v>
      </c>
      <c r="Q238" s="125" t="str">
        <f t="shared" si="34"/>
        <v>Not Set</v>
      </c>
      <c r="R238" s="125" t="str">
        <f>IFERROR(IF(G238=$AD$3,$AD$3,INDEX(Kanban_Helper!$C$317:$C$328,MATCH(MONTH(G238),Kanban_Helper!$B$317:$B$328,0))&amp;" - "&amp;YEAR(G238)),"$AD$3")</f>
        <v>Not Set</v>
      </c>
      <c r="S238" s="125" t="str">
        <f>IFERROR(IF(I238=$AD$3,$AD$3,INDEX(Kanban_Helper!$C$317:$C$328,MATCH(MONTH(I238),Kanban_Helper!$B$317:$B$328,0))&amp;" - "&amp;YEAR(I238)),$AD$3)</f>
        <v>Not Set</v>
      </c>
      <c r="T238" s="125" t="str">
        <f t="shared" ca="1" si="37"/>
        <v/>
      </c>
      <c r="U238" s="125" t="str">
        <f t="shared" ca="1" si="38"/>
        <v/>
      </c>
      <c r="V238" s="125" t="str">
        <f t="shared" si="35"/>
        <v>Not Set</v>
      </c>
      <c r="W238" s="126" t="str">
        <f t="shared" si="39"/>
        <v/>
      </c>
      <c r="X238" s="126" t="str">
        <f t="shared" si="40"/>
        <v/>
      </c>
      <c r="Y238" s="125" t="str">
        <f>IFERROR(IF(LEN(D238)=0,"",IF(SUBTOTAL(3,E238:E238)=0,MIN($Y$7:Y237)-1,SUBTOTAL(3,$E$8:E238))),"")</f>
        <v/>
      </c>
      <c r="Z238" s="17"/>
      <c r="AA238" s="10"/>
      <c r="AB238" s="10"/>
      <c r="AC238" s="10"/>
      <c r="AD238" s="10"/>
      <c r="AE238" s="10"/>
      <c r="AF238" s="10"/>
      <c r="AG238" s="10"/>
      <c r="AH238" s="10"/>
      <c r="AI238" s="10"/>
      <c r="AJ238" s="10"/>
      <c r="AK238" s="10"/>
      <c r="AL238" s="10"/>
      <c r="AM238" s="10"/>
      <c r="AN238" s="10"/>
    </row>
    <row r="239" spans="2:40" hidden="1" x14ac:dyDescent="0.35">
      <c r="B239" s="15"/>
      <c r="C239" s="127" t="str">
        <f>IFERROR(IF(LEN(INDEX(Database!C$9:C$501,ROW(Calc!A239)-ROW(Calc!$B$7)))=0,"",INDEX(Database!C$9:C$501,ROW(Calc!A239)-ROW(Calc!$B$7))),"")</f>
        <v/>
      </c>
      <c r="D239" s="70" t="str">
        <f>IFERROR(IF(LEN(INDEX(Database!D$9:D$501,ROW(Calc!B239)-ROW(Calc!$B$7)))=0,"",INDEX(Database!D$9:D$501,ROW(Calc!B239)-ROW(Calc!$B$7))),"")</f>
        <v/>
      </c>
      <c r="E239" s="124" t="str">
        <f>IFERROR(IF(LEN(INDEX(Database!G$9:G$501,ROW(Calc!D239)-ROW(Calc!$B$7)))=0,$AD$3,INDEX(Database!G$9:G$501,ROW(Calc!D239)-ROW(Calc!$B$7))),"")</f>
        <v>Not Set</v>
      </c>
      <c r="F239" s="124" t="str">
        <f>IFERROR(IF(LEN(INDEX(Database!F$9:F$501,ROW(Calc!E239)-ROW(Calc!$B$7)))=0,$AD$3,INDEX(Database!F$9:F$501,ROW(Calc!E239)-ROW(Calc!$B$7))),"")</f>
        <v>Not Set</v>
      </c>
      <c r="G239" s="128" t="str">
        <f>IFERROR(IF(LEN(INDEX(Database!H$9:H$501,ROW(Calc!F239)-ROW(Calc!$B$7)))=0,$AD$3,INDEX(Database!H$9:H$501,ROW(Calc!F239)-ROW(Calc!$B$7))),"")</f>
        <v>Not Set</v>
      </c>
      <c r="H239" s="128" t="str">
        <f>IFERROR(IF(LEN(INDEX(Database!I$9:I$501,ROW(Calc!G239)-ROW(Calc!$B$7)))=0,$AD$3,INDEX(Database!I$9:I$501,ROW(Calc!G239)-ROW(Calc!$B$7))),"")</f>
        <v>Not Set</v>
      </c>
      <c r="I239" s="128" t="str">
        <f>IFERROR(IF(LEN(INDEX(Database!J$9:J$501,ROW(Calc!H239)-ROW(Calc!$B$7)))=0,$AD$3,INDEX(Database!J$9:J$501,ROW(Calc!H239)-ROW(Calc!$B$7))),"")</f>
        <v>Not Set</v>
      </c>
      <c r="J239" s="128" t="str">
        <f t="shared" si="32"/>
        <v>Not Set</v>
      </c>
      <c r="K239" s="124" t="str">
        <f>IFERROR(IF(LEN(INDEX(Database!E$9:E$501,ROW(Calc!I239)-ROW(Calc!$B$7)))=0,"",INDEX(Database!E$9:E$501,ROW(Calc!I239)-ROW(Calc!$B$7))),"")</f>
        <v/>
      </c>
      <c r="L239" s="129" t="str">
        <f>IFERROR(IF(LEN(INDEX(Database!K$9:K$501,ROW(Calc!K239)-ROW(Calc!$B$7)))=0,$AD$3,INDEX(Database!K$9:K$501,ROW(Calc!K239)-ROW(Calc!$B$7))),"")</f>
        <v>Not Set</v>
      </c>
      <c r="M239" s="130" t="str">
        <f>IFERROR(IF(LEN(INDEX(Database!L$9:L$501,ROW(Calc!L239)-ROW(Calc!$B$7)))=0,$AD$3,INDEX(Database!L$9:L$501,ROW(Calc!L239)-ROW(Calc!$B$7))),"")</f>
        <v>Not Set</v>
      </c>
      <c r="N239" s="131" t="str">
        <f>IFERROR(IF(LEN(INDEX(Database!M$9:M$501,ROW(Calc!M239)-ROW(Calc!$B$7)))=0,"",INDEX(Database!M$9:M$501,ROW(Calc!M239)-ROW(Calc!$B$7))),"")</f>
        <v/>
      </c>
      <c r="O239" s="132" t="str">
        <f t="shared" si="36"/>
        <v/>
      </c>
      <c r="P239" s="125" t="str">
        <f t="shared" si="33"/>
        <v>Not Set</v>
      </c>
      <c r="Q239" s="125" t="str">
        <f t="shared" si="34"/>
        <v>Not Set</v>
      </c>
      <c r="R239" s="125" t="str">
        <f>IFERROR(IF(G239=$AD$3,$AD$3,INDEX(Kanban_Helper!$C$317:$C$328,MATCH(MONTH(G239),Kanban_Helper!$B$317:$B$328,0))&amp;" - "&amp;YEAR(G239)),"$AD$3")</f>
        <v>Not Set</v>
      </c>
      <c r="S239" s="125" t="str">
        <f>IFERROR(IF(I239=$AD$3,$AD$3,INDEX(Kanban_Helper!$C$317:$C$328,MATCH(MONTH(I239),Kanban_Helper!$B$317:$B$328,0))&amp;" - "&amp;YEAR(I239)),$AD$3)</f>
        <v>Not Set</v>
      </c>
      <c r="T239" s="125" t="str">
        <f t="shared" ca="1" si="37"/>
        <v/>
      </c>
      <c r="U239" s="125" t="str">
        <f t="shared" ca="1" si="38"/>
        <v/>
      </c>
      <c r="V239" s="125" t="str">
        <f t="shared" si="35"/>
        <v>Not Set</v>
      </c>
      <c r="W239" s="126" t="str">
        <f t="shared" si="39"/>
        <v/>
      </c>
      <c r="X239" s="126" t="str">
        <f t="shared" si="40"/>
        <v/>
      </c>
      <c r="Y239" s="125" t="str">
        <f>IFERROR(IF(LEN(D239)=0,"",IF(SUBTOTAL(3,E239:E239)=0,MIN($Y$7:Y238)-1,SUBTOTAL(3,$E$8:E239))),"")</f>
        <v/>
      </c>
      <c r="Z239" s="17"/>
      <c r="AA239" s="10"/>
      <c r="AB239" s="10"/>
      <c r="AC239" s="10"/>
      <c r="AD239" s="10"/>
      <c r="AE239" s="10"/>
      <c r="AF239" s="10"/>
      <c r="AG239" s="10"/>
      <c r="AH239" s="10"/>
      <c r="AI239" s="10"/>
      <c r="AJ239" s="10"/>
      <c r="AK239" s="10"/>
      <c r="AL239" s="10"/>
      <c r="AM239" s="10"/>
      <c r="AN239" s="10"/>
    </row>
    <row r="240" spans="2:40" hidden="1" x14ac:dyDescent="0.35">
      <c r="B240" s="15"/>
      <c r="C240" s="127" t="str">
        <f>IFERROR(IF(LEN(INDEX(Database!C$9:C$501,ROW(Calc!A240)-ROW(Calc!$B$7)))=0,"",INDEX(Database!C$9:C$501,ROW(Calc!A240)-ROW(Calc!$B$7))),"")</f>
        <v/>
      </c>
      <c r="D240" s="70" t="str">
        <f>IFERROR(IF(LEN(INDEX(Database!D$9:D$501,ROW(Calc!B240)-ROW(Calc!$B$7)))=0,"",INDEX(Database!D$9:D$501,ROW(Calc!B240)-ROW(Calc!$B$7))),"")</f>
        <v/>
      </c>
      <c r="E240" s="124" t="str">
        <f>IFERROR(IF(LEN(INDEX(Database!G$9:G$501,ROW(Calc!D240)-ROW(Calc!$B$7)))=0,$AD$3,INDEX(Database!G$9:G$501,ROW(Calc!D240)-ROW(Calc!$B$7))),"")</f>
        <v>Not Set</v>
      </c>
      <c r="F240" s="124" t="str">
        <f>IFERROR(IF(LEN(INDEX(Database!F$9:F$501,ROW(Calc!E240)-ROW(Calc!$B$7)))=0,$AD$3,INDEX(Database!F$9:F$501,ROW(Calc!E240)-ROW(Calc!$B$7))),"")</f>
        <v>Not Set</v>
      </c>
      <c r="G240" s="128" t="str">
        <f>IFERROR(IF(LEN(INDEX(Database!H$9:H$501,ROW(Calc!F240)-ROW(Calc!$B$7)))=0,$AD$3,INDEX(Database!H$9:H$501,ROW(Calc!F240)-ROW(Calc!$B$7))),"")</f>
        <v>Not Set</v>
      </c>
      <c r="H240" s="128" t="str">
        <f>IFERROR(IF(LEN(INDEX(Database!I$9:I$501,ROW(Calc!G240)-ROW(Calc!$B$7)))=0,$AD$3,INDEX(Database!I$9:I$501,ROW(Calc!G240)-ROW(Calc!$B$7))),"")</f>
        <v>Not Set</v>
      </c>
      <c r="I240" s="128" t="str">
        <f>IFERROR(IF(LEN(INDEX(Database!J$9:J$501,ROW(Calc!H240)-ROW(Calc!$B$7)))=0,$AD$3,INDEX(Database!J$9:J$501,ROW(Calc!H240)-ROW(Calc!$B$7))),"")</f>
        <v>Not Set</v>
      </c>
      <c r="J240" s="128" t="str">
        <f t="shared" si="32"/>
        <v>Not Set</v>
      </c>
      <c r="K240" s="124" t="str">
        <f>IFERROR(IF(LEN(INDEX(Database!E$9:E$501,ROW(Calc!I240)-ROW(Calc!$B$7)))=0,"",INDEX(Database!E$9:E$501,ROW(Calc!I240)-ROW(Calc!$B$7))),"")</f>
        <v/>
      </c>
      <c r="L240" s="129" t="str">
        <f>IFERROR(IF(LEN(INDEX(Database!K$9:K$501,ROW(Calc!K240)-ROW(Calc!$B$7)))=0,$AD$3,INDEX(Database!K$9:K$501,ROW(Calc!K240)-ROW(Calc!$B$7))),"")</f>
        <v>Not Set</v>
      </c>
      <c r="M240" s="130" t="str">
        <f>IFERROR(IF(LEN(INDEX(Database!L$9:L$501,ROW(Calc!L240)-ROW(Calc!$B$7)))=0,$AD$3,INDEX(Database!L$9:L$501,ROW(Calc!L240)-ROW(Calc!$B$7))),"")</f>
        <v>Not Set</v>
      </c>
      <c r="N240" s="131" t="str">
        <f>IFERROR(IF(LEN(INDEX(Database!M$9:M$501,ROW(Calc!M240)-ROW(Calc!$B$7)))=0,"",INDEX(Database!M$9:M$501,ROW(Calc!M240)-ROW(Calc!$B$7))),"")</f>
        <v/>
      </c>
      <c r="O240" s="132" t="str">
        <f t="shared" si="36"/>
        <v/>
      </c>
      <c r="P240" s="125" t="str">
        <f t="shared" si="33"/>
        <v>Not Set</v>
      </c>
      <c r="Q240" s="125" t="str">
        <f t="shared" si="34"/>
        <v>Not Set</v>
      </c>
      <c r="R240" s="125" t="str">
        <f>IFERROR(IF(G240=$AD$3,$AD$3,INDEX(Kanban_Helper!$C$317:$C$328,MATCH(MONTH(G240),Kanban_Helper!$B$317:$B$328,0))&amp;" - "&amp;YEAR(G240)),"$AD$3")</f>
        <v>Not Set</v>
      </c>
      <c r="S240" s="125" t="str">
        <f>IFERROR(IF(I240=$AD$3,$AD$3,INDEX(Kanban_Helper!$C$317:$C$328,MATCH(MONTH(I240),Kanban_Helper!$B$317:$B$328,0))&amp;" - "&amp;YEAR(I240)),$AD$3)</f>
        <v>Not Set</v>
      </c>
      <c r="T240" s="125" t="str">
        <f t="shared" ca="1" si="37"/>
        <v/>
      </c>
      <c r="U240" s="125" t="str">
        <f t="shared" ca="1" si="38"/>
        <v/>
      </c>
      <c r="V240" s="125" t="str">
        <f t="shared" si="35"/>
        <v>Not Set</v>
      </c>
      <c r="W240" s="126" t="str">
        <f t="shared" si="39"/>
        <v/>
      </c>
      <c r="X240" s="126" t="str">
        <f t="shared" si="40"/>
        <v/>
      </c>
      <c r="Y240" s="125" t="str">
        <f>IFERROR(IF(LEN(D240)=0,"",IF(SUBTOTAL(3,E240:E240)=0,MIN($Y$7:Y239)-1,SUBTOTAL(3,$E$8:E240))),"")</f>
        <v/>
      </c>
      <c r="Z240" s="17"/>
      <c r="AA240" s="10"/>
      <c r="AB240" s="10"/>
      <c r="AC240" s="10"/>
      <c r="AD240" s="10"/>
      <c r="AE240" s="10"/>
      <c r="AF240" s="10"/>
      <c r="AG240" s="10"/>
      <c r="AH240" s="10"/>
      <c r="AI240" s="10"/>
      <c r="AJ240" s="10"/>
      <c r="AK240" s="10"/>
      <c r="AL240" s="10"/>
      <c r="AM240" s="10"/>
      <c r="AN240" s="10"/>
    </row>
    <row r="241" spans="2:40" hidden="1" x14ac:dyDescent="0.35">
      <c r="B241" s="15"/>
      <c r="C241" s="127" t="str">
        <f>IFERROR(IF(LEN(INDEX(Database!C$9:C$501,ROW(Calc!A241)-ROW(Calc!$B$7)))=0,"",INDEX(Database!C$9:C$501,ROW(Calc!A241)-ROW(Calc!$B$7))),"")</f>
        <v/>
      </c>
      <c r="D241" s="70" t="str">
        <f>IFERROR(IF(LEN(INDEX(Database!D$9:D$501,ROW(Calc!B241)-ROW(Calc!$B$7)))=0,"",INDEX(Database!D$9:D$501,ROW(Calc!B241)-ROW(Calc!$B$7))),"")</f>
        <v/>
      </c>
      <c r="E241" s="124" t="str">
        <f>IFERROR(IF(LEN(INDEX(Database!G$9:G$501,ROW(Calc!D241)-ROW(Calc!$B$7)))=0,$AD$3,INDEX(Database!G$9:G$501,ROW(Calc!D241)-ROW(Calc!$B$7))),"")</f>
        <v>Not Set</v>
      </c>
      <c r="F241" s="124" t="str">
        <f>IFERROR(IF(LEN(INDEX(Database!F$9:F$501,ROW(Calc!E241)-ROW(Calc!$B$7)))=0,$AD$3,INDEX(Database!F$9:F$501,ROW(Calc!E241)-ROW(Calc!$B$7))),"")</f>
        <v>Not Set</v>
      </c>
      <c r="G241" s="128" t="str">
        <f>IFERROR(IF(LEN(INDEX(Database!H$9:H$501,ROW(Calc!F241)-ROW(Calc!$B$7)))=0,$AD$3,INDEX(Database!H$9:H$501,ROW(Calc!F241)-ROW(Calc!$B$7))),"")</f>
        <v>Not Set</v>
      </c>
      <c r="H241" s="128" t="str">
        <f>IFERROR(IF(LEN(INDEX(Database!I$9:I$501,ROW(Calc!G241)-ROW(Calc!$B$7)))=0,$AD$3,INDEX(Database!I$9:I$501,ROW(Calc!G241)-ROW(Calc!$B$7))),"")</f>
        <v>Not Set</v>
      </c>
      <c r="I241" s="128" t="str">
        <f>IFERROR(IF(LEN(INDEX(Database!J$9:J$501,ROW(Calc!H241)-ROW(Calc!$B$7)))=0,$AD$3,INDEX(Database!J$9:J$501,ROW(Calc!H241)-ROW(Calc!$B$7))),"")</f>
        <v>Not Set</v>
      </c>
      <c r="J241" s="128" t="str">
        <f t="shared" si="32"/>
        <v>Not Set</v>
      </c>
      <c r="K241" s="124" t="str">
        <f>IFERROR(IF(LEN(INDEX(Database!E$9:E$501,ROW(Calc!I241)-ROW(Calc!$B$7)))=0,"",INDEX(Database!E$9:E$501,ROW(Calc!I241)-ROW(Calc!$B$7))),"")</f>
        <v/>
      </c>
      <c r="L241" s="129" t="str">
        <f>IFERROR(IF(LEN(INDEX(Database!K$9:K$501,ROW(Calc!K241)-ROW(Calc!$B$7)))=0,$AD$3,INDEX(Database!K$9:K$501,ROW(Calc!K241)-ROW(Calc!$B$7))),"")</f>
        <v>Not Set</v>
      </c>
      <c r="M241" s="130" t="str">
        <f>IFERROR(IF(LEN(INDEX(Database!L$9:L$501,ROW(Calc!L241)-ROW(Calc!$B$7)))=0,$AD$3,INDEX(Database!L$9:L$501,ROW(Calc!L241)-ROW(Calc!$B$7))),"")</f>
        <v>Not Set</v>
      </c>
      <c r="N241" s="131" t="str">
        <f>IFERROR(IF(LEN(INDEX(Database!M$9:M$501,ROW(Calc!M241)-ROW(Calc!$B$7)))=0,"",INDEX(Database!M$9:M$501,ROW(Calc!M241)-ROW(Calc!$B$7))),"")</f>
        <v/>
      </c>
      <c r="O241" s="132" t="str">
        <f t="shared" si="36"/>
        <v/>
      </c>
      <c r="P241" s="125" t="str">
        <f t="shared" si="33"/>
        <v>Not Set</v>
      </c>
      <c r="Q241" s="125" t="str">
        <f t="shared" si="34"/>
        <v>Not Set</v>
      </c>
      <c r="R241" s="125" t="str">
        <f>IFERROR(IF(G241=$AD$3,$AD$3,INDEX(Kanban_Helper!$C$317:$C$328,MATCH(MONTH(G241),Kanban_Helper!$B$317:$B$328,0))&amp;" - "&amp;YEAR(G241)),"$AD$3")</f>
        <v>Not Set</v>
      </c>
      <c r="S241" s="125" t="str">
        <f>IFERROR(IF(I241=$AD$3,$AD$3,INDEX(Kanban_Helper!$C$317:$C$328,MATCH(MONTH(I241),Kanban_Helper!$B$317:$B$328,0))&amp;" - "&amp;YEAR(I241)),$AD$3)</f>
        <v>Not Set</v>
      </c>
      <c r="T241" s="125" t="str">
        <f t="shared" ca="1" si="37"/>
        <v/>
      </c>
      <c r="U241" s="125" t="str">
        <f t="shared" ca="1" si="38"/>
        <v/>
      </c>
      <c r="V241" s="125" t="str">
        <f t="shared" si="35"/>
        <v>Not Set</v>
      </c>
      <c r="W241" s="126" t="str">
        <f t="shared" si="39"/>
        <v/>
      </c>
      <c r="X241" s="126" t="str">
        <f t="shared" si="40"/>
        <v/>
      </c>
      <c r="Y241" s="125" t="str">
        <f>IFERROR(IF(LEN(D241)=0,"",IF(SUBTOTAL(3,E241:E241)=0,MIN($Y$7:Y240)-1,SUBTOTAL(3,$E$8:E241))),"")</f>
        <v/>
      </c>
      <c r="Z241" s="17"/>
      <c r="AA241" s="10"/>
      <c r="AB241" s="10"/>
      <c r="AC241" s="10"/>
      <c r="AD241" s="10"/>
      <c r="AE241" s="10"/>
      <c r="AF241" s="10"/>
      <c r="AG241" s="10"/>
      <c r="AH241" s="10"/>
      <c r="AI241" s="10"/>
      <c r="AJ241" s="10"/>
      <c r="AK241" s="10"/>
      <c r="AL241" s="10"/>
      <c r="AM241" s="10"/>
      <c r="AN241" s="10"/>
    </row>
    <row r="242" spans="2:40" hidden="1" x14ac:dyDescent="0.35">
      <c r="B242" s="15"/>
      <c r="C242" s="127" t="str">
        <f>IFERROR(IF(LEN(INDEX(Database!C$9:C$501,ROW(Calc!A242)-ROW(Calc!$B$7)))=0,"",INDEX(Database!C$9:C$501,ROW(Calc!A242)-ROW(Calc!$B$7))),"")</f>
        <v/>
      </c>
      <c r="D242" s="70" t="str">
        <f>IFERROR(IF(LEN(INDEX(Database!D$9:D$501,ROW(Calc!B242)-ROW(Calc!$B$7)))=0,"",INDEX(Database!D$9:D$501,ROW(Calc!B242)-ROW(Calc!$B$7))),"")</f>
        <v/>
      </c>
      <c r="E242" s="124" t="str">
        <f>IFERROR(IF(LEN(INDEX(Database!G$9:G$501,ROW(Calc!D242)-ROW(Calc!$B$7)))=0,$AD$3,INDEX(Database!G$9:G$501,ROW(Calc!D242)-ROW(Calc!$B$7))),"")</f>
        <v>Not Set</v>
      </c>
      <c r="F242" s="124" t="str">
        <f>IFERROR(IF(LEN(INDEX(Database!F$9:F$501,ROW(Calc!E242)-ROW(Calc!$B$7)))=0,$AD$3,INDEX(Database!F$9:F$501,ROW(Calc!E242)-ROW(Calc!$B$7))),"")</f>
        <v>Not Set</v>
      </c>
      <c r="G242" s="128" t="str">
        <f>IFERROR(IF(LEN(INDEX(Database!H$9:H$501,ROW(Calc!F242)-ROW(Calc!$B$7)))=0,$AD$3,INDEX(Database!H$9:H$501,ROW(Calc!F242)-ROW(Calc!$B$7))),"")</f>
        <v>Not Set</v>
      </c>
      <c r="H242" s="128" t="str">
        <f>IFERROR(IF(LEN(INDEX(Database!I$9:I$501,ROW(Calc!G242)-ROW(Calc!$B$7)))=0,$AD$3,INDEX(Database!I$9:I$501,ROW(Calc!G242)-ROW(Calc!$B$7))),"")</f>
        <v>Not Set</v>
      </c>
      <c r="I242" s="128" t="str">
        <f>IFERROR(IF(LEN(INDEX(Database!J$9:J$501,ROW(Calc!H242)-ROW(Calc!$B$7)))=0,$AD$3,INDEX(Database!J$9:J$501,ROW(Calc!H242)-ROW(Calc!$B$7))),"")</f>
        <v>Not Set</v>
      </c>
      <c r="J242" s="128" t="str">
        <f t="shared" si="32"/>
        <v>Not Set</v>
      </c>
      <c r="K242" s="124" t="str">
        <f>IFERROR(IF(LEN(INDEX(Database!E$9:E$501,ROW(Calc!I242)-ROW(Calc!$B$7)))=0,"",INDEX(Database!E$9:E$501,ROW(Calc!I242)-ROW(Calc!$B$7))),"")</f>
        <v/>
      </c>
      <c r="L242" s="129" t="str">
        <f>IFERROR(IF(LEN(INDEX(Database!K$9:K$501,ROW(Calc!K242)-ROW(Calc!$B$7)))=0,$AD$3,INDEX(Database!K$9:K$501,ROW(Calc!K242)-ROW(Calc!$B$7))),"")</f>
        <v>Not Set</v>
      </c>
      <c r="M242" s="130" t="str">
        <f>IFERROR(IF(LEN(INDEX(Database!L$9:L$501,ROW(Calc!L242)-ROW(Calc!$B$7)))=0,$AD$3,INDEX(Database!L$9:L$501,ROW(Calc!L242)-ROW(Calc!$B$7))),"")</f>
        <v>Not Set</v>
      </c>
      <c r="N242" s="131" t="str">
        <f>IFERROR(IF(LEN(INDEX(Database!M$9:M$501,ROW(Calc!M242)-ROW(Calc!$B$7)))=0,"",INDEX(Database!M$9:M$501,ROW(Calc!M242)-ROW(Calc!$B$7))),"")</f>
        <v/>
      </c>
      <c r="O242" s="132" t="str">
        <f t="shared" si="36"/>
        <v/>
      </c>
      <c r="P242" s="125" t="str">
        <f t="shared" si="33"/>
        <v>Not Set</v>
      </c>
      <c r="Q242" s="125" t="str">
        <f t="shared" si="34"/>
        <v>Not Set</v>
      </c>
      <c r="R242" s="125" t="str">
        <f>IFERROR(IF(G242=$AD$3,$AD$3,INDEX(Kanban_Helper!$C$317:$C$328,MATCH(MONTH(G242),Kanban_Helper!$B$317:$B$328,0))&amp;" - "&amp;YEAR(G242)),"$AD$3")</f>
        <v>Not Set</v>
      </c>
      <c r="S242" s="125" t="str">
        <f>IFERROR(IF(I242=$AD$3,$AD$3,INDEX(Kanban_Helper!$C$317:$C$328,MATCH(MONTH(I242),Kanban_Helper!$B$317:$B$328,0))&amp;" - "&amp;YEAR(I242)),$AD$3)</f>
        <v>Not Set</v>
      </c>
      <c r="T242" s="125" t="str">
        <f t="shared" ca="1" si="37"/>
        <v/>
      </c>
      <c r="U242" s="125" t="str">
        <f t="shared" ca="1" si="38"/>
        <v/>
      </c>
      <c r="V242" s="125" t="str">
        <f t="shared" si="35"/>
        <v>Not Set</v>
      </c>
      <c r="W242" s="126" t="str">
        <f t="shared" si="39"/>
        <v/>
      </c>
      <c r="X242" s="126" t="str">
        <f t="shared" si="40"/>
        <v/>
      </c>
      <c r="Y242" s="125" t="str">
        <f>IFERROR(IF(LEN(D242)=0,"",IF(SUBTOTAL(3,E242:E242)=0,MIN($Y$7:Y241)-1,SUBTOTAL(3,$E$8:E242))),"")</f>
        <v/>
      </c>
      <c r="Z242" s="17"/>
      <c r="AA242" s="10"/>
      <c r="AB242" s="10"/>
      <c r="AC242" s="10"/>
      <c r="AD242" s="10"/>
      <c r="AE242" s="10"/>
      <c r="AF242" s="10"/>
      <c r="AG242" s="10"/>
      <c r="AH242" s="10"/>
      <c r="AI242" s="10"/>
      <c r="AJ242" s="10"/>
      <c r="AK242" s="10"/>
      <c r="AL242" s="10"/>
      <c r="AM242" s="10"/>
      <c r="AN242" s="10"/>
    </row>
    <row r="243" spans="2:40" hidden="1" x14ac:dyDescent="0.35">
      <c r="B243" s="15"/>
      <c r="C243" s="127" t="str">
        <f>IFERROR(IF(LEN(INDEX(Database!C$9:C$501,ROW(Calc!A243)-ROW(Calc!$B$7)))=0,"",INDEX(Database!C$9:C$501,ROW(Calc!A243)-ROW(Calc!$B$7))),"")</f>
        <v/>
      </c>
      <c r="D243" s="70" t="str">
        <f>IFERROR(IF(LEN(INDEX(Database!D$9:D$501,ROW(Calc!B243)-ROW(Calc!$B$7)))=0,"",INDEX(Database!D$9:D$501,ROW(Calc!B243)-ROW(Calc!$B$7))),"")</f>
        <v/>
      </c>
      <c r="E243" s="124" t="str">
        <f>IFERROR(IF(LEN(INDEX(Database!G$9:G$501,ROW(Calc!D243)-ROW(Calc!$B$7)))=0,$AD$3,INDEX(Database!G$9:G$501,ROW(Calc!D243)-ROW(Calc!$B$7))),"")</f>
        <v>Not Set</v>
      </c>
      <c r="F243" s="124" t="str">
        <f>IFERROR(IF(LEN(INDEX(Database!F$9:F$501,ROW(Calc!E243)-ROW(Calc!$B$7)))=0,$AD$3,INDEX(Database!F$9:F$501,ROW(Calc!E243)-ROW(Calc!$B$7))),"")</f>
        <v>Not Set</v>
      </c>
      <c r="G243" s="128" t="str">
        <f>IFERROR(IF(LEN(INDEX(Database!H$9:H$501,ROW(Calc!F243)-ROW(Calc!$B$7)))=0,$AD$3,INDEX(Database!H$9:H$501,ROW(Calc!F243)-ROW(Calc!$B$7))),"")</f>
        <v>Not Set</v>
      </c>
      <c r="H243" s="128" t="str">
        <f>IFERROR(IF(LEN(INDEX(Database!I$9:I$501,ROW(Calc!G243)-ROW(Calc!$B$7)))=0,$AD$3,INDEX(Database!I$9:I$501,ROW(Calc!G243)-ROW(Calc!$B$7))),"")</f>
        <v>Not Set</v>
      </c>
      <c r="I243" s="128" t="str">
        <f>IFERROR(IF(LEN(INDEX(Database!J$9:J$501,ROW(Calc!H243)-ROW(Calc!$B$7)))=0,$AD$3,INDEX(Database!J$9:J$501,ROW(Calc!H243)-ROW(Calc!$B$7))),"")</f>
        <v>Not Set</v>
      </c>
      <c r="J243" s="128" t="str">
        <f t="shared" si="32"/>
        <v>Not Set</v>
      </c>
      <c r="K243" s="124" t="str">
        <f>IFERROR(IF(LEN(INDEX(Database!E$9:E$501,ROW(Calc!I243)-ROW(Calc!$B$7)))=0,"",INDEX(Database!E$9:E$501,ROW(Calc!I243)-ROW(Calc!$B$7))),"")</f>
        <v/>
      </c>
      <c r="L243" s="129" t="str">
        <f>IFERROR(IF(LEN(INDEX(Database!K$9:K$501,ROW(Calc!K243)-ROW(Calc!$B$7)))=0,$AD$3,INDEX(Database!K$9:K$501,ROW(Calc!K243)-ROW(Calc!$B$7))),"")</f>
        <v>Not Set</v>
      </c>
      <c r="M243" s="130" t="str">
        <f>IFERROR(IF(LEN(INDEX(Database!L$9:L$501,ROW(Calc!L243)-ROW(Calc!$B$7)))=0,$AD$3,INDEX(Database!L$9:L$501,ROW(Calc!L243)-ROW(Calc!$B$7))),"")</f>
        <v>Not Set</v>
      </c>
      <c r="N243" s="131" t="str">
        <f>IFERROR(IF(LEN(INDEX(Database!M$9:M$501,ROW(Calc!M243)-ROW(Calc!$B$7)))=0,"",INDEX(Database!M$9:M$501,ROW(Calc!M243)-ROW(Calc!$B$7))),"")</f>
        <v/>
      </c>
      <c r="O243" s="132" t="str">
        <f t="shared" si="36"/>
        <v/>
      </c>
      <c r="P243" s="125" t="str">
        <f t="shared" si="33"/>
        <v>Not Set</v>
      </c>
      <c r="Q243" s="125" t="str">
        <f t="shared" si="34"/>
        <v>Not Set</v>
      </c>
      <c r="R243" s="125" t="str">
        <f>IFERROR(IF(G243=$AD$3,$AD$3,INDEX(Kanban_Helper!$C$317:$C$328,MATCH(MONTH(G243),Kanban_Helper!$B$317:$B$328,0))&amp;" - "&amp;YEAR(G243)),"$AD$3")</f>
        <v>Not Set</v>
      </c>
      <c r="S243" s="125" t="str">
        <f>IFERROR(IF(I243=$AD$3,$AD$3,INDEX(Kanban_Helper!$C$317:$C$328,MATCH(MONTH(I243),Kanban_Helper!$B$317:$B$328,0))&amp;" - "&amp;YEAR(I243)),$AD$3)</f>
        <v>Not Set</v>
      </c>
      <c r="T243" s="125" t="str">
        <f t="shared" ca="1" si="37"/>
        <v/>
      </c>
      <c r="U243" s="125" t="str">
        <f t="shared" ca="1" si="38"/>
        <v/>
      </c>
      <c r="V243" s="125" t="str">
        <f t="shared" si="35"/>
        <v>Not Set</v>
      </c>
      <c r="W243" s="126" t="str">
        <f t="shared" si="39"/>
        <v/>
      </c>
      <c r="X243" s="126" t="str">
        <f t="shared" si="40"/>
        <v/>
      </c>
      <c r="Y243" s="125" t="str">
        <f>IFERROR(IF(LEN(D243)=0,"",IF(SUBTOTAL(3,E243:E243)=0,MIN($Y$7:Y242)-1,SUBTOTAL(3,$E$8:E243))),"")</f>
        <v/>
      </c>
      <c r="Z243" s="17"/>
      <c r="AA243" s="10"/>
      <c r="AB243" s="10"/>
      <c r="AC243" s="10"/>
      <c r="AD243" s="10"/>
      <c r="AE243" s="10"/>
      <c r="AF243" s="10"/>
      <c r="AG243" s="10"/>
      <c r="AH243" s="10"/>
      <c r="AI243" s="10"/>
      <c r="AJ243" s="10"/>
      <c r="AK243" s="10"/>
      <c r="AL243" s="10"/>
      <c r="AM243" s="10"/>
      <c r="AN243" s="10"/>
    </row>
    <row r="244" spans="2:40" hidden="1" x14ac:dyDescent="0.35">
      <c r="B244" s="15"/>
      <c r="C244" s="127" t="str">
        <f>IFERROR(IF(LEN(INDEX(Database!C$9:C$501,ROW(Calc!A244)-ROW(Calc!$B$7)))=0,"",INDEX(Database!C$9:C$501,ROW(Calc!A244)-ROW(Calc!$B$7))),"")</f>
        <v/>
      </c>
      <c r="D244" s="70" t="str">
        <f>IFERROR(IF(LEN(INDEX(Database!D$9:D$501,ROW(Calc!B244)-ROW(Calc!$B$7)))=0,"",INDEX(Database!D$9:D$501,ROW(Calc!B244)-ROW(Calc!$B$7))),"")</f>
        <v/>
      </c>
      <c r="E244" s="124" t="str">
        <f>IFERROR(IF(LEN(INDEX(Database!G$9:G$501,ROW(Calc!D244)-ROW(Calc!$B$7)))=0,$AD$3,INDEX(Database!G$9:G$501,ROW(Calc!D244)-ROW(Calc!$B$7))),"")</f>
        <v>Not Set</v>
      </c>
      <c r="F244" s="124" t="str">
        <f>IFERROR(IF(LEN(INDEX(Database!F$9:F$501,ROW(Calc!E244)-ROW(Calc!$B$7)))=0,$AD$3,INDEX(Database!F$9:F$501,ROW(Calc!E244)-ROW(Calc!$B$7))),"")</f>
        <v>Not Set</v>
      </c>
      <c r="G244" s="128" t="str">
        <f>IFERROR(IF(LEN(INDEX(Database!H$9:H$501,ROW(Calc!F244)-ROW(Calc!$B$7)))=0,$AD$3,INDEX(Database!H$9:H$501,ROW(Calc!F244)-ROW(Calc!$B$7))),"")</f>
        <v>Not Set</v>
      </c>
      <c r="H244" s="128" t="str">
        <f>IFERROR(IF(LEN(INDEX(Database!I$9:I$501,ROW(Calc!G244)-ROW(Calc!$B$7)))=0,$AD$3,INDEX(Database!I$9:I$501,ROW(Calc!G244)-ROW(Calc!$B$7))),"")</f>
        <v>Not Set</v>
      </c>
      <c r="I244" s="128" t="str">
        <f>IFERROR(IF(LEN(INDEX(Database!J$9:J$501,ROW(Calc!H244)-ROW(Calc!$B$7)))=0,$AD$3,INDEX(Database!J$9:J$501,ROW(Calc!H244)-ROW(Calc!$B$7))),"")</f>
        <v>Not Set</v>
      </c>
      <c r="J244" s="128" t="str">
        <f t="shared" si="32"/>
        <v>Not Set</v>
      </c>
      <c r="K244" s="124" t="str">
        <f>IFERROR(IF(LEN(INDEX(Database!E$9:E$501,ROW(Calc!I244)-ROW(Calc!$B$7)))=0,"",INDEX(Database!E$9:E$501,ROW(Calc!I244)-ROW(Calc!$B$7))),"")</f>
        <v/>
      </c>
      <c r="L244" s="129" t="str">
        <f>IFERROR(IF(LEN(INDEX(Database!K$9:K$501,ROW(Calc!K244)-ROW(Calc!$B$7)))=0,$AD$3,INDEX(Database!K$9:K$501,ROW(Calc!K244)-ROW(Calc!$B$7))),"")</f>
        <v>Not Set</v>
      </c>
      <c r="M244" s="130" t="str">
        <f>IFERROR(IF(LEN(INDEX(Database!L$9:L$501,ROW(Calc!L244)-ROW(Calc!$B$7)))=0,$AD$3,INDEX(Database!L$9:L$501,ROW(Calc!L244)-ROW(Calc!$B$7))),"")</f>
        <v>Not Set</v>
      </c>
      <c r="N244" s="131" t="str">
        <f>IFERROR(IF(LEN(INDEX(Database!M$9:M$501,ROW(Calc!M244)-ROW(Calc!$B$7)))=0,"",INDEX(Database!M$9:M$501,ROW(Calc!M244)-ROW(Calc!$B$7))),"")</f>
        <v/>
      </c>
      <c r="O244" s="132" t="str">
        <f t="shared" si="36"/>
        <v/>
      </c>
      <c r="P244" s="125" t="str">
        <f t="shared" si="33"/>
        <v>Not Set</v>
      </c>
      <c r="Q244" s="125" t="str">
        <f t="shared" si="34"/>
        <v>Not Set</v>
      </c>
      <c r="R244" s="125" t="str">
        <f>IFERROR(IF(G244=$AD$3,$AD$3,INDEX(Kanban_Helper!$C$317:$C$328,MATCH(MONTH(G244),Kanban_Helper!$B$317:$B$328,0))&amp;" - "&amp;YEAR(G244)),"$AD$3")</f>
        <v>Not Set</v>
      </c>
      <c r="S244" s="125" t="str">
        <f>IFERROR(IF(I244=$AD$3,$AD$3,INDEX(Kanban_Helper!$C$317:$C$328,MATCH(MONTH(I244),Kanban_Helper!$B$317:$B$328,0))&amp;" - "&amp;YEAR(I244)),$AD$3)</f>
        <v>Not Set</v>
      </c>
      <c r="T244" s="125" t="str">
        <f t="shared" ca="1" si="37"/>
        <v/>
      </c>
      <c r="U244" s="125" t="str">
        <f t="shared" ca="1" si="38"/>
        <v/>
      </c>
      <c r="V244" s="125" t="str">
        <f t="shared" si="35"/>
        <v>Not Set</v>
      </c>
      <c r="W244" s="126" t="str">
        <f t="shared" si="39"/>
        <v/>
      </c>
      <c r="X244" s="126" t="str">
        <f t="shared" si="40"/>
        <v/>
      </c>
      <c r="Y244" s="125" t="str">
        <f>IFERROR(IF(LEN(D244)=0,"",IF(SUBTOTAL(3,E244:E244)=0,MIN($Y$7:Y243)-1,SUBTOTAL(3,$E$8:E244))),"")</f>
        <v/>
      </c>
      <c r="Z244" s="17"/>
      <c r="AA244" s="10"/>
      <c r="AB244" s="10"/>
      <c r="AC244" s="10"/>
      <c r="AD244" s="10"/>
      <c r="AE244" s="10"/>
      <c r="AF244" s="10"/>
      <c r="AG244" s="10"/>
      <c r="AH244" s="10"/>
      <c r="AI244" s="10"/>
      <c r="AJ244" s="10"/>
      <c r="AK244" s="10"/>
      <c r="AL244" s="10"/>
      <c r="AM244" s="10"/>
      <c r="AN244" s="10"/>
    </row>
    <row r="245" spans="2:40" hidden="1" x14ac:dyDescent="0.35">
      <c r="B245" s="15"/>
      <c r="C245" s="127" t="str">
        <f>IFERROR(IF(LEN(INDEX(Database!C$9:C$501,ROW(Calc!A245)-ROW(Calc!$B$7)))=0,"",INDEX(Database!C$9:C$501,ROW(Calc!A245)-ROW(Calc!$B$7))),"")</f>
        <v/>
      </c>
      <c r="D245" s="70" t="str">
        <f>IFERROR(IF(LEN(INDEX(Database!D$9:D$501,ROW(Calc!B245)-ROW(Calc!$B$7)))=0,"",INDEX(Database!D$9:D$501,ROW(Calc!B245)-ROW(Calc!$B$7))),"")</f>
        <v/>
      </c>
      <c r="E245" s="124" t="str">
        <f>IFERROR(IF(LEN(INDEX(Database!G$9:G$501,ROW(Calc!D245)-ROW(Calc!$B$7)))=0,$AD$3,INDEX(Database!G$9:G$501,ROW(Calc!D245)-ROW(Calc!$B$7))),"")</f>
        <v>Not Set</v>
      </c>
      <c r="F245" s="124" t="str">
        <f>IFERROR(IF(LEN(INDEX(Database!F$9:F$501,ROW(Calc!E245)-ROW(Calc!$B$7)))=0,$AD$3,INDEX(Database!F$9:F$501,ROW(Calc!E245)-ROW(Calc!$B$7))),"")</f>
        <v>Not Set</v>
      </c>
      <c r="G245" s="128" t="str">
        <f>IFERROR(IF(LEN(INDEX(Database!H$9:H$501,ROW(Calc!F245)-ROW(Calc!$B$7)))=0,$AD$3,INDEX(Database!H$9:H$501,ROW(Calc!F245)-ROW(Calc!$B$7))),"")</f>
        <v>Not Set</v>
      </c>
      <c r="H245" s="128" t="str">
        <f>IFERROR(IF(LEN(INDEX(Database!I$9:I$501,ROW(Calc!G245)-ROW(Calc!$B$7)))=0,$AD$3,INDEX(Database!I$9:I$501,ROW(Calc!G245)-ROW(Calc!$B$7))),"")</f>
        <v>Not Set</v>
      </c>
      <c r="I245" s="128" t="str">
        <f>IFERROR(IF(LEN(INDEX(Database!J$9:J$501,ROW(Calc!H245)-ROW(Calc!$B$7)))=0,$AD$3,INDEX(Database!J$9:J$501,ROW(Calc!H245)-ROW(Calc!$B$7))),"")</f>
        <v>Not Set</v>
      </c>
      <c r="J245" s="128" t="str">
        <f t="shared" si="32"/>
        <v>Not Set</v>
      </c>
      <c r="K245" s="124" t="str">
        <f>IFERROR(IF(LEN(INDEX(Database!E$9:E$501,ROW(Calc!I245)-ROW(Calc!$B$7)))=0,"",INDEX(Database!E$9:E$501,ROW(Calc!I245)-ROW(Calc!$B$7))),"")</f>
        <v/>
      </c>
      <c r="L245" s="129" t="str">
        <f>IFERROR(IF(LEN(INDEX(Database!K$9:K$501,ROW(Calc!K245)-ROW(Calc!$B$7)))=0,$AD$3,INDEX(Database!K$9:K$501,ROW(Calc!K245)-ROW(Calc!$B$7))),"")</f>
        <v>Not Set</v>
      </c>
      <c r="M245" s="130" t="str">
        <f>IFERROR(IF(LEN(INDEX(Database!L$9:L$501,ROW(Calc!L245)-ROW(Calc!$B$7)))=0,$AD$3,INDEX(Database!L$9:L$501,ROW(Calc!L245)-ROW(Calc!$B$7))),"")</f>
        <v>Not Set</v>
      </c>
      <c r="N245" s="131" t="str">
        <f>IFERROR(IF(LEN(INDEX(Database!M$9:M$501,ROW(Calc!M245)-ROW(Calc!$B$7)))=0,"",INDEX(Database!M$9:M$501,ROW(Calc!M245)-ROW(Calc!$B$7))),"")</f>
        <v/>
      </c>
      <c r="O245" s="132" t="str">
        <f t="shared" si="36"/>
        <v/>
      </c>
      <c r="P245" s="125" t="str">
        <f t="shared" si="33"/>
        <v>Not Set</v>
      </c>
      <c r="Q245" s="125" t="str">
        <f t="shared" si="34"/>
        <v>Not Set</v>
      </c>
      <c r="R245" s="125" t="str">
        <f>IFERROR(IF(G245=$AD$3,$AD$3,INDEX(Kanban_Helper!$C$317:$C$328,MATCH(MONTH(G245),Kanban_Helper!$B$317:$B$328,0))&amp;" - "&amp;YEAR(G245)),"$AD$3")</f>
        <v>Not Set</v>
      </c>
      <c r="S245" s="125" t="str">
        <f>IFERROR(IF(I245=$AD$3,$AD$3,INDEX(Kanban_Helper!$C$317:$C$328,MATCH(MONTH(I245),Kanban_Helper!$B$317:$B$328,0))&amp;" - "&amp;YEAR(I245)),$AD$3)</f>
        <v>Not Set</v>
      </c>
      <c r="T245" s="125" t="str">
        <f t="shared" ca="1" si="37"/>
        <v/>
      </c>
      <c r="U245" s="125" t="str">
        <f t="shared" ca="1" si="38"/>
        <v/>
      </c>
      <c r="V245" s="125" t="str">
        <f t="shared" si="35"/>
        <v>Not Set</v>
      </c>
      <c r="W245" s="126" t="str">
        <f t="shared" si="39"/>
        <v/>
      </c>
      <c r="X245" s="126" t="str">
        <f t="shared" si="40"/>
        <v/>
      </c>
      <c r="Y245" s="125" t="str">
        <f>IFERROR(IF(LEN(D245)=0,"",IF(SUBTOTAL(3,E245:E245)=0,MIN($Y$7:Y244)-1,SUBTOTAL(3,$E$8:E245))),"")</f>
        <v/>
      </c>
      <c r="Z245" s="17"/>
      <c r="AA245" s="10"/>
      <c r="AB245" s="10"/>
      <c r="AC245" s="10"/>
      <c r="AD245" s="10"/>
      <c r="AE245" s="10"/>
      <c r="AF245" s="10"/>
      <c r="AG245" s="10"/>
      <c r="AH245" s="10"/>
      <c r="AI245" s="10"/>
      <c r="AJ245" s="10"/>
      <c r="AK245" s="10"/>
      <c r="AL245" s="10"/>
      <c r="AM245" s="10"/>
      <c r="AN245" s="10"/>
    </row>
    <row r="246" spans="2:40" hidden="1" x14ac:dyDescent="0.35">
      <c r="B246" s="15"/>
      <c r="C246" s="127" t="str">
        <f>IFERROR(IF(LEN(INDEX(Database!C$9:C$501,ROW(Calc!A246)-ROW(Calc!$B$7)))=0,"",INDEX(Database!C$9:C$501,ROW(Calc!A246)-ROW(Calc!$B$7))),"")</f>
        <v/>
      </c>
      <c r="D246" s="70" t="str">
        <f>IFERROR(IF(LEN(INDEX(Database!D$9:D$501,ROW(Calc!B246)-ROW(Calc!$B$7)))=0,"",INDEX(Database!D$9:D$501,ROW(Calc!B246)-ROW(Calc!$B$7))),"")</f>
        <v/>
      </c>
      <c r="E246" s="124" t="str">
        <f>IFERROR(IF(LEN(INDEX(Database!G$9:G$501,ROW(Calc!D246)-ROW(Calc!$B$7)))=0,$AD$3,INDEX(Database!G$9:G$501,ROW(Calc!D246)-ROW(Calc!$B$7))),"")</f>
        <v>Not Set</v>
      </c>
      <c r="F246" s="124" t="str">
        <f>IFERROR(IF(LEN(INDEX(Database!F$9:F$501,ROW(Calc!E246)-ROW(Calc!$B$7)))=0,$AD$3,INDEX(Database!F$9:F$501,ROW(Calc!E246)-ROW(Calc!$B$7))),"")</f>
        <v>Not Set</v>
      </c>
      <c r="G246" s="128" t="str">
        <f>IFERROR(IF(LEN(INDEX(Database!H$9:H$501,ROW(Calc!F246)-ROW(Calc!$B$7)))=0,$AD$3,INDEX(Database!H$9:H$501,ROW(Calc!F246)-ROW(Calc!$B$7))),"")</f>
        <v>Not Set</v>
      </c>
      <c r="H246" s="128" t="str">
        <f>IFERROR(IF(LEN(INDEX(Database!I$9:I$501,ROW(Calc!G246)-ROW(Calc!$B$7)))=0,$AD$3,INDEX(Database!I$9:I$501,ROW(Calc!G246)-ROW(Calc!$B$7))),"")</f>
        <v>Not Set</v>
      </c>
      <c r="I246" s="128" t="str">
        <f>IFERROR(IF(LEN(INDEX(Database!J$9:J$501,ROW(Calc!H246)-ROW(Calc!$B$7)))=0,$AD$3,INDEX(Database!J$9:J$501,ROW(Calc!H246)-ROW(Calc!$B$7))),"")</f>
        <v>Not Set</v>
      </c>
      <c r="J246" s="128" t="str">
        <f t="shared" si="32"/>
        <v>Not Set</v>
      </c>
      <c r="K246" s="124" t="str">
        <f>IFERROR(IF(LEN(INDEX(Database!E$9:E$501,ROW(Calc!I246)-ROW(Calc!$B$7)))=0,"",INDEX(Database!E$9:E$501,ROW(Calc!I246)-ROW(Calc!$B$7))),"")</f>
        <v/>
      </c>
      <c r="L246" s="129" t="str">
        <f>IFERROR(IF(LEN(INDEX(Database!K$9:K$501,ROW(Calc!K246)-ROW(Calc!$B$7)))=0,$AD$3,INDEX(Database!K$9:K$501,ROW(Calc!K246)-ROW(Calc!$B$7))),"")</f>
        <v>Not Set</v>
      </c>
      <c r="M246" s="130" t="str">
        <f>IFERROR(IF(LEN(INDEX(Database!L$9:L$501,ROW(Calc!L246)-ROW(Calc!$B$7)))=0,$AD$3,INDEX(Database!L$9:L$501,ROW(Calc!L246)-ROW(Calc!$B$7))),"")</f>
        <v>Not Set</v>
      </c>
      <c r="N246" s="131" t="str">
        <f>IFERROR(IF(LEN(INDEX(Database!M$9:M$501,ROW(Calc!M246)-ROW(Calc!$B$7)))=0,"",INDEX(Database!M$9:M$501,ROW(Calc!M246)-ROW(Calc!$B$7))),"")</f>
        <v/>
      </c>
      <c r="O246" s="132" t="str">
        <f t="shared" si="36"/>
        <v/>
      </c>
      <c r="P246" s="125" t="str">
        <f t="shared" si="33"/>
        <v>Not Set</v>
      </c>
      <c r="Q246" s="125" t="str">
        <f t="shared" si="34"/>
        <v>Not Set</v>
      </c>
      <c r="R246" s="125" t="str">
        <f>IFERROR(IF(G246=$AD$3,$AD$3,INDEX(Kanban_Helper!$C$317:$C$328,MATCH(MONTH(G246),Kanban_Helper!$B$317:$B$328,0))&amp;" - "&amp;YEAR(G246)),"$AD$3")</f>
        <v>Not Set</v>
      </c>
      <c r="S246" s="125" t="str">
        <f>IFERROR(IF(I246=$AD$3,$AD$3,INDEX(Kanban_Helper!$C$317:$C$328,MATCH(MONTH(I246),Kanban_Helper!$B$317:$B$328,0))&amp;" - "&amp;YEAR(I246)),$AD$3)</f>
        <v>Not Set</v>
      </c>
      <c r="T246" s="125" t="str">
        <f t="shared" ca="1" si="37"/>
        <v/>
      </c>
      <c r="U246" s="125" t="str">
        <f t="shared" ca="1" si="38"/>
        <v/>
      </c>
      <c r="V246" s="125" t="str">
        <f t="shared" si="35"/>
        <v>Not Set</v>
      </c>
      <c r="W246" s="126" t="str">
        <f t="shared" si="39"/>
        <v/>
      </c>
      <c r="X246" s="126" t="str">
        <f t="shared" si="40"/>
        <v/>
      </c>
      <c r="Y246" s="125" t="str">
        <f>IFERROR(IF(LEN(D246)=0,"",IF(SUBTOTAL(3,E246:E246)=0,MIN($Y$7:Y245)-1,SUBTOTAL(3,$E$8:E246))),"")</f>
        <v/>
      </c>
      <c r="Z246" s="17"/>
      <c r="AA246" s="10"/>
      <c r="AB246" s="10"/>
      <c r="AC246" s="10"/>
      <c r="AD246" s="10"/>
      <c r="AE246" s="10"/>
      <c r="AF246" s="10"/>
      <c r="AG246" s="10"/>
      <c r="AH246" s="10"/>
      <c r="AI246" s="10"/>
      <c r="AJ246" s="10"/>
      <c r="AK246" s="10"/>
      <c r="AL246" s="10"/>
      <c r="AM246" s="10"/>
      <c r="AN246" s="10"/>
    </row>
    <row r="247" spans="2:40" hidden="1" x14ac:dyDescent="0.35">
      <c r="B247" s="15"/>
      <c r="C247" s="127" t="str">
        <f>IFERROR(IF(LEN(INDEX(Database!C$9:C$501,ROW(Calc!A247)-ROW(Calc!$B$7)))=0,"",INDEX(Database!C$9:C$501,ROW(Calc!A247)-ROW(Calc!$B$7))),"")</f>
        <v/>
      </c>
      <c r="D247" s="70" t="str">
        <f>IFERROR(IF(LEN(INDEX(Database!D$9:D$501,ROW(Calc!B247)-ROW(Calc!$B$7)))=0,"",INDEX(Database!D$9:D$501,ROW(Calc!B247)-ROW(Calc!$B$7))),"")</f>
        <v/>
      </c>
      <c r="E247" s="124" t="str">
        <f>IFERROR(IF(LEN(INDEX(Database!G$9:G$501,ROW(Calc!D247)-ROW(Calc!$B$7)))=0,$AD$3,INDEX(Database!G$9:G$501,ROW(Calc!D247)-ROW(Calc!$B$7))),"")</f>
        <v>Not Set</v>
      </c>
      <c r="F247" s="124" t="str">
        <f>IFERROR(IF(LEN(INDEX(Database!F$9:F$501,ROW(Calc!E247)-ROW(Calc!$B$7)))=0,$AD$3,INDEX(Database!F$9:F$501,ROW(Calc!E247)-ROW(Calc!$B$7))),"")</f>
        <v>Not Set</v>
      </c>
      <c r="G247" s="128" t="str">
        <f>IFERROR(IF(LEN(INDEX(Database!H$9:H$501,ROW(Calc!F247)-ROW(Calc!$B$7)))=0,$AD$3,INDEX(Database!H$9:H$501,ROW(Calc!F247)-ROW(Calc!$B$7))),"")</f>
        <v>Not Set</v>
      </c>
      <c r="H247" s="128" t="str">
        <f>IFERROR(IF(LEN(INDEX(Database!I$9:I$501,ROW(Calc!G247)-ROW(Calc!$B$7)))=0,$AD$3,INDEX(Database!I$9:I$501,ROW(Calc!G247)-ROW(Calc!$B$7))),"")</f>
        <v>Not Set</v>
      </c>
      <c r="I247" s="128" t="str">
        <f>IFERROR(IF(LEN(INDEX(Database!J$9:J$501,ROW(Calc!H247)-ROW(Calc!$B$7)))=0,$AD$3,INDEX(Database!J$9:J$501,ROW(Calc!H247)-ROW(Calc!$B$7))),"")</f>
        <v>Not Set</v>
      </c>
      <c r="J247" s="128" t="str">
        <f t="shared" si="32"/>
        <v>Not Set</v>
      </c>
      <c r="K247" s="124" t="str">
        <f>IFERROR(IF(LEN(INDEX(Database!E$9:E$501,ROW(Calc!I247)-ROW(Calc!$B$7)))=0,"",INDEX(Database!E$9:E$501,ROW(Calc!I247)-ROW(Calc!$B$7))),"")</f>
        <v/>
      </c>
      <c r="L247" s="129" t="str">
        <f>IFERROR(IF(LEN(INDEX(Database!K$9:K$501,ROW(Calc!K247)-ROW(Calc!$B$7)))=0,$AD$3,INDEX(Database!K$9:K$501,ROW(Calc!K247)-ROW(Calc!$B$7))),"")</f>
        <v>Not Set</v>
      </c>
      <c r="M247" s="130" t="str">
        <f>IFERROR(IF(LEN(INDEX(Database!L$9:L$501,ROW(Calc!L247)-ROW(Calc!$B$7)))=0,$AD$3,INDEX(Database!L$9:L$501,ROW(Calc!L247)-ROW(Calc!$B$7))),"")</f>
        <v>Not Set</v>
      </c>
      <c r="N247" s="131" t="str">
        <f>IFERROR(IF(LEN(INDEX(Database!M$9:M$501,ROW(Calc!M247)-ROW(Calc!$B$7)))=0,"",INDEX(Database!M$9:M$501,ROW(Calc!M247)-ROW(Calc!$B$7))),"")</f>
        <v/>
      </c>
      <c r="O247" s="132" t="str">
        <f t="shared" si="36"/>
        <v/>
      </c>
      <c r="P247" s="125" t="str">
        <f t="shared" si="33"/>
        <v>Not Set</v>
      </c>
      <c r="Q247" s="125" t="str">
        <f t="shared" si="34"/>
        <v>Not Set</v>
      </c>
      <c r="R247" s="125" t="str">
        <f>IFERROR(IF(G247=$AD$3,$AD$3,INDEX(Kanban_Helper!$C$317:$C$328,MATCH(MONTH(G247),Kanban_Helper!$B$317:$B$328,0))&amp;" - "&amp;YEAR(G247)),"$AD$3")</f>
        <v>Not Set</v>
      </c>
      <c r="S247" s="125" t="str">
        <f>IFERROR(IF(I247=$AD$3,$AD$3,INDEX(Kanban_Helper!$C$317:$C$328,MATCH(MONTH(I247),Kanban_Helper!$B$317:$B$328,0))&amp;" - "&amp;YEAR(I247)),$AD$3)</f>
        <v>Not Set</v>
      </c>
      <c r="T247" s="125" t="str">
        <f t="shared" ca="1" si="37"/>
        <v/>
      </c>
      <c r="U247" s="125" t="str">
        <f t="shared" ca="1" si="38"/>
        <v/>
      </c>
      <c r="V247" s="125" t="str">
        <f t="shared" si="35"/>
        <v>Not Set</v>
      </c>
      <c r="W247" s="126" t="str">
        <f t="shared" si="39"/>
        <v/>
      </c>
      <c r="X247" s="126" t="str">
        <f t="shared" si="40"/>
        <v/>
      </c>
      <c r="Y247" s="125" t="str">
        <f>IFERROR(IF(LEN(D247)=0,"",IF(SUBTOTAL(3,E247:E247)=0,MIN($Y$7:Y246)-1,SUBTOTAL(3,$E$8:E247))),"")</f>
        <v/>
      </c>
      <c r="Z247" s="17"/>
      <c r="AA247" s="10"/>
      <c r="AB247" s="10"/>
      <c r="AC247" s="10"/>
      <c r="AD247" s="10"/>
      <c r="AE247" s="10"/>
      <c r="AF247" s="10"/>
      <c r="AG247" s="10"/>
      <c r="AH247" s="10"/>
      <c r="AI247" s="10"/>
      <c r="AJ247" s="10"/>
      <c r="AK247" s="10"/>
      <c r="AL247" s="10"/>
      <c r="AM247" s="10"/>
      <c r="AN247" s="10"/>
    </row>
    <row r="248" spans="2:40" hidden="1" x14ac:dyDescent="0.35">
      <c r="B248" s="15"/>
      <c r="C248" s="127" t="str">
        <f>IFERROR(IF(LEN(INDEX(Database!C$9:C$501,ROW(Calc!A248)-ROW(Calc!$B$7)))=0,"",INDEX(Database!C$9:C$501,ROW(Calc!A248)-ROW(Calc!$B$7))),"")</f>
        <v/>
      </c>
      <c r="D248" s="70" t="str">
        <f>IFERROR(IF(LEN(INDEX(Database!D$9:D$501,ROW(Calc!B248)-ROW(Calc!$B$7)))=0,"",INDEX(Database!D$9:D$501,ROW(Calc!B248)-ROW(Calc!$B$7))),"")</f>
        <v/>
      </c>
      <c r="E248" s="124" t="str">
        <f>IFERROR(IF(LEN(INDEX(Database!G$9:G$501,ROW(Calc!D248)-ROW(Calc!$B$7)))=0,$AD$3,INDEX(Database!G$9:G$501,ROW(Calc!D248)-ROW(Calc!$B$7))),"")</f>
        <v>Not Set</v>
      </c>
      <c r="F248" s="124" t="str">
        <f>IFERROR(IF(LEN(INDEX(Database!F$9:F$501,ROW(Calc!E248)-ROW(Calc!$B$7)))=0,$AD$3,INDEX(Database!F$9:F$501,ROW(Calc!E248)-ROW(Calc!$B$7))),"")</f>
        <v>Not Set</v>
      </c>
      <c r="G248" s="128" t="str">
        <f>IFERROR(IF(LEN(INDEX(Database!H$9:H$501,ROW(Calc!F248)-ROW(Calc!$B$7)))=0,$AD$3,INDEX(Database!H$9:H$501,ROW(Calc!F248)-ROW(Calc!$B$7))),"")</f>
        <v>Not Set</v>
      </c>
      <c r="H248" s="128" t="str">
        <f>IFERROR(IF(LEN(INDEX(Database!I$9:I$501,ROW(Calc!G248)-ROW(Calc!$B$7)))=0,$AD$3,INDEX(Database!I$9:I$501,ROW(Calc!G248)-ROW(Calc!$B$7))),"")</f>
        <v>Not Set</v>
      </c>
      <c r="I248" s="128" t="str">
        <f>IFERROR(IF(LEN(INDEX(Database!J$9:J$501,ROW(Calc!H248)-ROW(Calc!$B$7)))=0,$AD$3,INDEX(Database!J$9:J$501,ROW(Calc!H248)-ROW(Calc!$B$7))),"")</f>
        <v>Not Set</v>
      </c>
      <c r="J248" s="128" t="str">
        <f t="shared" si="32"/>
        <v>Not Set</v>
      </c>
      <c r="K248" s="124" t="str">
        <f>IFERROR(IF(LEN(INDEX(Database!E$9:E$501,ROW(Calc!I248)-ROW(Calc!$B$7)))=0,"",INDEX(Database!E$9:E$501,ROW(Calc!I248)-ROW(Calc!$B$7))),"")</f>
        <v/>
      </c>
      <c r="L248" s="129" t="str">
        <f>IFERROR(IF(LEN(INDEX(Database!K$9:K$501,ROW(Calc!K248)-ROW(Calc!$B$7)))=0,$AD$3,INDEX(Database!K$9:K$501,ROW(Calc!K248)-ROW(Calc!$B$7))),"")</f>
        <v>Not Set</v>
      </c>
      <c r="M248" s="130" t="str">
        <f>IFERROR(IF(LEN(INDEX(Database!L$9:L$501,ROW(Calc!L248)-ROW(Calc!$B$7)))=0,$AD$3,INDEX(Database!L$9:L$501,ROW(Calc!L248)-ROW(Calc!$B$7))),"")</f>
        <v>Not Set</v>
      </c>
      <c r="N248" s="131" t="str">
        <f>IFERROR(IF(LEN(INDEX(Database!M$9:M$501,ROW(Calc!M248)-ROW(Calc!$B$7)))=0,"",INDEX(Database!M$9:M$501,ROW(Calc!M248)-ROW(Calc!$B$7))),"")</f>
        <v/>
      </c>
      <c r="O248" s="132" t="str">
        <f t="shared" si="36"/>
        <v/>
      </c>
      <c r="P248" s="125" t="str">
        <f t="shared" si="33"/>
        <v>Not Set</v>
      </c>
      <c r="Q248" s="125" t="str">
        <f t="shared" si="34"/>
        <v>Not Set</v>
      </c>
      <c r="R248" s="125" t="str">
        <f>IFERROR(IF(G248=$AD$3,$AD$3,INDEX(Kanban_Helper!$C$317:$C$328,MATCH(MONTH(G248),Kanban_Helper!$B$317:$B$328,0))&amp;" - "&amp;YEAR(G248)),"$AD$3")</f>
        <v>Not Set</v>
      </c>
      <c r="S248" s="125" t="str">
        <f>IFERROR(IF(I248=$AD$3,$AD$3,INDEX(Kanban_Helper!$C$317:$C$328,MATCH(MONTH(I248),Kanban_Helper!$B$317:$B$328,0))&amp;" - "&amp;YEAR(I248)),$AD$3)</f>
        <v>Not Set</v>
      </c>
      <c r="T248" s="125" t="str">
        <f t="shared" ca="1" si="37"/>
        <v/>
      </c>
      <c r="U248" s="125" t="str">
        <f t="shared" ca="1" si="38"/>
        <v/>
      </c>
      <c r="V248" s="125" t="str">
        <f t="shared" si="35"/>
        <v>Not Set</v>
      </c>
      <c r="W248" s="126" t="str">
        <f t="shared" si="39"/>
        <v/>
      </c>
      <c r="X248" s="126" t="str">
        <f t="shared" si="40"/>
        <v/>
      </c>
      <c r="Y248" s="125" t="str">
        <f>IFERROR(IF(LEN(D248)=0,"",IF(SUBTOTAL(3,E248:E248)=0,MIN($Y$7:Y247)-1,SUBTOTAL(3,$E$8:E248))),"")</f>
        <v/>
      </c>
      <c r="Z248" s="17"/>
      <c r="AA248" s="10"/>
      <c r="AB248" s="10"/>
      <c r="AC248" s="10"/>
      <c r="AD248" s="10"/>
      <c r="AE248" s="10"/>
      <c r="AF248" s="10"/>
      <c r="AG248" s="10"/>
      <c r="AH248" s="10"/>
      <c r="AI248" s="10"/>
      <c r="AJ248" s="10"/>
      <c r="AK248" s="10"/>
      <c r="AL248" s="10"/>
      <c r="AM248" s="10"/>
      <c r="AN248" s="10"/>
    </row>
    <row r="249" spans="2:40" hidden="1" x14ac:dyDescent="0.35">
      <c r="B249" s="15"/>
      <c r="C249" s="127" t="str">
        <f>IFERROR(IF(LEN(INDEX(Database!C$9:C$501,ROW(Calc!A249)-ROW(Calc!$B$7)))=0,"",INDEX(Database!C$9:C$501,ROW(Calc!A249)-ROW(Calc!$B$7))),"")</f>
        <v/>
      </c>
      <c r="D249" s="70" t="str">
        <f>IFERROR(IF(LEN(INDEX(Database!D$9:D$501,ROW(Calc!B249)-ROW(Calc!$B$7)))=0,"",INDEX(Database!D$9:D$501,ROW(Calc!B249)-ROW(Calc!$B$7))),"")</f>
        <v/>
      </c>
      <c r="E249" s="124" t="str">
        <f>IFERROR(IF(LEN(INDEX(Database!G$9:G$501,ROW(Calc!D249)-ROW(Calc!$B$7)))=0,$AD$3,INDEX(Database!G$9:G$501,ROW(Calc!D249)-ROW(Calc!$B$7))),"")</f>
        <v>Not Set</v>
      </c>
      <c r="F249" s="124" t="str">
        <f>IFERROR(IF(LEN(INDEX(Database!F$9:F$501,ROW(Calc!E249)-ROW(Calc!$B$7)))=0,$AD$3,INDEX(Database!F$9:F$501,ROW(Calc!E249)-ROW(Calc!$B$7))),"")</f>
        <v>Not Set</v>
      </c>
      <c r="G249" s="128" t="str">
        <f>IFERROR(IF(LEN(INDEX(Database!H$9:H$501,ROW(Calc!F249)-ROW(Calc!$B$7)))=0,$AD$3,INDEX(Database!H$9:H$501,ROW(Calc!F249)-ROW(Calc!$B$7))),"")</f>
        <v>Not Set</v>
      </c>
      <c r="H249" s="128" t="str">
        <f>IFERROR(IF(LEN(INDEX(Database!I$9:I$501,ROW(Calc!G249)-ROW(Calc!$B$7)))=0,$AD$3,INDEX(Database!I$9:I$501,ROW(Calc!G249)-ROW(Calc!$B$7))),"")</f>
        <v>Not Set</v>
      </c>
      <c r="I249" s="128" t="str">
        <f>IFERROR(IF(LEN(INDEX(Database!J$9:J$501,ROW(Calc!H249)-ROW(Calc!$B$7)))=0,$AD$3,INDEX(Database!J$9:J$501,ROW(Calc!H249)-ROW(Calc!$B$7))),"")</f>
        <v>Not Set</v>
      </c>
      <c r="J249" s="128" t="str">
        <f t="shared" si="32"/>
        <v>Not Set</v>
      </c>
      <c r="K249" s="124" t="str">
        <f>IFERROR(IF(LEN(INDEX(Database!E$9:E$501,ROW(Calc!I249)-ROW(Calc!$B$7)))=0,"",INDEX(Database!E$9:E$501,ROW(Calc!I249)-ROW(Calc!$B$7))),"")</f>
        <v/>
      </c>
      <c r="L249" s="129" t="str">
        <f>IFERROR(IF(LEN(INDEX(Database!K$9:K$501,ROW(Calc!K249)-ROW(Calc!$B$7)))=0,$AD$3,INDEX(Database!K$9:K$501,ROW(Calc!K249)-ROW(Calc!$B$7))),"")</f>
        <v>Not Set</v>
      </c>
      <c r="M249" s="130" t="str">
        <f>IFERROR(IF(LEN(INDEX(Database!L$9:L$501,ROW(Calc!L249)-ROW(Calc!$B$7)))=0,$AD$3,INDEX(Database!L$9:L$501,ROW(Calc!L249)-ROW(Calc!$B$7))),"")</f>
        <v>Not Set</v>
      </c>
      <c r="N249" s="131" t="str">
        <f>IFERROR(IF(LEN(INDEX(Database!M$9:M$501,ROW(Calc!M249)-ROW(Calc!$B$7)))=0,"",INDEX(Database!M$9:M$501,ROW(Calc!M249)-ROW(Calc!$B$7))),"")</f>
        <v/>
      </c>
      <c r="O249" s="132" t="str">
        <f t="shared" si="36"/>
        <v/>
      </c>
      <c r="P249" s="125" t="str">
        <f t="shared" si="33"/>
        <v>Not Set</v>
      </c>
      <c r="Q249" s="125" t="str">
        <f t="shared" si="34"/>
        <v>Not Set</v>
      </c>
      <c r="R249" s="125" t="str">
        <f>IFERROR(IF(G249=$AD$3,$AD$3,INDEX(Kanban_Helper!$C$317:$C$328,MATCH(MONTH(G249),Kanban_Helper!$B$317:$B$328,0))&amp;" - "&amp;YEAR(G249)),"$AD$3")</f>
        <v>Not Set</v>
      </c>
      <c r="S249" s="125" t="str">
        <f>IFERROR(IF(I249=$AD$3,$AD$3,INDEX(Kanban_Helper!$C$317:$C$328,MATCH(MONTH(I249),Kanban_Helper!$B$317:$B$328,0))&amp;" - "&amp;YEAR(I249)),$AD$3)</f>
        <v>Not Set</v>
      </c>
      <c r="T249" s="125" t="str">
        <f t="shared" ca="1" si="37"/>
        <v/>
      </c>
      <c r="U249" s="125" t="str">
        <f t="shared" ca="1" si="38"/>
        <v/>
      </c>
      <c r="V249" s="125" t="str">
        <f t="shared" si="35"/>
        <v>Not Set</v>
      </c>
      <c r="W249" s="126" t="str">
        <f t="shared" si="39"/>
        <v/>
      </c>
      <c r="X249" s="126" t="str">
        <f t="shared" si="40"/>
        <v/>
      </c>
      <c r="Y249" s="125" t="str">
        <f>IFERROR(IF(LEN(D249)=0,"",IF(SUBTOTAL(3,E249:E249)=0,MIN($Y$7:Y248)-1,SUBTOTAL(3,$E$8:E249))),"")</f>
        <v/>
      </c>
      <c r="Z249" s="17"/>
      <c r="AA249" s="10"/>
      <c r="AB249" s="10"/>
      <c r="AC249" s="10"/>
      <c r="AD249" s="10"/>
      <c r="AE249" s="10"/>
      <c r="AF249" s="10"/>
      <c r="AG249" s="10"/>
      <c r="AH249" s="10"/>
      <c r="AI249" s="10"/>
      <c r="AJ249" s="10"/>
      <c r="AK249" s="10"/>
      <c r="AL249" s="10"/>
      <c r="AM249" s="10"/>
      <c r="AN249" s="10"/>
    </row>
    <row r="250" spans="2:40" hidden="1" x14ac:dyDescent="0.35">
      <c r="B250" s="15"/>
      <c r="C250" s="127" t="str">
        <f>IFERROR(IF(LEN(INDEX(Database!C$9:C$501,ROW(Calc!A250)-ROW(Calc!$B$7)))=0,"",INDEX(Database!C$9:C$501,ROW(Calc!A250)-ROW(Calc!$B$7))),"")</f>
        <v/>
      </c>
      <c r="D250" s="70" t="str">
        <f>IFERROR(IF(LEN(INDEX(Database!D$9:D$501,ROW(Calc!B250)-ROW(Calc!$B$7)))=0,"",INDEX(Database!D$9:D$501,ROW(Calc!B250)-ROW(Calc!$B$7))),"")</f>
        <v/>
      </c>
      <c r="E250" s="124" t="str">
        <f>IFERROR(IF(LEN(INDEX(Database!G$9:G$501,ROW(Calc!D250)-ROW(Calc!$B$7)))=0,$AD$3,INDEX(Database!G$9:G$501,ROW(Calc!D250)-ROW(Calc!$B$7))),"")</f>
        <v>Not Set</v>
      </c>
      <c r="F250" s="124" t="str">
        <f>IFERROR(IF(LEN(INDEX(Database!F$9:F$501,ROW(Calc!E250)-ROW(Calc!$B$7)))=0,$AD$3,INDEX(Database!F$9:F$501,ROW(Calc!E250)-ROW(Calc!$B$7))),"")</f>
        <v>Not Set</v>
      </c>
      <c r="G250" s="128" t="str">
        <f>IFERROR(IF(LEN(INDEX(Database!H$9:H$501,ROW(Calc!F250)-ROW(Calc!$B$7)))=0,$AD$3,INDEX(Database!H$9:H$501,ROW(Calc!F250)-ROW(Calc!$B$7))),"")</f>
        <v>Not Set</v>
      </c>
      <c r="H250" s="128" t="str">
        <f>IFERROR(IF(LEN(INDEX(Database!I$9:I$501,ROW(Calc!G250)-ROW(Calc!$B$7)))=0,$AD$3,INDEX(Database!I$9:I$501,ROW(Calc!G250)-ROW(Calc!$B$7))),"")</f>
        <v>Not Set</v>
      </c>
      <c r="I250" s="128" t="str">
        <f>IFERROR(IF(LEN(INDEX(Database!J$9:J$501,ROW(Calc!H250)-ROW(Calc!$B$7)))=0,$AD$3,INDEX(Database!J$9:J$501,ROW(Calc!H250)-ROW(Calc!$B$7))),"")</f>
        <v>Not Set</v>
      </c>
      <c r="J250" s="128" t="str">
        <f t="shared" si="32"/>
        <v>Not Set</v>
      </c>
      <c r="K250" s="124" t="str">
        <f>IFERROR(IF(LEN(INDEX(Database!E$9:E$501,ROW(Calc!I250)-ROW(Calc!$B$7)))=0,"",INDEX(Database!E$9:E$501,ROW(Calc!I250)-ROW(Calc!$B$7))),"")</f>
        <v/>
      </c>
      <c r="L250" s="129" t="str">
        <f>IFERROR(IF(LEN(INDEX(Database!K$9:K$501,ROW(Calc!K250)-ROW(Calc!$B$7)))=0,$AD$3,INDEX(Database!K$9:K$501,ROW(Calc!K250)-ROW(Calc!$B$7))),"")</f>
        <v>Not Set</v>
      </c>
      <c r="M250" s="130" t="str">
        <f>IFERROR(IF(LEN(INDEX(Database!L$9:L$501,ROW(Calc!L250)-ROW(Calc!$B$7)))=0,$AD$3,INDEX(Database!L$9:L$501,ROW(Calc!L250)-ROW(Calc!$B$7))),"")</f>
        <v>Not Set</v>
      </c>
      <c r="N250" s="131" t="str">
        <f>IFERROR(IF(LEN(INDEX(Database!M$9:M$501,ROW(Calc!M250)-ROW(Calc!$B$7)))=0,"",INDEX(Database!M$9:M$501,ROW(Calc!M250)-ROW(Calc!$B$7))),"")</f>
        <v/>
      </c>
      <c r="O250" s="132" t="str">
        <f t="shared" si="36"/>
        <v/>
      </c>
      <c r="P250" s="125" t="str">
        <f t="shared" si="33"/>
        <v>Not Set</v>
      </c>
      <c r="Q250" s="125" t="str">
        <f t="shared" si="34"/>
        <v>Not Set</v>
      </c>
      <c r="R250" s="125" t="str">
        <f>IFERROR(IF(G250=$AD$3,$AD$3,INDEX(Kanban_Helper!$C$317:$C$328,MATCH(MONTH(G250),Kanban_Helper!$B$317:$B$328,0))&amp;" - "&amp;YEAR(G250)),"$AD$3")</f>
        <v>Not Set</v>
      </c>
      <c r="S250" s="125" t="str">
        <f>IFERROR(IF(I250=$AD$3,$AD$3,INDEX(Kanban_Helper!$C$317:$C$328,MATCH(MONTH(I250),Kanban_Helper!$B$317:$B$328,0))&amp;" - "&amp;YEAR(I250)),$AD$3)</f>
        <v>Not Set</v>
      </c>
      <c r="T250" s="125" t="str">
        <f t="shared" ca="1" si="37"/>
        <v/>
      </c>
      <c r="U250" s="125" t="str">
        <f t="shared" ca="1" si="38"/>
        <v/>
      </c>
      <c r="V250" s="125" t="str">
        <f t="shared" si="35"/>
        <v>Not Set</v>
      </c>
      <c r="W250" s="126" t="str">
        <f t="shared" si="39"/>
        <v/>
      </c>
      <c r="X250" s="126" t="str">
        <f t="shared" si="40"/>
        <v/>
      </c>
      <c r="Y250" s="125" t="str">
        <f>IFERROR(IF(LEN(D250)=0,"",IF(SUBTOTAL(3,E250:E250)=0,MIN($Y$7:Y249)-1,SUBTOTAL(3,$E$8:E250))),"")</f>
        <v/>
      </c>
      <c r="Z250" s="17"/>
      <c r="AA250" s="10"/>
      <c r="AB250" s="10"/>
      <c r="AC250" s="10"/>
      <c r="AD250" s="10"/>
      <c r="AE250" s="10"/>
      <c r="AF250" s="10"/>
      <c r="AG250" s="10"/>
      <c r="AH250" s="10"/>
      <c r="AI250" s="10"/>
      <c r="AJ250" s="10"/>
      <c r="AK250" s="10"/>
      <c r="AL250" s="10"/>
      <c r="AM250" s="10"/>
      <c r="AN250" s="10"/>
    </row>
    <row r="251" spans="2:40" hidden="1" x14ac:dyDescent="0.35">
      <c r="B251" s="15"/>
      <c r="C251" s="127" t="str">
        <f>IFERROR(IF(LEN(INDEX(Database!C$9:C$501,ROW(Calc!A251)-ROW(Calc!$B$7)))=0,"",INDEX(Database!C$9:C$501,ROW(Calc!A251)-ROW(Calc!$B$7))),"")</f>
        <v/>
      </c>
      <c r="D251" s="70" t="str">
        <f>IFERROR(IF(LEN(INDEX(Database!D$9:D$501,ROW(Calc!B251)-ROW(Calc!$B$7)))=0,"",INDEX(Database!D$9:D$501,ROW(Calc!B251)-ROW(Calc!$B$7))),"")</f>
        <v/>
      </c>
      <c r="E251" s="124" t="str">
        <f>IFERROR(IF(LEN(INDEX(Database!G$9:G$501,ROW(Calc!D251)-ROW(Calc!$B$7)))=0,$AD$3,INDEX(Database!G$9:G$501,ROW(Calc!D251)-ROW(Calc!$B$7))),"")</f>
        <v>Not Set</v>
      </c>
      <c r="F251" s="124" t="str">
        <f>IFERROR(IF(LEN(INDEX(Database!F$9:F$501,ROW(Calc!E251)-ROW(Calc!$B$7)))=0,$AD$3,INDEX(Database!F$9:F$501,ROW(Calc!E251)-ROW(Calc!$B$7))),"")</f>
        <v>Not Set</v>
      </c>
      <c r="G251" s="128" t="str">
        <f>IFERROR(IF(LEN(INDEX(Database!H$9:H$501,ROW(Calc!F251)-ROW(Calc!$B$7)))=0,$AD$3,INDEX(Database!H$9:H$501,ROW(Calc!F251)-ROW(Calc!$B$7))),"")</f>
        <v>Not Set</v>
      </c>
      <c r="H251" s="128" t="str">
        <f>IFERROR(IF(LEN(INDEX(Database!I$9:I$501,ROW(Calc!G251)-ROW(Calc!$B$7)))=0,$AD$3,INDEX(Database!I$9:I$501,ROW(Calc!G251)-ROW(Calc!$B$7))),"")</f>
        <v>Not Set</v>
      </c>
      <c r="I251" s="128" t="str">
        <f>IFERROR(IF(LEN(INDEX(Database!J$9:J$501,ROW(Calc!H251)-ROW(Calc!$B$7)))=0,$AD$3,INDEX(Database!J$9:J$501,ROW(Calc!H251)-ROW(Calc!$B$7))),"")</f>
        <v>Not Set</v>
      </c>
      <c r="J251" s="128" t="str">
        <f t="shared" si="32"/>
        <v>Not Set</v>
      </c>
      <c r="K251" s="124" t="str">
        <f>IFERROR(IF(LEN(INDEX(Database!E$9:E$501,ROW(Calc!I251)-ROW(Calc!$B$7)))=0,"",INDEX(Database!E$9:E$501,ROW(Calc!I251)-ROW(Calc!$B$7))),"")</f>
        <v/>
      </c>
      <c r="L251" s="129" t="str">
        <f>IFERROR(IF(LEN(INDEX(Database!K$9:K$501,ROW(Calc!K251)-ROW(Calc!$B$7)))=0,$AD$3,INDEX(Database!K$9:K$501,ROW(Calc!K251)-ROW(Calc!$B$7))),"")</f>
        <v>Not Set</v>
      </c>
      <c r="M251" s="130" t="str">
        <f>IFERROR(IF(LEN(INDEX(Database!L$9:L$501,ROW(Calc!L251)-ROW(Calc!$B$7)))=0,$AD$3,INDEX(Database!L$9:L$501,ROW(Calc!L251)-ROW(Calc!$B$7))),"")</f>
        <v>Not Set</v>
      </c>
      <c r="N251" s="131" t="str">
        <f>IFERROR(IF(LEN(INDEX(Database!M$9:M$501,ROW(Calc!M251)-ROW(Calc!$B$7)))=0,"",INDEX(Database!M$9:M$501,ROW(Calc!M251)-ROW(Calc!$B$7))),"")</f>
        <v/>
      </c>
      <c r="O251" s="132" t="str">
        <f t="shared" si="36"/>
        <v/>
      </c>
      <c r="P251" s="125" t="str">
        <f t="shared" si="33"/>
        <v>Not Set</v>
      </c>
      <c r="Q251" s="125" t="str">
        <f t="shared" si="34"/>
        <v>Not Set</v>
      </c>
      <c r="R251" s="125" t="str">
        <f>IFERROR(IF(G251=$AD$3,$AD$3,INDEX(Kanban_Helper!$C$317:$C$328,MATCH(MONTH(G251),Kanban_Helper!$B$317:$B$328,0))&amp;" - "&amp;YEAR(G251)),"$AD$3")</f>
        <v>Not Set</v>
      </c>
      <c r="S251" s="125" t="str">
        <f>IFERROR(IF(I251=$AD$3,$AD$3,INDEX(Kanban_Helper!$C$317:$C$328,MATCH(MONTH(I251),Kanban_Helper!$B$317:$B$328,0))&amp;" - "&amp;YEAR(I251)),$AD$3)</f>
        <v>Not Set</v>
      </c>
      <c r="T251" s="125" t="str">
        <f t="shared" ca="1" si="37"/>
        <v/>
      </c>
      <c r="U251" s="125" t="str">
        <f t="shared" ca="1" si="38"/>
        <v/>
      </c>
      <c r="V251" s="125" t="str">
        <f t="shared" si="35"/>
        <v>Not Set</v>
      </c>
      <c r="W251" s="126" t="str">
        <f t="shared" si="39"/>
        <v/>
      </c>
      <c r="X251" s="126" t="str">
        <f t="shared" si="40"/>
        <v/>
      </c>
      <c r="Y251" s="125" t="str">
        <f>IFERROR(IF(LEN(D251)=0,"",IF(SUBTOTAL(3,E251:E251)=0,MIN($Y$7:Y250)-1,SUBTOTAL(3,$E$8:E251))),"")</f>
        <v/>
      </c>
      <c r="Z251" s="17"/>
      <c r="AA251" s="10"/>
      <c r="AB251" s="10"/>
      <c r="AC251" s="10"/>
      <c r="AD251" s="10"/>
      <c r="AE251" s="10"/>
      <c r="AF251" s="10"/>
      <c r="AG251" s="10"/>
      <c r="AH251" s="10"/>
      <c r="AI251" s="10"/>
      <c r="AJ251" s="10"/>
      <c r="AK251" s="10"/>
      <c r="AL251" s="10"/>
      <c r="AM251" s="10"/>
      <c r="AN251" s="10"/>
    </row>
    <row r="252" spans="2:40" hidden="1" x14ac:dyDescent="0.35">
      <c r="B252" s="15"/>
      <c r="C252" s="127" t="str">
        <f>IFERROR(IF(LEN(INDEX(Database!C$9:C$501,ROW(Calc!A252)-ROW(Calc!$B$7)))=0,"",INDEX(Database!C$9:C$501,ROW(Calc!A252)-ROW(Calc!$B$7))),"")</f>
        <v/>
      </c>
      <c r="D252" s="70" t="str">
        <f>IFERROR(IF(LEN(INDEX(Database!D$9:D$501,ROW(Calc!B252)-ROW(Calc!$B$7)))=0,"",INDEX(Database!D$9:D$501,ROW(Calc!B252)-ROW(Calc!$B$7))),"")</f>
        <v/>
      </c>
      <c r="E252" s="124" t="str">
        <f>IFERROR(IF(LEN(INDEX(Database!G$9:G$501,ROW(Calc!D252)-ROW(Calc!$B$7)))=0,$AD$3,INDEX(Database!G$9:G$501,ROW(Calc!D252)-ROW(Calc!$B$7))),"")</f>
        <v>Not Set</v>
      </c>
      <c r="F252" s="124" t="str">
        <f>IFERROR(IF(LEN(INDEX(Database!F$9:F$501,ROW(Calc!E252)-ROW(Calc!$B$7)))=0,$AD$3,INDEX(Database!F$9:F$501,ROW(Calc!E252)-ROW(Calc!$B$7))),"")</f>
        <v>Not Set</v>
      </c>
      <c r="G252" s="128" t="str">
        <f>IFERROR(IF(LEN(INDEX(Database!H$9:H$501,ROW(Calc!F252)-ROW(Calc!$B$7)))=0,$AD$3,INDEX(Database!H$9:H$501,ROW(Calc!F252)-ROW(Calc!$B$7))),"")</f>
        <v>Not Set</v>
      </c>
      <c r="H252" s="128" t="str">
        <f>IFERROR(IF(LEN(INDEX(Database!I$9:I$501,ROW(Calc!G252)-ROW(Calc!$B$7)))=0,$AD$3,INDEX(Database!I$9:I$501,ROW(Calc!G252)-ROW(Calc!$B$7))),"")</f>
        <v>Not Set</v>
      </c>
      <c r="I252" s="128" t="str">
        <f>IFERROR(IF(LEN(INDEX(Database!J$9:J$501,ROW(Calc!H252)-ROW(Calc!$B$7)))=0,$AD$3,INDEX(Database!J$9:J$501,ROW(Calc!H252)-ROW(Calc!$B$7))),"")</f>
        <v>Not Set</v>
      </c>
      <c r="J252" s="128" t="str">
        <f t="shared" si="32"/>
        <v>Not Set</v>
      </c>
      <c r="K252" s="124" t="str">
        <f>IFERROR(IF(LEN(INDEX(Database!E$9:E$501,ROW(Calc!I252)-ROW(Calc!$B$7)))=0,"",INDEX(Database!E$9:E$501,ROW(Calc!I252)-ROW(Calc!$B$7))),"")</f>
        <v/>
      </c>
      <c r="L252" s="129" t="str">
        <f>IFERROR(IF(LEN(INDEX(Database!K$9:K$501,ROW(Calc!K252)-ROW(Calc!$B$7)))=0,$AD$3,INDEX(Database!K$9:K$501,ROW(Calc!K252)-ROW(Calc!$B$7))),"")</f>
        <v>Not Set</v>
      </c>
      <c r="M252" s="130" t="str">
        <f>IFERROR(IF(LEN(INDEX(Database!L$9:L$501,ROW(Calc!L252)-ROW(Calc!$B$7)))=0,$AD$3,INDEX(Database!L$9:L$501,ROW(Calc!L252)-ROW(Calc!$B$7))),"")</f>
        <v>Not Set</v>
      </c>
      <c r="N252" s="131" t="str">
        <f>IFERROR(IF(LEN(INDEX(Database!M$9:M$501,ROW(Calc!M252)-ROW(Calc!$B$7)))=0,"",INDEX(Database!M$9:M$501,ROW(Calc!M252)-ROW(Calc!$B$7))),"")</f>
        <v/>
      </c>
      <c r="O252" s="132" t="str">
        <f t="shared" si="36"/>
        <v/>
      </c>
      <c r="P252" s="125" t="str">
        <f t="shared" si="33"/>
        <v>Not Set</v>
      </c>
      <c r="Q252" s="125" t="str">
        <f t="shared" si="34"/>
        <v>Not Set</v>
      </c>
      <c r="R252" s="125" t="str">
        <f>IFERROR(IF(G252=$AD$3,$AD$3,INDEX(Kanban_Helper!$C$317:$C$328,MATCH(MONTH(G252),Kanban_Helper!$B$317:$B$328,0))&amp;" - "&amp;YEAR(G252)),"$AD$3")</f>
        <v>Not Set</v>
      </c>
      <c r="S252" s="125" t="str">
        <f>IFERROR(IF(I252=$AD$3,$AD$3,INDEX(Kanban_Helper!$C$317:$C$328,MATCH(MONTH(I252),Kanban_Helper!$B$317:$B$328,0))&amp;" - "&amp;YEAR(I252)),$AD$3)</f>
        <v>Not Set</v>
      </c>
      <c r="T252" s="125" t="str">
        <f t="shared" ca="1" si="37"/>
        <v/>
      </c>
      <c r="U252" s="125" t="str">
        <f t="shared" ca="1" si="38"/>
        <v/>
      </c>
      <c r="V252" s="125" t="str">
        <f t="shared" si="35"/>
        <v>Not Set</v>
      </c>
      <c r="W252" s="126" t="str">
        <f t="shared" si="39"/>
        <v/>
      </c>
      <c r="X252" s="126" t="str">
        <f t="shared" si="40"/>
        <v/>
      </c>
      <c r="Y252" s="125" t="str">
        <f>IFERROR(IF(LEN(D252)=0,"",IF(SUBTOTAL(3,E252:E252)=0,MIN($Y$7:Y251)-1,SUBTOTAL(3,$E$8:E252))),"")</f>
        <v/>
      </c>
      <c r="Z252" s="17"/>
      <c r="AA252" s="10"/>
      <c r="AB252" s="10"/>
      <c r="AC252" s="10"/>
      <c r="AD252" s="10"/>
      <c r="AE252" s="10"/>
      <c r="AF252" s="10"/>
      <c r="AG252" s="10"/>
      <c r="AH252" s="10"/>
      <c r="AI252" s="10"/>
      <c r="AJ252" s="10"/>
      <c r="AK252" s="10"/>
      <c r="AL252" s="10"/>
      <c r="AM252" s="10"/>
      <c r="AN252" s="10"/>
    </row>
    <row r="253" spans="2:40" hidden="1" x14ac:dyDescent="0.35">
      <c r="B253" s="15"/>
      <c r="C253" s="127" t="str">
        <f>IFERROR(IF(LEN(INDEX(Database!C$9:C$501,ROW(Calc!A253)-ROW(Calc!$B$7)))=0,"",INDEX(Database!C$9:C$501,ROW(Calc!A253)-ROW(Calc!$B$7))),"")</f>
        <v/>
      </c>
      <c r="D253" s="70" t="str">
        <f>IFERROR(IF(LEN(INDEX(Database!D$9:D$501,ROW(Calc!B253)-ROW(Calc!$B$7)))=0,"",INDEX(Database!D$9:D$501,ROW(Calc!B253)-ROW(Calc!$B$7))),"")</f>
        <v/>
      </c>
      <c r="E253" s="124" t="str">
        <f>IFERROR(IF(LEN(INDEX(Database!G$9:G$501,ROW(Calc!D253)-ROW(Calc!$B$7)))=0,$AD$3,INDEX(Database!G$9:G$501,ROW(Calc!D253)-ROW(Calc!$B$7))),"")</f>
        <v>Not Set</v>
      </c>
      <c r="F253" s="124" t="str">
        <f>IFERROR(IF(LEN(INDEX(Database!F$9:F$501,ROW(Calc!E253)-ROW(Calc!$B$7)))=0,$AD$3,INDEX(Database!F$9:F$501,ROW(Calc!E253)-ROW(Calc!$B$7))),"")</f>
        <v>Not Set</v>
      </c>
      <c r="G253" s="128" t="str">
        <f>IFERROR(IF(LEN(INDEX(Database!H$9:H$501,ROW(Calc!F253)-ROW(Calc!$B$7)))=0,$AD$3,INDEX(Database!H$9:H$501,ROW(Calc!F253)-ROW(Calc!$B$7))),"")</f>
        <v>Not Set</v>
      </c>
      <c r="H253" s="128" t="str">
        <f>IFERROR(IF(LEN(INDEX(Database!I$9:I$501,ROW(Calc!G253)-ROW(Calc!$B$7)))=0,$AD$3,INDEX(Database!I$9:I$501,ROW(Calc!G253)-ROW(Calc!$B$7))),"")</f>
        <v>Not Set</v>
      </c>
      <c r="I253" s="128" t="str">
        <f>IFERROR(IF(LEN(INDEX(Database!J$9:J$501,ROW(Calc!H253)-ROW(Calc!$B$7)))=0,$AD$3,INDEX(Database!J$9:J$501,ROW(Calc!H253)-ROW(Calc!$B$7))),"")</f>
        <v>Not Set</v>
      </c>
      <c r="J253" s="128" t="str">
        <f t="shared" si="32"/>
        <v>Not Set</v>
      </c>
      <c r="K253" s="124" t="str">
        <f>IFERROR(IF(LEN(INDEX(Database!E$9:E$501,ROW(Calc!I253)-ROW(Calc!$B$7)))=0,"",INDEX(Database!E$9:E$501,ROW(Calc!I253)-ROW(Calc!$B$7))),"")</f>
        <v/>
      </c>
      <c r="L253" s="129" t="str">
        <f>IFERROR(IF(LEN(INDEX(Database!K$9:K$501,ROW(Calc!K253)-ROW(Calc!$B$7)))=0,$AD$3,INDEX(Database!K$9:K$501,ROW(Calc!K253)-ROW(Calc!$B$7))),"")</f>
        <v>Not Set</v>
      </c>
      <c r="M253" s="130" t="str">
        <f>IFERROR(IF(LEN(INDEX(Database!L$9:L$501,ROW(Calc!L253)-ROW(Calc!$B$7)))=0,$AD$3,INDEX(Database!L$9:L$501,ROW(Calc!L253)-ROW(Calc!$B$7))),"")</f>
        <v>Not Set</v>
      </c>
      <c r="N253" s="131" t="str">
        <f>IFERROR(IF(LEN(INDEX(Database!M$9:M$501,ROW(Calc!M253)-ROW(Calc!$B$7)))=0,"",INDEX(Database!M$9:M$501,ROW(Calc!M253)-ROW(Calc!$B$7))),"")</f>
        <v/>
      </c>
      <c r="O253" s="132" t="str">
        <f t="shared" si="36"/>
        <v/>
      </c>
      <c r="P253" s="125" t="str">
        <f t="shared" si="33"/>
        <v>Not Set</v>
      </c>
      <c r="Q253" s="125" t="str">
        <f t="shared" si="34"/>
        <v>Not Set</v>
      </c>
      <c r="R253" s="125" t="str">
        <f>IFERROR(IF(G253=$AD$3,$AD$3,INDEX(Kanban_Helper!$C$317:$C$328,MATCH(MONTH(G253),Kanban_Helper!$B$317:$B$328,0))&amp;" - "&amp;YEAR(G253)),"$AD$3")</f>
        <v>Not Set</v>
      </c>
      <c r="S253" s="125" t="str">
        <f>IFERROR(IF(I253=$AD$3,$AD$3,INDEX(Kanban_Helper!$C$317:$C$328,MATCH(MONTH(I253),Kanban_Helper!$B$317:$B$328,0))&amp;" - "&amp;YEAR(I253)),$AD$3)</f>
        <v>Not Set</v>
      </c>
      <c r="T253" s="125" t="str">
        <f t="shared" ca="1" si="37"/>
        <v/>
      </c>
      <c r="U253" s="125" t="str">
        <f t="shared" ca="1" si="38"/>
        <v/>
      </c>
      <c r="V253" s="125" t="str">
        <f t="shared" si="35"/>
        <v>Not Set</v>
      </c>
      <c r="W253" s="126" t="str">
        <f t="shared" si="39"/>
        <v/>
      </c>
      <c r="X253" s="126" t="str">
        <f t="shared" si="40"/>
        <v/>
      </c>
      <c r="Y253" s="125" t="str">
        <f>IFERROR(IF(LEN(D253)=0,"",IF(SUBTOTAL(3,E253:E253)=0,MIN($Y$7:Y252)-1,SUBTOTAL(3,$E$8:E253))),"")</f>
        <v/>
      </c>
      <c r="Z253" s="17"/>
      <c r="AA253" s="10"/>
      <c r="AB253" s="10"/>
      <c r="AC253" s="10"/>
      <c r="AD253" s="10"/>
      <c r="AE253" s="10"/>
      <c r="AF253" s="10"/>
      <c r="AG253" s="10"/>
      <c r="AH253" s="10"/>
      <c r="AI253" s="10"/>
      <c r="AJ253" s="10"/>
      <c r="AK253" s="10"/>
      <c r="AL253" s="10"/>
      <c r="AM253" s="10"/>
      <c r="AN253" s="10"/>
    </row>
    <row r="254" spans="2:40" hidden="1" x14ac:dyDescent="0.35">
      <c r="B254" s="15"/>
      <c r="C254" s="127" t="str">
        <f>IFERROR(IF(LEN(INDEX(Database!C$9:C$501,ROW(Calc!A254)-ROW(Calc!$B$7)))=0,"",INDEX(Database!C$9:C$501,ROW(Calc!A254)-ROW(Calc!$B$7))),"")</f>
        <v/>
      </c>
      <c r="D254" s="70" t="str">
        <f>IFERROR(IF(LEN(INDEX(Database!D$9:D$501,ROW(Calc!B254)-ROW(Calc!$B$7)))=0,"",INDEX(Database!D$9:D$501,ROW(Calc!B254)-ROW(Calc!$B$7))),"")</f>
        <v/>
      </c>
      <c r="E254" s="124" t="str">
        <f>IFERROR(IF(LEN(INDEX(Database!G$9:G$501,ROW(Calc!D254)-ROW(Calc!$B$7)))=0,$AD$3,INDEX(Database!G$9:G$501,ROW(Calc!D254)-ROW(Calc!$B$7))),"")</f>
        <v>Not Set</v>
      </c>
      <c r="F254" s="124" t="str">
        <f>IFERROR(IF(LEN(INDEX(Database!F$9:F$501,ROW(Calc!E254)-ROW(Calc!$B$7)))=0,$AD$3,INDEX(Database!F$9:F$501,ROW(Calc!E254)-ROW(Calc!$B$7))),"")</f>
        <v>Not Set</v>
      </c>
      <c r="G254" s="128" t="str">
        <f>IFERROR(IF(LEN(INDEX(Database!H$9:H$501,ROW(Calc!F254)-ROW(Calc!$B$7)))=0,$AD$3,INDEX(Database!H$9:H$501,ROW(Calc!F254)-ROW(Calc!$B$7))),"")</f>
        <v>Not Set</v>
      </c>
      <c r="H254" s="128" t="str">
        <f>IFERROR(IF(LEN(INDEX(Database!I$9:I$501,ROW(Calc!G254)-ROW(Calc!$B$7)))=0,$AD$3,INDEX(Database!I$9:I$501,ROW(Calc!G254)-ROW(Calc!$B$7))),"")</f>
        <v>Not Set</v>
      </c>
      <c r="I254" s="128" t="str">
        <f>IFERROR(IF(LEN(INDEX(Database!J$9:J$501,ROW(Calc!H254)-ROW(Calc!$B$7)))=0,$AD$3,INDEX(Database!J$9:J$501,ROW(Calc!H254)-ROW(Calc!$B$7))),"")</f>
        <v>Not Set</v>
      </c>
      <c r="J254" s="128" t="str">
        <f t="shared" si="32"/>
        <v>Not Set</v>
      </c>
      <c r="K254" s="124" t="str">
        <f>IFERROR(IF(LEN(INDEX(Database!E$9:E$501,ROW(Calc!I254)-ROW(Calc!$B$7)))=0,"",INDEX(Database!E$9:E$501,ROW(Calc!I254)-ROW(Calc!$B$7))),"")</f>
        <v/>
      </c>
      <c r="L254" s="129" t="str">
        <f>IFERROR(IF(LEN(INDEX(Database!K$9:K$501,ROW(Calc!K254)-ROW(Calc!$B$7)))=0,$AD$3,INDEX(Database!K$9:K$501,ROW(Calc!K254)-ROW(Calc!$B$7))),"")</f>
        <v>Not Set</v>
      </c>
      <c r="M254" s="130" t="str">
        <f>IFERROR(IF(LEN(INDEX(Database!L$9:L$501,ROW(Calc!L254)-ROW(Calc!$B$7)))=0,$AD$3,INDEX(Database!L$9:L$501,ROW(Calc!L254)-ROW(Calc!$B$7))),"")</f>
        <v>Not Set</v>
      </c>
      <c r="N254" s="131" t="str">
        <f>IFERROR(IF(LEN(INDEX(Database!M$9:M$501,ROW(Calc!M254)-ROW(Calc!$B$7)))=0,"",INDEX(Database!M$9:M$501,ROW(Calc!M254)-ROW(Calc!$B$7))),"")</f>
        <v/>
      </c>
      <c r="O254" s="132" t="str">
        <f t="shared" si="36"/>
        <v/>
      </c>
      <c r="P254" s="125" t="str">
        <f t="shared" si="33"/>
        <v>Not Set</v>
      </c>
      <c r="Q254" s="125" t="str">
        <f t="shared" si="34"/>
        <v>Not Set</v>
      </c>
      <c r="R254" s="125" t="str">
        <f>IFERROR(IF(G254=$AD$3,$AD$3,INDEX(Kanban_Helper!$C$317:$C$328,MATCH(MONTH(G254),Kanban_Helper!$B$317:$B$328,0))&amp;" - "&amp;YEAR(G254)),"$AD$3")</f>
        <v>Not Set</v>
      </c>
      <c r="S254" s="125" t="str">
        <f>IFERROR(IF(I254=$AD$3,$AD$3,INDEX(Kanban_Helper!$C$317:$C$328,MATCH(MONTH(I254),Kanban_Helper!$B$317:$B$328,0))&amp;" - "&amp;YEAR(I254)),$AD$3)</f>
        <v>Not Set</v>
      </c>
      <c r="T254" s="125" t="str">
        <f t="shared" ca="1" si="37"/>
        <v/>
      </c>
      <c r="U254" s="125" t="str">
        <f t="shared" ca="1" si="38"/>
        <v/>
      </c>
      <c r="V254" s="125" t="str">
        <f t="shared" si="35"/>
        <v>Not Set</v>
      </c>
      <c r="W254" s="126" t="str">
        <f t="shared" si="39"/>
        <v/>
      </c>
      <c r="X254" s="126" t="str">
        <f t="shared" si="40"/>
        <v/>
      </c>
      <c r="Y254" s="125" t="str">
        <f>IFERROR(IF(LEN(D254)=0,"",IF(SUBTOTAL(3,E254:E254)=0,MIN($Y$7:Y253)-1,SUBTOTAL(3,$E$8:E254))),"")</f>
        <v/>
      </c>
      <c r="Z254" s="17"/>
      <c r="AA254" s="10"/>
      <c r="AB254" s="10"/>
      <c r="AC254" s="10"/>
      <c r="AD254" s="10"/>
      <c r="AE254" s="10"/>
      <c r="AF254" s="10"/>
      <c r="AG254" s="10"/>
      <c r="AH254" s="10"/>
      <c r="AI254" s="10"/>
      <c r="AJ254" s="10"/>
      <c r="AK254" s="10"/>
      <c r="AL254" s="10"/>
      <c r="AM254" s="10"/>
      <c r="AN254" s="10"/>
    </row>
    <row r="255" spans="2:40" hidden="1" x14ac:dyDescent="0.35">
      <c r="B255" s="15"/>
      <c r="C255" s="127" t="str">
        <f>IFERROR(IF(LEN(INDEX(Database!C$9:C$501,ROW(Calc!A255)-ROW(Calc!$B$7)))=0,"",INDEX(Database!C$9:C$501,ROW(Calc!A255)-ROW(Calc!$B$7))),"")</f>
        <v/>
      </c>
      <c r="D255" s="70" t="str">
        <f>IFERROR(IF(LEN(INDEX(Database!D$9:D$501,ROW(Calc!B255)-ROW(Calc!$B$7)))=0,"",INDEX(Database!D$9:D$501,ROW(Calc!B255)-ROW(Calc!$B$7))),"")</f>
        <v/>
      </c>
      <c r="E255" s="124" t="str">
        <f>IFERROR(IF(LEN(INDEX(Database!G$9:G$501,ROW(Calc!D255)-ROW(Calc!$B$7)))=0,$AD$3,INDEX(Database!G$9:G$501,ROW(Calc!D255)-ROW(Calc!$B$7))),"")</f>
        <v>Not Set</v>
      </c>
      <c r="F255" s="124" t="str">
        <f>IFERROR(IF(LEN(INDEX(Database!F$9:F$501,ROW(Calc!E255)-ROW(Calc!$B$7)))=0,$AD$3,INDEX(Database!F$9:F$501,ROW(Calc!E255)-ROW(Calc!$B$7))),"")</f>
        <v>Not Set</v>
      </c>
      <c r="G255" s="128" t="str">
        <f>IFERROR(IF(LEN(INDEX(Database!H$9:H$501,ROW(Calc!F255)-ROW(Calc!$B$7)))=0,$AD$3,INDEX(Database!H$9:H$501,ROW(Calc!F255)-ROW(Calc!$B$7))),"")</f>
        <v>Not Set</v>
      </c>
      <c r="H255" s="128" t="str">
        <f>IFERROR(IF(LEN(INDEX(Database!I$9:I$501,ROW(Calc!G255)-ROW(Calc!$B$7)))=0,$AD$3,INDEX(Database!I$9:I$501,ROW(Calc!G255)-ROW(Calc!$B$7))),"")</f>
        <v>Not Set</v>
      </c>
      <c r="I255" s="128" t="str">
        <f>IFERROR(IF(LEN(INDEX(Database!J$9:J$501,ROW(Calc!H255)-ROW(Calc!$B$7)))=0,$AD$3,INDEX(Database!J$9:J$501,ROW(Calc!H255)-ROW(Calc!$B$7))),"")</f>
        <v>Not Set</v>
      </c>
      <c r="J255" s="128" t="str">
        <f t="shared" si="32"/>
        <v>Not Set</v>
      </c>
      <c r="K255" s="124" t="str">
        <f>IFERROR(IF(LEN(INDEX(Database!E$9:E$501,ROW(Calc!I255)-ROW(Calc!$B$7)))=0,"",INDEX(Database!E$9:E$501,ROW(Calc!I255)-ROW(Calc!$B$7))),"")</f>
        <v/>
      </c>
      <c r="L255" s="129" t="str">
        <f>IFERROR(IF(LEN(INDEX(Database!K$9:K$501,ROW(Calc!K255)-ROW(Calc!$B$7)))=0,$AD$3,INDEX(Database!K$9:K$501,ROW(Calc!K255)-ROW(Calc!$B$7))),"")</f>
        <v>Not Set</v>
      </c>
      <c r="M255" s="130" t="str">
        <f>IFERROR(IF(LEN(INDEX(Database!L$9:L$501,ROW(Calc!L255)-ROW(Calc!$B$7)))=0,$AD$3,INDEX(Database!L$9:L$501,ROW(Calc!L255)-ROW(Calc!$B$7))),"")</f>
        <v>Not Set</v>
      </c>
      <c r="N255" s="131" t="str">
        <f>IFERROR(IF(LEN(INDEX(Database!M$9:M$501,ROW(Calc!M255)-ROW(Calc!$B$7)))=0,"",INDEX(Database!M$9:M$501,ROW(Calc!M255)-ROW(Calc!$B$7))),"")</f>
        <v/>
      </c>
      <c r="O255" s="132" t="str">
        <f t="shared" si="36"/>
        <v/>
      </c>
      <c r="P255" s="125" t="str">
        <f t="shared" si="33"/>
        <v>Not Set</v>
      </c>
      <c r="Q255" s="125" t="str">
        <f t="shared" si="34"/>
        <v>Not Set</v>
      </c>
      <c r="R255" s="125" t="str">
        <f>IFERROR(IF(G255=$AD$3,$AD$3,INDEX(Kanban_Helper!$C$317:$C$328,MATCH(MONTH(G255),Kanban_Helper!$B$317:$B$328,0))&amp;" - "&amp;YEAR(G255)),"$AD$3")</f>
        <v>Not Set</v>
      </c>
      <c r="S255" s="125" t="str">
        <f>IFERROR(IF(I255=$AD$3,$AD$3,INDEX(Kanban_Helper!$C$317:$C$328,MATCH(MONTH(I255),Kanban_Helper!$B$317:$B$328,0))&amp;" - "&amp;YEAR(I255)),$AD$3)</f>
        <v>Not Set</v>
      </c>
      <c r="T255" s="125" t="str">
        <f t="shared" ca="1" si="37"/>
        <v/>
      </c>
      <c r="U255" s="125" t="str">
        <f t="shared" ca="1" si="38"/>
        <v/>
      </c>
      <c r="V255" s="125" t="str">
        <f t="shared" si="35"/>
        <v>Not Set</v>
      </c>
      <c r="W255" s="126" t="str">
        <f t="shared" si="39"/>
        <v/>
      </c>
      <c r="X255" s="126" t="str">
        <f t="shared" si="40"/>
        <v/>
      </c>
      <c r="Y255" s="125" t="str">
        <f>IFERROR(IF(LEN(D255)=0,"",IF(SUBTOTAL(3,E255:E255)=0,MIN($Y$7:Y254)-1,SUBTOTAL(3,$E$8:E255))),"")</f>
        <v/>
      </c>
      <c r="Z255" s="17"/>
      <c r="AA255" s="10"/>
      <c r="AB255" s="10"/>
      <c r="AC255" s="10"/>
      <c r="AD255" s="10"/>
      <c r="AE255" s="10"/>
      <c r="AF255" s="10"/>
      <c r="AG255" s="10"/>
      <c r="AH255" s="10"/>
      <c r="AI255" s="10"/>
      <c r="AJ255" s="10"/>
      <c r="AK255" s="10"/>
      <c r="AL255" s="10"/>
      <c r="AM255" s="10"/>
      <c r="AN255" s="10"/>
    </row>
    <row r="256" spans="2:40" hidden="1" x14ac:dyDescent="0.35">
      <c r="B256" s="15"/>
      <c r="C256" s="127" t="str">
        <f>IFERROR(IF(LEN(INDEX(Database!C$9:C$501,ROW(Calc!A256)-ROW(Calc!$B$7)))=0,"",INDEX(Database!C$9:C$501,ROW(Calc!A256)-ROW(Calc!$B$7))),"")</f>
        <v/>
      </c>
      <c r="D256" s="70" t="str">
        <f>IFERROR(IF(LEN(INDEX(Database!D$9:D$501,ROW(Calc!B256)-ROW(Calc!$B$7)))=0,"",INDEX(Database!D$9:D$501,ROW(Calc!B256)-ROW(Calc!$B$7))),"")</f>
        <v/>
      </c>
      <c r="E256" s="124" t="str">
        <f>IFERROR(IF(LEN(INDEX(Database!G$9:G$501,ROW(Calc!D256)-ROW(Calc!$B$7)))=0,$AD$3,INDEX(Database!G$9:G$501,ROW(Calc!D256)-ROW(Calc!$B$7))),"")</f>
        <v>Not Set</v>
      </c>
      <c r="F256" s="124" t="str">
        <f>IFERROR(IF(LEN(INDEX(Database!F$9:F$501,ROW(Calc!E256)-ROW(Calc!$B$7)))=0,$AD$3,INDEX(Database!F$9:F$501,ROW(Calc!E256)-ROW(Calc!$B$7))),"")</f>
        <v>Not Set</v>
      </c>
      <c r="G256" s="128" t="str">
        <f>IFERROR(IF(LEN(INDEX(Database!H$9:H$501,ROW(Calc!F256)-ROW(Calc!$B$7)))=0,$AD$3,INDEX(Database!H$9:H$501,ROW(Calc!F256)-ROW(Calc!$B$7))),"")</f>
        <v>Not Set</v>
      </c>
      <c r="H256" s="128" t="str">
        <f>IFERROR(IF(LEN(INDEX(Database!I$9:I$501,ROW(Calc!G256)-ROW(Calc!$B$7)))=0,$AD$3,INDEX(Database!I$9:I$501,ROW(Calc!G256)-ROW(Calc!$B$7))),"")</f>
        <v>Not Set</v>
      </c>
      <c r="I256" s="128" t="str">
        <f>IFERROR(IF(LEN(INDEX(Database!J$9:J$501,ROW(Calc!H256)-ROW(Calc!$B$7)))=0,$AD$3,INDEX(Database!J$9:J$501,ROW(Calc!H256)-ROW(Calc!$B$7))),"")</f>
        <v>Not Set</v>
      </c>
      <c r="J256" s="128" t="str">
        <f t="shared" si="32"/>
        <v>Not Set</v>
      </c>
      <c r="K256" s="124" t="str">
        <f>IFERROR(IF(LEN(INDEX(Database!E$9:E$501,ROW(Calc!I256)-ROW(Calc!$B$7)))=0,"",INDEX(Database!E$9:E$501,ROW(Calc!I256)-ROW(Calc!$B$7))),"")</f>
        <v/>
      </c>
      <c r="L256" s="129" t="str">
        <f>IFERROR(IF(LEN(INDEX(Database!K$9:K$501,ROW(Calc!K256)-ROW(Calc!$B$7)))=0,$AD$3,INDEX(Database!K$9:K$501,ROW(Calc!K256)-ROW(Calc!$B$7))),"")</f>
        <v>Not Set</v>
      </c>
      <c r="M256" s="130" t="str">
        <f>IFERROR(IF(LEN(INDEX(Database!L$9:L$501,ROW(Calc!L256)-ROW(Calc!$B$7)))=0,$AD$3,INDEX(Database!L$9:L$501,ROW(Calc!L256)-ROW(Calc!$B$7))),"")</f>
        <v>Not Set</v>
      </c>
      <c r="N256" s="131" t="str">
        <f>IFERROR(IF(LEN(INDEX(Database!M$9:M$501,ROW(Calc!M256)-ROW(Calc!$B$7)))=0,"",INDEX(Database!M$9:M$501,ROW(Calc!M256)-ROW(Calc!$B$7))),"")</f>
        <v/>
      </c>
      <c r="O256" s="132" t="str">
        <f t="shared" si="36"/>
        <v/>
      </c>
      <c r="P256" s="125" t="str">
        <f t="shared" si="33"/>
        <v>Not Set</v>
      </c>
      <c r="Q256" s="125" t="str">
        <f t="shared" si="34"/>
        <v>Not Set</v>
      </c>
      <c r="R256" s="125" t="str">
        <f>IFERROR(IF(G256=$AD$3,$AD$3,INDEX(Kanban_Helper!$C$317:$C$328,MATCH(MONTH(G256),Kanban_Helper!$B$317:$B$328,0))&amp;" - "&amp;YEAR(G256)),"$AD$3")</f>
        <v>Not Set</v>
      </c>
      <c r="S256" s="125" t="str">
        <f>IFERROR(IF(I256=$AD$3,$AD$3,INDEX(Kanban_Helper!$C$317:$C$328,MATCH(MONTH(I256),Kanban_Helper!$B$317:$B$328,0))&amp;" - "&amp;YEAR(I256)),$AD$3)</f>
        <v>Not Set</v>
      </c>
      <c r="T256" s="125" t="str">
        <f t="shared" ca="1" si="37"/>
        <v/>
      </c>
      <c r="U256" s="125" t="str">
        <f t="shared" ca="1" si="38"/>
        <v/>
      </c>
      <c r="V256" s="125" t="str">
        <f t="shared" si="35"/>
        <v>Not Set</v>
      </c>
      <c r="W256" s="126" t="str">
        <f t="shared" si="39"/>
        <v/>
      </c>
      <c r="X256" s="126" t="str">
        <f t="shared" si="40"/>
        <v/>
      </c>
      <c r="Y256" s="125" t="str">
        <f>IFERROR(IF(LEN(D256)=0,"",IF(SUBTOTAL(3,E256:E256)=0,MIN($Y$7:Y255)-1,SUBTOTAL(3,$E$8:E256))),"")</f>
        <v/>
      </c>
      <c r="Z256" s="17"/>
      <c r="AA256" s="10"/>
      <c r="AB256" s="10"/>
      <c r="AC256" s="10"/>
      <c r="AD256" s="10"/>
      <c r="AE256" s="10"/>
      <c r="AF256" s="10"/>
      <c r="AG256" s="10"/>
      <c r="AH256" s="10"/>
      <c r="AI256" s="10"/>
      <c r="AJ256" s="10"/>
      <c r="AK256" s="10"/>
      <c r="AL256" s="10"/>
      <c r="AM256" s="10"/>
      <c r="AN256" s="10"/>
    </row>
    <row r="257" spans="2:40" hidden="1" x14ac:dyDescent="0.35">
      <c r="B257" s="15"/>
      <c r="C257" s="127" t="str">
        <f>IFERROR(IF(LEN(INDEX(Database!C$9:C$501,ROW(Calc!A257)-ROW(Calc!$B$7)))=0,"",INDEX(Database!C$9:C$501,ROW(Calc!A257)-ROW(Calc!$B$7))),"")</f>
        <v/>
      </c>
      <c r="D257" s="70" t="str">
        <f>IFERROR(IF(LEN(INDEX(Database!D$9:D$501,ROW(Calc!B257)-ROW(Calc!$B$7)))=0,"",INDEX(Database!D$9:D$501,ROW(Calc!B257)-ROW(Calc!$B$7))),"")</f>
        <v/>
      </c>
      <c r="E257" s="124" t="str">
        <f>IFERROR(IF(LEN(INDEX(Database!G$9:G$501,ROW(Calc!D257)-ROW(Calc!$B$7)))=0,$AD$3,INDEX(Database!G$9:G$501,ROW(Calc!D257)-ROW(Calc!$B$7))),"")</f>
        <v>Not Set</v>
      </c>
      <c r="F257" s="124" t="str">
        <f>IFERROR(IF(LEN(INDEX(Database!F$9:F$501,ROW(Calc!E257)-ROW(Calc!$B$7)))=0,$AD$3,INDEX(Database!F$9:F$501,ROW(Calc!E257)-ROW(Calc!$B$7))),"")</f>
        <v>Not Set</v>
      </c>
      <c r="G257" s="128" t="str">
        <f>IFERROR(IF(LEN(INDEX(Database!H$9:H$501,ROW(Calc!F257)-ROW(Calc!$B$7)))=0,$AD$3,INDEX(Database!H$9:H$501,ROW(Calc!F257)-ROW(Calc!$B$7))),"")</f>
        <v>Not Set</v>
      </c>
      <c r="H257" s="128" t="str">
        <f>IFERROR(IF(LEN(INDEX(Database!I$9:I$501,ROW(Calc!G257)-ROW(Calc!$B$7)))=0,$AD$3,INDEX(Database!I$9:I$501,ROW(Calc!G257)-ROW(Calc!$B$7))),"")</f>
        <v>Not Set</v>
      </c>
      <c r="I257" s="128" t="str">
        <f>IFERROR(IF(LEN(INDEX(Database!J$9:J$501,ROW(Calc!H257)-ROW(Calc!$B$7)))=0,$AD$3,INDEX(Database!J$9:J$501,ROW(Calc!H257)-ROW(Calc!$B$7))),"")</f>
        <v>Not Set</v>
      </c>
      <c r="J257" s="128" t="str">
        <f t="shared" si="32"/>
        <v>Not Set</v>
      </c>
      <c r="K257" s="124" t="str">
        <f>IFERROR(IF(LEN(INDEX(Database!E$9:E$501,ROW(Calc!I257)-ROW(Calc!$B$7)))=0,"",INDEX(Database!E$9:E$501,ROW(Calc!I257)-ROW(Calc!$B$7))),"")</f>
        <v/>
      </c>
      <c r="L257" s="129" t="str">
        <f>IFERROR(IF(LEN(INDEX(Database!K$9:K$501,ROW(Calc!K257)-ROW(Calc!$B$7)))=0,$AD$3,INDEX(Database!K$9:K$501,ROW(Calc!K257)-ROW(Calc!$B$7))),"")</f>
        <v>Not Set</v>
      </c>
      <c r="M257" s="130" t="str">
        <f>IFERROR(IF(LEN(INDEX(Database!L$9:L$501,ROW(Calc!L257)-ROW(Calc!$B$7)))=0,$AD$3,INDEX(Database!L$9:L$501,ROW(Calc!L257)-ROW(Calc!$B$7))),"")</f>
        <v>Not Set</v>
      </c>
      <c r="N257" s="131" t="str">
        <f>IFERROR(IF(LEN(INDEX(Database!M$9:M$501,ROW(Calc!M257)-ROW(Calc!$B$7)))=0,"",INDEX(Database!M$9:M$501,ROW(Calc!M257)-ROW(Calc!$B$7))),"")</f>
        <v/>
      </c>
      <c r="O257" s="132" t="str">
        <f t="shared" si="36"/>
        <v/>
      </c>
      <c r="P257" s="125" t="str">
        <f t="shared" si="33"/>
        <v>Not Set</v>
      </c>
      <c r="Q257" s="125" t="str">
        <f t="shared" si="34"/>
        <v>Not Set</v>
      </c>
      <c r="R257" s="125" t="str">
        <f>IFERROR(IF(G257=$AD$3,$AD$3,INDEX(Kanban_Helper!$C$317:$C$328,MATCH(MONTH(G257),Kanban_Helper!$B$317:$B$328,0))&amp;" - "&amp;YEAR(G257)),"$AD$3")</f>
        <v>Not Set</v>
      </c>
      <c r="S257" s="125" t="str">
        <f>IFERROR(IF(I257=$AD$3,$AD$3,INDEX(Kanban_Helper!$C$317:$C$328,MATCH(MONTH(I257),Kanban_Helper!$B$317:$B$328,0))&amp;" - "&amp;YEAR(I257)),$AD$3)</f>
        <v>Not Set</v>
      </c>
      <c r="T257" s="125" t="str">
        <f t="shared" ca="1" si="37"/>
        <v/>
      </c>
      <c r="U257" s="125" t="str">
        <f t="shared" ca="1" si="38"/>
        <v/>
      </c>
      <c r="V257" s="125" t="str">
        <f t="shared" si="35"/>
        <v>Not Set</v>
      </c>
      <c r="W257" s="126" t="str">
        <f t="shared" si="39"/>
        <v/>
      </c>
      <c r="X257" s="126" t="str">
        <f t="shared" si="40"/>
        <v/>
      </c>
      <c r="Y257" s="125" t="str">
        <f>IFERROR(IF(LEN(D257)=0,"",IF(SUBTOTAL(3,E257:E257)=0,MIN($Y$7:Y256)-1,SUBTOTAL(3,$E$8:E257))),"")</f>
        <v/>
      </c>
      <c r="Z257" s="17"/>
      <c r="AA257" s="10"/>
      <c r="AB257" s="10"/>
      <c r="AC257" s="10"/>
      <c r="AD257" s="10"/>
      <c r="AE257" s="10"/>
      <c r="AF257" s="10"/>
      <c r="AG257" s="10"/>
      <c r="AH257" s="10"/>
      <c r="AI257" s="10"/>
      <c r="AJ257" s="10"/>
      <c r="AK257" s="10"/>
      <c r="AL257" s="10"/>
      <c r="AM257" s="10"/>
      <c r="AN257" s="10"/>
    </row>
    <row r="258" spans="2:40" hidden="1" x14ac:dyDescent="0.35">
      <c r="B258" s="15"/>
      <c r="C258" s="127" t="str">
        <f>IFERROR(IF(LEN(INDEX(Database!C$9:C$501,ROW(Calc!A258)-ROW(Calc!$B$7)))=0,"",INDEX(Database!C$9:C$501,ROW(Calc!A258)-ROW(Calc!$B$7))),"")</f>
        <v/>
      </c>
      <c r="D258" s="70" t="str">
        <f>IFERROR(IF(LEN(INDEX(Database!D$9:D$501,ROW(Calc!B258)-ROW(Calc!$B$7)))=0,"",INDEX(Database!D$9:D$501,ROW(Calc!B258)-ROW(Calc!$B$7))),"")</f>
        <v/>
      </c>
      <c r="E258" s="124" t="str">
        <f>IFERROR(IF(LEN(INDEX(Database!G$9:G$501,ROW(Calc!D258)-ROW(Calc!$B$7)))=0,$AD$3,INDEX(Database!G$9:G$501,ROW(Calc!D258)-ROW(Calc!$B$7))),"")</f>
        <v>Not Set</v>
      </c>
      <c r="F258" s="124" t="str">
        <f>IFERROR(IF(LEN(INDEX(Database!F$9:F$501,ROW(Calc!E258)-ROW(Calc!$B$7)))=0,$AD$3,INDEX(Database!F$9:F$501,ROW(Calc!E258)-ROW(Calc!$B$7))),"")</f>
        <v>Not Set</v>
      </c>
      <c r="G258" s="128" t="str">
        <f>IFERROR(IF(LEN(INDEX(Database!H$9:H$501,ROW(Calc!F258)-ROW(Calc!$B$7)))=0,$AD$3,INDEX(Database!H$9:H$501,ROW(Calc!F258)-ROW(Calc!$B$7))),"")</f>
        <v>Not Set</v>
      </c>
      <c r="H258" s="128" t="str">
        <f>IFERROR(IF(LEN(INDEX(Database!I$9:I$501,ROW(Calc!G258)-ROW(Calc!$B$7)))=0,$AD$3,INDEX(Database!I$9:I$501,ROW(Calc!G258)-ROW(Calc!$B$7))),"")</f>
        <v>Not Set</v>
      </c>
      <c r="I258" s="128" t="str">
        <f>IFERROR(IF(LEN(INDEX(Database!J$9:J$501,ROW(Calc!H258)-ROW(Calc!$B$7)))=0,$AD$3,INDEX(Database!J$9:J$501,ROW(Calc!H258)-ROW(Calc!$B$7))),"")</f>
        <v>Not Set</v>
      </c>
      <c r="J258" s="128" t="str">
        <f t="shared" si="32"/>
        <v>Not Set</v>
      </c>
      <c r="K258" s="124" t="str">
        <f>IFERROR(IF(LEN(INDEX(Database!E$9:E$501,ROW(Calc!I258)-ROW(Calc!$B$7)))=0,"",INDEX(Database!E$9:E$501,ROW(Calc!I258)-ROW(Calc!$B$7))),"")</f>
        <v/>
      </c>
      <c r="L258" s="129" t="str">
        <f>IFERROR(IF(LEN(INDEX(Database!K$9:K$501,ROW(Calc!K258)-ROW(Calc!$B$7)))=0,$AD$3,INDEX(Database!K$9:K$501,ROW(Calc!K258)-ROW(Calc!$B$7))),"")</f>
        <v>Not Set</v>
      </c>
      <c r="M258" s="130" t="str">
        <f>IFERROR(IF(LEN(INDEX(Database!L$9:L$501,ROW(Calc!L258)-ROW(Calc!$B$7)))=0,$AD$3,INDEX(Database!L$9:L$501,ROW(Calc!L258)-ROW(Calc!$B$7))),"")</f>
        <v>Not Set</v>
      </c>
      <c r="N258" s="131" t="str">
        <f>IFERROR(IF(LEN(INDEX(Database!M$9:M$501,ROW(Calc!M258)-ROW(Calc!$B$7)))=0,"",INDEX(Database!M$9:M$501,ROW(Calc!M258)-ROW(Calc!$B$7))),"")</f>
        <v/>
      </c>
      <c r="O258" s="132" t="str">
        <f t="shared" si="36"/>
        <v/>
      </c>
      <c r="P258" s="125" t="str">
        <f t="shared" si="33"/>
        <v>Not Set</v>
      </c>
      <c r="Q258" s="125" t="str">
        <f t="shared" si="34"/>
        <v>Not Set</v>
      </c>
      <c r="R258" s="125" t="str">
        <f>IFERROR(IF(G258=$AD$3,$AD$3,INDEX(Kanban_Helper!$C$317:$C$328,MATCH(MONTH(G258),Kanban_Helper!$B$317:$B$328,0))&amp;" - "&amp;YEAR(G258)),"$AD$3")</f>
        <v>Not Set</v>
      </c>
      <c r="S258" s="125" t="str">
        <f>IFERROR(IF(I258=$AD$3,$AD$3,INDEX(Kanban_Helper!$C$317:$C$328,MATCH(MONTH(I258),Kanban_Helper!$B$317:$B$328,0))&amp;" - "&amp;YEAR(I258)),$AD$3)</f>
        <v>Not Set</v>
      </c>
      <c r="T258" s="125" t="str">
        <f t="shared" ca="1" si="37"/>
        <v/>
      </c>
      <c r="U258" s="125" t="str">
        <f t="shared" ca="1" si="38"/>
        <v/>
      </c>
      <c r="V258" s="125" t="str">
        <f t="shared" si="35"/>
        <v>Not Set</v>
      </c>
      <c r="W258" s="126" t="str">
        <f t="shared" si="39"/>
        <v/>
      </c>
      <c r="X258" s="126" t="str">
        <f t="shared" si="40"/>
        <v/>
      </c>
      <c r="Y258" s="125" t="str">
        <f>IFERROR(IF(LEN(D258)=0,"",IF(SUBTOTAL(3,E258:E258)=0,MIN($Y$7:Y257)-1,SUBTOTAL(3,$E$8:E258))),"")</f>
        <v/>
      </c>
      <c r="Z258" s="17"/>
      <c r="AA258" s="10"/>
      <c r="AB258" s="10"/>
      <c r="AC258" s="10"/>
      <c r="AD258" s="10"/>
      <c r="AE258" s="10"/>
      <c r="AF258" s="10"/>
      <c r="AG258" s="10"/>
      <c r="AH258" s="10"/>
      <c r="AI258" s="10"/>
      <c r="AJ258" s="10"/>
      <c r="AK258" s="10"/>
      <c r="AL258" s="10"/>
      <c r="AM258" s="10"/>
      <c r="AN258" s="10"/>
    </row>
    <row r="259" spans="2:40" hidden="1" x14ac:dyDescent="0.35">
      <c r="B259" s="15"/>
      <c r="C259" s="127" t="str">
        <f>IFERROR(IF(LEN(INDEX(Database!C$9:C$501,ROW(Calc!A259)-ROW(Calc!$B$7)))=0,"",INDEX(Database!C$9:C$501,ROW(Calc!A259)-ROW(Calc!$B$7))),"")</f>
        <v/>
      </c>
      <c r="D259" s="70" t="str">
        <f>IFERROR(IF(LEN(INDEX(Database!D$9:D$501,ROW(Calc!B259)-ROW(Calc!$B$7)))=0,"",INDEX(Database!D$9:D$501,ROW(Calc!B259)-ROW(Calc!$B$7))),"")</f>
        <v/>
      </c>
      <c r="E259" s="124" t="str">
        <f>IFERROR(IF(LEN(INDEX(Database!G$9:G$501,ROW(Calc!D259)-ROW(Calc!$B$7)))=0,$AD$3,INDEX(Database!G$9:G$501,ROW(Calc!D259)-ROW(Calc!$B$7))),"")</f>
        <v>Not Set</v>
      </c>
      <c r="F259" s="124" t="str">
        <f>IFERROR(IF(LEN(INDEX(Database!F$9:F$501,ROW(Calc!E259)-ROW(Calc!$B$7)))=0,$AD$3,INDEX(Database!F$9:F$501,ROW(Calc!E259)-ROW(Calc!$B$7))),"")</f>
        <v>Not Set</v>
      </c>
      <c r="G259" s="128" t="str">
        <f>IFERROR(IF(LEN(INDEX(Database!H$9:H$501,ROW(Calc!F259)-ROW(Calc!$B$7)))=0,$AD$3,INDEX(Database!H$9:H$501,ROW(Calc!F259)-ROW(Calc!$B$7))),"")</f>
        <v>Not Set</v>
      </c>
      <c r="H259" s="128" t="str">
        <f>IFERROR(IF(LEN(INDEX(Database!I$9:I$501,ROW(Calc!G259)-ROW(Calc!$B$7)))=0,$AD$3,INDEX(Database!I$9:I$501,ROW(Calc!G259)-ROW(Calc!$B$7))),"")</f>
        <v>Not Set</v>
      </c>
      <c r="I259" s="128" t="str">
        <f>IFERROR(IF(LEN(INDEX(Database!J$9:J$501,ROW(Calc!H259)-ROW(Calc!$B$7)))=0,$AD$3,INDEX(Database!J$9:J$501,ROW(Calc!H259)-ROW(Calc!$B$7))),"")</f>
        <v>Not Set</v>
      </c>
      <c r="J259" s="128" t="str">
        <f t="shared" si="32"/>
        <v>Not Set</v>
      </c>
      <c r="K259" s="124" t="str">
        <f>IFERROR(IF(LEN(INDEX(Database!E$9:E$501,ROW(Calc!I259)-ROW(Calc!$B$7)))=0,"",INDEX(Database!E$9:E$501,ROW(Calc!I259)-ROW(Calc!$B$7))),"")</f>
        <v/>
      </c>
      <c r="L259" s="129" t="str">
        <f>IFERROR(IF(LEN(INDEX(Database!K$9:K$501,ROW(Calc!K259)-ROW(Calc!$B$7)))=0,$AD$3,INDEX(Database!K$9:K$501,ROW(Calc!K259)-ROW(Calc!$B$7))),"")</f>
        <v>Not Set</v>
      </c>
      <c r="M259" s="130" t="str">
        <f>IFERROR(IF(LEN(INDEX(Database!L$9:L$501,ROW(Calc!L259)-ROW(Calc!$B$7)))=0,$AD$3,INDEX(Database!L$9:L$501,ROW(Calc!L259)-ROW(Calc!$B$7))),"")</f>
        <v>Not Set</v>
      </c>
      <c r="N259" s="131" t="str">
        <f>IFERROR(IF(LEN(INDEX(Database!M$9:M$501,ROW(Calc!M259)-ROW(Calc!$B$7)))=0,"",INDEX(Database!M$9:M$501,ROW(Calc!M259)-ROW(Calc!$B$7))),"")</f>
        <v/>
      </c>
      <c r="O259" s="132" t="str">
        <f t="shared" si="36"/>
        <v/>
      </c>
      <c r="P259" s="125" t="str">
        <f t="shared" si="33"/>
        <v>Not Set</v>
      </c>
      <c r="Q259" s="125" t="str">
        <f t="shared" si="34"/>
        <v>Not Set</v>
      </c>
      <c r="R259" s="125" t="str">
        <f>IFERROR(IF(G259=$AD$3,$AD$3,INDEX(Kanban_Helper!$C$317:$C$328,MATCH(MONTH(G259),Kanban_Helper!$B$317:$B$328,0))&amp;" - "&amp;YEAR(G259)),"$AD$3")</f>
        <v>Not Set</v>
      </c>
      <c r="S259" s="125" t="str">
        <f>IFERROR(IF(I259=$AD$3,$AD$3,INDEX(Kanban_Helper!$C$317:$C$328,MATCH(MONTH(I259),Kanban_Helper!$B$317:$B$328,0))&amp;" - "&amp;YEAR(I259)),$AD$3)</f>
        <v>Not Set</v>
      </c>
      <c r="T259" s="125" t="str">
        <f t="shared" ca="1" si="37"/>
        <v/>
      </c>
      <c r="U259" s="125" t="str">
        <f t="shared" ca="1" si="38"/>
        <v/>
      </c>
      <c r="V259" s="125" t="str">
        <f t="shared" si="35"/>
        <v>Not Set</v>
      </c>
      <c r="W259" s="126" t="str">
        <f t="shared" si="39"/>
        <v/>
      </c>
      <c r="X259" s="126" t="str">
        <f t="shared" si="40"/>
        <v/>
      </c>
      <c r="Y259" s="125" t="str">
        <f>IFERROR(IF(LEN(D259)=0,"",IF(SUBTOTAL(3,E259:E259)=0,MIN($Y$7:Y258)-1,SUBTOTAL(3,$E$8:E259))),"")</f>
        <v/>
      </c>
      <c r="Z259" s="17"/>
      <c r="AA259" s="10"/>
      <c r="AB259" s="10"/>
      <c r="AC259" s="10"/>
      <c r="AD259" s="10"/>
      <c r="AE259" s="10"/>
      <c r="AF259" s="10"/>
      <c r="AG259" s="10"/>
      <c r="AH259" s="10"/>
      <c r="AI259" s="10"/>
      <c r="AJ259" s="10"/>
      <c r="AK259" s="10"/>
      <c r="AL259" s="10"/>
      <c r="AM259" s="10"/>
      <c r="AN259" s="10"/>
    </row>
    <row r="260" spans="2:40" hidden="1" x14ac:dyDescent="0.35">
      <c r="B260" s="15"/>
      <c r="C260" s="127" t="str">
        <f>IFERROR(IF(LEN(INDEX(Database!C$9:C$501,ROW(Calc!A260)-ROW(Calc!$B$7)))=0,"",INDEX(Database!C$9:C$501,ROW(Calc!A260)-ROW(Calc!$B$7))),"")</f>
        <v/>
      </c>
      <c r="D260" s="70" t="str">
        <f>IFERROR(IF(LEN(INDEX(Database!D$9:D$501,ROW(Calc!B260)-ROW(Calc!$B$7)))=0,"",INDEX(Database!D$9:D$501,ROW(Calc!B260)-ROW(Calc!$B$7))),"")</f>
        <v/>
      </c>
      <c r="E260" s="124" t="str">
        <f>IFERROR(IF(LEN(INDEX(Database!G$9:G$501,ROW(Calc!D260)-ROW(Calc!$B$7)))=0,$AD$3,INDEX(Database!G$9:G$501,ROW(Calc!D260)-ROW(Calc!$B$7))),"")</f>
        <v>Not Set</v>
      </c>
      <c r="F260" s="124" t="str">
        <f>IFERROR(IF(LEN(INDEX(Database!F$9:F$501,ROW(Calc!E260)-ROW(Calc!$B$7)))=0,$AD$3,INDEX(Database!F$9:F$501,ROW(Calc!E260)-ROW(Calc!$B$7))),"")</f>
        <v>Not Set</v>
      </c>
      <c r="G260" s="128" t="str">
        <f>IFERROR(IF(LEN(INDEX(Database!H$9:H$501,ROW(Calc!F260)-ROW(Calc!$B$7)))=0,$AD$3,INDEX(Database!H$9:H$501,ROW(Calc!F260)-ROW(Calc!$B$7))),"")</f>
        <v>Not Set</v>
      </c>
      <c r="H260" s="128" t="str">
        <f>IFERROR(IF(LEN(INDEX(Database!I$9:I$501,ROW(Calc!G260)-ROW(Calc!$B$7)))=0,$AD$3,INDEX(Database!I$9:I$501,ROW(Calc!G260)-ROW(Calc!$B$7))),"")</f>
        <v>Not Set</v>
      </c>
      <c r="I260" s="128" t="str">
        <f>IFERROR(IF(LEN(INDEX(Database!J$9:J$501,ROW(Calc!H260)-ROW(Calc!$B$7)))=0,$AD$3,INDEX(Database!J$9:J$501,ROW(Calc!H260)-ROW(Calc!$B$7))),"")</f>
        <v>Not Set</v>
      </c>
      <c r="J260" s="128" t="str">
        <f t="shared" si="32"/>
        <v>Not Set</v>
      </c>
      <c r="K260" s="124" t="str">
        <f>IFERROR(IF(LEN(INDEX(Database!E$9:E$501,ROW(Calc!I260)-ROW(Calc!$B$7)))=0,"",INDEX(Database!E$9:E$501,ROW(Calc!I260)-ROW(Calc!$B$7))),"")</f>
        <v/>
      </c>
      <c r="L260" s="129" t="str">
        <f>IFERROR(IF(LEN(INDEX(Database!K$9:K$501,ROW(Calc!K260)-ROW(Calc!$B$7)))=0,$AD$3,INDEX(Database!K$9:K$501,ROW(Calc!K260)-ROW(Calc!$B$7))),"")</f>
        <v>Not Set</v>
      </c>
      <c r="M260" s="130" t="str">
        <f>IFERROR(IF(LEN(INDEX(Database!L$9:L$501,ROW(Calc!L260)-ROW(Calc!$B$7)))=0,$AD$3,INDEX(Database!L$9:L$501,ROW(Calc!L260)-ROW(Calc!$B$7))),"")</f>
        <v>Not Set</v>
      </c>
      <c r="N260" s="131" t="str">
        <f>IFERROR(IF(LEN(INDEX(Database!M$9:M$501,ROW(Calc!M260)-ROW(Calc!$B$7)))=0,"",INDEX(Database!M$9:M$501,ROW(Calc!M260)-ROW(Calc!$B$7))),"")</f>
        <v/>
      </c>
      <c r="O260" s="132" t="str">
        <f t="shared" si="36"/>
        <v/>
      </c>
      <c r="P260" s="125" t="str">
        <f t="shared" si="33"/>
        <v>Not Set</v>
      </c>
      <c r="Q260" s="125" t="str">
        <f t="shared" si="34"/>
        <v>Not Set</v>
      </c>
      <c r="R260" s="125" t="str">
        <f>IFERROR(IF(G260=$AD$3,$AD$3,INDEX(Kanban_Helper!$C$317:$C$328,MATCH(MONTH(G260),Kanban_Helper!$B$317:$B$328,0))&amp;" - "&amp;YEAR(G260)),"$AD$3")</f>
        <v>Not Set</v>
      </c>
      <c r="S260" s="125" t="str">
        <f>IFERROR(IF(I260=$AD$3,$AD$3,INDEX(Kanban_Helper!$C$317:$C$328,MATCH(MONTH(I260),Kanban_Helper!$B$317:$B$328,0))&amp;" - "&amp;YEAR(I260)),$AD$3)</f>
        <v>Not Set</v>
      </c>
      <c r="T260" s="125" t="str">
        <f t="shared" ca="1" si="37"/>
        <v/>
      </c>
      <c r="U260" s="125" t="str">
        <f t="shared" ca="1" si="38"/>
        <v/>
      </c>
      <c r="V260" s="125" t="str">
        <f t="shared" si="35"/>
        <v>Not Set</v>
      </c>
      <c r="W260" s="126" t="str">
        <f t="shared" si="39"/>
        <v/>
      </c>
      <c r="X260" s="126" t="str">
        <f t="shared" si="40"/>
        <v/>
      </c>
      <c r="Y260" s="125" t="str">
        <f>IFERROR(IF(LEN(D260)=0,"",IF(SUBTOTAL(3,E260:E260)=0,MIN($Y$7:Y259)-1,SUBTOTAL(3,$E$8:E260))),"")</f>
        <v/>
      </c>
      <c r="Z260" s="17"/>
      <c r="AA260" s="10"/>
      <c r="AB260" s="10"/>
      <c r="AC260" s="10"/>
      <c r="AD260" s="10"/>
      <c r="AE260" s="10"/>
      <c r="AF260" s="10"/>
      <c r="AG260" s="10"/>
      <c r="AH260" s="10"/>
      <c r="AI260" s="10"/>
      <c r="AJ260" s="10"/>
      <c r="AK260" s="10"/>
      <c r="AL260" s="10"/>
      <c r="AM260" s="10"/>
      <c r="AN260" s="10"/>
    </row>
    <row r="261" spans="2:40" hidden="1" x14ac:dyDescent="0.35">
      <c r="B261" s="15"/>
      <c r="C261" s="127" t="str">
        <f>IFERROR(IF(LEN(INDEX(Database!C$9:C$501,ROW(Calc!A261)-ROW(Calc!$B$7)))=0,"",INDEX(Database!C$9:C$501,ROW(Calc!A261)-ROW(Calc!$B$7))),"")</f>
        <v/>
      </c>
      <c r="D261" s="70" t="str">
        <f>IFERROR(IF(LEN(INDEX(Database!D$9:D$501,ROW(Calc!B261)-ROW(Calc!$B$7)))=0,"",INDEX(Database!D$9:D$501,ROW(Calc!B261)-ROW(Calc!$B$7))),"")</f>
        <v/>
      </c>
      <c r="E261" s="124" t="str">
        <f>IFERROR(IF(LEN(INDEX(Database!G$9:G$501,ROW(Calc!D261)-ROW(Calc!$B$7)))=0,$AD$3,INDEX(Database!G$9:G$501,ROW(Calc!D261)-ROW(Calc!$B$7))),"")</f>
        <v>Not Set</v>
      </c>
      <c r="F261" s="124" t="str">
        <f>IFERROR(IF(LEN(INDEX(Database!F$9:F$501,ROW(Calc!E261)-ROW(Calc!$B$7)))=0,$AD$3,INDEX(Database!F$9:F$501,ROW(Calc!E261)-ROW(Calc!$B$7))),"")</f>
        <v>Not Set</v>
      </c>
      <c r="G261" s="128" t="str">
        <f>IFERROR(IF(LEN(INDEX(Database!H$9:H$501,ROW(Calc!F261)-ROW(Calc!$B$7)))=0,$AD$3,INDEX(Database!H$9:H$501,ROW(Calc!F261)-ROW(Calc!$B$7))),"")</f>
        <v>Not Set</v>
      </c>
      <c r="H261" s="128" t="str">
        <f>IFERROR(IF(LEN(INDEX(Database!I$9:I$501,ROW(Calc!G261)-ROW(Calc!$B$7)))=0,$AD$3,INDEX(Database!I$9:I$501,ROW(Calc!G261)-ROW(Calc!$B$7))),"")</f>
        <v>Not Set</v>
      </c>
      <c r="I261" s="128" t="str">
        <f>IFERROR(IF(LEN(INDEX(Database!J$9:J$501,ROW(Calc!H261)-ROW(Calc!$B$7)))=0,$AD$3,INDEX(Database!J$9:J$501,ROW(Calc!H261)-ROW(Calc!$B$7))),"")</f>
        <v>Not Set</v>
      </c>
      <c r="J261" s="128" t="str">
        <f t="shared" si="32"/>
        <v>Not Set</v>
      </c>
      <c r="K261" s="124" t="str">
        <f>IFERROR(IF(LEN(INDEX(Database!E$9:E$501,ROW(Calc!I261)-ROW(Calc!$B$7)))=0,"",INDEX(Database!E$9:E$501,ROW(Calc!I261)-ROW(Calc!$B$7))),"")</f>
        <v/>
      </c>
      <c r="L261" s="129" t="str">
        <f>IFERROR(IF(LEN(INDEX(Database!K$9:K$501,ROW(Calc!K261)-ROW(Calc!$B$7)))=0,$AD$3,INDEX(Database!K$9:K$501,ROW(Calc!K261)-ROW(Calc!$B$7))),"")</f>
        <v>Not Set</v>
      </c>
      <c r="M261" s="130" t="str">
        <f>IFERROR(IF(LEN(INDEX(Database!L$9:L$501,ROW(Calc!L261)-ROW(Calc!$B$7)))=0,$AD$3,INDEX(Database!L$9:L$501,ROW(Calc!L261)-ROW(Calc!$B$7))),"")</f>
        <v>Not Set</v>
      </c>
      <c r="N261" s="131" t="str">
        <f>IFERROR(IF(LEN(INDEX(Database!M$9:M$501,ROW(Calc!M261)-ROW(Calc!$B$7)))=0,"",INDEX(Database!M$9:M$501,ROW(Calc!M261)-ROW(Calc!$B$7))),"")</f>
        <v/>
      </c>
      <c r="O261" s="132" t="str">
        <f t="shared" si="36"/>
        <v/>
      </c>
      <c r="P261" s="125" t="str">
        <f t="shared" si="33"/>
        <v>Not Set</v>
      </c>
      <c r="Q261" s="125" t="str">
        <f t="shared" si="34"/>
        <v>Not Set</v>
      </c>
      <c r="R261" s="125" t="str">
        <f>IFERROR(IF(G261=$AD$3,$AD$3,INDEX(Kanban_Helper!$C$317:$C$328,MATCH(MONTH(G261),Kanban_Helper!$B$317:$B$328,0))&amp;" - "&amp;YEAR(G261)),"$AD$3")</f>
        <v>Not Set</v>
      </c>
      <c r="S261" s="125" t="str">
        <f>IFERROR(IF(I261=$AD$3,$AD$3,INDEX(Kanban_Helper!$C$317:$C$328,MATCH(MONTH(I261),Kanban_Helper!$B$317:$B$328,0))&amp;" - "&amp;YEAR(I261)),$AD$3)</f>
        <v>Not Set</v>
      </c>
      <c r="T261" s="125" t="str">
        <f t="shared" ca="1" si="37"/>
        <v/>
      </c>
      <c r="U261" s="125" t="str">
        <f t="shared" ca="1" si="38"/>
        <v/>
      </c>
      <c r="V261" s="125" t="str">
        <f t="shared" si="35"/>
        <v>Not Set</v>
      </c>
      <c r="W261" s="126" t="str">
        <f t="shared" si="39"/>
        <v/>
      </c>
      <c r="X261" s="126" t="str">
        <f t="shared" si="40"/>
        <v/>
      </c>
      <c r="Y261" s="125" t="str">
        <f>IFERROR(IF(LEN(D261)=0,"",IF(SUBTOTAL(3,E261:E261)=0,MIN($Y$7:Y260)-1,SUBTOTAL(3,$E$8:E261))),"")</f>
        <v/>
      </c>
      <c r="Z261" s="17"/>
      <c r="AA261" s="10"/>
      <c r="AB261" s="10"/>
      <c r="AC261" s="10"/>
      <c r="AD261" s="10"/>
      <c r="AE261" s="10"/>
      <c r="AF261" s="10"/>
      <c r="AG261" s="10"/>
      <c r="AH261" s="10"/>
      <c r="AI261" s="10"/>
      <c r="AJ261" s="10"/>
      <c r="AK261" s="10"/>
      <c r="AL261" s="10"/>
      <c r="AM261" s="10"/>
      <c r="AN261" s="10"/>
    </row>
    <row r="262" spans="2:40" hidden="1" x14ac:dyDescent="0.35">
      <c r="B262" s="15"/>
      <c r="C262" s="127" t="str">
        <f>IFERROR(IF(LEN(INDEX(Database!C$9:C$501,ROW(Calc!A262)-ROW(Calc!$B$7)))=0,"",INDEX(Database!C$9:C$501,ROW(Calc!A262)-ROW(Calc!$B$7))),"")</f>
        <v/>
      </c>
      <c r="D262" s="70" t="str">
        <f>IFERROR(IF(LEN(INDEX(Database!D$9:D$501,ROW(Calc!B262)-ROW(Calc!$B$7)))=0,"",INDEX(Database!D$9:D$501,ROW(Calc!B262)-ROW(Calc!$B$7))),"")</f>
        <v/>
      </c>
      <c r="E262" s="124" t="str">
        <f>IFERROR(IF(LEN(INDEX(Database!G$9:G$501,ROW(Calc!D262)-ROW(Calc!$B$7)))=0,$AD$3,INDEX(Database!G$9:G$501,ROW(Calc!D262)-ROW(Calc!$B$7))),"")</f>
        <v>Not Set</v>
      </c>
      <c r="F262" s="124" t="str">
        <f>IFERROR(IF(LEN(INDEX(Database!F$9:F$501,ROW(Calc!E262)-ROW(Calc!$B$7)))=0,$AD$3,INDEX(Database!F$9:F$501,ROW(Calc!E262)-ROW(Calc!$B$7))),"")</f>
        <v>Not Set</v>
      </c>
      <c r="G262" s="128" t="str">
        <f>IFERROR(IF(LEN(INDEX(Database!H$9:H$501,ROW(Calc!F262)-ROW(Calc!$B$7)))=0,$AD$3,INDEX(Database!H$9:H$501,ROW(Calc!F262)-ROW(Calc!$B$7))),"")</f>
        <v>Not Set</v>
      </c>
      <c r="H262" s="128" t="str">
        <f>IFERROR(IF(LEN(INDEX(Database!I$9:I$501,ROW(Calc!G262)-ROW(Calc!$B$7)))=0,$AD$3,INDEX(Database!I$9:I$501,ROW(Calc!G262)-ROW(Calc!$B$7))),"")</f>
        <v>Not Set</v>
      </c>
      <c r="I262" s="128" t="str">
        <f>IFERROR(IF(LEN(INDEX(Database!J$9:J$501,ROW(Calc!H262)-ROW(Calc!$B$7)))=0,$AD$3,INDEX(Database!J$9:J$501,ROW(Calc!H262)-ROW(Calc!$B$7))),"")</f>
        <v>Not Set</v>
      </c>
      <c r="J262" s="128" t="str">
        <f t="shared" si="32"/>
        <v>Not Set</v>
      </c>
      <c r="K262" s="124" t="str">
        <f>IFERROR(IF(LEN(INDEX(Database!E$9:E$501,ROW(Calc!I262)-ROW(Calc!$B$7)))=0,"",INDEX(Database!E$9:E$501,ROW(Calc!I262)-ROW(Calc!$B$7))),"")</f>
        <v/>
      </c>
      <c r="L262" s="129" t="str">
        <f>IFERROR(IF(LEN(INDEX(Database!K$9:K$501,ROW(Calc!K262)-ROW(Calc!$B$7)))=0,$AD$3,INDEX(Database!K$9:K$501,ROW(Calc!K262)-ROW(Calc!$B$7))),"")</f>
        <v>Not Set</v>
      </c>
      <c r="M262" s="130" t="str">
        <f>IFERROR(IF(LEN(INDEX(Database!L$9:L$501,ROW(Calc!L262)-ROW(Calc!$B$7)))=0,$AD$3,INDEX(Database!L$9:L$501,ROW(Calc!L262)-ROW(Calc!$B$7))),"")</f>
        <v>Not Set</v>
      </c>
      <c r="N262" s="131" t="str">
        <f>IFERROR(IF(LEN(INDEX(Database!M$9:M$501,ROW(Calc!M262)-ROW(Calc!$B$7)))=0,"",INDEX(Database!M$9:M$501,ROW(Calc!M262)-ROW(Calc!$B$7))),"")</f>
        <v/>
      </c>
      <c r="O262" s="132" t="str">
        <f t="shared" si="36"/>
        <v/>
      </c>
      <c r="P262" s="125" t="str">
        <f t="shared" si="33"/>
        <v>Not Set</v>
      </c>
      <c r="Q262" s="125" t="str">
        <f t="shared" si="34"/>
        <v>Not Set</v>
      </c>
      <c r="R262" s="125" t="str">
        <f>IFERROR(IF(G262=$AD$3,$AD$3,INDEX(Kanban_Helper!$C$317:$C$328,MATCH(MONTH(G262),Kanban_Helper!$B$317:$B$328,0))&amp;" - "&amp;YEAR(G262)),"$AD$3")</f>
        <v>Not Set</v>
      </c>
      <c r="S262" s="125" t="str">
        <f>IFERROR(IF(I262=$AD$3,$AD$3,INDEX(Kanban_Helper!$C$317:$C$328,MATCH(MONTH(I262),Kanban_Helper!$B$317:$B$328,0))&amp;" - "&amp;YEAR(I262)),$AD$3)</f>
        <v>Not Set</v>
      </c>
      <c r="T262" s="125" t="str">
        <f t="shared" ca="1" si="37"/>
        <v/>
      </c>
      <c r="U262" s="125" t="str">
        <f t="shared" ca="1" si="38"/>
        <v/>
      </c>
      <c r="V262" s="125" t="str">
        <f t="shared" si="35"/>
        <v>Not Set</v>
      </c>
      <c r="W262" s="126" t="str">
        <f t="shared" si="39"/>
        <v/>
      </c>
      <c r="X262" s="126" t="str">
        <f t="shared" si="40"/>
        <v/>
      </c>
      <c r="Y262" s="125" t="str">
        <f>IFERROR(IF(LEN(D262)=0,"",IF(SUBTOTAL(3,E262:E262)=0,MIN($Y$7:Y261)-1,SUBTOTAL(3,$E$8:E262))),"")</f>
        <v/>
      </c>
      <c r="Z262" s="17"/>
      <c r="AA262" s="10"/>
      <c r="AB262" s="10"/>
      <c r="AC262" s="10"/>
      <c r="AD262" s="10"/>
      <c r="AE262" s="10"/>
      <c r="AF262" s="10"/>
      <c r="AG262" s="10"/>
      <c r="AH262" s="10"/>
      <c r="AI262" s="10"/>
      <c r="AJ262" s="10"/>
      <c r="AK262" s="10"/>
      <c r="AL262" s="10"/>
      <c r="AM262" s="10"/>
      <c r="AN262" s="10"/>
    </row>
    <row r="263" spans="2:40" hidden="1" x14ac:dyDescent="0.35">
      <c r="B263" s="15"/>
      <c r="C263" s="127" t="str">
        <f>IFERROR(IF(LEN(INDEX(Database!C$9:C$501,ROW(Calc!A263)-ROW(Calc!$B$7)))=0,"",INDEX(Database!C$9:C$501,ROW(Calc!A263)-ROW(Calc!$B$7))),"")</f>
        <v/>
      </c>
      <c r="D263" s="70" t="str">
        <f>IFERROR(IF(LEN(INDEX(Database!D$9:D$501,ROW(Calc!B263)-ROW(Calc!$B$7)))=0,"",INDEX(Database!D$9:D$501,ROW(Calc!B263)-ROW(Calc!$B$7))),"")</f>
        <v/>
      </c>
      <c r="E263" s="124" t="str">
        <f>IFERROR(IF(LEN(INDEX(Database!G$9:G$501,ROW(Calc!D263)-ROW(Calc!$B$7)))=0,$AD$3,INDEX(Database!G$9:G$501,ROW(Calc!D263)-ROW(Calc!$B$7))),"")</f>
        <v>Not Set</v>
      </c>
      <c r="F263" s="124" t="str">
        <f>IFERROR(IF(LEN(INDEX(Database!F$9:F$501,ROW(Calc!E263)-ROW(Calc!$B$7)))=0,$AD$3,INDEX(Database!F$9:F$501,ROW(Calc!E263)-ROW(Calc!$B$7))),"")</f>
        <v>Not Set</v>
      </c>
      <c r="G263" s="128" t="str">
        <f>IFERROR(IF(LEN(INDEX(Database!H$9:H$501,ROW(Calc!F263)-ROW(Calc!$B$7)))=0,$AD$3,INDEX(Database!H$9:H$501,ROW(Calc!F263)-ROW(Calc!$B$7))),"")</f>
        <v>Not Set</v>
      </c>
      <c r="H263" s="128" t="str">
        <f>IFERROR(IF(LEN(INDEX(Database!I$9:I$501,ROW(Calc!G263)-ROW(Calc!$B$7)))=0,$AD$3,INDEX(Database!I$9:I$501,ROW(Calc!G263)-ROW(Calc!$B$7))),"")</f>
        <v>Not Set</v>
      </c>
      <c r="I263" s="128" t="str">
        <f>IFERROR(IF(LEN(INDEX(Database!J$9:J$501,ROW(Calc!H263)-ROW(Calc!$B$7)))=0,$AD$3,INDEX(Database!J$9:J$501,ROW(Calc!H263)-ROW(Calc!$B$7))),"")</f>
        <v>Not Set</v>
      </c>
      <c r="J263" s="128" t="str">
        <f t="shared" si="32"/>
        <v>Not Set</v>
      </c>
      <c r="K263" s="124" t="str">
        <f>IFERROR(IF(LEN(INDEX(Database!E$9:E$501,ROW(Calc!I263)-ROW(Calc!$B$7)))=0,"",INDEX(Database!E$9:E$501,ROW(Calc!I263)-ROW(Calc!$B$7))),"")</f>
        <v/>
      </c>
      <c r="L263" s="129" t="str">
        <f>IFERROR(IF(LEN(INDEX(Database!K$9:K$501,ROW(Calc!K263)-ROW(Calc!$B$7)))=0,$AD$3,INDEX(Database!K$9:K$501,ROW(Calc!K263)-ROW(Calc!$B$7))),"")</f>
        <v>Not Set</v>
      </c>
      <c r="M263" s="130" t="str">
        <f>IFERROR(IF(LEN(INDEX(Database!L$9:L$501,ROW(Calc!L263)-ROW(Calc!$B$7)))=0,$AD$3,INDEX(Database!L$9:L$501,ROW(Calc!L263)-ROW(Calc!$B$7))),"")</f>
        <v>Not Set</v>
      </c>
      <c r="N263" s="131" t="str">
        <f>IFERROR(IF(LEN(INDEX(Database!M$9:M$501,ROW(Calc!M263)-ROW(Calc!$B$7)))=0,"",INDEX(Database!M$9:M$501,ROW(Calc!M263)-ROW(Calc!$B$7))),"")</f>
        <v/>
      </c>
      <c r="O263" s="132" t="str">
        <f t="shared" si="36"/>
        <v/>
      </c>
      <c r="P263" s="125" t="str">
        <f t="shared" si="33"/>
        <v>Not Set</v>
      </c>
      <c r="Q263" s="125" t="str">
        <f t="shared" si="34"/>
        <v>Not Set</v>
      </c>
      <c r="R263" s="125" t="str">
        <f>IFERROR(IF(G263=$AD$3,$AD$3,INDEX(Kanban_Helper!$C$317:$C$328,MATCH(MONTH(G263),Kanban_Helper!$B$317:$B$328,0))&amp;" - "&amp;YEAR(G263)),"$AD$3")</f>
        <v>Not Set</v>
      </c>
      <c r="S263" s="125" t="str">
        <f>IFERROR(IF(I263=$AD$3,$AD$3,INDEX(Kanban_Helper!$C$317:$C$328,MATCH(MONTH(I263),Kanban_Helper!$B$317:$B$328,0))&amp;" - "&amp;YEAR(I263)),$AD$3)</f>
        <v>Not Set</v>
      </c>
      <c r="T263" s="125" t="str">
        <f t="shared" ca="1" si="37"/>
        <v/>
      </c>
      <c r="U263" s="125" t="str">
        <f t="shared" ca="1" si="38"/>
        <v/>
      </c>
      <c r="V263" s="125" t="str">
        <f t="shared" si="35"/>
        <v>Not Set</v>
      </c>
      <c r="W263" s="126" t="str">
        <f t="shared" si="39"/>
        <v/>
      </c>
      <c r="X263" s="126" t="str">
        <f t="shared" si="40"/>
        <v/>
      </c>
      <c r="Y263" s="125" t="str">
        <f>IFERROR(IF(LEN(D263)=0,"",IF(SUBTOTAL(3,E263:E263)=0,MIN($Y$7:Y262)-1,SUBTOTAL(3,$E$8:E263))),"")</f>
        <v/>
      </c>
      <c r="Z263" s="17"/>
      <c r="AA263" s="10"/>
      <c r="AB263" s="10"/>
      <c r="AC263" s="10"/>
      <c r="AD263" s="10"/>
      <c r="AE263" s="10"/>
      <c r="AF263" s="10"/>
      <c r="AG263" s="10"/>
      <c r="AH263" s="10"/>
      <c r="AI263" s="10"/>
      <c r="AJ263" s="10"/>
      <c r="AK263" s="10"/>
      <c r="AL263" s="10"/>
      <c r="AM263" s="10"/>
      <c r="AN263" s="10"/>
    </row>
    <row r="264" spans="2:40" hidden="1" x14ac:dyDescent="0.35">
      <c r="B264" s="15"/>
      <c r="C264" s="127" t="str">
        <f>IFERROR(IF(LEN(INDEX(Database!C$9:C$501,ROW(Calc!A264)-ROW(Calc!$B$7)))=0,"",INDEX(Database!C$9:C$501,ROW(Calc!A264)-ROW(Calc!$B$7))),"")</f>
        <v/>
      </c>
      <c r="D264" s="70" t="str">
        <f>IFERROR(IF(LEN(INDEX(Database!D$9:D$501,ROW(Calc!B264)-ROW(Calc!$B$7)))=0,"",INDEX(Database!D$9:D$501,ROW(Calc!B264)-ROW(Calc!$B$7))),"")</f>
        <v/>
      </c>
      <c r="E264" s="124" t="str">
        <f>IFERROR(IF(LEN(INDEX(Database!G$9:G$501,ROW(Calc!D264)-ROW(Calc!$B$7)))=0,$AD$3,INDEX(Database!G$9:G$501,ROW(Calc!D264)-ROW(Calc!$B$7))),"")</f>
        <v>Not Set</v>
      </c>
      <c r="F264" s="124" t="str">
        <f>IFERROR(IF(LEN(INDEX(Database!F$9:F$501,ROW(Calc!E264)-ROW(Calc!$B$7)))=0,$AD$3,INDEX(Database!F$9:F$501,ROW(Calc!E264)-ROW(Calc!$B$7))),"")</f>
        <v>Not Set</v>
      </c>
      <c r="G264" s="128" t="str">
        <f>IFERROR(IF(LEN(INDEX(Database!H$9:H$501,ROW(Calc!F264)-ROW(Calc!$B$7)))=0,$AD$3,INDEX(Database!H$9:H$501,ROW(Calc!F264)-ROW(Calc!$B$7))),"")</f>
        <v>Not Set</v>
      </c>
      <c r="H264" s="128" t="str">
        <f>IFERROR(IF(LEN(INDEX(Database!I$9:I$501,ROW(Calc!G264)-ROW(Calc!$B$7)))=0,$AD$3,INDEX(Database!I$9:I$501,ROW(Calc!G264)-ROW(Calc!$B$7))),"")</f>
        <v>Not Set</v>
      </c>
      <c r="I264" s="128" t="str">
        <f>IFERROR(IF(LEN(INDEX(Database!J$9:J$501,ROW(Calc!H264)-ROW(Calc!$B$7)))=0,$AD$3,INDEX(Database!J$9:J$501,ROW(Calc!H264)-ROW(Calc!$B$7))),"")</f>
        <v>Not Set</v>
      </c>
      <c r="J264" s="128" t="str">
        <f t="shared" ref="J264:J327" si="41">IFERROR(IF(I264=$AD$3,$AD$3,CONCATENATE(DAY(I264),".",MONTH(I264),".",YEAR(I264))),"")</f>
        <v>Not Set</v>
      </c>
      <c r="K264" s="124" t="str">
        <f>IFERROR(IF(LEN(INDEX(Database!E$9:E$501,ROW(Calc!I264)-ROW(Calc!$B$7)))=0,"",INDEX(Database!E$9:E$501,ROW(Calc!I264)-ROW(Calc!$B$7))),"")</f>
        <v/>
      </c>
      <c r="L264" s="129" t="str">
        <f>IFERROR(IF(LEN(INDEX(Database!K$9:K$501,ROW(Calc!K264)-ROW(Calc!$B$7)))=0,$AD$3,INDEX(Database!K$9:K$501,ROW(Calc!K264)-ROW(Calc!$B$7))),"")</f>
        <v>Not Set</v>
      </c>
      <c r="M264" s="130" t="str">
        <f>IFERROR(IF(LEN(INDEX(Database!L$9:L$501,ROW(Calc!L264)-ROW(Calc!$B$7)))=0,$AD$3,INDEX(Database!L$9:L$501,ROW(Calc!L264)-ROW(Calc!$B$7))),"")</f>
        <v>Not Set</v>
      </c>
      <c r="N264" s="131" t="str">
        <f>IFERROR(IF(LEN(INDEX(Database!M$9:M$501,ROW(Calc!M264)-ROW(Calc!$B$7)))=0,"",INDEX(Database!M$9:M$501,ROW(Calc!M264)-ROW(Calc!$B$7))),"")</f>
        <v/>
      </c>
      <c r="O264" s="132" t="str">
        <f t="shared" si="36"/>
        <v/>
      </c>
      <c r="P264" s="125" t="str">
        <f t="shared" ref="P264:P327" si="42">IFERROR(IF(G264=$AD$3,$AD$3,MONTH(G264)),"")</f>
        <v>Not Set</v>
      </c>
      <c r="Q264" s="125" t="str">
        <f t="shared" ref="Q264:Q327" si="43">IFERROR(IF(I264=$AD$3,$AD$3,MONTH(I264)),"")</f>
        <v>Not Set</v>
      </c>
      <c r="R264" s="125" t="str">
        <f>IFERROR(IF(G264=$AD$3,$AD$3,INDEX(Kanban_Helper!$C$317:$C$328,MATCH(MONTH(G264),Kanban_Helper!$B$317:$B$328,0))&amp;" - "&amp;YEAR(G264)),"$AD$3")</f>
        <v>Not Set</v>
      </c>
      <c r="S264" s="125" t="str">
        <f>IFERROR(IF(I264=$AD$3,$AD$3,INDEX(Kanban_Helper!$C$317:$C$328,MATCH(MONTH(I264),Kanban_Helper!$B$317:$B$328,0))&amp;" - "&amp;YEAR(I264)),$AD$3)</f>
        <v>Not Set</v>
      </c>
      <c r="T264" s="125" t="str">
        <f t="shared" ca="1" si="37"/>
        <v/>
      </c>
      <c r="U264" s="125" t="str">
        <f t="shared" ca="1" si="38"/>
        <v/>
      </c>
      <c r="V264" s="125" t="str">
        <f t="shared" ref="V264:V327" si="44">IFERROR(IF(OR(G264=$AD$3,H264=$AD$3),$AD$3,IF(H264&lt;=I264,"No","Yes")),$AD$3)</f>
        <v>Not Set</v>
      </c>
      <c r="W264" s="126" t="str">
        <f t="shared" si="39"/>
        <v/>
      </c>
      <c r="X264" s="126" t="str">
        <f t="shared" si="40"/>
        <v/>
      </c>
      <c r="Y264" s="125" t="str">
        <f>IFERROR(IF(LEN(D264)=0,"",IF(SUBTOTAL(3,E264:E264)=0,MIN($Y$7:Y263)-1,SUBTOTAL(3,$E$8:E264))),"")</f>
        <v/>
      </c>
      <c r="Z264" s="17"/>
      <c r="AA264" s="10"/>
      <c r="AB264" s="10"/>
      <c r="AC264" s="10"/>
      <c r="AD264" s="10"/>
      <c r="AE264" s="10"/>
      <c r="AF264" s="10"/>
      <c r="AG264" s="10"/>
      <c r="AH264" s="10"/>
      <c r="AI264" s="10"/>
      <c r="AJ264" s="10"/>
      <c r="AK264" s="10"/>
      <c r="AL264" s="10"/>
      <c r="AM264" s="10"/>
      <c r="AN264" s="10"/>
    </row>
    <row r="265" spans="2:40" hidden="1" x14ac:dyDescent="0.35">
      <c r="B265" s="15"/>
      <c r="C265" s="127" t="str">
        <f>IFERROR(IF(LEN(INDEX(Database!C$9:C$501,ROW(Calc!A265)-ROW(Calc!$B$7)))=0,"",INDEX(Database!C$9:C$501,ROW(Calc!A265)-ROW(Calc!$B$7))),"")</f>
        <v/>
      </c>
      <c r="D265" s="70" t="str">
        <f>IFERROR(IF(LEN(INDEX(Database!D$9:D$501,ROW(Calc!B265)-ROW(Calc!$B$7)))=0,"",INDEX(Database!D$9:D$501,ROW(Calc!B265)-ROW(Calc!$B$7))),"")</f>
        <v/>
      </c>
      <c r="E265" s="124" t="str">
        <f>IFERROR(IF(LEN(INDEX(Database!G$9:G$501,ROW(Calc!D265)-ROW(Calc!$B$7)))=0,$AD$3,INDEX(Database!G$9:G$501,ROW(Calc!D265)-ROW(Calc!$B$7))),"")</f>
        <v>Not Set</v>
      </c>
      <c r="F265" s="124" t="str">
        <f>IFERROR(IF(LEN(INDEX(Database!F$9:F$501,ROW(Calc!E265)-ROW(Calc!$B$7)))=0,$AD$3,INDEX(Database!F$9:F$501,ROW(Calc!E265)-ROW(Calc!$B$7))),"")</f>
        <v>Not Set</v>
      </c>
      <c r="G265" s="128" t="str">
        <f>IFERROR(IF(LEN(INDEX(Database!H$9:H$501,ROW(Calc!F265)-ROW(Calc!$B$7)))=0,$AD$3,INDEX(Database!H$9:H$501,ROW(Calc!F265)-ROW(Calc!$B$7))),"")</f>
        <v>Not Set</v>
      </c>
      <c r="H265" s="128" t="str">
        <f>IFERROR(IF(LEN(INDEX(Database!I$9:I$501,ROW(Calc!G265)-ROW(Calc!$B$7)))=0,$AD$3,INDEX(Database!I$9:I$501,ROW(Calc!G265)-ROW(Calc!$B$7))),"")</f>
        <v>Not Set</v>
      </c>
      <c r="I265" s="128" t="str">
        <f>IFERROR(IF(LEN(INDEX(Database!J$9:J$501,ROW(Calc!H265)-ROW(Calc!$B$7)))=0,$AD$3,INDEX(Database!J$9:J$501,ROW(Calc!H265)-ROW(Calc!$B$7))),"")</f>
        <v>Not Set</v>
      </c>
      <c r="J265" s="128" t="str">
        <f t="shared" si="41"/>
        <v>Not Set</v>
      </c>
      <c r="K265" s="124" t="str">
        <f>IFERROR(IF(LEN(INDEX(Database!E$9:E$501,ROW(Calc!I265)-ROW(Calc!$B$7)))=0,"",INDEX(Database!E$9:E$501,ROW(Calc!I265)-ROW(Calc!$B$7))),"")</f>
        <v/>
      </c>
      <c r="L265" s="129" t="str">
        <f>IFERROR(IF(LEN(INDEX(Database!K$9:K$501,ROW(Calc!K265)-ROW(Calc!$B$7)))=0,$AD$3,INDEX(Database!K$9:K$501,ROW(Calc!K265)-ROW(Calc!$B$7))),"")</f>
        <v>Not Set</v>
      </c>
      <c r="M265" s="130" t="str">
        <f>IFERROR(IF(LEN(INDEX(Database!L$9:L$501,ROW(Calc!L265)-ROW(Calc!$B$7)))=0,$AD$3,INDEX(Database!L$9:L$501,ROW(Calc!L265)-ROW(Calc!$B$7))),"")</f>
        <v>Not Set</v>
      </c>
      <c r="N265" s="131" t="str">
        <f>IFERROR(IF(LEN(INDEX(Database!M$9:M$501,ROW(Calc!M265)-ROW(Calc!$B$7)))=0,"",INDEX(Database!M$9:M$501,ROW(Calc!M265)-ROW(Calc!$B$7))),"")</f>
        <v/>
      </c>
      <c r="O265" s="132" t="str">
        <f t="shared" ref="O265:O328" si="45">IFERROR(IF(LEN(D265)=0,"",ROW(D265)-ROW($D$7)),"")</f>
        <v/>
      </c>
      <c r="P265" s="125" t="str">
        <f t="shared" si="42"/>
        <v>Not Set</v>
      </c>
      <c r="Q265" s="125" t="str">
        <f t="shared" si="43"/>
        <v>Not Set</v>
      </c>
      <c r="R265" s="125" t="str">
        <f>IFERROR(IF(G265=$AD$3,$AD$3,INDEX(Kanban_Helper!$C$317:$C$328,MATCH(MONTH(G265),Kanban_Helper!$B$317:$B$328,0))&amp;" - "&amp;YEAR(G265)),"$AD$3")</f>
        <v>Not Set</v>
      </c>
      <c r="S265" s="125" t="str">
        <f>IFERROR(IF(I265=$AD$3,$AD$3,INDEX(Kanban_Helper!$C$317:$C$328,MATCH(MONTH(I265),Kanban_Helper!$B$317:$B$328,0))&amp;" - "&amp;YEAR(I265)),$AD$3)</f>
        <v>Not Set</v>
      </c>
      <c r="T265" s="125" t="str">
        <f t="shared" ref="T265:T328" ca="1" si="46">IFERROR(IF(LEN(G265)=0,"",IF(LEN(H265)=0,TODAY()-G265,H265-G265)),"")</f>
        <v/>
      </c>
      <c r="U265" s="125" t="str">
        <f t="shared" ref="U265:U328" ca="1" si="47">IFERROR(IF(LEN(I265)=0,"",IF(LEN(H265)=0,IF(TODAY()&gt;=I265,TODAY()-I265,""),IF(H265&gt;I265,H265-I265,""))),"")</f>
        <v/>
      </c>
      <c r="V265" s="125" t="str">
        <f t="shared" si="44"/>
        <v>Not Set</v>
      </c>
      <c r="W265" s="126" t="str">
        <f t="shared" ref="W265:W328" si="48">IFERROR(IF(OR(LEN(L265)=0,LEN(M265)=0),"",L265*M265),"")</f>
        <v/>
      </c>
      <c r="X265" s="126" t="str">
        <f t="shared" ref="X265:X328" si="49">IFERROR(IF(OR(LEN(W265)=0,LEN(M265)=0),"",M265-W265),"")</f>
        <v/>
      </c>
      <c r="Y265" s="125" t="str">
        <f>IFERROR(IF(LEN(D265)=0,"",IF(SUBTOTAL(3,E265:E265)=0,MIN($Y$7:Y264)-1,SUBTOTAL(3,$E$8:E265))),"")</f>
        <v/>
      </c>
      <c r="Z265" s="17"/>
      <c r="AA265" s="10"/>
      <c r="AB265" s="10"/>
      <c r="AC265" s="10"/>
      <c r="AD265" s="10"/>
      <c r="AE265" s="10"/>
      <c r="AF265" s="10"/>
      <c r="AG265" s="10"/>
      <c r="AH265" s="10"/>
      <c r="AI265" s="10"/>
      <c r="AJ265" s="10"/>
      <c r="AK265" s="10"/>
      <c r="AL265" s="10"/>
      <c r="AM265" s="10"/>
      <c r="AN265" s="10"/>
    </row>
    <row r="266" spans="2:40" hidden="1" x14ac:dyDescent="0.35">
      <c r="B266" s="15"/>
      <c r="C266" s="127" t="str">
        <f>IFERROR(IF(LEN(INDEX(Database!C$9:C$501,ROW(Calc!A266)-ROW(Calc!$B$7)))=0,"",INDEX(Database!C$9:C$501,ROW(Calc!A266)-ROW(Calc!$B$7))),"")</f>
        <v/>
      </c>
      <c r="D266" s="70" t="str">
        <f>IFERROR(IF(LEN(INDEX(Database!D$9:D$501,ROW(Calc!B266)-ROW(Calc!$B$7)))=0,"",INDEX(Database!D$9:D$501,ROW(Calc!B266)-ROW(Calc!$B$7))),"")</f>
        <v/>
      </c>
      <c r="E266" s="124" t="str">
        <f>IFERROR(IF(LEN(INDEX(Database!G$9:G$501,ROW(Calc!D266)-ROW(Calc!$B$7)))=0,$AD$3,INDEX(Database!G$9:G$501,ROW(Calc!D266)-ROW(Calc!$B$7))),"")</f>
        <v>Not Set</v>
      </c>
      <c r="F266" s="124" t="str">
        <f>IFERROR(IF(LEN(INDEX(Database!F$9:F$501,ROW(Calc!E266)-ROW(Calc!$B$7)))=0,$AD$3,INDEX(Database!F$9:F$501,ROW(Calc!E266)-ROW(Calc!$B$7))),"")</f>
        <v>Not Set</v>
      </c>
      <c r="G266" s="128" t="str">
        <f>IFERROR(IF(LEN(INDEX(Database!H$9:H$501,ROW(Calc!F266)-ROW(Calc!$B$7)))=0,$AD$3,INDEX(Database!H$9:H$501,ROW(Calc!F266)-ROW(Calc!$B$7))),"")</f>
        <v>Not Set</v>
      </c>
      <c r="H266" s="128" t="str">
        <f>IFERROR(IF(LEN(INDEX(Database!I$9:I$501,ROW(Calc!G266)-ROW(Calc!$B$7)))=0,$AD$3,INDEX(Database!I$9:I$501,ROW(Calc!G266)-ROW(Calc!$B$7))),"")</f>
        <v>Not Set</v>
      </c>
      <c r="I266" s="128" t="str">
        <f>IFERROR(IF(LEN(INDEX(Database!J$9:J$501,ROW(Calc!H266)-ROW(Calc!$B$7)))=0,$AD$3,INDEX(Database!J$9:J$501,ROW(Calc!H266)-ROW(Calc!$B$7))),"")</f>
        <v>Not Set</v>
      </c>
      <c r="J266" s="128" t="str">
        <f t="shared" si="41"/>
        <v>Not Set</v>
      </c>
      <c r="K266" s="124" t="str">
        <f>IFERROR(IF(LEN(INDEX(Database!E$9:E$501,ROW(Calc!I266)-ROW(Calc!$B$7)))=0,"",INDEX(Database!E$9:E$501,ROW(Calc!I266)-ROW(Calc!$B$7))),"")</f>
        <v/>
      </c>
      <c r="L266" s="129" t="str">
        <f>IFERROR(IF(LEN(INDEX(Database!K$9:K$501,ROW(Calc!K266)-ROW(Calc!$B$7)))=0,$AD$3,INDEX(Database!K$9:K$501,ROW(Calc!K266)-ROW(Calc!$B$7))),"")</f>
        <v>Not Set</v>
      </c>
      <c r="M266" s="130" t="str">
        <f>IFERROR(IF(LEN(INDEX(Database!L$9:L$501,ROW(Calc!L266)-ROW(Calc!$B$7)))=0,$AD$3,INDEX(Database!L$9:L$501,ROW(Calc!L266)-ROW(Calc!$B$7))),"")</f>
        <v>Not Set</v>
      </c>
      <c r="N266" s="131" t="str">
        <f>IFERROR(IF(LEN(INDEX(Database!M$9:M$501,ROW(Calc!M266)-ROW(Calc!$B$7)))=0,"",INDEX(Database!M$9:M$501,ROW(Calc!M266)-ROW(Calc!$B$7))),"")</f>
        <v/>
      </c>
      <c r="O266" s="132" t="str">
        <f t="shared" si="45"/>
        <v/>
      </c>
      <c r="P266" s="125" t="str">
        <f t="shared" si="42"/>
        <v>Not Set</v>
      </c>
      <c r="Q266" s="125" t="str">
        <f t="shared" si="43"/>
        <v>Not Set</v>
      </c>
      <c r="R266" s="125" t="str">
        <f>IFERROR(IF(G266=$AD$3,$AD$3,INDEX(Kanban_Helper!$C$317:$C$328,MATCH(MONTH(G266),Kanban_Helper!$B$317:$B$328,0))&amp;" - "&amp;YEAR(G266)),"$AD$3")</f>
        <v>Not Set</v>
      </c>
      <c r="S266" s="125" t="str">
        <f>IFERROR(IF(I266=$AD$3,$AD$3,INDEX(Kanban_Helper!$C$317:$C$328,MATCH(MONTH(I266),Kanban_Helper!$B$317:$B$328,0))&amp;" - "&amp;YEAR(I266)),$AD$3)</f>
        <v>Not Set</v>
      </c>
      <c r="T266" s="125" t="str">
        <f t="shared" ca="1" si="46"/>
        <v/>
      </c>
      <c r="U266" s="125" t="str">
        <f t="shared" ca="1" si="47"/>
        <v/>
      </c>
      <c r="V266" s="125" t="str">
        <f t="shared" si="44"/>
        <v>Not Set</v>
      </c>
      <c r="W266" s="126" t="str">
        <f t="shared" si="48"/>
        <v/>
      </c>
      <c r="X266" s="126" t="str">
        <f t="shared" si="49"/>
        <v/>
      </c>
      <c r="Y266" s="125" t="str">
        <f>IFERROR(IF(LEN(D266)=0,"",IF(SUBTOTAL(3,E266:E266)=0,MIN($Y$7:Y265)-1,SUBTOTAL(3,$E$8:E266))),"")</f>
        <v/>
      </c>
      <c r="Z266" s="17"/>
      <c r="AA266" s="10"/>
      <c r="AB266" s="10"/>
      <c r="AC266" s="10"/>
      <c r="AD266" s="10"/>
      <c r="AE266" s="10"/>
      <c r="AF266" s="10"/>
      <c r="AG266" s="10"/>
      <c r="AH266" s="10"/>
      <c r="AI266" s="10"/>
      <c r="AJ266" s="10"/>
      <c r="AK266" s="10"/>
      <c r="AL266" s="10"/>
      <c r="AM266" s="10"/>
      <c r="AN266" s="10"/>
    </row>
    <row r="267" spans="2:40" hidden="1" x14ac:dyDescent="0.35">
      <c r="B267" s="15"/>
      <c r="C267" s="127" t="str">
        <f>IFERROR(IF(LEN(INDEX(Database!C$9:C$501,ROW(Calc!A267)-ROW(Calc!$B$7)))=0,"",INDEX(Database!C$9:C$501,ROW(Calc!A267)-ROW(Calc!$B$7))),"")</f>
        <v/>
      </c>
      <c r="D267" s="70" t="str">
        <f>IFERROR(IF(LEN(INDEX(Database!D$9:D$501,ROW(Calc!B267)-ROW(Calc!$B$7)))=0,"",INDEX(Database!D$9:D$501,ROW(Calc!B267)-ROW(Calc!$B$7))),"")</f>
        <v/>
      </c>
      <c r="E267" s="124" t="str">
        <f>IFERROR(IF(LEN(INDEX(Database!G$9:G$501,ROW(Calc!D267)-ROW(Calc!$B$7)))=0,$AD$3,INDEX(Database!G$9:G$501,ROW(Calc!D267)-ROW(Calc!$B$7))),"")</f>
        <v>Not Set</v>
      </c>
      <c r="F267" s="124" t="str">
        <f>IFERROR(IF(LEN(INDEX(Database!F$9:F$501,ROW(Calc!E267)-ROW(Calc!$B$7)))=0,$AD$3,INDEX(Database!F$9:F$501,ROW(Calc!E267)-ROW(Calc!$B$7))),"")</f>
        <v>Not Set</v>
      </c>
      <c r="G267" s="128" t="str">
        <f>IFERROR(IF(LEN(INDEX(Database!H$9:H$501,ROW(Calc!F267)-ROW(Calc!$B$7)))=0,$AD$3,INDEX(Database!H$9:H$501,ROW(Calc!F267)-ROW(Calc!$B$7))),"")</f>
        <v>Not Set</v>
      </c>
      <c r="H267" s="128" t="str">
        <f>IFERROR(IF(LEN(INDEX(Database!I$9:I$501,ROW(Calc!G267)-ROW(Calc!$B$7)))=0,$AD$3,INDEX(Database!I$9:I$501,ROW(Calc!G267)-ROW(Calc!$B$7))),"")</f>
        <v>Not Set</v>
      </c>
      <c r="I267" s="128" t="str">
        <f>IFERROR(IF(LEN(INDEX(Database!J$9:J$501,ROW(Calc!H267)-ROW(Calc!$B$7)))=0,$AD$3,INDEX(Database!J$9:J$501,ROW(Calc!H267)-ROW(Calc!$B$7))),"")</f>
        <v>Not Set</v>
      </c>
      <c r="J267" s="128" t="str">
        <f t="shared" si="41"/>
        <v>Not Set</v>
      </c>
      <c r="K267" s="124" t="str">
        <f>IFERROR(IF(LEN(INDEX(Database!E$9:E$501,ROW(Calc!I267)-ROW(Calc!$B$7)))=0,"",INDEX(Database!E$9:E$501,ROW(Calc!I267)-ROW(Calc!$B$7))),"")</f>
        <v/>
      </c>
      <c r="L267" s="129" t="str">
        <f>IFERROR(IF(LEN(INDEX(Database!K$9:K$501,ROW(Calc!K267)-ROW(Calc!$B$7)))=0,$AD$3,INDEX(Database!K$9:K$501,ROW(Calc!K267)-ROW(Calc!$B$7))),"")</f>
        <v>Not Set</v>
      </c>
      <c r="M267" s="130" t="str">
        <f>IFERROR(IF(LEN(INDEX(Database!L$9:L$501,ROW(Calc!L267)-ROW(Calc!$B$7)))=0,$AD$3,INDEX(Database!L$9:L$501,ROW(Calc!L267)-ROW(Calc!$B$7))),"")</f>
        <v>Not Set</v>
      </c>
      <c r="N267" s="131" t="str">
        <f>IFERROR(IF(LEN(INDEX(Database!M$9:M$501,ROW(Calc!M267)-ROW(Calc!$B$7)))=0,"",INDEX(Database!M$9:M$501,ROW(Calc!M267)-ROW(Calc!$B$7))),"")</f>
        <v/>
      </c>
      <c r="O267" s="132" t="str">
        <f t="shared" si="45"/>
        <v/>
      </c>
      <c r="P267" s="125" t="str">
        <f t="shared" si="42"/>
        <v>Not Set</v>
      </c>
      <c r="Q267" s="125" t="str">
        <f t="shared" si="43"/>
        <v>Not Set</v>
      </c>
      <c r="R267" s="125" t="str">
        <f>IFERROR(IF(G267=$AD$3,$AD$3,INDEX(Kanban_Helper!$C$317:$C$328,MATCH(MONTH(G267),Kanban_Helper!$B$317:$B$328,0))&amp;" - "&amp;YEAR(G267)),"$AD$3")</f>
        <v>Not Set</v>
      </c>
      <c r="S267" s="125" t="str">
        <f>IFERROR(IF(I267=$AD$3,$AD$3,INDEX(Kanban_Helper!$C$317:$C$328,MATCH(MONTH(I267),Kanban_Helper!$B$317:$B$328,0))&amp;" - "&amp;YEAR(I267)),$AD$3)</f>
        <v>Not Set</v>
      </c>
      <c r="T267" s="125" t="str">
        <f t="shared" ca="1" si="46"/>
        <v/>
      </c>
      <c r="U267" s="125" t="str">
        <f t="shared" ca="1" si="47"/>
        <v/>
      </c>
      <c r="V267" s="125" t="str">
        <f t="shared" si="44"/>
        <v>Not Set</v>
      </c>
      <c r="W267" s="126" t="str">
        <f t="shared" si="48"/>
        <v/>
      </c>
      <c r="X267" s="126" t="str">
        <f t="shared" si="49"/>
        <v/>
      </c>
      <c r="Y267" s="125" t="str">
        <f>IFERROR(IF(LEN(D267)=0,"",IF(SUBTOTAL(3,E267:E267)=0,MIN($Y$7:Y266)-1,SUBTOTAL(3,$E$8:E267))),"")</f>
        <v/>
      </c>
      <c r="Z267" s="17"/>
      <c r="AA267" s="10"/>
      <c r="AB267" s="10"/>
      <c r="AC267" s="10"/>
      <c r="AD267" s="10"/>
      <c r="AE267" s="10"/>
      <c r="AF267" s="10"/>
      <c r="AG267" s="10"/>
      <c r="AH267" s="10"/>
      <c r="AI267" s="10"/>
      <c r="AJ267" s="10"/>
      <c r="AK267" s="10"/>
      <c r="AL267" s="10"/>
      <c r="AM267" s="10"/>
      <c r="AN267" s="10"/>
    </row>
    <row r="268" spans="2:40" hidden="1" x14ac:dyDescent="0.35">
      <c r="B268" s="15"/>
      <c r="C268" s="127" t="str">
        <f>IFERROR(IF(LEN(INDEX(Database!C$9:C$501,ROW(Calc!A268)-ROW(Calc!$B$7)))=0,"",INDEX(Database!C$9:C$501,ROW(Calc!A268)-ROW(Calc!$B$7))),"")</f>
        <v/>
      </c>
      <c r="D268" s="70" t="str">
        <f>IFERROR(IF(LEN(INDEX(Database!D$9:D$501,ROW(Calc!B268)-ROW(Calc!$B$7)))=0,"",INDEX(Database!D$9:D$501,ROW(Calc!B268)-ROW(Calc!$B$7))),"")</f>
        <v/>
      </c>
      <c r="E268" s="124" t="str">
        <f>IFERROR(IF(LEN(INDEX(Database!G$9:G$501,ROW(Calc!D268)-ROW(Calc!$B$7)))=0,$AD$3,INDEX(Database!G$9:G$501,ROW(Calc!D268)-ROW(Calc!$B$7))),"")</f>
        <v>Not Set</v>
      </c>
      <c r="F268" s="124" t="str">
        <f>IFERROR(IF(LEN(INDEX(Database!F$9:F$501,ROW(Calc!E268)-ROW(Calc!$B$7)))=0,$AD$3,INDEX(Database!F$9:F$501,ROW(Calc!E268)-ROW(Calc!$B$7))),"")</f>
        <v>Not Set</v>
      </c>
      <c r="G268" s="128" t="str">
        <f>IFERROR(IF(LEN(INDEX(Database!H$9:H$501,ROW(Calc!F268)-ROW(Calc!$B$7)))=0,$AD$3,INDEX(Database!H$9:H$501,ROW(Calc!F268)-ROW(Calc!$B$7))),"")</f>
        <v>Not Set</v>
      </c>
      <c r="H268" s="128" t="str">
        <f>IFERROR(IF(LEN(INDEX(Database!I$9:I$501,ROW(Calc!G268)-ROW(Calc!$B$7)))=0,$AD$3,INDEX(Database!I$9:I$501,ROW(Calc!G268)-ROW(Calc!$B$7))),"")</f>
        <v>Not Set</v>
      </c>
      <c r="I268" s="128" t="str">
        <f>IFERROR(IF(LEN(INDEX(Database!J$9:J$501,ROW(Calc!H268)-ROW(Calc!$B$7)))=0,$AD$3,INDEX(Database!J$9:J$501,ROW(Calc!H268)-ROW(Calc!$B$7))),"")</f>
        <v>Not Set</v>
      </c>
      <c r="J268" s="128" t="str">
        <f t="shared" si="41"/>
        <v>Not Set</v>
      </c>
      <c r="K268" s="124" t="str">
        <f>IFERROR(IF(LEN(INDEX(Database!E$9:E$501,ROW(Calc!I268)-ROW(Calc!$B$7)))=0,"",INDEX(Database!E$9:E$501,ROW(Calc!I268)-ROW(Calc!$B$7))),"")</f>
        <v/>
      </c>
      <c r="L268" s="129" t="str">
        <f>IFERROR(IF(LEN(INDEX(Database!K$9:K$501,ROW(Calc!K268)-ROW(Calc!$B$7)))=0,$AD$3,INDEX(Database!K$9:K$501,ROW(Calc!K268)-ROW(Calc!$B$7))),"")</f>
        <v>Not Set</v>
      </c>
      <c r="M268" s="130" t="str">
        <f>IFERROR(IF(LEN(INDEX(Database!L$9:L$501,ROW(Calc!L268)-ROW(Calc!$B$7)))=0,$AD$3,INDEX(Database!L$9:L$501,ROW(Calc!L268)-ROW(Calc!$B$7))),"")</f>
        <v>Not Set</v>
      </c>
      <c r="N268" s="131" t="str">
        <f>IFERROR(IF(LEN(INDEX(Database!M$9:M$501,ROW(Calc!M268)-ROW(Calc!$B$7)))=0,"",INDEX(Database!M$9:M$501,ROW(Calc!M268)-ROW(Calc!$B$7))),"")</f>
        <v/>
      </c>
      <c r="O268" s="132" t="str">
        <f t="shared" si="45"/>
        <v/>
      </c>
      <c r="P268" s="125" t="str">
        <f t="shared" si="42"/>
        <v>Not Set</v>
      </c>
      <c r="Q268" s="125" t="str">
        <f t="shared" si="43"/>
        <v>Not Set</v>
      </c>
      <c r="R268" s="125" t="str">
        <f>IFERROR(IF(G268=$AD$3,$AD$3,INDEX(Kanban_Helper!$C$317:$C$328,MATCH(MONTH(G268),Kanban_Helper!$B$317:$B$328,0))&amp;" - "&amp;YEAR(G268)),"$AD$3")</f>
        <v>Not Set</v>
      </c>
      <c r="S268" s="125" t="str">
        <f>IFERROR(IF(I268=$AD$3,$AD$3,INDEX(Kanban_Helper!$C$317:$C$328,MATCH(MONTH(I268),Kanban_Helper!$B$317:$B$328,0))&amp;" - "&amp;YEAR(I268)),$AD$3)</f>
        <v>Not Set</v>
      </c>
      <c r="T268" s="125" t="str">
        <f t="shared" ca="1" si="46"/>
        <v/>
      </c>
      <c r="U268" s="125" t="str">
        <f t="shared" ca="1" si="47"/>
        <v/>
      </c>
      <c r="V268" s="125" t="str">
        <f t="shared" si="44"/>
        <v>Not Set</v>
      </c>
      <c r="W268" s="126" t="str">
        <f t="shared" si="48"/>
        <v/>
      </c>
      <c r="X268" s="126" t="str">
        <f t="shared" si="49"/>
        <v/>
      </c>
      <c r="Y268" s="125" t="str">
        <f>IFERROR(IF(LEN(D268)=0,"",IF(SUBTOTAL(3,E268:E268)=0,MIN($Y$7:Y267)-1,SUBTOTAL(3,$E$8:E268))),"")</f>
        <v/>
      </c>
      <c r="Z268" s="17"/>
      <c r="AA268" s="10"/>
      <c r="AB268" s="10"/>
      <c r="AC268" s="10"/>
      <c r="AD268" s="10"/>
      <c r="AE268" s="10"/>
      <c r="AF268" s="10"/>
      <c r="AG268" s="10"/>
      <c r="AH268" s="10"/>
      <c r="AI268" s="10"/>
      <c r="AJ268" s="10"/>
      <c r="AK268" s="10"/>
      <c r="AL268" s="10"/>
      <c r="AM268" s="10"/>
      <c r="AN268" s="10"/>
    </row>
    <row r="269" spans="2:40" hidden="1" x14ac:dyDescent="0.35">
      <c r="B269" s="15"/>
      <c r="C269" s="127" t="str">
        <f>IFERROR(IF(LEN(INDEX(Database!C$9:C$501,ROW(Calc!A269)-ROW(Calc!$B$7)))=0,"",INDEX(Database!C$9:C$501,ROW(Calc!A269)-ROW(Calc!$B$7))),"")</f>
        <v/>
      </c>
      <c r="D269" s="70" t="str">
        <f>IFERROR(IF(LEN(INDEX(Database!D$9:D$501,ROW(Calc!B269)-ROW(Calc!$B$7)))=0,"",INDEX(Database!D$9:D$501,ROW(Calc!B269)-ROW(Calc!$B$7))),"")</f>
        <v/>
      </c>
      <c r="E269" s="124" t="str">
        <f>IFERROR(IF(LEN(INDEX(Database!G$9:G$501,ROW(Calc!D269)-ROW(Calc!$B$7)))=0,$AD$3,INDEX(Database!G$9:G$501,ROW(Calc!D269)-ROW(Calc!$B$7))),"")</f>
        <v>Not Set</v>
      </c>
      <c r="F269" s="124" t="str">
        <f>IFERROR(IF(LEN(INDEX(Database!F$9:F$501,ROW(Calc!E269)-ROW(Calc!$B$7)))=0,$AD$3,INDEX(Database!F$9:F$501,ROW(Calc!E269)-ROW(Calc!$B$7))),"")</f>
        <v>Not Set</v>
      </c>
      <c r="G269" s="128" t="str">
        <f>IFERROR(IF(LEN(INDEX(Database!H$9:H$501,ROW(Calc!F269)-ROW(Calc!$B$7)))=0,$AD$3,INDEX(Database!H$9:H$501,ROW(Calc!F269)-ROW(Calc!$B$7))),"")</f>
        <v>Not Set</v>
      </c>
      <c r="H269" s="128" t="str">
        <f>IFERROR(IF(LEN(INDEX(Database!I$9:I$501,ROW(Calc!G269)-ROW(Calc!$B$7)))=0,$AD$3,INDEX(Database!I$9:I$501,ROW(Calc!G269)-ROW(Calc!$B$7))),"")</f>
        <v>Not Set</v>
      </c>
      <c r="I269" s="128" t="str">
        <f>IFERROR(IF(LEN(INDEX(Database!J$9:J$501,ROW(Calc!H269)-ROW(Calc!$B$7)))=0,$AD$3,INDEX(Database!J$9:J$501,ROW(Calc!H269)-ROW(Calc!$B$7))),"")</f>
        <v>Not Set</v>
      </c>
      <c r="J269" s="128" t="str">
        <f t="shared" si="41"/>
        <v>Not Set</v>
      </c>
      <c r="K269" s="124" t="str">
        <f>IFERROR(IF(LEN(INDEX(Database!E$9:E$501,ROW(Calc!I269)-ROW(Calc!$B$7)))=0,"",INDEX(Database!E$9:E$501,ROW(Calc!I269)-ROW(Calc!$B$7))),"")</f>
        <v/>
      </c>
      <c r="L269" s="129" t="str">
        <f>IFERROR(IF(LEN(INDEX(Database!K$9:K$501,ROW(Calc!K269)-ROW(Calc!$B$7)))=0,$AD$3,INDEX(Database!K$9:K$501,ROW(Calc!K269)-ROW(Calc!$B$7))),"")</f>
        <v>Not Set</v>
      </c>
      <c r="M269" s="130" t="str">
        <f>IFERROR(IF(LEN(INDEX(Database!L$9:L$501,ROW(Calc!L269)-ROW(Calc!$B$7)))=0,$AD$3,INDEX(Database!L$9:L$501,ROW(Calc!L269)-ROW(Calc!$B$7))),"")</f>
        <v>Not Set</v>
      </c>
      <c r="N269" s="131" t="str">
        <f>IFERROR(IF(LEN(INDEX(Database!M$9:M$501,ROW(Calc!M269)-ROW(Calc!$B$7)))=0,"",INDEX(Database!M$9:M$501,ROW(Calc!M269)-ROW(Calc!$B$7))),"")</f>
        <v/>
      </c>
      <c r="O269" s="132" t="str">
        <f t="shared" si="45"/>
        <v/>
      </c>
      <c r="P269" s="125" t="str">
        <f t="shared" si="42"/>
        <v>Not Set</v>
      </c>
      <c r="Q269" s="125" t="str">
        <f t="shared" si="43"/>
        <v>Not Set</v>
      </c>
      <c r="R269" s="125" t="str">
        <f>IFERROR(IF(G269=$AD$3,$AD$3,INDEX(Kanban_Helper!$C$317:$C$328,MATCH(MONTH(G269),Kanban_Helper!$B$317:$B$328,0))&amp;" - "&amp;YEAR(G269)),"$AD$3")</f>
        <v>Not Set</v>
      </c>
      <c r="S269" s="125" t="str">
        <f>IFERROR(IF(I269=$AD$3,$AD$3,INDEX(Kanban_Helper!$C$317:$C$328,MATCH(MONTH(I269),Kanban_Helper!$B$317:$B$328,0))&amp;" - "&amp;YEAR(I269)),$AD$3)</f>
        <v>Not Set</v>
      </c>
      <c r="T269" s="125" t="str">
        <f t="shared" ca="1" si="46"/>
        <v/>
      </c>
      <c r="U269" s="125" t="str">
        <f t="shared" ca="1" si="47"/>
        <v/>
      </c>
      <c r="V269" s="125" t="str">
        <f t="shared" si="44"/>
        <v>Not Set</v>
      </c>
      <c r="W269" s="126" t="str">
        <f t="shared" si="48"/>
        <v/>
      </c>
      <c r="X269" s="126" t="str">
        <f t="shared" si="49"/>
        <v/>
      </c>
      <c r="Y269" s="125" t="str">
        <f>IFERROR(IF(LEN(D269)=0,"",IF(SUBTOTAL(3,E269:E269)=0,MIN($Y$7:Y268)-1,SUBTOTAL(3,$E$8:E269))),"")</f>
        <v/>
      </c>
      <c r="Z269" s="17"/>
      <c r="AA269" s="10"/>
      <c r="AB269" s="10"/>
      <c r="AC269" s="10"/>
      <c r="AD269" s="10"/>
      <c r="AE269" s="10"/>
      <c r="AF269" s="10"/>
      <c r="AG269" s="10"/>
      <c r="AH269" s="10"/>
      <c r="AI269" s="10"/>
      <c r="AJ269" s="10"/>
      <c r="AK269" s="10"/>
      <c r="AL269" s="10"/>
      <c r="AM269" s="10"/>
      <c r="AN269" s="10"/>
    </row>
    <row r="270" spans="2:40" hidden="1" x14ac:dyDescent="0.35">
      <c r="B270" s="15"/>
      <c r="C270" s="127" t="str">
        <f>IFERROR(IF(LEN(INDEX(Database!C$9:C$501,ROW(Calc!A270)-ROW(Calc!$B$7)))=0,"",INDEX(Database!C$9:C$501,ROW(Calc!A270)-ROW(Calc!$B$7))),"")</f>
        <v/>
      </c>
      <c r="D270" s="70" t="str">
        <f>IFERROR(IF(LEN(INDEX(Database!D$9:D$501,ROW(Calc!B270)-ROW(Calc!$B$7)))=0,"",INDEX(Database!D$9:D$501,ROW(Calc!B270)-ROW(Calc!$B$7))),"")</f>
        <v/>
      </c>
      <c r="E270" s="124" t="str">
        <f>IFERROR(IF(LEN(INDEX(Database!G$9:G$501,ROW(Calc!D270)-ROW(Calc!$B$7)))=0,$AD$3,INDEX(Database!G$9:G$501,ROW(Calc!D270)-ROW(Calc!$B$7))),"")</f>
        <v>Not Set</v>
      </c>
      <c r="F270" s="124" t="str">
        <f>IFERROR(IF(LEN(INDEX(Database!F$9:F$501,ROW(Calc!E270)-ROW(Calc!$B$7)))=0,$AD$3,INDEX(Database!F$9:F$501,ROW(Calc!E270)-ROW(Calc!$B$7))),"")</f>
        <v>Not Set</v>
      </c>
      <c r="G270" s="128" t="str">
        <f>IFERROR(IF(LEN(INDEX(Database!H$9:H$501,ROW(Calc!F270)-ROW(Calc!$B$7)))=0,$AD$3,INDEX(Database!H$9:H$501,ROW(Calc!F270)-ROW(Calc!$B$7))),"")</f>
        <v>Not Set</v>
      </c>
      <c r="H270" s="128" t="str">
        <f>IFERROR(IF(LEN(INDEX(Database!I$9:I$501,ROW(Calc!G270)-ROW(Calc!$B$7)))=0,$AD$3,INDEX(Database!I$9:I$501,ROW(Calc!G270)-ROW(Calc!$B$7))),"")</f>
        <v>Not Set</v>
      </c>
      <c r="I270" s="128" t="str">
        <f>IFERROR(IF(LEN(INDEX(Database!J$9:J$501,ROW(Calc!H270)-ROW(Calc!$B$7)))=0,$AD$3,INDEX(Database!J$9:J$501,ROW(Calc!H270)-ROW(Calc!$B$7))),"")</f>
        <v>Not Set</v>
      </c>
      <c r="J270" s="128" t="str">
        <f t="shared" si="41"/>
        <v>Not Set</v>
      </c>
      <c r="K270" s="124" t="str">
        <f>IFERROR(IF(LEN(INDEX(Database!E$9:E$501,ROW(Calc!I270)-ROW(Calc!$B$7)))=0,"",INDEX(Database!E$9:E$501,ROW(Calc!I270)-ROW(Calc!$B$7))),"")</f>
        <v/>
      </c>
      <c r="L270" s="129" t="str">
        <f>IFERROR(IF(LEN(INDEX(Database!K$9:K$501,ROW(Calc!K270)-ROW(Calc!$B$7)))=0,$AD$3,INDEX(Database!K$9:K$501,ROW(Calc!K270)-ROW(Calc!$B$7))),"")</f>
        <v>Not Set</v>
      </c>
      <c r="M270" s="130" t="str">
        <f>IFERROR(IF(LEN(INDEX(Database!L$9:L$501,ROW(Calc!L270)-ROW(Calc!$B$7)))=0,$AD$3,INDEX(Database!L$9:L$501,ROW(Calc!L270)-ROW(Calc!$B$7))),"")</f>
        <v>Not Set</v>
      </c>
      <c r="N270" s="131" t="str">
        <f>IFERROR(IF(LEN(INDEX(Database!M$9:M$501,ROW(Calc!M270)-ROW(Calc!$B$7)))=0,"",INDEX(Database!M$9:M$501,ROW(Calc!M270)-ROW(Calc!$B$7))),"")</f>
        <v/>
      </c>
      <c r="O270" s="132" t="str">
        <f t="shared" si="45"/>
        <v/>
      </c>
      <c r="P270" s="125" t="str">
        <f t="shared" si="42"/>
        <v>Not Set</v>
      </c>
      <c r="Q270" s="125" t="str">
        <f t="shared" si="43"/>
        <v>Not Set</v>
      </c>
      <c r="R270" s="125" t="str">
        <f>IFERROR(IF(G270=$AD$3,$AD$3,INDEX(Kanban_Helper!$C$317:$C$328,MATCH(MONTH(G270),Kanban_Helper!$B$317:$B$328,0))&amp;" - "&amp;YEAR(G270)),"$AD$3")</f>
        <v>Not Set</v>
      </c>
      <c r="S270" s="125" t="str">
        <f>IFERROR(IF(I270=$AD$3,$AD$3,INDEX(Kanban_Helper!$C$317:$C$328,MATCH(MONTH(I270),Kanban_Helper!$B$317:$B$328,0))&amp;" - "&amp;YEAR(I270)),$AD$3)</f>
        <v>Not Set</v>
      </c>
      <c r="T270" s="125" t="str">
        <f t="shared" ca="1" si="46"/>
        <v/>
      </c>
      <c r="U270" s="125" t="str">
        <f t="shared" ca="1" si="47"/>
        <v/>
      </c>
      <c r="V270" s="125" t="str">
        <f t="shared" si="44"/>
        <v>Not Set</v>
      </c>
      <c r="W270" s="126" t="str">
        <f t="shared" si="48"/>
        <v/>
      </c>
      <c r="X270" s="126" t="str">
        <f t="shared" si="49"/>
        <v/>
      </c>
      <c r="Y270" s="125" t="str">
        <f>IFERROR(IF(LEN(D270)=0,"",IF(SUBTOTAL(3,E270:E270)=0,MIN($Y$7:Y269)-1,SUBTOTAL(3,$E$8:E270))),"")</f>
        <v/>
      </c>
      <c r="Z270" s="17"/>
      <c r="AA270" s="10"/>
      <c r="AB270" s="10"/>
      <c r="AC270" s="10"/>
      <c r="AD270" s="10"/>
      <c r="AE270" s="10"/>
      <c r="AF270" s="10"/>
      <c r="AG270" s="10"/>
      <c r="AH270" s="10"/>
      <c r="AI270" s="10"/>
      <c r="AJ270" s="10"/>
      <c r="AK270" s="10"/>
      <c r="AL270" s="10"/>
      <c r="AM270" s="10"/>
      <c r="AN270" s="10"/>
    </row>
    <row r="271" spans="2:40" hidden="1" x14ac:dyDescent="0.35">
      <c r="B271" s="15"/>
      <c r="C271" s="127" t="str">
        <f>IFERROR(IF(LEN(INDEX(Database!C$9:C$501,ROW(Calc!A271)-ROW(Calc!$B$7)))=0,"",INDEX(Database!C$9:C$501,ROW(Calc!A271)-ROW(Calc!$B$7))),"")</f>
        <v/>
      </c>
      <c r="D271" s="70" t="str">
        <f>IFERROR(IF(LEN(INDEX(Database!D$9:D$501,ROW(Calc!B271)-ROW(Calc!$B$7)))=0,"",INDEX(Database!D$9:D$501,ROW(Calc!B271)-ROW(Calc!$B$7))),"")</f>
        <v/>
      </c>
      <c r="E271" s="124" t="str">
        <f>IFERROR(IF(LEN(INDEX(Database!G$9:G$501,ROW(Calc!D271)-ROW(Calc!$B$7)))=0,$AD$3,INDEX(Database!G$9:G$501,ROW(Calc!D271)-ROW(Calc!$B$7))),"")</f>
        <v>Not Set</v>
      </c>
      <c r="F271" s="124" t="str">
        <f>IFERROR(IF(LEN(INDEX(Database!F$9:F$501,ROW(Calc!E271)-ROW(Calc!$B$7)))=0,$AD$3,INDEX(Database!F$9:F$501,ROW(Calc!E271)-ROW(Calc!$B$7))),"")</f>
        <v>Not Set</v>
      </c>
      <c r="G271" s="128" t="str">
        <f>IFERROR(IF(LEN(INDEX(Database!H$9:H$501,ROW(Calc!F271)-ROW(Calc!$B$7)))=0,$AD$3,INDEX(Database!H$9:H$501,ROW(Calc!F271)-ROW(Calc!$B$7))),"")</f>
        <v>Not Set</v>
      </c>
      <c r="H271" s="128" t="str">
        <f>IFERROR(IF(LEN(INDEX(Database!I$9:I$501,ROW(Calc!G271)-ROW(Calc!$B$7)))=0,$AD$3,INDEX(Database!I$9:I$501,ROW(Calc!G271)-ROW(Calc!$B$7))),"")</f>
        <v>Not Set</v>
      </c>
      <c r="I271" s="128" t="str">
        <f>IFERROR(IF(LEN(INDEX(Database!J$9:J$501,ROW(Calc!H271)-ROW(Calc!$B$7)))=0,$AD$3,INDEX(Database!J$9:J$501,ROW(Calc!H271)-ROW(Calc!$B$7))),"")</f>
        <v>Not Set</v>
      </c>
      <c r="J271" s="128" t="str">
        <f t="shared" si="41"/>
        <v>Not Set</v>
      </c>
      <c r="K271" s="124" t="str">
        <f>IFERROR(IF(LEN(INDEX(Database!E$9:E$501,ROW(Calc!I271)-ROW(Calc!$B$7)))=0,"",INDEX(Database!E$9:E$501,ROW(Calc!I271)-ROW(Calc!$B$7))),"")</f>
        <v/>
      </c>
      <c r="L271" s="129" t="str">
        <f>IFERROR(IF(LEN(INDEX(Database!K$9:K$501,ROW(Calc!K271)-ROW(Calc!$B$7)))=0,$AD$3,INDEX(Database!K$9:K$501,ROW(Calc!K271)-ROW(Calc!$B$7))),"")</f>
        <v>Not Set</v>
      </c>
      <c r="M271" s="130" t="str">
        <f>IFERROR(IF(LEN(INDEX(Database!L$9:L$501,ROW(Calc!L271)-ROW(Calc!$B$7)))=0,$AD$3,INDEX(Database!L$9:L$501,ROW(Calc!L271)-ROW(Calc!$B$7))),"")</f>
        <v>Not Set</v>
      </c>
      <c r="N271" s="131" t="str">
        <f>IFERROR(IF(LEN(INDEX(Database!M$9:M$501,ROW(Calc!M271)-ROW(Calc!$B$7)))=0,"",INDEX(Database!M$9:M$501,ROW(Calc!M271)-ROW(Calc!$B$7))),"")</f>
        <v/>
      </c>
      <c r="O271" s="132" t="str">
        <f t="shared" si="45"/>
        <v/>
      </c>
      <c r="P271" s="125" t="str">
        <f t="shared" si="42"/>
        <v>Not Set</v>
      </c>
      <c r="Q271" s="125" t="str">
        <f t="shared" si="43"/>
        <v>Not Set</v>
      </c>
      <c r="R271" s="125" t="str">
        <f>IFERROR(IF(G271=$AD$3,$AD$3,INDEX(Kanban_Helper!$C$317:$C$328,MATCH(MONTH(G271),Kanban_Helper!$B$317:$B$328,0))&amp;" - "&amp;YEAR(G271)),"$AD$3")</f>
        <v>Not Set</v>
      </c>
      <c r="S271" s="125" t="str">
        <f>IFERROR(IF(I271=$AD$3,$AD$3,INDEX(Kanban_Helper!$C$317:$C$328,MATCH(MONTH(I271),Kanban_Helper!$B$317:$B$328,0))&amp;" - "&amp;YEAR(I271)),$AD$3)</f>
        <v>Not Set</v>
      </c>
      <c r="T271" s="125" t="str">
        <f t="shared" ca="1" si="46"/>
        <v/>
      </c>
      <c r="U271" s="125" t="str">
        <f t="shared" ca="1" si="47"/>
        <v/>
      </c>
      <c r="V271" s="125" t="str">
        <f t="shared" si="44"/>
        <v>Not Set</v>
      </c>
      <c r="W271" s="126" t="str">
        <f t="shared" si="48"/>
        <v/>
      </c>
      <c r="X271" s="126" t="str">
        <f t="shared" si="49"/>
        <v/>
      </c>
      <c r="Y271" s="125" t="str">
        <f>IFERROR(IF(LEN(D271)=0,"",IF(SUBTOTAL(3,E271:E271)=0,MIN($Y$7:Y270)-1,SUBTOTAL(3,$E$8:E271))),"")</f>
        <v/>
      </c>
      <c r="Z271" s="17"/>
      <c r="AA271" s="10"/>
      <c r="AB271" s="10"/>
      <c r="AC271" s="10"/>
      <c r="AD271" s="10"/>
      <c r="AE271" s="10"/>
      <c r="AF271" s="10"/>
      <c r="AG271" s="10"/>
      <c r="AH271" s="10"/>
      <c r="AI271" s="10"/>
      <c r="AJ271" s="10"/>
      <c r="AK271" s="10"/>
      <c r="AL271" s="10"/>
      <c r="AM271" s="10"/>
      <c r="AN271" s="10"/>
    </row>
    <row r="272" spans="2:40" hidden="1" x14ac:dyDescent="0.35">
      <c r="B272" s="15"/>
      <c r="C272" s="127" t="str">
        <f>IFERROR(IF(LEN(INDEX(Database!C$9:C$501,ROW(Calc!A272)-ROW(Calc!$B$7)))=0,"",INDEX(Database!C$9:C$501,ROW(Calc!A272)-ROW(Calc!$B$7))),"")</f>
        <v/>
      </c>
      <c r="D272" s="70" t="str">
        <f>IFERROR(IF(LEN(INDEX(Database!D$9:D$501,ROW(Calc!B272)-ROW(Calc!$B$7)))=0,"",INDEX(Database!D$9:D$501,ROW(Calc!B272)-ROW(Calc!$B$7))),"")</f>
        <v/>
      </c>
      <c r="E272" s="124" t="str">
        <f>IFERROR(IF(LEN(INDEX(Database!G$9:G$501,ROW(Calc!D272)-ROW(Calc!$B$7)))=0,$AD$3,INDEX(Database!G$9:G$501,ROW(Calc!D272)-ROW(Calc!$B$7))),"")</f>
        <v>Not Set</v>
      </c>
      <c r="F272" s="124" t="str">
        <f>IFERROR(IF(LEN(INDEX(Database!F$9:F$501,ROW(Calc!E272)-ROW(Calc!$B$7)))=0,$AD$3,INDEX(Database!F$9:F$501,ROW(Calc!E272)-ROW(Calc!$B$7))),"")</f>
        <v>Not Set</v>
      </c>
      <c r="G272" s="128" t="str">
        <f>IFERROR(IF(LEN(INDEX(Database!H$9:H$501,ROW(Calc!F272)-ROW(Calc!$B$7)))=0,$AD$3,INDEX(Database!H$9:H$501,ROW(Calc!F272)-ROW(Calc!$B$7))),"")</f>
        <v>Not Set</v>
      </c>
      <c r="H272" s="128" t="str">
        <f>IFERROR(IF(LEN(INDEX(Database!I$9:I$501,ROW(Calc!G272)-ROW(Calc!$B$7)))=0,$AD$3,INDEX(Database!I$9:I$501,ROW(Calc!G272)-ROW(Calc!$B$7))),"")</f>
        <v>Not Set</v>
      </c>
      <c r="I272" s="128" t="str">
        <f>IFERROR(IF(LEN(INDEX(Database!J$9:J$501,ROW(Calc!H272)-ROW(Calc!$B$7)))=0,$AD$3,INDEX(Database!J$9:J$501,ROW(Calc!H272)-ROW(Calc!$B$7))),"")</f>
        <v>Not Set</v>
      </c>
      <c r="J272" s="128" t="str">
        <f t="shared" si="41"/>
        <v>Not Set</v>
      </c>
      <c r="K272" s="124" t="str">
        <f>IFERROR(IF(LEN(INDEX(Database!E$9:E$501,ROW(Calc!I272)-ROW(Calc!$B$7)))=0,"",INDEX(Database!E$9:E$501,ROW(Calc!I272)-ROW(Calc!$B$7))),"")</f>
        <v/>
      </c>
      <c r="L272" s="129" t="str">
        <f>IFERROR(IF(LEN(INDEX(Database!K$9:K$501,ROW(Calc!K272)-ROW(Calc!$B$7)))=0,$AD$3,INDEX(Database!K$9:K$501,ROW(Calc!K272)-ROW(Calc!$B$7))),"")</f>
        <v>Not Set</v>
      </c>
      <c r="M272" s="130" t="str">
        <f>IFERROR(IF(LEN(INDEX(Database!L$9:L$501,ROW(Calc!L272)-ROW(Calc!$B$7)))=0,$AD$3,INDEX(Database!L$9:L$501,ROW(Calc!L272)-ROW(Calc!$B$7))),"")</f>
        <v>Not Set</v>
      </c>
      <c r="N272" s="131" t="str">
        <f>IFERROR(IF(LEN(INDEX(Database!M$9:M$501,ROW(Calc!M272)-ROW(Calc!$B$7)))=0,"",INDEX(Database!M$9:M$501,ROW(Calc!M272)-ROW(Calc!$B$7))),"")</f>
        <v/>
      </c>
      <c r="O272" s="132" t="str">
        <f t="shared" si="45"/>
        <v/>
      </c>
      <c r="P272" s="125" t="str">
        <f t="shared" si="42"/>
        <v>Not Set</v>
      </c>
      <c r="Q272" s="125" t="str">
        <f t="shared" si="43"/>
        <v>Not Set</v>
      </c>
      <c r="R272" s="125" t="str">
        <f>IFERROR(IF(G272=$AD$3,$AD$3,INDEX(Kanban_Helper!$C$317:$C$328,MATCH(MONTH(G272),Kanban_Helper!$B$317:$B$328,0))&amp;" - "&amp;YEAR(G272)),"$AD$3")</f>
        <v>Not Set</v>
      </c>
      <c r="S272" s="125" t="str">
        <f>IFERROR(IF(I272=$AD$3,$AD$3,INDEX(Kanban_Helper!$C$317:$C$328,MATCH(MONTH(I272),Kanban_Helper!$B$317:$B$328,0))&amp;" - "&amp;YEAR(I272)),$AD$3)</f>
        <v>Not Set</v>
      </c>
      <c r="T272" s="125" t="str">
        <f t="shared" ca="1" si="46"/>
        <v/>
      </c>
      <c r="U272" s="125" t="str">
        <f t="shared" ca="1" si="47"/>
        <v/>
      </c>
      <c r="V272" s="125" t="str">
        <f t="shared" si="44"/>
        <v>Not Set</v>
      </c>
      <c r="W272" s="126" t="str">
        <f t="shared" si="48"/>
        <v/>
      </c>
      <c r="X272" s="126" t="str">
        <f t="shared" si="49"/>
        <v/>
      </c>
      <c r="Y272" s="125" t="str">
        <f>IFERROR(IF(LEN(D272)=0,"",IF(SUBTOTAL(3,E272:E272)=0,MIN($Y$7:Y271)-1,SUBTOTAL(3,$E$8:E272))),"")</f>
        <v/>
      </c>
      <c r="Z272" s="17"/>
      <c r="AA272" s="10"/>
      <c r="AB272" s="10"/>
      <c r="AC272" s="10"/>
      <c r="AD272" s="10"/>
      <c r="AE272" s="10"/>
      <c r="AF272" s="10"/>
      <c r="AG272" s="10"/>
      <c r="AH272" s="10"/>
      <c r="AI272" s="10"/>
      <c r="AJ272" s="10"/>
      <c r="AK272" s="10"/>
      <c r="AL272" s="10"/>
      <c r="AM272" s="10"/>
      <c r="AN272" s="10"/>
    </row>
    <row r="273" spans="2:40" hidden="1" x14ac:dyDescent="0.35">
      <c r="B273" s="15"/>
      <c r="C273" s="127" t="str">
        <f>IFERROR(IF(LEN(INDEX(Database!C$9:C$501,ROW(Calc!A273)-ROW(Calc!$B$7)))=0,"",INDEX(Database!C$9:C$501,ROW(Calc!A273)-ROW(Calc!$B$7))),"")</f>
        <v/>
      </c>
      <c r="D273" s="70" t="str">
        <f>IFERROR(IF(LEN(INDEX(Database!D$9:D$501,ROW(Calc!B273)-ROW(Calc!$B$7)))=0,"",INDEX(Database!D$9:D$501,ROW(Calc!B273)-ROW(Calc!$B$7))),"")</f>
        <v/>
      </c>
      <c r="E273" s="124" t="str">
        <f>IFERROR(IF(LEN(INDEX(Database!G$9:G$501,ROW(Calc!D273)-ROW(Calc!$B$7)))=0,$AD$3,INDEX(Database!G$9:G$501,ROW(Calc!D273)-ROW(Calc!$B$7))),"")</f>
        <v>Not Set</v>
      </c>
      <c r="F273" s="124" t="str">
        <f>IFERROR(IF(LEN(INDEX(Database!F$9:F$501,ROW(Calc!E273)-ROW(Calc!$B$7)))=0,$AD$3,INDEX(Database!F$9:F$501,ROW(Calc!E273)-ROW(Calc!$B$7))),"")</f>
        <v>Not Set</v>
      </c>
      <c r="G273" s="128" t="str">
        <f>IFERROR(IF(LEN(INDEX(Database!H$9:H$501,ROW(Calc!F273)-ROW(Calc!$B$7)))=0,$AD$3,INDEX(Database!H$9:H$501,ROW(Calc!F273)-ROW(Calc!$B$7))),"")</f>
        <v>Not Set</v>
      </c>
      <c r="H273" s="128" t="str">
        <f>IFERROR(IF(LEN(INDEX(Database!I$9:I$501,ROW(Calc!G273)-ROW(Calc!$B$7)))=0,$AD$3,INDEX(Database!I$9:I$501,ROW(Calc!G273)-ROW(Calc!$B$7))),"")</f>
        <v>Not Set</v>
      </c>
      <c r="I273" s="128" t="str">
        <f>IFERROR(IF(LEN(INDEX(Database!J$9:J$501,ROW(Calc!H273)-ROW(Calc!$B$7)))=0,$AD$3,INDEX(Database!J$9:J$501,ROW(Calc!H273)-ROW(Calc!$B$7))),"")</f>
        <v>Not Set</v>
      </c>
      <c r="J273" s="128" t="str">
        <f t="shared" si="41"/>
        <v>Not Set</v>
      </c>
      <c r="K273" s="124" t="str">
        <f>IFERROR(IF(LEN(INDEX(Database!E$9:E$501,ROW(Calc!I273)-ROW(Calc!$B$7)))=0,"",INDEX(Database!E$9:E$501,ROW(Calc!I273)-ROW(Calc!$B$7))),"")</f>
        <v/>
      </c>
      <c r="L273" s="129" t="str">
        <f>IFERROR(IF(LEN(INDEX(Database!K$9:K$501,ROW(Calc!K273)-ROW(Calc!$B$7)))=0,$AD$3,INDEX(Database!K$9:K$501,ROW(Calc!K273)-ROW(Calc!$B$7))),"")</f>
        <v>Not Set</v>
      </c>
      <c r="M273" s="130" t="str">
        <f>IFERROR(IF(LEN(INDEX(Database!L$9:L$501,ROW(Calc!L273)-ROW(Calc!$B$7)))=0,$AD$3,INDEX(Database!L$9:L$501,ROW(Calc!L273)-ROW(Calc!$B$7))),"")</f>
        <v>Not Set</v>
      </c>
      <c r="N273" s="131" t="str">
        <f>IFERROR(IF(LEN(INDEX(Database!M$9:M$501,ROW(Calc!M273)-ROW(Calc!$B$7)))=0,"",INDEX(Database!M$9:M$501,ROW(Calc!M273)-ROW(Calc!$B$7))),"")</f>
        <v/>
      </c>
      <c r="O273" s="132" t="str">
        <f t="shared" si="45"/>
        <v/>
      </c>
      <c r="P273" s="125" t="str">
        <f t="shared" si="42"/>
        <v>Not Set</v>
      </c>
      <c r="Q273" s="125" t="str">
        <f t="shared" si="43"/>
        <v>Not Set</v>
      </c>
      <c r="R273" s="125" t="str">
        <f>IFERROR(IF(G273=$AD$3,$AD$3,INDEX(Kanban_Helper!$C$317:$C$328,MATCH(MONTH(G273),Kanban_Helper!$B$317:$B$328,0))&amp;" - "&amp;YEAR(G273)),"$AD$3")</f>
        <v>Not Set</v>
      </c>
      <c r="S273" s="125" t="str">
        <f>IFERROR(IF(I273=$AD$3,$AD$3,INDEX(Kanban_Helper!$C$317:$C$328,MATCH(MONTH(I273),Kanban_Helper!$B$317:$B$328,0))&amp;" - "&amp;YEAR(I273)),$AD$3)</f>
        <v>Not Set</v>
      </c>
      <c r="T273" s="125" t="str">
        <f t="shared" ca="1" si="46"/>
        <v/>
      </c>
      <c r="U273" s="125" t="str">
        <f t="shared" ca="1" si="47"/>
        <v/>
      </c>
      <c r="V273" s="125" t="str">
        <f t="shared" si="44"/>
        <v>Not Set</v>
      </c>
      <c r="W273" s="126" t="str">
        <f t="shared" si="48"/>
        <v/>
      </c>
      <c r="X273" s="126" t="str">
        <f t="shared" si="49"/>
        <v/>
      </c>
      <c r="Y273" s="125" t="str">
        <f>IFERROR(IF(LEN(D273)=0,"",IF(SUBTOTAL(3,E273:E273)=0,MIN($Y$7:Y272)-1,SUBTOTAL(3,$E$8:E273))),"")</f>
        <v/>
      </c>
      <c r="Z273" s="17"/>
      <c r="AA273" s="10"/>
      <c r="AB273" s="10"/>
      <c r="AC273" s="10"/>
      <c r="AD273" s="10"/>
      <c r="AE273" s="10"/>
      <c r="AF273" s="10"/>
      <c r="AG273" s="10"/>
      <c r="AH273" s="10"/>
      <c r="AI273" s="10"/>
      <c r="AJ273" s="10"/>
      <c r="AK273" s="10"/>
      <c r="AL273" s="10"/>
      <c r="AM273" s="10"/>
      <c r="AN273" s="10"/>
    </row>
    <row r="274" spans="2:40" hidden="1" x14ac:dyDescent="0.35">
      <c r="B274" s="15"/>
      <c r="C274" s="127" t="str">
        <f>IFERROR(IF(LEN(INDEX(Database!C$9:C$501,ROW(Calc!A274)-ROW(Calc!$B$7)))=0,"",INDEX(Database!C$9:C$501,ROW(Calc!A274)-ROW(Calc!$B$7))),"")</f>
        <v/>
      </c>
      <c r="D274" s="70" t="str">
        <f>IFERROR(IF(LEN(INDEX(Database!D$9:D$501,ROW(Calc!B274)-ROW(Calc!$B$7)))=0,"",INDEX(Database!D$9:D$501,ROW(Calc!B274)-ROW(Calc!$B$7))),"")</f>
        <v/>
      </c>
      <c r="E274" s="124" t="str">
        <f>IFERROR(IF(LEN(INDEX(Database!G$9:G$501,ROW(Calc!D274)-ROW(Calc!$B$7)))=0,$AD$3,INDEX(Database!G$9:G$501,ROW(Calc!D274)-ROW(Calc!$B$7))),"")</f>
        <v>Not Set</v>
      </c>
      <c r="F274" s="124" t="str">
        <f>IFERROR(IF(LEN(INDEX(Database!F$9:F$501,ROW(Calc!E274)-ROW(Calc!$B$7)))=0,$AD$3,INDEX(Database!F$9:F$501,ROW(Calc!E274)-ROW(Calc!$B$7))),"")</f>
        <v>Not Set</v>
      </c>
      <c r="G274" s="128" t="str">
        <f>IFERROR(IF(LEN(INDEX(Database!H$9:H$501,ROW(Calc!F274)-ROW(Calc!$B$7)))=0,$AD$3,INDEX(Database!H$9:H$501,ROW(Calc!F274)-ROW(Calc!$B$7))),"")</f>
        <v>Not Set</v>
      </c>
      <c r="H274" s="128" t="str">
        <f>IFERROR(IF(LEN(INDEX(Database!I$9:I$501,ROW(Calc!G274)-ROW(Calc!$B$7)))=0,$AD$3,INDEX(Database!I$9:I$501,ROW(Calc!G274)-ROW(Calc!$B$7))),"")</f>
        <v>Not Set</v>
      </c>
      <c r="I274" s="128" t="str">
        <f>IFERROR(IF(LEN(INDEX(Database!J$9:J$501,ROW(Calc!H274)-ROW(Calc!$B$7)))=0,$AD$3,INDEX(Database!J$9:J$501,ROW(Calc!H274)-ROW(Calc!$B$7))),"")</f>
        <v>Not Set</v>
      </c>
      <c r="J274" s="128" t="str">
        <f t="shared" si="41"/>
        <v>Not Set</v>
      </c>
      <c r="K274" s="124" t="str">
        <f>IFERROR(IF(LEN(INDEX(Database!E$9:E$501,ROW(Calc!I274)-ROW(Calc!$B$7)))=0,"",INDEX(Database!E$9:E$501,ROW(Calc!I274)-ROW(Calc!$B$7))),"")</f>
        <v/>
      </c>
      <c r="L274" s="129" t="str">
        <f>IFERROR(IF(LEN(INDEX(Database!K$9:K$501,ROW(Calc!K274)-ROW(Calc!$B$7)))=0,$AD$3,INDEX(Database!K$9:K$501,ROW(Calc!K274)-ROW(Calc!$B$7))),"")</f>
        <v>Not Set</v>
      </c>
      <c r="M274" s="130" t="str">
        <f>IFERROR(IF(LEN(INDEX(Database!L$9:L$501,ROW(Calc!L274)-ROW(Calc!$B$7)))=0,$AD$3,INDEX(Database!L$9:L$501,ROW(Calc!L274)-ROW(Calc!$B$7))),"")</f>
        <v>Not Set</v>
      </c>
      <c r="N274" s="131" t="str">
        <f>IFERROR(IF(LEN(INDEX(Database!M$9:M$501,ROW(Calc!M274)-ROW(Calc!$B$7)))=0,"",INDEX(Database!M$9:M$501,ROW(Calc!M274)-ROW(Calc!$B$7))),"")</f>
        <v/>
      </c>
      <c r="O274" s="132" t="str">
        <f t="shared" si="45"/>
        <v/>
      </c>
      <c r="P274" s="125" t="str">
        <f t="shared" si="42"/>
        <v>Not Set</v>
      </c>
      <c r="Q274" s="125" t="str">
        <f t="shared" si="43"/>
        <v>Not Set</v>
      </c>
      <c r="R274" s="125" t="str">
        <f>IFERROR(IF(G274=$AD$3,$AD$3,INDEX(Kanban_Helper!$C$317:$C$328,MATCH(MONTH(G274),Kanban_Helper!$B$317:$B$328,0))&amp;" - "&amp;YEAR(G274)),"$AD$3")</f>
        <v>Not Set</v>
      </c>
      <c r="S274" s="125" t="str">
        <f>IFERROR(IF(I274=$AD$3,$AD$3,INDEX(Kanban_Helper!$C$317:$C$328,MATCH(MONTH(I274),Kanban_Helper!$B$317:$B$328,0))&amp;" - "&amp;YEAR(I274)),$AD$3)</f>
        <v>Not Set</v>
      </c>
      <c r="T274" s="125" t="str">
        <f t="shared" ca="1" si="46"/>
        <v/>
      </c>
      <c r="U274" s="125" t="str">
        <f t="shared" ca="1" si="47"/>
        <v/>
      </c>
      <c r="V274" s="125" t="str">
        <f t="shared" si="44"/>
        <v>Not Set</v>
      </c>
      <c r="W274" s="126" t="str">
        <f t="shared" si="48"/>
        <v/>
      </c>
      <c r="X274" s="126" t="str">
        <f t="shared" si="49"/>
        <v/>
      </c>
      <c r="Y274" s="125" t="str">
        <f>IFERROR(IF(LEN(D274)=0,"",IF(SUBTOTAL(3,E274:E274)=0,MIN($Y$7:Y273)-1,SUBTOTAL(3,$E$8:E274))),"")</f>
        <v/>
      </c>
      <c r="Z274" s="17"/>
      <c r="AA274" s="10"/>
      <c r="AB274" s="10"/>
      <c r="AC274" s="10"/>
      <c r="AD274" s="10"/>
      <c r="AE274" s="10"/>
      <c r="AF274" s="10"/>
      <c r="AG274" s="10"/>
      <c r="AH274" s="10"/>
      <c r="AI274" s="10"/>
      <c r="AJ274" s="10"/>
      <c r="AK274" s="10"/>
      <c r="AL274" s="10"/>
      <c r="AM274" s="10"/>
      <c r="AN274" s="10"/>
    </row>
    <row r="275" spans="2:40" hidden="1" x14ac:dyDescent="0.35">
      <c r="B275" s="15"/>
      <c r="C275" s="127" t="str">
        <f>IFERROR(IF(LEN(INDEX(Database!C$9:C$501,ROW(Calc!A275)-ROW(Calc!$B$7)))=0,"",INDEX(Database!C$9:C$501,ROW(Calc!A275)-ROW(Calc!$B$7))),"")</f>
        <v/>
      </c>
      <c r="D275" s="70" t="str">
        <f>IFERROR(IF(LEN(INDEX(Database!D$9:D$501,ROW(Calc!B275)-ROW(Calc!$B$7)))=0,"",INDEX(Database!D$9:D$501,ROW(Calc!B275)-ROW(Calc!$B$7))),"")</f>
        <v/>
      </c>
      <c r="E275" s="124" t="str">
        <f>IFERROR(IF(LEN(INDEX(Database!G$9:G$501,ROW(Calc!D275)-ROW(Calc!$B$7)))=0,$AD$3,INDEX(Database!G$9:G$501,ROW(Calc!D275)-ROW(Calc!$B$7))),"")</f>
        <v>Not Set</v>
      </c>
      <c r="F275" s="124" t="str">
        <f>IFERROR(IF(LEN(INDEX(Database!F$9:F$501,ROW(Calc!E275)-ROW(Calc!$B$7)))=0,$AD$3,INDEX(Database!F$9:F$501,ROW(Calc!E275)-ROW(Calc!$B$7))),"")</f>
        <v>Not Set</v>
      </c>
      <c r="G275" s="128" t="str">
        <f>IFERROR(IF(LEN(INDEX(Database!H$9:H$501,ROW(Calc!F275)-ROW(Calc!$B$7)))=0,$AD$3,INDEX(Database!H$9:H$501,ROW(Calc!F275)-ROW(Calc!$B$7))),"")</f>
        <v>Not Set</v>
      </c>
      <c r="H275" s="128" t="str">
        <f>IFERROR(IF(LEN(INDEX(Database!I$9:I$501,ROW(Calc!G275)-ROW(Calc!$B$7)))=0,$AD$3,INDEX(Database!I$9:I$501,ROW(Calc!G275)-ROW(Calc!$B$7))),"")</f>
        <v>Not Set</v>
      </c>
      <c r="I275" s="128" t="str">
        <f>IFERROR(IF(LEN(INDEX(Database!J$9:J$501,ROW(Calc!H275)-ROW(Calc!$B$7)))=0,$AD$3,INDEX(Database!J$9:J$501,ROW(Calc!H275)-ROW(Calc!$B$7))),"")</f>
        <v>Not Set</v>
      </c>
      <c r="J275" s="128" t="str">
        <f t="shared" si="41"/>
        <v>Not Set</v>
      </c>
      <c r="K275" s="124" t="str">
        <f>IFERROR(IF(LEN(INDEX(Database!E$9:E$501,ROW(Calc!I275)-ROW(Calc!$B$7)))=0,"",INDEX(Database!E$9:E$501,ROW(Calc!I275)-ROW(Calc!$B$7))),"")</f>
        <v/>
      </c>
      <c r="L275" s="129" t="str">
        <f>IFERROR(IF(LEN(INDEX(Database!K$9:K$501,ROW(Calc!K275)-ROW(Calc!$B$7)))=0,$AD$3,INDEX(Database!K$9:K$501,ROW(Calc!K275)-ROW(Calc!$B$7))),"")</f>
        <v>Not Set</v>
      </c>
      <c r="M275" s="130" t="str">
        <f>IFERROR(IF(LEN(INDEX(Database!L$9:L$501,ROW(Calc!L275)-ROW(Calc!$B$7)))=0,$AD$3,INDEX(Database!L$9:L$501,ROW(Calc!L275)-ROW(Calc!$B$7))),"")</f>
        <v>Not Set</v>
      </c>
      <c r="N275" s="131" t="str">
        <f>IFERROR(IF(LEN(INDEX(Database!M$9:M$501,ROW(Calc!M275)-ROW(Calc!$B$7)))=0,"",INDEX(Database!M$9:M$501,ROW(Calc!M275)-ROW(Calc!$B$7))),"")</f>
        <v/>
      </c>
      <c r="O275" s="132" t="str">
        <f t="shared" si="45"/>
        <v/>
      </c>
      <c r="P275" s="125" t="str">
        <f t="shared" si="42"/>
        <v>Not Set</v>
      </c>
      <c r="Q275" s="125" t="str">
        <f t="shared" si="43"/>
        <v>Not Set</v>
      </c>
      <c r="R275" s="125" t="str">
        <f>IFERROR(IF(G275=$AD$3,$AD$3,INDEX(Kanban_Helper!$C$317:$C$328,MATCH(MONTH(G275),Kanban_Helper!$B$317:$B$328,0))&amp;" - "&amp;YEAR(G275)),"$AD$3")</f>
        <v>Not Set</v>
      </c>
      <c r="S275" s="125" t="str">
        <f>IFERROR(IF(I275=$AD$3,$AD$3,INDEX(Kanban_Helper!$C$317:$C$328,MATCH(MONTH(I275),Kanban_Helper!$B$317:$B$328,0))&amp;" - "&amp;YEAR(I275)),$AD$3)</f>
        <v>Not Set</v>
      </c>
      <c r="T275" s="125" t="str">
        <f t="shared" ca="1" si="46"/>
        <v/>
      </c>
      <c r="U275" s="125" t="str">
        <f t="shared" ca="1" si="47"/>
        <v/>
      </c>
      <c r="V275" s="125" t="str">
        <f t="shared" si="44"/>
        <v>Not Set</v>
      </c>
      <c r="W275" s="126" t="str">
        <f t="shared" si="48"/>
        <v/>
      </c>
      <c r="X275" s="126" t="str">
        <f t="shared" si="49"/>
        <v/>
      </c>
      <c r="Y275" s="125" t="str">
        <f>IFERROR(IF(LEN(D275)=0,"",IF(SUBTOTAL(3,E275:E275)=0,MIN($Y$7:Y274)-1,SUBTOTAL(3,$E$8:E275))),"")</f>
        <v/>
      </c>
      <c r="Z275" s="17"/>
      <c r="AA275" s="10"/>
      <c r="AB275" s="10"/>
      <c r="AC275" s="10"/>
      <c r="AD275" s="10"/>
      <c r="AE275" s="10"/>
      <c r="AF275" s="10"/>
      <c r="AG275" s="10"/>
      <c r="AH275" s="10"/>
      <c r="AI275" s="10"/>
      <c r="AJ275" s="10"/>
      <c r="AK275" s="10"/>
      <c r="AL275" s="10"/>
      <c r="AM275" s="10"/>
      <c r="AN275" s="10"/>
    </row>
    <row r="276" spans="2:40" hidden="1" x14ac:dyDescent="0.35">
      <c r="B276" s="15"/>
      <c r="C276" s="127" t="str">
        <f>IFERROR(IF(LEN(INDEX(Database!C$9:C$501,ROW(Calc!A276)-ROW(Calc!$B$7)))=0,"",INDEX(Database!C$9:C$501,ROW(Calc!A276)-ROW(Calc!$B$7))),"")</f>
        <v/>
      </c>
      <c r="D276" s="70" t="str">
        <f>IFERROR(IF(LEN(INDEX(Database!D$9:D$501,ROW(Calc!B276)-ROW(Calc!$B$7)))=0,"",INDEX(Database!D$9:D$501,ROW(Calc!B276)-ROW(Calc!$B$7))),"")</f>
        <v/>
      </c>
      <c r="E276" s="124" t="str">
        <f>IFERROR(IF(LEN(INDEX(Database!G$9:G$501,ROW(Calc!D276)-ROW(Calc!$B$7)))=0,$AD$3,INDEX(Database!G$9:G$501,ROW(Calc!D276)-ROW(Calc!$B$7))),"")</f>
        <v>Not Set</v>
      </c>
      <c r="F276" s="124" t="str">
        <f>IFERROR(IF(LEN(INDEX(Database!F$9:F$501,ROW(Calc!E276)-ROW(Calc!$B$7)))=0,$AD$3,INDEX(Database!F$9:F$501,ROW(Calc!E276)-ROW(Calc!$B$7))),"")</f>
        <v>Not Set</v>
      </c>
      <c r="G276" s="128" t="str">
        <f>IFERROR(IF(LEN(INDEX(Database!H$9:H$501,ROW(Calc!F276)-ROW(Calc!$B$7)))=0,$AD$3,INDEX(Database!H$9:H$501,ROW(Calc!F276)-ROW(Calc!$B$7))),"")</f>
        <v>Not Set</v>
      </c>
      <c r="H276" s="128" t="str">
        <f>IFERROR(IF(LEN(INDEX(Database!I$9:I$501,ROW(Calc!G276)-ROW(Calc!$B$7)))=0,$AD$3,INDEX(Database!I$9:I$501,ROW(Calc!G276)-ROW(Calc!$B$7))),"")</f>
        <v>Not Set</v>
      </c>
      <c r="I276" s="128" t="str">
        <f>IFERROR(IF(LEN(INDEX(Database!J$9:J$501,ROW(Calc!H276)-ROW(Calc!$B$7)))=0,$AD$3,INDEX(Database!J$9:J$501,ROW(Calc!H276)-ROW(Calc!$B$7))),"")</f>
        <v>Not Set</v>
      </c>
      <c r="J276" s="128" t="str">
        <f t="shared" si="41"/>
        <v>Not Set</v>
      </c>
      <c r="K276" s="124" t="str">
        <f>IFERROR(IF(LEN(INDEX(Database!E$9:E$501,ROW(Calc!I276)-ROW(Calc!$B$7)))=0,"",INDEX(Database!E$9:E$501,ROW(Calc!I276)-ROW(Calc!$B$7))),"")</f>
        <v/>
      </c>
      <c r="L276" s="129" t="str">
        <f>IFERROR(IF(LEN(INDEX(Database!K$9:K$501,ROW(Calc!K276)-ROW(Calc!$B$7)))=0,$AD$3,INDEX(Database!K$9:K$501,ROW(Calc!K276)-ROW(Calc!$B$7))),"")</f>
        <v>Not Set</v>
      </c>
      <c r="M276" s="130" t="str">
        <f>IFERROR(IF(LEN(INDEX(Database!L$9:L$501,ROW(Calc!L276)-ROW(Calc!$B$7)))=0,$AD$3,INDEX(Database!L$9:L$501,ROW(Calc!L276)-ROW(Calc!$B$7))),"")</f>
        <v>Not Set</v>
      </c>
      <c r="N276" s="131" t="str">
        <f>IFERROR(IF(LEN(INDEX(Database!M$9:M$501,ROW(Calc!M276)-ROW(Calc!$B$7)))=0,"",INDEX(Database!M$9:M$501,ROW(Calc!M276)-ROW(Calc!$B$7))),"")</f>
        <v/>
      </c>
      <c r="O276" s="132" t="str">
        <f t="shared" si="45"/>
        <v/>
      </c>
      <c r="P276" s="125" t="str">
        <f t="shared" si="42"/>
        <v>Not Set</v>
      </c>
      <c r="Q276" s="125" t="str">
        <f t="shared" si="43"/>
        <v>Not Set</v>
      </c>
      <c r="R276" s="125" t="str">
        <f>IFERROR(IF(G276=$AD$3,$AD$3,INDEX(Kanban_Helper!$C$317:$C$328,MATCH(MONTH(G276),Kanban_Helper!$B$317:$B$328,0))&amp;" - "&amp;YEAR(G276)),"$AD$3")</f>
        <v>Not Set</v>
      </c>
      <c r="S276" s="125" t="str">
        <f>IFERROR(IF(I276=$AD$3,$AD$3,INDEX(Kanban_Helper!$C$317:$C$328,MATCH(MONTH(I276),Kanban_Helper!$B$317:$B$328,0))&amp;" - "&amp;YEAR(I276)),$AD$3)</f>
        <v>Not Set</v>
      </c>
      <c r="T276" s="125" t="str">
        <f t="shared" ca="1" si="46"/>
        <v/>
      </c>
      <c r="U276" s="125" t="str">
        <f t="shared" ca="1" si="47"/>
        <v/>
      </c>
      <c r="V276" s="125" t="str">
        <f t="shared" si="44"/>
        <v>Not Set</v>
      </c>
      <c r="W276" s="126" t="str">
        <f t="shared" si="48"/>
        <v/>
      </c>
      <c r="X276" s="126" t="str">
        <f t="shared" si="49"/>
        <v/>
      </c>
      <c r="Y276" s="125" t="str">
        <f>IFERROR(IF(LEN(D276)=0,"",IF(SUBTOTAL(3,E276:E276)=0,MIN($Y$7:Y275)-1,SUBTOTAL(3,$E$8:E276))),"")</f>
        <v/>
      </c>
      <c r="Z276" s="17"/>
      <c r="AA276" s="10"/>
      <c r="AB276" s="10"/>
      <c r="AC276" s="10"/>
      <c r="AD276" s="10"/>
      <c r="AE276" s="10"/>
      <c r="AF276" s="10"/>
      <c r="AG276" s="10"/>
      <c r="AH276" s="10"/>
      <c r="AI276" s="10"/>
      <c r="AJ276" s="10"/>
      <c r="AK276" s="10"/>
      <c r="AL276" s="10"/>
      <c r="AM276" s="10"/>
      <c r="AN276" s="10"/>
    </row>
    <row r="277" spans="2:40" hidden="1" x14ac:dyDescent="0.35">
      <c r="B277" s="15"/>
      <c r="C277" s="127" t="str">
        <f>IFERROR(IF(LEN(INDEX(Database!C$9:C$501,ROW(Calc!A277)-ROW(Calc!$B$7)))=0,"",INDEX(Database!C$9:C$501,ROW(Calc!A277)-ROW(Calc!$B$7))),"")</f>
        <v/>
      </c>
      <c r="D277" s="70" t="str">
        <f>IFERROR(IF(LEN(INDEX(Database!D$9:D$501,ROW(Calc!B277)-ROW(Calc!$B$7)))=0,"",INDEX(Database!D$9:D$501,ROW(Calc!B277)-ROW(Calc!$B$7))),"")</f>
        <v/>
      </c>
      <c r="E277" s="124" t="str">
        <f>IFERROR(IF(LEN(INDEX(Database!G$9:G$501,ROW(Calc!D277)-ROW(Calc!$B$7)))=0,$AD$3,INDEX(Database!G$9:G$501,ROW(Calc!D277)-ROW(Calc!$B$7))),"")</f>
        <v>Not Set</v>
      </c>
      <c r="F277" s="124" t="str">
        <f>IFERROR(IF(LEN(INDEX(Database!F$9:F$501,ROW(Calc!E277)-ROW(Calc!$B$7)))=0,$AD$3,INDEX(Database!F$9:F$501,ROW(Calc!E277)-ROW(Calc!$B$7))),"")</f>
        <v>Not Set</v>
      </c>
      <c r="G277" s="128" t="str">
        <f>IFERROR(IF(LEN(INDEX(Database!H$9:H$501,ROW(Calc!F277)-ROW(Calc!$B$7)))=0,$AD$3,INDEX(Database!H$9:H$501,ROW(Calc!F277)-ROW(Calc!$B$7))),"")</f>
        <v>Not Set</v>
      </c>
      <c r="H277" s="128" t="str">
        <f>IFERROR(IF(LEN(INDEX(Database!I$9:I$501,ROW(Calc!G277)-ROW(Calc!$B$7)))=0,$AD$3,INDEX(Database!I$9:I$501,ROW(Calc!G277)-ROW(Calc!$B$7))),"")</f>
        <v>Not Set</v>
      </c>
      <c r="I277" s="128" t="str">
        <f>IFERROR(IF(LEN(INDEX(Database!J$9:J$501,ROW(Calc!H277)-ROW(Calc!$B$7)))=0,$AD$3,INDEX(Database!J$9:J$501,ROW(Calc!H277)-ROW(Calc!$B$7))),"")</f>
        <v>Not Set</v>
      </c>
      <c r="J277" s="128" t="str">
        <f t="shared" si="41"/>
        <v>Not Set</v>
      </c>
      <c r="K277" s="124" t="str">
        <f>IFERROR(IF(LEN(INDEX(Database!E$9:E$501,ROW(Calc!I277)-ROW(Calc!$B$7)))=0,"",INDEX(Database!E$9:E$501,ROW(Calc!I277)-ROW(Calc!$B$7))),"")</f>
        <v/>
      </c>
      <c r="L277" s="129" t="str">
        <f>IFERROR(IF(LEN(INDEX(Database!K$9:K$501,ROW(Calc!K277)-ROW(Calc!$B$7)))=0,$AD$3,INDEX(Database!K$9:K$501,ROW(Calc!K277)-ROW(Calc!$B$7))),"")</f>
        <v>Not Set</v>
      </c>
      <c r="M277" s="130" t="str">
        <f>IFERROR(IF(LEN(INDEX(Database!L$9:L$501,ROW(Calc!L277)-ROW(Calc!$B$7)))=0,$AD$3,INDEX(Database!L$9:L$501,ROW(Calc!L277)-ROW(Calc!$B$7))),"")</f>
        <v>Not Set</v>
      </c>
      <c r="N277" s="131" t="str">
        <f>IFERROR(IF(LEN(INDEX(Database!M$9:M$501,ROW(Calc!M277)-ROW(Calc!$B$7)))=0,"",INDEX(Database!M$9:M$501,ROW(Calc!M277)-ROW(Calc!$B$7))),"")</f>
        <v/>
      </c>
      <c r="O277" s="132" t="str">
        <f t="shared" si="45"/>
        <v/>
      </c>
      <c r="P277" s="125" t="str">
        <f t="shared" si="42"/>
        <v>Not Set</v>
      </c>
      <c r="Q277" s="125" t="str">
        <f t="shared" si="43"/>
        <v>Not Set</v>
      </c>
      <c r="R277" s="125" t="str">
        <f>IFERROR(IF(G277=$AD$3,$AD$3,INDEX(Kanban_Helper!$C$317:$C$328,MATCH(MONTH(G277),Kanban_Helper!$B$317:$B$328,0))&amp;" - "&amp;YEAR(G277)),"$AD$3")</f>
        <v>Not Set</v>
      </c>
      <c r="S277" s="125" t="str">
        <f>IFERROR(IF(I277=$AD$3,$AD$3,INDEX(Kanban_Helper!$C$317:$C$328,MATCH(MONTH(I277),Kanban_Helper!$B$317:$B$328,0))&amp;" - "&amp;YEAR(I277)),$AD$3)</f>
        <v>Not Set</v>
      </c>
      <c r="T277" s="125" t="str">
        <f t="shared" ca="1" si="46"/>
        <v/>
      </c>
      <c r="U277" s="125" t="str">
        <f t="shared" ca="1" si="47"/>
        <v/>
      </c>
      <c r="V277" s="125" t="str">
        <f t="shared" si="44"/>
        <v>Not Set</v>
      </c>
      <c r="W277" s="126" t="str">
        <f t="shared" si="48"/>
        <v/>
      </c>
      <c r="X277" s="126" t="str">
        <f t="shared" si="49"/>
        <v/>
      </c>
      <c r="Y277" s="125" t="str">
        <f>IFERROR(IF(LEN(D277)=0,"",IF(SUBTOTAL(3,E277:E277)=0,MIN($Y$7:Y276)-1,SUBTOTAL(3,$E$8:E277))),"")</f>
        <v/>
      </c>
      <c r="Z277" s="17"/>
      <c r="AA277" s="10"/>
      <c r="AB277" s="10"/>
      <c r="AC277" s="10"/>
      <c r="AD277" s="10"/>
      <c r="AE277" s="10"/>
      <c r="AF277" s="10"/>
      <c r="AG277" s="10"/>
      <c r="AH277" s="10"/>
      <c r="AI277" s="10"/>
      <c r="AJ277" s="10"/>
      <c r="AK277" s="10"/>
      <c r="AL277" s="10"/>
      <c r="AM277" s="10"/>
      <c r="AN277" s="10"/>
    </row>
    <row r="278" spans="2:40" hidden="1" x14ac:dyDescent="0.35">
      <c r="B278" s="15"/>
      <c r="C278" s="127" t="str">
        <f>IFERROR(IF(LEN(INDEX(Database!C$9:C$501,ROW(Calc!A278)-ROW(Calc!$B$7)))=0,"",INDEX(Database!C$9:C$501,ROW(Calc!A278)-ROW(Calc!$B$7))),"")</f>
        <v/>
      </c>
      <c r="D278" s="70" t="str">
        <f>IFERROR(IF(LEN(INDEX(Database!D$9:D$501,ROW(Calc!B278)-ROW(Calc!$B$7)))=0,"",INDEX(Database!D$9:D$501,ROW(Calc!B278)-ROW(Calc!$B$7))),"")</f>
        <v/>
      </c>
      <c r="E278" s="124" t="str">
        <f>IFERROR(IF(LEN(INDEX(Database!G$9:G$501,ROW(Calc!D278)-ROW(Calc!$B$7)))=0,$AD$3,INDEX(Database!G$9:G$501,ROW(Calc!D278)-ROW(Calc!$B$7))),"")</f>
        <v>Not Set</v>
      </c>
      <c r="F278" s="124" t="str">
        <f>IFERROR(IF(LEN(INDEX(Database!F$9:F$501,ROW(Calc!E278)-ROW(Calc!$B$7)))=0,$AD$3,INDEX(Database!F$9:F$501,ROW(Calc!E278)-ROW(Calc!$B$7))),"")</f>
        <v>Not Set</v>
      </c>
      <c r="G278" s="128" t="str">
        <f>IFERROR(IF(LEN(INDEX(Database!H$9:H$501,ROW(Calc!F278)-ROW(Calc!$B$7)))=0,$AD$3,INDEX(Database!H$9:H$501,ROW(Calc!F278)-ROW(Calc!$B$7))),"")</f>
        <v>Not Set</v>
      </c>
      <c r="H278" s="128" t="str">
        <f>IFERROR(IF(LEN(INDEX(Database!I$9:I$501,ROW(Calc!G278)-ROW(Calc!$B$7)))=0,$AD$3,INDEX(Database!I$9:I$501,ROW(Calc!G278)-ROW(Calc!$B$7))),"")</f>
        <v>Not Set</v>
      </c>
      <c r="I278" s="128" t="str">
        <f>IFERROR(IF(LEN(INDEX(Database!J$9:J$501,ROW(Calc!H278)-ROW(Calc!$B$7)))=0,$AD$3,INDEX(Database!J$9:J$501,ROW(Calc!H278)-ROW(Calc!$B$7))),"")</f>
        <v>Not Set</v>
      </c>
      <c r="J278" s="128" t="str">
        <f t="shared" si="41"/>
        <v>Not Set</v>
      </c>
      <c r="K278" s="124" t="str">
        <f>IFERROR(IF(LEN(INDEX(Database!E$9:E$501,ROW(Calc!I278)-ROW(Calc!$B$7)))=0,"",INDEX(Database!E$9:E$501,ROW(Calc!I278)-ROW(Calc!$B$7))),"")</f>
        <v/>
      </c>
      <c r="L278" s="129" t="str">
        <f>IFERROR(IF(LEN(INDEX(Database!K$9:K$501,ROW(Calc!K278)-ROW(Calc!$B$7)))=0,$AD$3,INDEX(Database!K$9:K$501,ROW(Calc!K278)-ROW(Calc!$B$7))),"")</f>
        <v>Not Set</v>
      </c>
      <c r="M278" s="130" t="str">
        <f>IFERROR(IF(LEN(INDEX(Database!L$9:L$501,ROW(Calc!L278)-ROW(Calc!$B$7)))=0,$AD$3,INDEX(Database!L$9:L$501,ROW(Calc!L278)-ROW(Calc!$B$7))),"")</f>
        <v>Not Set</v>
      </c>
      <c r="N278" s="131" t="str">
        <f>IFERROR(IF(LEN(INDEX(Database!M$9:M$501,ROW(Calc!M278)-ROW(Calc!$B$7)))=0,"",INDEX(Database!M$9:M$501,ROW(Calc!M278)-ROW(Calc!$B$7))),"")</f>
        <v/>
      </c>
      <c r="O278" s="132" t="str">
        <f t="shared" si="45"/>
        <v/>
      </c>
      <c r="P278" s="125" t="str">
        <f t="shared" si="42"/>
        <v>Not Set</v>
      </c>
      <c r="Q278" s="125" t="str">
        <f t="shared" si="43"/>
        <v>Not Set</v>
      </c>
      <c r="R278" s="125" t="str">
        <f>IFERROR(IF(G278=$AD$3,$AD$3,INDEX(Kanban_Helper!$C$317:$C$328,MATCH(MONTH(G278),Kanban_Helper!$B$317:$B$328,0))&amp;" - "&amp;YEAR(G278)),"$AD$3")</f>
        <v>Not Set</v>
      </c>
      <c r="S278" s="125" t="str">
        <f>IFERROR(IF(I278=$AD$3,$AD$3,INDEX(Kanban_Helper!$C$317:$C$328,MATCH(MONTH(I278),Kanban_Helper!$B$317:$B$328,0))&amp;" - "&amp;YEAR(I278)),$AD$3)</f>
        <v>Not Set</v>
      </c>
      <c r="T278" s="125" t="str">
        <f t="shared" ca="1" si="46"/>
        <v/>
      </c>
      <c r="U278" s="125" t="str">
        <f t="shared" ca="1" si="47"/>
        <v/>
      </c>
      <c r="V278" s="125" t="str">
        <f t="shared" si="44"/>
        <v>Not Set</v>
      </c>
      <c r="W278" s="126" t="str">
        <f t="shared" si="48"/>
        <v/>
      </c>
      <c r="X278" s="126" t="str">
        <f t="shared" si="49"/>
        <v/>
      </c>
      <c r="Y278" s="125" t="str">
        <f>IFERROR(IF(LEN(D278)=0,"",IF(SUBTOTAL(3,E278:E278)=0,MIN($Y$7:Y277)-1,SUBTOTAL(3,$E$8:E278))),"")</f>
        <v/>
      </c>
      <c r="Z278" s="17"/>
      <c r="AA278" s="10"/>
      <c r="AB278" s="10"/>
      <c r="AC278" s="10"/>
      <c r="AD278" s="10"/>
      <c r="AE278" s="10"/>
      <c r="AF278" s="10"/>
      <c r="AG278" s="10"/>
      <c r="AH278" s="10"/>
      <c r="AI278" s="10"/>
      <c r="AJ278" s="10"/>
      <c r="AK278" s="10"/>
      <c r="AL278" s="10"/>
      <c r="AM278" s="10"/>
      <c r="AN278" s="10"/>
    </row>
    <row r="279" spans="2:40" hidden="1" x14ac:dyDescent="0.35">
      <c r="B279" s="15"/>
      <c r="C279" s="127" t="str">
        <f>IFERROR(IF(LEN(INDEX(Database!C$9:C$501,ROW(Calc!A279)-ROW(Calc!$B$7)))=0,"",INDEX(Database!C$9:C$501,ROW(Calc!A279)-ROW(Calc!$B$7))),"")</f>
        <v/>
      </c>
      <c r="D279" s="70" t="str">
        <f>IFERROR(IF(LEN(INDEX(Database!D$9:D$501,ROW(Calc!B279)-ROW(Calc!$B$7)))=0,"",INDEX(Database!D$9:D$501,ROW(Calc!B279)-ROW(Calc!$B$7))),"")</f>
        <v/>
      </c>
      <c r="E279" s="124" t="str">
        <f>IFERROR(IF(LEN(INDEX(Database!G$9:G$501,ROW(Calc!D279)-ROW(Calc!$B$7)))=0,$AD$3,INDEX(Database!G$9:G$501,ROW(Calc!D279)-ROW(Calc!$B$7))),"")</f>
        <v>Not Set</v>
      </c>
      <c r="F279" s="124" t="str">
        <f>IFERROR(IF(LEN(INDEX(Database!F$9:F$501,ROW(Calc!E279)-ROW(Calc!$B$7)))=0,$AD$3,INDEX(Database!F$9:F$501,ROW(Calc!E279)-ROW(Calc!$B$7))),"")</f>
        <v>Not Set</v>
      </c>
      <c r="G279" s="128" t="str">
        <f>IFERROR(IF(LEN(INDEX(Database!H$9:H$501,ROW(Calc!F279)-ROW(Calc!$B$7)))=0,$AD$3,INDEX(Database!H$9:H$501,ROW(Calc!F279)-ROW(Calc!$B$7))),"")</f>
        <v>Not Set</v>
      </c>
      <c r="H279" s="128" t="str">
        <f>IFERROR(IF(LEN(INDEX(Database!I$9:I$501,ROW(Calc!G279)-ROW(Calc!$B$7)))=0,$AD$3,INDEX(Database!I$9:I$501,ROW(Calc!G279)-ROW(Calc!$B$7))),"")</f>
        <v>Not Set</v>
      </c>
      <c r="I279" s="128" t="str">
        <f>IFERROR(IF(LEN(INDEX(Database!J$9:J$501,ROW(Calc!H279)-ROW(Calc!$B$7)))=0,$AD$3,INDEX(Database!J$9:J$501,ROW(Calc!H279)-ROW(Calc!$B$7))),"")</f>
        <v>Not Set</v>
      </c>
      <c r="J279" s="128" t="str">
        <f t="shared" si="41"/>
        <v>Not Set</v>
      </c>
      <c r="K279" s="124" t="str">
        <f>IFERROR(IF(LEN(INDEX(Database!E$9:E$501,ROW(Calc!I279)-ROW(Calc!$B$7)))=0,"",INDEX(Database!E$9:E$501,ROW(Calc!I279)-ROW(Calc!$B$7))),"")</f>
        <v/>
      </c>
      <c r="L279" s="129" t="str">
        <f>IFERROR(IF(LEN(INDEX(Database!K$9:K$501,ROW(Calc!K279)-ROW(Calc!$B$7)))=0,$AD$3,INDEX(Database!K$9:K$501,ROW(Calc!K279)-ROW(Calc!$B$7))),"")</f>
        <v>Not Set</v>
      </c>
      <c r="M279" s="130" t="str">
        <f>IFERROR(IF(LEN(INDEX(Database!L$9:L$501,ROW(Calc!L279)-ROW(Calc!$B$7)))=0,$AD$3,INDEX(Database!L$9:L$501,ROW(Calc!L279)-ROW(Calc!$B$7))),"")</f>
        <v>Not Set</v>
      </c>
      <c r="N279" s="131" t="str">
        <f>IFERROR(IF(LEN(INDEX(Database!M$9:M$501,ROW(Calc!M279)-ROW(Calc!$B$7)))=0,"",INDEX(Database!M$9:M$501,ROW(Calc!M279)-ROW(Calc!$B$7))),"")</f>
        <v/>
      </c>
      <c r="O279" s="132" t="str">
        <f t="shared" si="45"/>
        <v/>
      </c>
      <c r="P279" s="125" t="str">
        <f t="shared" si="42"/>
        <v>Not Set</v>
      </c>
      <c r="Q279" s="125" t="str">
        <f t="shared" si="43"/>
        <v>Not Set</v>
      </c>
      <c r="R279" s="125" t="str">
        <f>IFERROR(IF(G279=$AD$3,$AD$3,INDEX(Kanban_Helper!$C$317:$C$328,MATCH(MONTH(G279),Kanban_Helper!$B$317:$B$328,0))&amp;" - "&amp;YEAR(G279)),"$AD$3")</f>
        <v>Not Set</v>
      </c>
      <c r="S279" s="125" t="str">
        <f>IFERROR(IF(I279=$AD$3,$AD$3,INDEX(Kanban_Helper!$C$317:$C$328,MATCH(MONTH(I279),Kanban_Helper!$B$317:$B$328,0))&amp;" - "&amp;YEAR(I279)),$AD$3)</f>
        <v>Not Set</v>
      </c>
      <c r="T279" s="125" t="str">
        <f t="shared" ca="1" si="46"/>
        <v/>
      </c>
      <c r="U279" s="125" t="str">
        <f t="shared" ca="1" si="47"/>
        <v/>
      </c>
      <c r="V279" s="125" t="str">
        <f t="shared" si="44"/>
        <v>Not Set</v>
      </c>
      <c r="W279" s="126" t="str">
        <f t="shared" si="48"/>
        <v/>
      </c>
      <c r="X279" s="126" t="str">
        <f t="shared" si="49"/>
        <v/>
      </c>
      <c r="Y279" s="125" t="str">
        <f>IFERROR(IF(LEN(D279)=0,"",IF(SUBTOTAL(3,E279:E279)=0,MIN($Y$7:Y278)-1,SUBTOTAL(3,$E$8:E279))),"")</f>
        <v/>
      </c>
      <c r="Z279" s="17"/>
      <c r="AA279" s="10"/>
      <c r="AB279" s="10"/>
      <c r="AC279" s="10"/>
      <c r="AD279" s="10"/>
      <c r="AE279" s="10"/>
      <c r="AF279" s="10"/>
      <c r="AG279" s="10"/>
      <c r="AH279" s="10"/>
      <c r="AI279" s="10"/>
      <c r="AJ279" s="10"/>
      <c r="AK279" s="10"/>
      <c r="AL279" s="10"/>
      <c r="AM279" s="10"/>
      <c r="AN279" s="10"/>
    </row>
    <row r="280" spans="2:40" hidden="1" x14ac:dyDescent="0.35">
      <c r="B280" s="15"/>
      <c r="C280" s="127" t="str">
        <f>IFERROR(IF(LEN(INDEX(Database!C$9:C$501,ROW(Calc!A280)-ROW(Calc!$B$7)))=0,"",INDEX(Database!C$9:C$501,ROW(Calc!A280)-ROW(Calc!$B$7))),"")</f>
        <v/>
      </c>
      <c r="D280" s="70" t="str">
        <f>IFERROR(IF(LEN(INDEX(Database!D$9:D$501,ROW(Calc!B280)-ROW(Calc!$B$7)))=0,"",INDEX(Database!D$9:D$501,ROW(Calc!B280)-ROW(Calc!$B$7))),"")</f>
        <v/>
      </c>
      <c r="E280" s="124" t="str">
        <f>IFERROR(IF(LEN(INDEX(Database!G$9:G$501,ROW(Calc!D280)-ROW(Calc!$B$7)))=0,$AD$3,INDEX(Database!G$9:G$501,ROW(Calc!D280)-ROW(Calc!$B$7))),"")</f>
        <v>Not Set</v>
      </c>
      <c r="F280" s="124" t="str">
        <f>IFERROR(IF(LEN(INDEX(Database!F$9:F$501,ROW(Calc!E280)-ROW(Calc!$B$7)))=0,$AD$3,INDEX(Database!F$9:F$501,ROW(Calc!E280)-ROW(Calc!$B$7))),"")</f>
        <v>Not Set</v>
      </c>
      <c r="G280" s="128" t="str">
        <f>IFERROR(IF(LEN(INDEX(Database!H$9:H$501,ROW(Calc!F280)-ROW(Calc!$B$7)))=0,$AD$3,INDEX(Database!H$9:H$501,ROW(Calc!F280)-ROW(Calc!$B$7))),"")</f>
        <v>Not Set</v>
      </c>
      <c r="H280" s="128" t="str">
        <f>IFERROR(IF(LEN(INDEX(Database!I$9:I$501,ROW(Calc!G280)-ROW(Calc!$B$7)))=0,$AD$3,INDEX(Database!I$9:I$501,ROW(Calc!G280)-ROW(Calc!$B$7))),"")</f>
        <v>Not Set</v>
      </c>
      <c r="I280" s="128" t="str">
        <f>IFERROR(IF(LEN(INDEX(Database!J$9:J$501,ROW(Calc!H280)-ROW(Calc!$B$7)))=0,$AD$3,INDEX(Database!J$9:J$501,ROW(Calc!H280)-ROW(Calc!$B$7))),"")</f>
        <v>Not Set</v>
      </c>
      <c r="J280" s="128" t="str">
        <f t="shared" si="41"/>
        <v>Not Set</v>
      </c>
      <c r="K280" s="124" t="str">
        <f>IFERROR(IF(LEN(INDEX(Database!E$9:E$501,ROW(Calc!I280)-ROW(Calc!$B$7)))=0,"",INDEX(Database!E$9:E$501,ROW(Calc!I280)-ROW(Calc!$B$7))),"")</f>
        <v/>
      </c>
      <c r="L280" s="129" t="str">
        <f>IFERROR(IF(LEN(INDEX(Database!K$9:K$501,ROW(Calc!K280)-ROW(Calc!$B$7)))=0,$AD$3,INDEX(Database!K$9:K$501,ROW(Calc!K280)-ROW(Calc!$B$7))),"")</f>
        <v>Not Set</v>
      </c>
      <c r="M280" s="130" t="str">
        <f>IFERROR(IF(LEN(INDEX(Database!L$9:L$501,ROW(Calc!L280)-ROW(Calc!$B$7)))=0,$AD$3,INDEX(Database!L$9:L$501,ROW(Calc!L280)-ROW(Calc!$B$7))),"")</f>
        <v>Not Set</v>
      </c>
      <c r="N280" s="131" t="str">
        <f>IFERROR(IF(LEN(INDEX(Database!M$9:M$501,ROW(Calc!M280)-ROW(Calc!$B$7)))=0,"",INDEX(Database!M$9:M$501,ROW(Calc!M280)-ROW(Calc!$B$7))),"")</f>
        <v/>
      </c>
      <c r="O280" s="132" t="str">
        <f t="shared" si="45"/>
        <v/>
      </c>
      <c r="P280" s="125" t="str">
        <f t="shared" si="42"/>
        <v>Not Set</v>
      </c>
      <c r="Q280" s="125" t="str">
        <f t="shared" si="43"/>
        <v>Not Set</v>
      </c>
      <c r="R280" s="125" t="str">
        <f>IFERROR(IF(G280=$AD$3,$AD$3,INDEX(Kanban_Helper!$C$317:$C$328,MATCH(MONTH(G280),Kanban_Helper!$B$317:$B$328,0))&amp;" - "&amp;YEAR(G280)),"$AD$3")</f>
        <v>Not Set</v>
      </c>
      <c r="S280" s="125" t="str">
        <f>IFERROR(IF(I280=$AD$3,$AD$3,INDEX(Kanban_Helper!$C$317:$C$328,MATCH(MONTH(I280),Kanban_Helper!$B$317:$B$328,0))&amp;" - "&amp;YEAR(I280)),$AD$3)</f>
        <v>Not Set</v>
      </c>
      <c r="T280" s="125" t="str">
        <f t="shared" ca="1" si="46"/>
        <v/>
      </c>
      <c r="U280" s="125" t="str">
        <f t="shared" ca="1" si="47"/>
        <v/>
      </c>
      <c r="V280" s="125" t="str">
        <f t="shared" si="44"/>
        <v>Not Set</v>
      </c>
      <c r="W280" s="126" t="str">
        <f t="shared" si="48"/>
        <v/>
      </c>
      <c r="X280" s="126" t="str">
        <f t="shared" si="49"/>
        <v/>
      </c>
      <c r="Y280" s="125" t="str">
        <f>IFERROR(IF(LEN(D280)=0,"",IF(SUBTOTAL(3,E280:E280)=0,MIN($Y$7:Y279)-1,SUBTOTAL(3,$E$8:E280))),"")</f>
        <v/>
      </c>
      <c r="Z280" s="17"/>
      <c r="AA280" s="10"/>
      <c r="AB280" s="10"/>
      <c r="AC280" s="10"/>
      <c r="AD280" s="10"/>
      <c r="AE280" s="10"/>
      <c r="AF280" s="10"/>
      <c r="AG280" s="10"/>
      <c r="AH280" s="10"/>
      <c r="AI280" s="10"/>
      <c r="AJ280" s="10"/>
      <c r="AK280" s="10"/>
      <c r="AL280" s="10"/>
      <c r="AM280" s="10"/>
      <c r="AN280" s="10"/>
    </row>
    <row r="281" spans="2:40" hidden="1" x14ac:dyDescent="0.35">
      <c r="B281" s="15"/>
      <c r="C281" s="127" t="str">
        <f>IFERROR(IF(LEN(INDEX(Database!C$9:C$501,ROW(Calc!A281)-ROW(Calc!$B$7)))=0,"",INDEX(Database!C$9:C$501,ROW(Calc!A281)-ROW(Calc!$B$7))),"")</f>
        <v/>
      </c>
      <c r="D281" s="70" t="str">
        <f>IFERROR(IF(LEN(INDEX(Database!D$9:D$501,ROW(Calc!B281)-ROW(Calc!$B$7)))=0,"",INDEX(Database!D$9:D$501,ROW(Calc!B281)-ROW(Calc!$B$7))),"")</f>
        <v/>
      </c>
      <c r="E281" s="124" t="str">
        <f>IFERROR(IF(LEN(INDEX(Database!G$9:G$501,ROW(Calc!D281)-ROW(Calc!$B$7)))=0,$AD$3,INDEX(Database!G$9:G$501,ROW(Calc!D281)-ROW(Calc!$B$7))),"")</f>
        <v>Not Set</v>
      </c>
      <c r="F281" s="124" t="str">
        <f>IFERROR(IF(LEN(INDEX(Database!F$9:F$501,ROW(Calc!E281)-ROW(Calc!$B$7)))=0,$AD$3,INDEX(Database!F$9:F$501,ROW(Calc!E281)-ROW(Calc!$B$7))),"")</f>
        <v>Not Set</v>
      </c>
      <c r="G281" s="128" t="str">
        <f>IFERROR(IF(LEN(INDEX(Database!H$9:H$501,ROW(Calc!F281)-ROW(Calc!$B$7)))=0,$AD$3,INDEX(Database!H$9:H$501,ROW(Calc!F281)-ROW(Calc!$B$7))),"")</f>
        <v>Not Set</v>
      </c>
      <c r="H281" s="128" t="str">
        <f>IFERROR(IF(LEN(INDEX(Database!I$9:I$501,ROW(Calc!G281)-ROW(Calc!$B$7)))=0,$AD$3,INDEX(Database!I$9:I$501,ROW(Calc!G281)-ROW(Calc!$B$7))),"")</f>
        <v>Not Set</v>
      </c>
      <c r="I281" s="128" t="str">
        <f>IFERROR(IF(LEN(INDEX(Database!J$9:J$501,ROW(Calc!H281)-ROW(Calc!$B$7)))=0,$AD$3,INDEX(Database!J$9:J$501,ROW(Calc!H281)-ROW(Calc!$B$7))),"")</f>
        <v>Not Set</v>
      </c>
      <c r="J281" s="128" t="str">
        <f t="shared" si="41"/>
        <v>Not Set</v>
      </c>
      <c r="K281" s="124" t="str">
        <f>IFERROR(IF(LEN(INDEX(Database!E$9:E$501,ROW(Calc!I281)-ROW(Calc!$B$7)))=0,"",INDEX(Database!E$9:E$501,ROW(Calc!I281)-ROW(Calc!$B$7))),"")</f>
        <v/>
      </c>
      <c r="L281" s="129" t="str">
        <f>IFERROR(IF(LEN(INDEX(Database!K$9:K$501,ROW(Calc!K281)-ROW(Calc!$B$7)))=0,$AD$3,INDEX(Database!K$9:K$501,ROW(Calc!K281)-ROW(Calc!$B$7))),"")</f>
        <v>Not Set</v>
      </c>
      <c r="M281" s="130" t="str">
        <f>IFERROR(IF(LEN(INDEX(Database!L$9:L$501,ROW(Calc!L281)-ROW(Calc!$B$7)))=0,$AD$3,INDEX(Database!L$9:L$501,ROW(Calc!L281)-ROW(Calc!$B$7))),"")</f>
        <v>Not Set</v>
      </c>
      <c r="N281" s="131" t="str">
        <f>IFERROR(IF(LEN(INDEX(Database!M$9:M$501,ROW(Calc!M281)-ROW(Calc!$B$7)))=0,"",INDEX(Database!M$9:M$501,ROW(Calc!M281)-ROW(Calc!$B$7))),"")</f>
        <v/>
      </c>
      <c r="O281" s="132" t="str">
        <f t="shared" si="45"/>
        <v/>
      </c>
      <c r="P281" s="125" t="str">
        <f t="shared" si="42"/>
        <v>Not Set</v>
      </c>
      <c r="Q281" s="125" t="str">
        <f t="shared" si="43"/>
        <v>Not Set</v>
      </c>
      <c r="R281" s="125" t="str">
        <f>IFERROR(IF(G281=$AD$3,$AD$3,INDEX(Kanban_Helper!$C$317:$C$328,MATCH(MONTH(G281),Kanban_Helper!$B$317:$B$328,0))&amp;" - "&amp;YEAR(G281)),"$AD$3")</f>
        <v>Not Set</v>
      </c>
      <c r="S281" s="125" t="str">
        <f>IFERROR(IF(I281=$AD$3,$AD$3,INDEX(Kanban_Helper!$C$317:$C$328,MATCH(MONTH(I281),Kanban_Helper!$B$317:$B$328,0))&amp;" - "&amp;YEAR(I281)),$AD$3)</f>
        <v>Not Set</v>
      </c>
      <c r="T281" s="125" t="str">
        <f t="shared" ca="1" si="46"/>
        <v/>
      </c>
      <c r="U281" s="125" t="str">
        <f t="shared" ca="1" si="47"/>
        <v/>
      </c>
      <c r="V281" s="125" t="str">
        <f t="shared" si="44"/>
        <v>Not Set</v>
      </c>
      <c r="W281" s="126" t="str">
        <f t="shared" si="48"/>
        <v/>
      </c>
      <c r="X281" s="126" t="str">
        <f t="shared" si="49"/>
        <v/>
      </c>
      <c r="Y281" s="125" t="str">
        <f>IFERROR(IF(LEN(D281)=0,"",IF(SUBTOTAL(3,E281:E281)=0,MIN($Y$7:Y280)-1,SUBTOTAL(3,$E$8:E281))),"")</f>
        <v/>
      </c>
      <c r="Z281" s="17"/>
      <c r="AA281" s="10"/>
      <c r="AB281" s="10"/>
      <c r="AC281" s="10"/>
      <c r="AD281" s="10"/>
      <c r="AE281" s="10"/>
      <c r="AF281" s="10"/>
      <c r="AG281" s="10"/>
      <c r="AH281" s="10"/>
      <c r="AI281" s="10"/>
      <c r="AJ281" s="10"/>
      <c r="AK281" s="10"/>
      <c r="AL281" s="10"/>
      <c r="AM281" s="10"/>
      <c r="AN281" s="10"/>
    </row>
    <row r="282" spans="2:40" hidden="1" x14ac:dyDescent="0.35">
      <c r="B282" s="15"/>
      <c r="C282" s="127" t="str">
        <f>IFERROR(IF(LEN(INDEX(Database!C$9:C$501,ROW(Calc!A282)-ROW(Calc!$B$7)))=0,"",INDEX(Database!C$9:C$501,ROW(Calc!A282)-ROW(Calc!$B$7))),"")</f>
        <v/>
      </c>
      <c r="D282" s="70" t="str">
        <f>IFERROR(IF(LEN(INDEX(Database!D$9:D$501,ROW(Calc!B282)-ROW(Calc!$B$7)))=0,"",INDEX(Database!D$9:D$501,ROW(Calc!B282)-ROW(Calc!$B$7))),"")</f>
        <v/>
      </c>
      <c r="E282" s="124" t="str">
        <f>IFERROR(IF(LEN(INDEX(Database!G$9:G$501,ROW(Calc!D282)-ROW(Calc!$B$7)))=0,$AD$3,INDEX(Database!G$9:G$501,ROW(Calc!D282)-ROW(Calc!$B$7))),"")</f>
        <v>Not Set</v>
      </c>
      <c r="F282" s="124" t="str">
        <f>IFERROR(IF(LEN(INDEX(Database!F$9:F$501,ROW(Calc!E282)-ROW(Calc!$B$7)))=0,$AD$3,INDEX(Database!F$9:F$501,ROW(Calc!E282)-ROW(Calc!$B$7))),"")</f>
        <v>Not Set</v>
      </c>
      <c r="G282" s="128" t="str">
        <f>IFERROR(IF(LEN(INDEX(Database!H$9:H$501,ROW(Calc!F282)-ROW(Calc!$B$7)))=0,$AD$3,INDEX(Database!H$9:H$501,ROW(Calc!F282)-ROW(Calc!$B$7))),"")</f>
        <v>Not Set</v>
      </c>
      <c r="H282" s="128" t="str">
        <f>IFERROR(IF(LEN(INDEX(Database!I$9:I$501,ROW(Calc!G282)-ROW(Calc!$B$7)))=0,$AD$3,INDEX(Database!I$9:I$501,ROW(Calc!G282)-ROW(Calc!$B$7))),"")</f>
        <v>Not Set</v>
      </c>
      <c r="I282" s="128" t="str">
        <f>IFERROR(IF(LEN(INDEX(Database!J$9:J$501,ROW(Calc!H282)-ROW(Calc!$B$7)))=0,$AD$3,INDEX(Database!J$9:J$501,ROW(Calc!H282)-ROW(Calc!$B$7))),"")</f>
        <v>Not Set</v>
      </c>
      <c r="J282" s="128" t="str">
        <f t="shared" si="41"/>
        <v>Not Set</v>
      </c>
      <c r="K282" s="124" t="str">
        <f>IFERROR(IF(LEN(INDEX(Database!E$9:E$501,ROW(Calc!I282)-ROW(Calc!$B$7)))=0,"",INDEX(Database!E$9:E$501,ROW(Calc!I282)-ROW(Calc!$B$7))),"")</f>
        <v/>
      </c>
      <c r="L282" s="129" t="str">
        <f>IFERROR(IF(LEN(INDEX(Database!K$9:K$501,ROW(Calc!K282)-ROW(Calc!$B$7)))=0,$AD$3,INDEX(Database!K$9:K$501,ROW(Calc!K282)-ROW(Calc!$B$7))),"")</f>
        <v>Not Set</v>
      </c>
      <c r="M282" s="130" t="str">
        <f>IFERROR(IF(LEN(INDEX(Database!L$9:L$501,ROW(Calc!L282)-ROW(Calc!$B$7)))=0,$AD$3,INDEX(Database!L$9:L$501,ROW(Calc!L282)-ROW(Calc!$B$7))),"")</f>
        <v>Not Set</v>
      </c>
      <c r="N282" s="131" t="str">
        <f>IFERROR(IF(LEN(INDEX(Database!M$9:M$501,ROW(Calc!M282)-ROW(Calc!$B$7)))=0,"",INDEX(Database!M$9:M$501,ROW(Calc!M282)-ROW(Calc!$B$7))),"")</f>
        <v/>
      </c>
      <c r="O282" s="132" t="str">
        <f t="shared" si="45"/>
        <v/>
      </c>
      <c r="P282" s="125" t="str">
        <f t="shared" si="42"/>
        <v>Not Set</v>
      </c>
      <c r="Q282" s="125" t="str">
        <f t="shared" si="43"/>
        <v>Not Set</v>
      </c>
      <c r="R282" s="125" t="str">
        <f>IFERROR(IF(G282=$AD$3,$AD$3,INDEX(Kanban_Helper!$C$317:$C$328,MATCH(MONTH(G282),Kanban_Helper!$B$317:$B$328,0))&amp;" - "&amp;YEAR(G282)),"$AD$3")</f>
        <v>Not Set</v>
      </c>
      <c r="S282" s="125" t="str">
        <f>IFERROR(IF(I282=$AD$3,$AD$3,INDEX(Kanban_Helper!$C$317:$C$328,MATCH(MONTH(I282),Kanban_Helper!$B$317:$B$328,0))&amp;" - "&amp;YEAR(I282)),$AD$3)</f>
        <v>Not Set</v>
      </c>
      <c r="T282" s="125" t="str">
        <f t="shared" ca="1" si="46"/>
        <v/>
      </c>
      <c r="U282" s="125" t="str">
        <f t="shared" ca="1" si="47"/>
        <v/>
      </c>
      <c r="V282" s="125" t="str">
        <f t="shared" si="44"/>
        <v>Not Set</v>
      </c>
      <c r="W282" s="126" t="str">
        <f t="shared" si="48"/>
        <v/>
      </c>
      <c r="X282" s="126" t="str">
        <f t="shared" si="49"/>
        <v/>
      </c>
      <c r="Y282" s="125" t="str">
        <f>IFERROR(IF(LEN(D282)=0,"",IF(SUBTOTAL(3,E282:E282)=0,MIN($Y$7:Y281)-1,SUBTOTAL(3,$E$8:E282))),"")</f>
        <v/>
      </c>
      <c r="Z282" s="17"/>
      <c r="AA282" s="10"/>
      <c r="AB282" s="10"/>
      <c r="AC282" s="10"/>
      <c r="AD282" s="10"/>
      <c r="AE282" s="10"/>
      <c r="AF282" s="10"/>
      <c r="AG282" s="10"/>
      <c r="AH282" s="10"/>
      <c r="AI282" s="10"/>
      <c r="AJ282" s="10"/>
      <c r="AK282" s="10"/>
      <c r="AL282" s="10"/>
      <c r="AM282" s="10"/>
      <c r="AN282" s="10"/>
    </row>
    <row r="283" spans="2:40" hidden="1" x14ac:dyDescent="0.35">
      <c r="B283" s="15"/>
      <c r="C283" s="127" t="str">
        <f>IFERROR(IF(LEN(INDEX(Database!C$9:C$501,ROW(Calc!A283)-ROW(Calc!$B$7)))=0,"",INDEX(Database!C$9:C$501,ROW(Calc!A283)-ROW(Calc!$B$7))),"")</f>
        <v/>
      </c>
      <c r="D283" s="70" t="str">
        <f>IFERROR(IF(LEN(INDEX(Database!D$9:D$501,ROW(Calc!B283)-ROW(Calc!$B$7)))=0,"",INDEX(Database!D$9:D$501,ROW(Calc!B283)-ROW(Calc!$B$7))),"")</f>
        <v/>
      </c>
      <c r="E283" s="124" t="str">
        <f>IFERROR(IF(LEN(INDEX(Database!G$9:G$501,ROW(Calc!D283)-ROW(Calc!$B$7)))=0,$AD$3,INDEX(Database!G$9:G$501,ROW(Calc!D283)-ROW(Calc!$B$7))),"")</f>
        <v>Not Set</v>
      </c>
      <c r="F283" s="124" t="str">
        <f>IFERROR(IF(LEN(INDEX(Database!F$9:F$501,ROW(Calc!E283)-ROW(Calc!$B$7)))=0,$AD$3,INDEX(Database!F$9:F$501,ROW(Calc!E283)-ROW(Calc!$B$7))),"")</f>
        <v>Not Set</v>
      </c>
      <c r="G283" s="128" t="str">
        <f>IFERROR(IF(LEN(INDEX(Database!H$9:H$501,ROW(Calc!F283)-ROW(Calc!$B$7)))=0,$AD$3,INDEX(Database!H$9:H$501,ROW(Calc!F283)-ROW(Calc!$B$7))),"")</f>
        <v>Not Set</v>
      </c>
      <c r="H283" s="128" t="str">
        <f>IFERROR(IF(LEN(INDEX(Database!I$9:I$501,ROW(Calc!G283)-ROW(Calc!$B$7)))=0,$AD$3,INDEX(Database!I$9:I$501,ROW(Calc!G283)-ROW(Calc!$B$7))),"")</f>
        <v>Not Set</v>
      </c>
      <c r="I283" s="128" t="str">
        <f>IFERROR(IF(LEN(INDEX(Database!J$9:J$501,ROW(Calc!H283)-ROW(Calc!$B$7)))=0,$AD$3,INDEX(Database!J$9:J$501,ROW(Calc!H283)-ROW(Calc!$B$7))),"")</f>
        <v>Not Set</v>
      </c>
      <c r="J283" s="128" t="str">
        <f t="shared" si="41"/>
        <v>Not Set</v>
      </c>
      <c r="K283" s="124" t="str">
        <f>IFERROR(IF(LEN(INDEX(Database!E$9:E$501,ROW(Calc!I283)-ROW(Calc!$B$7)))=0,"",INDEX(Database!E$9:E$501,ROW(Calc!I283)-ROW(Calc!$B$7))),"")</f>
        <v/>
      </c>
      <c r="L283" s="129" t="str">
        <f>IFERROR(IF(LEN(INDEX(Database!K$9:K$501,ROW(Calc!K283)-ROW(Calc!$B$7)))=0,$AD$3,INDEX(Database!K$9:K$501,ROW(Calc!K283)-ROW(Calc!$B$7))),"")</f>
        <v>Not Set</v>
      </c>
      <c r="M283" s="130" t="str">
        <f>IFERROR(IF(LEN(INDEX(Database!L$9:L$501,ROW(Calc!L283)-ROW(Calc!$B$7)))=0,$AD$3,INDEX(Database!L$9:L$501,ROW(Calc!L283)-ROW(Calc!$B$7))),"")</f>
        <v>Not Set</v>
      </c>
      <c r="N283" s="131" t="str">
        <f>IFERROR(IF(LEN(INDEX(Database!M$9:M$501,ROW(Calc!M283)-ROW(Calc!$B$7)))=0,"",INDEX(Database!M$9:M$501,ROW(Calc!M283)-ROW(Calc!$B$7))),"")</f>
        <v/>
      </c>
      <c r="O283" s="132" t="str">
        <f t="shared" si="45"/>
        <v/>
      </c>
      <c r="P283" s="125" t="str">
        <f t="shared" si="42"/>
        <v>Not Set</v>
      </c>
      <c r="Q283" s="125" t="str">
        <f t="shared" si="43"/>
        <v>Not Set</v>
      </c>
      <c r="R283" s="125" t="str">
        <f>IFERROR(IF(G283=$AD$3,$AD$3,INDEX(Kanban_Helper!$C$317:$C$328,MATCH(MONTH(G283),Kanban_Helper!$B$317:$B$328,0))&amp;" - "&amp;YEAR(G283)),"$AD$3")</f>
        <v>Not Set</v>
      </c>
      <c r="S283" s="125" t="str">
        <f>IFERROR(IF(I283=$AD$3,$AD$3,INDEX(Kanban_Helper!$C$317:$C$328,MATCH(MONTH(I283),Kanban_Helper!$B$317:$B$328,0))&amp;" - "&amp;YEAR(I283)),$AD$3)</f>
        <v>Not Set</v>
      </c>
      <c r="T283" s="125" t="str">
        <f t="shared" ca="1" si="46"/>
        <v/>
      </c>
      <c r="U283" s="125" t="str">
        <f t="shared" ca="1" si="47"/>
        <v/>
      </c>
      <c r="V283" s="125" t="str">
        <f t="shared" si="44"/>
        <v>Not Set</v>
      </c>
      <c r="W283" s="126" t="str">
        <f t="shared" si="48"/>
        <v/>
      </c>
      <c r="X283" s="126" t="str">
        <f t="shared" si="49"/>
        <v/>
      </c>
      <c r="Y283" s="125" t="str">
        <f>IFERROR(IF(LEN(D283)=0,"",IF(SUBTOTAL(3,E283:E283)=0,MIN($Y$7:Y282)-1,SUBTOTAL(3,$E$8:E283))),"")</f>
        <v/>
      </c>
      <c r="Z283" s="17"/>
      <c r="AA283" s="10"/>
      <c r="AB283" s="10"/>
      <c r="AC283" s="10"/>
      <c r="AD283" s="10"/>
      <c r="AE283" s="10"/>
      <c r="AF283" s="10"/>
      <c r="AG283" s="10"/>
      <c r="AH283" s="10"/>
      <c r="AI283" s="10"/>
      <c r="AJ283" s="10"/>
      <c r="AK283" s="10"/>
      <c r="AL283" s="10"/>
      <c r="AM283" s="10"/>
      <c r="AN283" s="10"/>
    </row>
    <row r="284" spans="2:40" hidden="1" x14ac:dyDescent="0.35">
      <c r="B284" s="15"/>
      <c r="C284" s="127" t="str">
        <f>IFERROR(IF(LEN(INDEX(Database!C$9:C$501,ROW(Calc!A284)-ROW(Calc!$B$7)))=0,"",INDEX(Database!C$9:C$501,ROW(Calc!A284)-ROW(Calc!$B$7))),"")</f>
        <v/>
      </c>
      <c r="D284" s="70" t="str">
        <f>IFERROR(IF(LEN(INDEX(Database!D$9:D$501,ROW(Calc!B284)-ROW(Calc!$B$7)))=0,"",INDEX(Database!D$9:D$501,ROW(Calc!B284)-ROW(Calc!$B$7))),"")</f>
        <v/>
      </c>
      <c r="E284" s="124" t="str">
        <f>IFERROR(IF(LEN(INDEX(Database!G$9:G$501,ROW(Calc!D284)-ROW(Calc!$B$7)))=0,$AD$3,INDEX(Database!G$9:G$501,ROW(Calc!D284)-ROW(Calc!$B$7))),"")</f>
        <v>Not Set</v>
      </c>
      <c r="F284" s="124" t="str">
        <f>IFERROR(IF(LEN(INDEX(Database!F$9:F$501,ROW(Calc!E284)-ROW(Calc!$B$7)))=0,$AD$3,INDEX(Database!F$9:F$501,ROW(Calc!E284)-ROW(Calc!$B$7))),"")</f>
        <v>Not Set</v>
      </c>
      <c r="G284" s="128" t="str">
        <f>IFERROR(IF(LEN(INDEX(Database!H$9:H$501,ROW(Calc!F284)-ROW(Calc!$B$7)))=0,$AD$3,INDEX(Database!H$9:H$501,ROW(Calc!F284)-ROW(Calc!$B$7))),"")</f>
        <v>Not Set</v>
      </c>
      <c r="H284" s="128" t="str">
        <f>IFERROR(IF(LEN(INDEX(Database!I$9:I$501,ROW(Calc!G284)-ROW(Calc!$B$7)))=0,$AD$3,INDEX(Database!I$9:I$501,ROW(Calc!G284)-ROW(Calc!$B$7))),"")</f>
        <v>Not Set</v>
      </c>
      <c r="I284" s="128" t="str">
        <f>IFERROR(IF(LEN(INDEX(Database!J$9:J$501,ROW(Calc!H284)-ROW(Calc!$B$7)))=0,$AD$3,INDEX(Database!J$9:J$501,ROW(Calc!H284)-ROW(Calc!$B$7))),"")</f>
        <v>Not Set</v>
      </c>
      <c r="J284" s="128" t="str">
        <f t="shared" si="41"/>
        <v>Not Set</v>
      </c>
      <c r="K284" s="124" t="str">
        <f>IFERROR(IF(LEN(INDEX(Database!E$9:E$501,ROW(Calc!I284)-ROW(Calc!$B$7)))=0,"",INDEX(Database!E$9:E$501,ROW(Calc!I284)-ROW(Calc!$B$7))),"")</f>
        <v/>
      </c>
      <c r="L284" s="129" t="str">
        <f>IFERROR(IF(LEN(INDEX(Database!K$9:K$501,ROW(Calc!K284)-ROW(Calc!$B$7)))=0,$AD$3,INDEX(Database!K$9:K$501,ROW(Calc!K284)-ROW(Calc!$B$7))),"")</f>
        <v>Not Set</v>
      </c>
      <c r="M284" s="130" t="str">
        <f>IFERROR(IF(LEN(INDEX(Database!L$9:L$501,ROW(Calc!L284)-ROW(Calc!$B$7)))=0,$AD$3,INDEX(Database!L$9:L$501,ROW(Calc!L284)-ROW(Calc!$B$7))),"")</f>
        <v>Not Set</v>
      </c>
      <c r="N284" s="131" t="str">
        <f>IFERROR(IF(LEN(INDEX(Database!M$9:M$501,ROW(Calc!M284)-ROW(Calc!$B$7)))=0,"",INDEX(Database!M$9:M$501,ROW(Calc!M284)-ROW(Calc!$B$7))),"")</f>
        <v/>
      </c>
      <c r="O284" s="132" t="str">
        <f t="shared" si="45"/>
        <v/>
      </c>
      <c r="P284" s="125" t="str">
        <f t="shared" si="42"/>
        <v>Not Set</v>
      </c>
      <c r="Q284" s="125" t="str">
        <f t="shared" si="43"/>
        <v>Not Set</v>
      </c>
      <c r="R284" s="125" t="str">
        <f>IFERROR(IF(G284=$AD$3,$AD$3,INDEX(Kanban_Helper!$C$317:$C$328,MATCH(MONTH(G284),Kanban_Helper!$B$317:$B$328,0))&amp;" - "&amp;YEAR(G284)),"$AD$3")</f>
        <v>Not Set</v>
      </c>
      <c r="S284" s="125" t="str">
        <f>IFERROR(IF(I284=$AD$3,$AD$3,INDEX(Kanban_Helper!$C$317:$C$328,MATCH(MONTH(I284),Kanban_Helper!$B$317:$B$328,0))&amp;" - "&amp;YEAR(I284)),$AD$3)</f>
        <v>Not Set</v>
      </c>
      <c r="T284" s="125" t="str">
        <f t="shared" ca="1" si="46"/>
        <v/>
      </c>
      <c r="U284" s="125" t="str">
        <f t="shared" ca="1" si="47"/>
        <v/>
      </c>
      <c r="V284" s="125" t="str">
        <f t="shared" si="44"/>
        <v>Not Set</v>
      </c>
      <c r="W284" s="126" t="str">
        <f t="shared" si="48"/>
        <v/>
      </c>
      <c r="X284" s="126" t="str">
        <f t="shared" si="49"/>
        <v/>
      </c>
      <c r="Y284" s="125" t="str">
        <f>IFERROR(IF(LEN(D284)=0,"",IF(SUBTOTAL(3,E284:E284)=0,MIN($Y$7:Y283)-1,SUBTOTAL(3,$E$8:E284))),"")</f>
        <v/>
      </c>
      <c r="Z284" s="17"/>
      <c r="AA284" s="10"/>
      <c r="AB284" s="10"/>
      <c r="AC284" s="10"/>
      <c r="AD284" s="10"/>
      <c r="AE284" s="10"/>
      <c r="AF284" s="10"/>
      <c r="AG284" s="10"/>
      <c r="AH284" s="10"/>
      <c r="AI284" s="10"/>
      <c r="AJ284" s="10"/>
      <c r="AK284" s="10"/>
      <c r="AL284" s="10"/>
      <c r="AM284" s="10"/>
      <c r="AN284" s="10"/>
    </row>
    <row r="285" spans="2:40" hidden="1" x14ac:dyDescent="0.35">
      <c r="B285" s="15"/>
      <c r="C285" s="127" t="str">
        <f>IFERROR(IF(LEN(INDEX(Database!C$9:C$501,ROW(Calc!A285)-ROW(Calc!$B$7)))=0,"",INDEX(Database!C$9:C$501,ROW(Calc!A285)-ROW(Calc!$B$7))),"")</f>
        <v/>
      </c>
      <c r="D285" s="70" t="str">
        <f>IFERROR(IF(LEN(INDEX(Database!D$9:D$501,ROW(Calc!B285)-ROW(Calc!$B$7)))=0,"",INDEX(Database!D$9:D$501,ROW(Calc!B285)-ROW(Calc!$B$7))),"")</f>
        <v/>
      </c>
      <c r="E285" s="124" t="str">
        <f>IFERROR(IF(LEN(INDEX(Database!G$9:G$501,ROW(Calc!D285)-ROW(Calc!$B$7)))=0,$AD$3,INDEX(Database!G$9:G$501,ROW(Calc!D285)-ROW(Calc!$B$7))),"")</f>
        <v>Not Set</v>
      </c>
      <c r="F285" s="124" t="str">
        <f>IFERROR(IF(LEN(INDEX(Database!F$9:F$501,ROW(Calc!E285)-ROW(Calc!$B$7)))=0,$AD$3,INDEX(Database!F$9:F$501,ROW(Calc!E285)-ROW(Calc!$B$7))),"")</f>
        <v>Not Set</v>
      </c>
      <c r="G285" s="128" t="str">
        <f>IFERROR(IF(LEN(INDEX(Database!H$9:H$501,ROW(Calc!F285)-ROW(Calc!$B$7)))=0,$AD$3,INDEX(Database!H$9:H$501,ROW(Calc!F285)-ROW(Calc!$B$7))),"")</f>
        <v>Not Set</v>
      </c>
      <c r="H285" s="128" t="str">
        <f>IFERROR(IF(LEN(INDEX(Database!I$9:I$501,ROW(Calc!G285)-ROW(Calc!$B$7)))=0,$AD$3,INDEX(Database!I$9:I$501,ROW(Calc!G285)-ROW(Calc!$B$7))),"")</f>
        <v>Not Set</v>
      </c>
      <c r="I285" s="128" t="str">
        <f>IFERROR(IF(LEN(INDEX(Database!J$9:J$501,ROW(Calc!H285)-ROW(Calc!$B$7)))=0,$AD$3,INDEX(Database!J$9:J$501,ROW(Calc!H285)-ROW(Calc!$B$7))),"")</f>
        <v>Not Set</v>
      </c>
      <c r="J285" s="128" t="str">
        <f t="shared" si="41"/>
        <v>Not Set</v>
      </c>
      <c r="K285" s="124" t="str">
        <f>IFERROR(IF(LEN(INDEX(Database!E$9:E$501,ROW(Calc!I285)-ROW(Calc!$B$7)))=0,"",INDEX(Database!E$9:E$501,ROW(Calc!I285)-ROW(Calc!$B$7))),"")</f>
        <v/>
      </c>
      <c r="L285" s="129" t="str">
        <f>IFERROR(IF(LEN(INDEX(Database!K$9:K$501,ROW(Calc!K285)-ROW(Calc!$B$7)))=0,$AD$3,INDEX(Database!K$9:K$501,ROW(Calc!K285)-ROW(Calc!$B$7))),"")</f>
        <v>Not Set</v>
      </c>
      <c r="M285" s="130" t="str">
        <f>IFERROR(IF(LEN(INDEX(Database!L$9:L$501,ROW(Calc!L285)-ROW(Calc!$B$7)))=0,$AD$3,INDEX(Database!L$9:L$501,ROW(Calc!L285)-ROW(Calc!$B$7))),"")</f>
        <v>Not Set</v>
      </c>
      <c r="N285" s="131" t="str">
        <f>IFERROR(IF(LEN(INDEX(Database!M$9:M$501,ROW(Calc!M285)-ROW(Calc!$B$7)))=0,"",INDEX(Database!M$9:M$501,ROW(Calc!M285)-ROW(Calc!$B$7))),"")</f>
        <v/>
      </c>
      <c r="O285" s="132" t="str">
        <f t="shared" si="45"/>
        <v/>
      </c>
      <c r="P285" s="125" t="str">
        <f t="shared" si="42"/>
        <v>Not Set</v>
      </c>
      <c r="Q285" s="125" t="str">
        <f t="shared" si="43"/>
        <v>Not Set</v>
      </c>
      <c r="R285" s="125" t="str">
        <f>IFERROR(IF(G285=$AD$3,$AD$3,INDEX(Kanban_Helper!$C$317:$C$328,MATCH(MONTH(G285),Kanban_Helper!$B$317:$B$328,0))&amp;" - "&amp;YEAR(G285)),"$AD$3")</f>
        <v>Not Set</v>
      </c>
      <c r="S285" s="125" t="str">
        <f>IFERROR(IF(I285=$AD$3,$AD$3,INDEX(Kanban_Helper!$C$317:$C$328,MATCH(MONTH(I285),Kanban_Helper!$B$317:$B$328,0))&amp;" - "&amp;YEAR(I285)),$AD$3)</f>
        <v>Not Set</v>
      </c>
      <c r="T285" s="125" t="str">
        <f t="shared" ca="1" si="46"/>
        <v/>
      </c>
      <c r="U285" s="125" t="str">
        <f t="shared" ca="1" si="47"/>
        <v/>
      </c>
      <c r="V285" s="125" t="str">
        <f t="shared" si="44"/>
        <v>Not Set</v>
      </c>
      <c r="W285" s="126" t="str">
        <f t="shared" si="48"/>
        <v/>
      </c>
      <c r="X285" s="126" t="str">
        <f t="shared" si="49"/>
        <v/>
      </c>
      <c r="Y285" s="125" t="str">
        <f>IFERROR(IF(LEN(D285)=0,"",IF(SUBTOTAL(3,E285:E285)=0,MIN($Y$7:Y284)-1,SUBTOTAL(3,$E$8:E285))),"")</f>
        <v/>
      </c>
      <c r="Z285" s="17"/>
      <c r="AA285" s="10"/>
      <c r="AB285" s="10"/>
      <c r="AC285" s="10"/>
      <c r="AD285" s="10"/>
      <c r="AE285" s="10"/>
      <c r="AF285" s="10"/>
      <c r="AG285" s="10"/>
      <c r="AH285" s="10"/>
      <c r="AI285" s="10"/>
      <c r="AJ285" s="10"/>
      <c r="AK285" s="10"/>
      <c r="AL285" s="10"/>
      <c r="AM285" s="10"/>
      <c r="AN285" s="10"/>
    </row>
    <row r="286" spans="2:40" hidden="1" x14ac:dyDescent="0.35">
      <c r="B286" s="15"/>
      <c r="C286" s="127" t="str">
        <f>IFERROR(IF(LEN(INDEX(Database!C$9:C$501,ROW(Calc!A286)-ROW(Calc!$B$7)))=0,"",INDEX(Database!C$9:C$501,ROW(Calc!A286)-ROW(Calc!$B$7))),"")</f>
        <v/>
      </c>
      <c r="D286" s="70" t="str">
        <f>IFERROR(IF(LEN(INDEX(Database!D$9:D$501,ROW(Calc!B286)-ROW(Calc!$B$7)))=0,"",INDEX(Database!D$9:D$501,ROW(Calc!B286)-ROW(Calc!$B$7))),"")</f>
        <v/>
      </c>
      <c r="E286" s="124" t="str">
        <f>IFERROR(IF(LEN(INDEX(Database!G$9:G$501,ROW(Calc!D286)-ROW(Calc!$B$7)))=0,$AD$3,INDEX(Database!G$9:G$501,ROW(Calc!D286)-ROW(Calc!$B$7))),"")</f>
        <v>Not Set</v>
      </c>
      <c r="F286" s="124" t="str">
        <f>IFERROR(IF(LEN(INDEX(Database!F$9:F$501,ROW(Calc!E286)-ROW(Calc!$B$7)))=0,$AD$3,INDEX(Database!F$9:F$501,ROW(Calc!E286)-ROW(Calc!$B$7))),"")</f>
        <v>Not Set</v>
      </c>
      <c r="G286" s="128" t="str">
        <f>IFERROR(IF(LEN(INDEX(Database!H$9:H$501,ROW(Calc!F286)-ROW(Calc!$B$7)))=0,$AD$3,INDEX(Database!H$9:H$501,ROW(Calc!F286)-ROW(Calc!$B$7))),"")</f>
        <v>Not Set</v>
      </c>
      <c r="H286" s="128" t="str">
        <f>IFERROR(IF(LEN(INDEX(Database!I$9:I$501,ROW(Calc!G286)-ROW(Calc!$B$7)))=0,$AD$3,INDEX(Database!I$9:I$501,ROW(Calc!G286)-ROW(Calc!$B$7))),"")</f>
        <v>Not Set</v>
      </c>
      <c r="I286" s="128" t="str">
        <f>IFERROR(IF(LEN(INDEX(Database!J$9:J$501,ROW(Calc!H286)-ROW(Calc!$B$7)))=0,$AD$3,INDEX(Database!J$9:J$501,ROW(Calc!H286)-ROW(Calc!$B$7))),"")</f>
        <v>Not Set</v>
      </c>
      <c r="J286" s="128" t="str">
        <f t="shared" si="41"/>
        <v>Not Set</v>
      </c>
      <c r="K286" s="124" t="str">
        <f>IFERROR(IF(LEN(INDEX(Database!E$9:E$501,ROW(Calc!I286)-ROW(Calc!$B$7)))=0,"",INDEX(Database!E$9:E$501,ROW(Calc!I286)-ROW(Calc!$B$7))),"")</f>
        <v/>
      </c>
      <c r="L286" s="129" t="str">
        <f>IFERROR(IF(LEN(INDEX(Database!K$9:K$501,ROW(Calc!K286)-ROW(Calc!$B$7)))=0,$AD$3,INDEX(Database!K$9:K$501,ROW(Calc!K286)-ROW(Calc!$B$7))),"")</f>
        <v>Not Set</v>
      </c>
      <c r="M286" s="130" t="str">
        <f>IFERROR(IF(LEN(INDEX(Database!L$9:L$501,ROW(Calc!L286)-ROW(Calc!$B$7)))=0,$AD$3,INDEX(Database!L$9:L$501,ROW(Calc!L286)-ROW(Calc!$B$7))),"")</f>
        <v>Not Set</v>
      </c>
      <c r="N286" s="131" t="str">
        <f>IFERROR(IF(LEN(INDEX(Database!M$9:M$501,ROW(Calc!M286)-ROW(Calc!$B$7)))=0,"",INDEX(Database!M$9:M$501,ROW(Calc!M286)-ROW(Calc!$B$7))),"")</f>
        <v/>
      </c>
      <c r="O286" s="132" t="str">
        <f t="shared" si="45"/>
        <v/>
      </c>
      <c r="P286" s="125" t="str">
        <f t="shared" si="42"/>
        <v>Not Set</v>
      </c>
      <c r="Q286" s="125" t="str">
        <f t="shared" si="43"/>
        <v>Not Set</v>
      </c>
      <c r="R286" s="125" t="str">
        <f>IFERROR(IF(G286=$AD$3,$AD$3,INDEX(Kanban_Helper!$C$317:$C$328,MATCH(MONTH(G286),Kanban_Helper!$B$317:$B$328,0))&amp;" - "&amp;YEAR(G286)),"$AD$3")</f>
        <v>Not Set</v>
      </c>
      <c r="S286" s="125" t="str">
        <f>IFERROR(IF(I286=$AD$3,$AD$3,INDEX(Kanban_Helper!$C$317:$C$328,MATCH(MONTH(I286),Kanban_Helper!$B$317:$B$328,0))&amp;" - "&amp;YEAR(I286)),$AD$3)</f>
        <v>Not Set</v>
      </c>
      <c r="T286" s="125" t="str">
        <f t="shared" ca="1" si="46"/>
        <v/>
      </c>
      <c r="U286" s="125" t="str">
        <f t="shared" ca="1" si="47"/>
        <v/>
      </c>
      <c r="V286" s="125" t="str">
        <f t="shared" si="44"/>
        <v>Not Set</v>
      </c>
      <c r="W286" s="126" t="str">
        <f t="shared" si="48"/>
        <v/>
      </c>
      <c r="X286" s="126" t="str">
        <f t="shared" si="49"/>
        <v/>
      </c>
      <c r="Y286" s="125" t="str">
        <f>IFERROR(IF(LEN(D286)=0,"",IF(SUBTOTAL(3,E286:E286)=0,MIN($Y$7:Y285)-1,SUBTOTAL(3,$E$8:E286))),"")</f>
        <v/>
      </c>
      <c r="Z286" s="17"/>
      <c r="AA286" s="10"/>
      <c r="AB286" s="10"/>
      <c r="AC286" s="10"/>
      <c r="AD286" s="10"/>
      <c r="AE286" s="10"/>
      <c r="AF286" s="10"/>
      <c r="AG286" s="10"/>
      <c r="AH286" s="10"/>
      <c r="AI286" s="10"/>
      <c r="AJ286" s="10"/>
      <c r="AK286" s="10"/>
      <c r="AL286" s="10"/>
      <c r="AM286" s="10"/>
      <c r="AN286" s="10"/>
    </row>
    <row r="287" spans="2:40" hidden="1" x14ac:dyDescent="0.35">
      <c r="B287" s="15"/>
      <c r="C287" s="127" t="str">
        <f>IFERROR(IF(LEN(INDEX(Database!C$9:C$501,ROW(Calc!A287)-ROW(Calc!$B$7)))=0,"",INDEX(Database!C$9:C$501,ROW(Calc!A287)-ROW(Calc!$B$7))),"")</f>
        <v/>
      </c>
      <c r="D287" s="70" t="str">
        <f>IFERROR(IF(LEN(INDEX(Database!D$9:D$501,ROW(Calc!B287)-ROW(Calc!$B$7)))=0,"",INDEX(Database!D$9:D$501,ROW(Calc!B287)-ROW(Calc!$B$7))),"")</f>
        <v/>
      </c>
      <c r="E287" s="124" t="str">
        <f>IFERROR(IF(LEN(INDEX(Database!G$9:G$501,ROW(Calc!D287)-ROW(Calc!$B$7)))=0,$AD$3,INDEX(Database!G$9:G$501,ROW(Calc!D287)-ROW(Calc!$B$7))),"")</f>
        <v>Not Set</v>
      </c>
      <c r="F287" s="124" t="str">
        <f>IFERROR(IF(LEN(INDEX(Database!F$9:F$501,ROW(Calc!E287)-ROW(Calc!$B$7)))=0,$AD$3,INDEX(Database!F$9:F$501,ROW(Calc!E287)-ROW(Calc!$B$7))),"")</f>
        <v>Not Set</v>
      </c>
      <c r="G287" s="128" t="str">
        <f>IFERROR(IF(LEN(INDEX(Database!H$9:H$501,ROW(Calc!F287)-ROW(Calc!$B$7)))=0,$AD$3,INDEX(Database!H$9:H$501,ROW(Calc!F287)-ROW(Calc!$B$7))),"")</f>
        <v>Not Set</v>
      </c>
      <c r="H287" s="128" t="str">
        <f>IFERROR(IF(LEN(INDEX(Database!I$9:I$501,ROW(Calc!G287)-ROW(Calc!$B$7)))=0,$AD$3,INDEX(Database!I$9:I$501,ROW(Calc!G287)-ROW(Calc!$B$7))),"")</f>
        <v>Not Set</v>
      </c>
      <c r="I287" s="128" t="str">
        <f>IFERROR(IF(LEN(INDEX(Database!J$9:J$501,ROW(Calc!H287)-ROW(Calc!$B$7)))=0,$AD$3,INDEX(Database!J$9:J$501,ROW(Calc!H287)-ROW(Calc!$B$7))),"")</f>
        <v>Not Set</v>
      </c>
      <c r="J287" s="128" t="str">
        <f t="shared" si="41"/>
        <v>Not Set</v>
      </c>
      <c r="K287" s="124" t="str">
        <f>IFERROR(IF(LEN(INDEX(Database!E$9:E$501,ROW(Calc!I287)-ROW(Calc!$B$7)))=0,"",INDEX(Database!E$9:E$501,ROW(Calc!I287)-ROW(Calc!$B$7))),"")</f>
        <v/>
      </c>
      <c r="L287" s="129" t="str">
        <f>IFERROR(IF(LEN(INDEX(Database!K$9:K$501,ROW(Calc!K287)-ROW(Calc!$B$7)))=0,$AD$3,INDEX(Database!K$9:K$501,ROW(Calc!K287)-ROW(Calc!$B$7))),"")</f>
        <v>Not Set</v>
      </c>
      <c r="M287" s="130" t="str">
        <f>IFERROR(IF(LEN(INDEX(Database!L$9:L$501,ROW(Calc!L287)-ROW(Calc!$B$7)))=0,$AD$3,INDEX(Database!L$9:L$501,ROW(Calc!L287)-ROW(Calc!$B$7))),"")</f>
        <v>Not Set</v>
      </c>
      <c r="N287" s="131" t="str">
        <f>IFERROR(IF(LEN(INDEX(Database!M$9:M$501,ROW(Calc!M287)-ROW(Calc!$B$7)))=0,"",INDEX(Database!M$9:M$501,ROW(Calc!M287)-ROW(Calc!$B$7))),"")</f>
        <v/>
      </c>
      <c r="O287" s="132" t="str">
        <f t="shared" si="45"/>
        <v/>
      </c>
      <c r="P287" s="125" t="str">
        <f t="shared" si="42"/>
        <v>Not Set</v>
      </c>
      <c r="Q287" s="125" t="str">
        <f t="shared" si="43"/>
        <v>Not Set</v>
      </c>
      <c r="R287" s="125" t="str">
        <f>IFERROR(IF(G287=$AD$3,$AD$3,INDEX(Kanban_Helper!$C$317:$C$328,MATCH(MONTH(G287),Kanban_Helper!$B$317:$B$328,0))&amp;" - "&amp;YEAR(G287)),"$AD$3")</f>
        <v>Not Set</v>
      </c>
      <c r="S287" s="125" t="str">
        <f>IFERROR(IF(I287=$AD$3,$AD$3,INDEX(Kanban_Helper!$C$317:$C$328,MATCH(MONTH(I287),Kanban_Helper!$B$317:$B$328,0))&amp;" - "&amp;YEAR(I287)),$AD$3)</f>
        <v>Not Set</v>
      </c>
      <c r="T287" s="125" t="str">
        <f t="shared" ca="1" si="46"/>
        <v/>
      </c>
      <c r="U287" s="125" t="str">
        <f t="shared" ca="1" si="47"/>
        <v/>
      </c>
      <c r="V287" s="125" t="str">
        <f t="shared" si="44"/>
        <v>Not Set</v>
      </c>
      <c r="W287" s="126" t="str">
        <f t="shared" si="48"/>
        <v/>
      </c>
      <c r="X287" s="126" t="str">
        <f t="shared" si="49"/>
        <v/>
      </c>
      <c r="Y287" s="125" t="str">
        <f>IFERROR(IF(LEN(D287)=0,"",IF(SUBTOTAL(3,E287:E287)=0,MIN($Y$7:Y286)-1,SUBTOTAL(3,$E$8:E287))),"")</f>
        <v/>
      </c>
      <c r="Z287" s="17"/>
      <c r="AA287" s="10"/>
      <c r="AB287" s="10"/>
      <c r="AC287" s="10"/>
      <c r="AD287" s="10"/>
      <c r="AE287" s="10"/>
      <c r="AF287" s="10"/>
      <c r="AG287" s="10"/>
      <c r="AH287" s="10"/>
      <c r="AI287" s="10"/>
      <c r="AJ287" s="10"/>
      <c r="AK287" s="10"/>
      <c r="AL287" s="10"/>
      <c r="AM287" s="10"/>
      <c r="AN287" s="10"/>
    </row>
    <row r="288" spans="2:40" hidden="1" x14ac:dyDescent="0.35">
      <c r="B288" s="15"/>
      <c r="C288" s="127" t="str">
        <f>IFERROR(IF(LEN(INDEX(Database!C$9:C$501,ROW(Calc!A288)-ROW(Calc!$B$7)))=0,"",INDEX(Database!C$9:C$501,ROW(Calc!A288)-ROW(Calc!$B$7))),"")</f>
        <v/>
      </c>
      <c r="D288" s="70" t="str">
        <f>IFERROR(IF(LEN(INDEX(Database!D$9:D$501,ROW(Calc!B288)-ROW(Calc!$B$7)))=0,"",INDEX(Database!D$9:D$501,ROW(Calc!B288)-ROW(Calc!$B$7))),"")</f>
        <v/>
      </c>
      <c r="E288" s="124" t="str">
        <f>IFERROR(IF(LEN(INDEX(Database!G$9:G$501,ROW(Calc!D288)-ROW(Calc!$B$7)))=0,$AD$3,INDEX(Database!G$9:G$501,ROW(Calc!D288)-ROW(Calc!$B$7))),"")</f>
        <v>Not Set</v>
      </c>
      <c r="F288" s="124" t="str">
        <f>IFERROR(IF(LEN(INDEX(Database!F$9:F$501,ROW(Calc!E288)-ROW(Calc!$B$7)))=0,$AD$3,INDEX(Database!F$9:F$501,ROW(Calc!E288)-ROW(Calc!$B$7))),"")</f>
        <v>Not Set</v>
      </c>
      <c r="G288" s="128" t="str">
        <f>IFERROR(IF(LEN(INDEX(Database!H$9:H$501,ROW(Calc!F288)-ROW(Calc!$B$7)))=0,$AD$3,INDEX(Database!H$9:H$501,ROW(Calc!F288)-ROW(Calc!$B$7))),"")</f>
        <v>Not Set</v>
      </c>
      <c r="H288" s="128" t="str">
        <f>IFERROR(IF(LEN(INDEX(Database!I$9:I$501,ROW(Calc!G288)-ROW(Calc!$B$7)))=0,$AD$3,INDEX(Database!I$9:I$501,ROW(Calc!G288)-ROW(Calc!$B$7))),"")</f>
        <v>Not Set</v>
      </c>
      <c r="I288" s="128" t="str">
        <f>IFERROR(IF(LEN(INDEX(Database!J$9:J$501,ROW(Calc!H288)-ROW(Calc!$B$7)))=0,$AD$3,INDEX(Database!J$9:J$501,ROW(Calc!H288)-ROW(Calc!$B$7))),"")</f>
        <v>Not Set</v>
      </c>
      <c r="J288" s="128" t="str">
        <f t="shared" si="41"/>
        <v>Not Set</v>
      </c>
      <c r="K288" s="124" t="str">
        <f>IFERROR(IF(LEN(INDEX(Database!E$9:E$501,ROW(Calc!I288)-ROW(Calc!$B$7)))=0,"",INDEX(Database!E$9:E$501,ROW(Calc!I288)-ROW(Calc!$B$7))),"")</f>
        <v/>
      </c>
      <c r="L288" s="129" t="str">
        <f>IFERROR(IF(LEN(INDEX(Database!K$9:K$501,ROW(Calc!K288)-ROW(Calc!$B$7)))=0,$AD$3,INDEX(Database!K$9:K$501,ROW(Calc!K288)-ROW(Calc!$B$7))),"")</f>
        <v>Not Set</v>
      </c>
      <c r="M288" s="130" t="str">
        <f>IFERROR(IF(LEN(INDEX(Database!L$9:L$501,ROW(Calc!L288)-ROW(Calc!$B$7)))=0,$AD$3,INDEX(Database!L$9:L$501,ROW(Calc!L288)-ROW(Calc!$B$7))),"")</f>
        <v>Not Set</v>
      </c>
      <c r="N288" s="131" t="str">
        <f>IFERROR(IF(LEN(INDEX(Database!M$9:M$501,ROW(Calc!M288)-ROW(Calc!$B$7)))=0,"",INDEX(Database!M$9:M$501,ROW(Calc!M288)-ROW(Calc!$B$7))),"")</f>
        <v/>
      </c>
      <c r="O288" s="132" t="str">
        <f t="shared" si="45"/>
        <v/>
      </c>
      <c r="P288" s="125" t="str">
        <f t="shared" si="42"/>
        <v>Not Set</v>
      </c>
      <c r="Q288" s="125" t="str">
        <f t="shared" si="43"/>
        <v>Not Set</v>
      </c>
      <c r="R288" s="125" t="str">
        <f>IFERROR(IF(G288=$AD$3,$AD$3,INDEX(Kanban_Helper!$C$317:$C$328,MATCH(MONTH(G288),Kanban_Helper!$B$317:$B$328,0))&amp;" - "&amp;YEAR(G288)),"$AD$3")</f>
        <v>Not Set</v>
      </c>
      <c r="S288" s="125" t="str">
        <f>IFERROR(IF(I288=$AD$3,$AD$3,INDEX(Kanban_Helper!$C$317:$C$328,MATCH(MONTH(I288),Kanban_Helper!$B$317:$B$328,0))&amp;" - "&amp;YEAR(I288)),$AD$3)</f>
        <v>Not Set</v>
      </c>
      <c r="T288" s="125" t="str">
        <f t="shared" ca="1" si="46"/>
        <v/>
      </c>
      <c r="U288" s="125" t="str">
        <f t="shared" ca="1" si="47"/>
        <v/>
      </c>
      <c r="V288" s="125" t="str">
        <f t="shared" si="44"/>
        <v>Not Set</v>
      </c>
      <c r="W288" s="126" t="str">
        <f t="shared" si="48"/>
        <v/>
      </c>
      <c r="X288" s="126" t="str">
        <f t="shared" si="49"/>
        <v/>
      </c>
      <c r="Y288" s="125" t="str">
        <f>IFERROR(IF(LEN(D288)=0,"",IF(SUBTOTAL(3,E288:E288)=0,MIN($Y$7:Y287)-1,SUBTOTAL(3,$E$8:E288))),"")</f>
        <v/>
      </c>
      <c r="Z288" s="17"/>
      <c r="AA288" s="10"/>
      <c r="AB288" s="10"/>
      <c r="AC288" s="10"/>
      <c r="AD288" s="10"/>
      <c r="AE288" s="10"/>
      <c r="AF288" s="10"/>
      <c r="AG288" s="10"/>
      <c r="AH288" s="10"/>
      <c r="AI288" s="10"/>
      <c r="AJ288" s="10"/>
      <c r="AK288" s="10"/>
      <c r="AL288" s="10"/>
      <c r="AM288" s="10"/>
      <c r="AN288" s="10"/>
    </row>
    <row r="289" spans="2:40" hidden="1" x14ac:dyDescent="0.35">
      <c r="B289" s="15"/>
      <c r="C289" s="127" t="str">
        <f>IFERROR(IF(LEN(INDEX(Database!C$9:C$501,ROW(Calc!A289)-ROW(Calc!$B$7)))=0,"",INDEX(Database!C$9:C$501,ROW(Calc!A289)-ROW(Calc!$B$7))),"")</f>
        <v/>
      </c>
      <c r="D289" s="70" t="str">
        <f>IFERROR(IF(LEN(INDEX(Database!D$9:D$501,ROW(Calc!B289)-ROW(Calc!$B$7)))=0,"",INDEX(Database!D$9:D$501,ROW(Calc!B289)-ROW(Calc!$B$7))),"")</f>
        <v/>
      </c>
      <c r="E289" s="124" t="str">
        <f>IFERROR(IF(LEN(INDEX(Database!G$9:G$501,ROW(Calc!D289)-ROW(Calc!$B$7)))=0,$AD$3,INDEX(Database!G$9:G$501,ROW(Calc!D289)-ROW(Calc!$B$7))),"")</f>
        <v>Not Set</v>
      </c>
      <c r="F289" s="124" t="str">
        <f>IFERROR(IF(LEN(INDEX(Database!F$9:F$501,ROW(Calc!E289)-ROW(Calc!$B$7)))=0,$AD$3,INDEX(Database!F$9:F$501,ROW(Calc!E289)-ROW(Calc!$B$7))),"")</f>
        <v>Not Set</v>
      </c>
      <c r="G289" s="128" t="str">
        <f>IFERROR(IF(LEN(INDEX(Database!H$9:H$501,ROW(Calc!F289)-ROW(Calc!$B$7)))=0,$AD$3,INDEX(Database!H$9:H$501,ROW(Calc!F289)-ROW(Calc!$B$7))),"")</f>
        <v>Not Set</v>
      </c>
      <c r="H289" s="128" t="str">
        <f>IFERROR(IF(LEN(INDEX(Database!I$9:I$501,ROW(Calc!G289)-ROW(Calc!$B$7)))=0,$AD$3,INDEX(Database!I$9:I$501,ROW(Calc!G289)-ROW(Calc!$B$7))),"")</f>
        <v>Not Set</v>
      </c>
      <c r="I289" s="128" t="str">
        <f>IFERROR(IF(LEN(INDEX(Database!J$9:J$501,ROW(Calc!H289)-ROW(Calc!$B$7)))=0,$AD$3,INDEX(Database!J$9:J$501,ROW(Calc!H289)-ROW(Calc!$B$7))),"")</f>
        <v>Not Set</v>
      </c>
      <c r="J289" s="128" t="str">
        <f t="shared" si="41"/>
        <v>Not Set</v>
      </c>
      <c r="K289" s="124" t="str">
        <f>IFERROR(IF(LEN(INDEX(Database!E$9:E$501,ROW(Calc!I289)-ROW(Calc!$B$7)))=0,"",INDEX(Database!E$9:E$501,ROW(Calc!I289)-ROW(Calc!$B$7))),"")</f>
        <v/>
      </c>
      <c r="L289" s="129" t="str">
        <f>IFERROR(IF(LEN(INDEX(Database!K$9:K$501,ROW(Calc!K289)-ROW(Calc!$B$7)))=0,$AD$3,INDEX(Database!K$9:K$501,ROW(Calc!K289)-ROW(Calc!$B$7))),"")</f>
        <v>Not Set</v>
      </c>
      <c r="M289" s="130" t="str">
        <f>IFERROR(IF(LEN(INDEX(Database!L$9:L$501,ROW(Calc!L289)-ROW(Calc!$B$7)))=0,$AD$3,INDEX(Database!L$9:L$501,ROW(Calc!L289)-ROW(Calc!$B$7))),"")</f>
        <v>Not Set</v>
      </c>
      <c r="N289" s="131" t="str">
        <f>IFERROR(IF(LEN(INDEX(Database!M$9:M$501,ROW(Calc!M289)-ROW(Calc!$B$7)))=0,"",INDEX(Database!M$9:M$501,ROW(Calc!M289)-ROW(Calc!$B$7))),"")</f>
        <v/>
      </c>
      <c r="O289" s="132" t="str">
        <f t="shared" si="45"/>
        <v/>
      </c>
      <c r="P289" s="125" t="str">
        <f t="shared" si="42"/>
        <v>Not Set</v>
      </c>
      <c r="Q289" s="125" t="str">
        <f t="shared" si="43"/>
        <v>Not Set</v>
      </c>
      <c r="R289" s="125" t="str">
        <f>IFERROR(IF(G289=$AD$3,$AD$3,INDEX(Kanban_Helper!$C$317:$C$328,MATCH(MONTH(G289),Kanban_Helper!$B$317:$B$328,0))&amp;" - "&amp;YEAR(G289)),"$AD$3")</f>
        <v>Not Set</v>
      </c>
      <c r="S289" s="125" t="str">
        <f>IFERROR(IF(I289=$AD$3,$AD$3,INDEX(Kanban_Helper!$C$317:$C$328,MATCH(MONTH(I289),Kanban_Helper!$B$317:$B$328,0))&amp;" - "&amp;YEAR(I289)),$AD$3)</f>
        <v>Not Set</v>
      </c>
      <c r="T289" s="125" t="str">
        <f t="shared" ca="1" si="46"/>
        <v/>
      </c>
      <c r="U289" s="125" t="str">
        <f t="shared" ca="1" si="47"/>
        <v/>
      </c>
      <c r="V289" s="125" t="str">
        <f t="shared" si="44"/>
        <v>Not Set</v>
      </c>
      <c r="W289" s="126" t="str">
        <f t="shared" si="48"/>
        <v/>
      </c>
      <c r="X289" s="126" t="str">
        <f t="shared" si="49"/>
        <v/>
      </c>
      <c r="Y289" s="125" t="str">
        <f>IFERROR(IF(LEN(D289)=0,"",IF(SUBTOTAL(3,E289:E289)=0,MIN($Y$7:Y288)-1,SUBTOTAL(3,$E$8:E289))),"")</f>
        <v/>
      </c>
      <c r="Z289" s="17"/>
      <c r="AA289" s="10"/>
      <c r="AB289" s="10"/>
      <c r="AC289" s="10"/>
      <c r="AD289" s="10"/>
      <c r="AE289" s="10"/>
      <c r="AF289" s="10"/>
      <c r="AG289" s="10"/>
      <c r="AH289" s="10"/>
      <c r="AI289" s="10"/>
      <c r="AJ289" s="10"/>
      <c r="AK289" s="10"/>
      <c r="AL289" s="10"/>
      <c r="AM289" s="10"/>
      <c r="AN289" s="10"/>
    </row>
    <row r="290" spans="2:40" hidden="1" x14ac:dyDescent="0.35">
      <c r="B290" s="15"/>
      <c r="C290" s="127" t="str">
        <f>IFERROR(IF(LEN(INDEX(Database!C$9:C$501,ROW(Calc!A290)-ROW(Calc!$B$7)))=0,"",INDEX(Database!C$9:C$501,ROW(Calc!A290)-ROW(Calc!$B$7))),"")</f>
        <v/>
      </c>
      <c r="D290" s="70" t="str">
        <f>IFERROR(IF(LEN(INDEX(Database!D$9:D$501,ROW(Calc!B290)-ROW(Calc!$B$7)))=0,"",INDEX(Database!D$9:D$501,ROW(Calc!B290)-ROW(Calc!$B$7))),"")</f>
        <v/>
      </c>
      <c r="E290" s="124" t="str">
        <f>IFERROR(IF(LEN(INDEX(Database!G$9:G$501,ROW(Calc!D290)-ROW(Calc!$B$7)))=0,$AD$3,INDEX(Database!G$9:G$501,ROW(Calc!D290)-ROW(Calc!$B$7))),"")</f>
        <v>Not Set</v>
      </c>
      <c r="F290" s="124" t="str">
        <f>IFERROR(IF(LEN(INDEX(Database!F$9:F$501,ROW(Calc!E290)-ROW(Calc!$B$7)))=0,$AD$3,INDEX(Database!F$9:F$501,ROW(Calc!E290)-ROW(Calc!$B$7))),"")</f>
        <v>Not Set</v>
      </c>
      <c r="G290" s="128" t="str">
        <f>IFERROR(IF(LEN(INDEX(Database!H$9:H$501,ROW(Calc!F290)-ROW(Calc!$B$7)))=0,$AD$3,INDEX(Database!H$9:H$501,ROW(Calc!F290)-ROW(Calc!$B$7))),"")</f>
        <v>Not Set</v>
      </c>
      <c r="H290" s="128" t="str">
        <f>IFERROR(IF(LEN(INDEX(Database!I$9:I$501,ROW(Calc!G290)-ROW(Calc!$B$7)))=0,$AD$3,INDEX(Database!I$9:I$501,ROW(Calc!G290)-ROW(Calc!$B$7))),"")</f>
        <v>Not Set</v>
      </c>
      <c r="I290" s="128" t="str">
        <f>IFERROR(IF(LEN(INDEX(Database!J$9:J$501,ROW(Calc!H290)-ROW(Calc!$B$7)))=0,$AD$3,INDEX(Database!J$9:J$501,ROW(Calc!H290)-ROW(Calc!$B$7))),"")</f>
        <v>Not Set</v>
      </c>
      <c r="J290" s="128" t="str">
        <f t="shared" si="41"/>
        <v>Not Set</v>
      </c>
      <c r="K290" s="124" t="str">
        <f>IFERROR(IF(LEN(INDEX(Database!E$9:E$501,ROW(Calc!I290)-ROW(Calc!$B$7)))=0,"",INDEX(Database!E$9:E$501,ROW(Calc!I290)-ROW(Calc!$B$7))),"")</f>
        <v/>
      </c>
      <c r="L290" s="129" t="str">
        <f>IFERROR(IF(LEN(INDEX(Database!K$9:K$501,ROW(Calc!K290)-ROW(Calc!$B$7)))=0,$AD$3,INDEX(Database!K$9:K$501,ROW(Calc!K290)-ROW(Calc!$B$7))),"")</f>
        <v>Not Set</v>
      </c>
      <c r="M290" s="130" t="str">
        <f>IFERROR(IF(LEN(INDEX(Database!L$9:L$501,ROW(Calc!L290)-ROW(Calc!$B$7)))=0,$AD$3,INDEX(Database!L$9:L$501,ROW(Calc!L290)-ROW(Calc!$B$7))),"")</f>
        <v>Not Set</v>
      </c>
      <c r="N290" s="131" t="str">
        <f>IFERROR(IF(LEN(INDEX(Database!M$9:M$501,ROW(Calc!M290)-ROW(Calc!$B$7)))=0,"",INDEX(Database!M$9:M$501,ROW(Calc!M290)-ROW(Calc!$B$7))),"")</f>
        <v/>
      </c>
      <c r="O290" s="132" t="str">
        <f t="shared" si="45"/>
        <v/>
      </c>
      <c r="P290" s="125" t="str">
        <f t="shared" si="42"/>
        <v>Not Set</v>
      </c>
      <c r="Q290" s="125" t="str">
        <f t="shared" si="43"/>
        <v>Not Set</v>
      </c>
      <c r="R290" s="125" t="str">
        <f>IFERROR(IF(G290=$AD$3,$AD$3,INDEX(Kanban_Helper!$C$317:$C$328,MATCH(MONTH(G290),Kanban_Helper!$B$317:$B$328,0))&amp;" - "&amp;YEAR(G290)),"$AD$3")</f>
        <v>Not Set</v>
      </c>
      <c r="S290" s="125" t="str">
        <f>IFERROR(IF(I290=$AD$3,$AD$3,INDEX(Kanban_Helper!$C$317:$C$328,MATCH(MONTH(I290),Kanban_Helper!$B$317:$B$328,0))&amp;" - "&amp;YEAR(I290)),$AD$3)</f>
        <v>Not Set</v>
      </c>
      <c r="T290" s="125" t="str">
        <f t="shared" ca="1" si="46"/>
        <v/>
      </c>
      <c r="U290" s="125" t="str">
        <f t="shared" ca="1" si="47"/>
        <v/>
      </c>
      <c r="V290" s="125" t="str">
        <f t="shared" si="44"/>
        <v>Not Set</v>
      </c>
      <c r="W290" s="126" t="str">
        <f t="shared" si="48"/>
        <v/>
      </c>
      <c r="X290" s="126" t="str">
        <f t="shared" si="49"/>
        <v/>
      </c>
      <c r="Y290" s="125" t="str">
        <f>IFERROR(IF(LEN(D290)=0,"",IF(SUBTOTAL(3,E290:E290)=0,MIN($Y$7:Y289)-1,SUBTOTAL(3,$E$8:E290))),"")</f>
        <v/>
      </c>
      <c r="Z290" s="17"/>
      <c r="AA290" s="10"/>
      <c r="AB290" s="10"/>
      <c r="AC290" s="10"/>
      <c r="AD290" s="10"/>
      <c r="AE290" s="10"/>
      <c r="AF290" s="10"/>
      <c r="AG290" s="10"/>
      <c r="AH290" s="10"/>
      <c r="AI290" s="10"/>
      <c r="AJ290" s="10"/>
      <c r="AK290" s="10"/>
      <c r="AL290" s="10"/>
      <c r="AM290" s="10"/>
      <c r="AN290" s="10"/>
    </row>
    <row r="291" spans="2:40" hidden="1" x14ac:dyDescent="0.35">
      <c r="B291" s="15"/>
      <c r="C291" s="127" t="str">
        <f>IFERROR(IF(LEN(INDEX(Database!C$9:C$501,ROW(Calc!A291)-ROW(Calc!$B$7)))=0,"",INDEX(Database!C$9:C$501,ROW(Calc!A291)-ROW(Calc!$B$7))),"")</f>
        <v/>
      </c>
      <c r="D291" s="70" t="str">
        <f>IFERROR(IF(LEN(INDEX(Database!D$9:D$501,ROW(Calc!B291)-ROW(Calc!$B$7)))=0,"",INDEX(Database!D$9:D$501,ROW(Calc!B291)-ROW(Calc!$B$7))),"")</f>
        <v/>
      </c>
      <c r="E291" s="124" t="str">
        <f>IFERROR(IF(LEN(INDEX(Database!G$9:G$501,ROW(Calc!D291)-ROW(Calc!$B$7)))=0,$AD$3,INDEX(Database!G$9:G$501,ROW(Calc!D291)-ROW(Calc!$B$7))),"")</f>
        <v>Not Set</v>
      </c>
      <c r="F291" s="124" t="str">
        <f>IFERROR(IF(LEN(INDEX(Database!F$9:F$501,ROW(Calc!E291)-ROW(Calc!$B$7)))=0,$AD$3,INDEX(Database!F$9:F$501,ROW(Calc!E291)-ROW(Calc!$B$7))),"")</f>
        <v>Not Set</v>
      </c>
      <c r="G291" s="128" t="str">
        <f>IFERROR(IF(LEN(INDEX(Database!H$9:H$501,ROW(Calc!F291)-ROW(Calc!$B$7)))=0,$AD$3,INDEX(Database!H$9:H$501,ROW(Calc!F291)-ROW(Calc!$B$7))),"")</f>
        <v>Not Set</v>
      </c>
      <c r="H291" s="128" t="str">
        <f>IFERROR(IF(LEN(INDEX(Database!I$9:I$501,ROW(Calc!G291)-ROW(Calc!$B$7)))=0,$AD$3,INDEX(Database!I$9:I$501,ROW(Calc!G291)-ROW(Calc!$B$7))),"")</f>
        <v>Not Set</v>
      </c>
      <c r="I291" s="128" t="str">
        <f>IFERROR(IF(LEN(INDEX(Database!J$9:J$501,ROW(Calc!H291)-ROW(Calc!$B$7)))=0,$AD$3,INDEX(Database!J$9:J$501,ROW(Calc!H291)-ROW(Calc!$B$7))),"")</f>
        <v>Not Set</v>
      </c>
      <c r="J291" s="128" t="str">
        <f t="shared" si="41"/>
        <v>Not Set</v>
      </c>
      <c r="K291" s="124" t="str">
        <f>IFERROR(IF(LEN(INDEX(Database!E$9:E$501,ROW(Calc!I291)-ROW(Calc!$B$7)))=0,"",INDEX(Database!E$9:E$501,ROW(Calc!I291)-ROW(Calc!$B$7))),"")</f>
        <v/>
      </c>
      <c r="L291" s="129" t="str">
        <f>IFERROR(IF(LEN(INDEX(Database!K$9:K$501,ROW(Calc!K291)-ROW(Calc!$B$7)))=0,$AD$3,INDEX(Database!K$9:K$501,ROW(Calc!K291)-ROW(Calc!$B$7))),"")</f>
        <v>Not Set</v>
      </c>
      <c r="M291" s="130" t="str">
        <f>IFERROR(IF(LEN(INDEX(Database!L$9:L$501,ROW(Calc!L291)-ROW(Calc!$B$7)))=0,$AD$3,INDEX(Database!L$9:L$501,ROW(Calc!L291)-ROW(Calc!$B$7))),"")</f>
        <v>Not Set</v>
      </c>
      <c r="N291" s="131" t="str">
        <f>IFERROR(IF(LEN(INDEX(Database!M$9:M$501,ROW(Calc!M291)-ROW(Calc!$B$7)))=0,"",INDEX(Database!M$9:M$501,ROW(Calc!M291)-ROW(Calc!$B$7))),"")</f>
        <v/>
      </c>
      <c r="O291" s="132" t="str">
        <f t="shared" si="45"/>
        <v/>
      </c>
      <c r="P291" s="125" t="str">
        <f t="shared" si="42"/>
        <v>Not Set</v>
      </c>
      <c r="Q291" s="125" t="str">
        <f t="shared" si="43"/>
        <v>Not Set</v>
      </c>
      <c r="R291" s="125" t="str">
        <f>IFERROR(IF(G291=$AD$3,$AD$3,INDEX(Kanban_Helper!$C$317:$C$328,MATCH(MONTH(G291),Kanban_Helper!$B$317:$B$328,0))&amp;" - "&amp;YEAR(G291)),"$AD$3")</f>
        <v>Not Set</v>
      </c>
      <c r="S291" s="125" t="str">
        <f>IFERROR(IF(I291=$AD$3,$AD$3,INDEX(Kanban_Helper!$C$317:$C$328,MATCH(MONTH(I291),Kanban_Helper!$B$317:$B$328,0))&amp;" - "&amp;YEAR(I291)),$AD$3)</f>
        <v>Not Set</v>
      </c>
      <c r="T291" s="125" t="str">
        <f t="shared" ca="1" si="46"/>
        <v/>
      </c>
      <c r="U291" s="125" t="str">
        <f t="shared" ca="1" si="47"/>
        <v/>
      </c>
      <c r="V291" s="125" t="str">
        <f t="shared" si="44"/>
        <v>Not Set</v>
      </c>
      <c r="W291" s="126" t="str">
        <f t="shared" si="48"/>
        <v/>
      </c>
      <c r="X291" s="126" t="str">
        <f t="shared" si="49"/>
        <v/>
      </c>
      <c r="Y291" s="125" t="str">
        <f>IFERROR(IF(LEN(D291)=0,"",IF(SUBTOTAL(3,E291:E291)=0,MIN($Y$7:Y290)-1,SUBTOTAL(3,$E$8:E291))),"")</f>
        <v/>
      </c>
      <c r="Z291" s="17"/>
      <c r="AA291" s="10"/>
      <c r="AB291" s="10"/>
      <c r="AC291" s="10"/>
      <c r="AD291" s="10"/>
      <c r="AE291" s="10"/>
      <c r="AF291" s="10"/>
      <c r="AG291" s="10"/>
      <c r="AH291" s="10"/>
      <c r="AI291" s="10"/>
      <c r="AJ291" s="10"/>
      <c r="AK291" s="10"/>
      <c r="AL291" s="10"/>
      <c r="AM291" s="10"/>
      <c r="AN291" s="10"/>
    </row>
    <row r="292" spans="2:40" hidden="1" x14ac:dyDescent="0.35">
      <c r="B292" s="15"/>
      <c r="C292" s="127" t="str">
        <f>IFERROR(IF(LEN(INDEX(Database!C$9:C$501,ROW(Calc!A292)-ROW(Calc!$B$7)))=0,"",INDEX(Database!C$9:C$501,ROW(Calc!A292)-ROW(Calc!$B$7))),"")</f>
        <v/>
      </c>
      <c r="D292" s="70" t="str">
        <f>IFERROR(IF(LEN(INDEX(Database!D$9:D$501,ROW(Calc!B292)-ROW(Calc!$B$7)))=0,"",INDEX(Database!D$9:D$501,ROW(Calc!B292)-ROW(Calc!$B$7))),"")</f>
        <v/>
      </c>
      <c r="E292" s="124" t="str">
        <f>IFERROR(IF(LEN(INDEX(Database!G$9:G$501,ROW(Calc!D292)-ROW(Calc!$B$7)))=0,$AD$3,INDEX(Database!G$9:G$501,ROW(Calc!D292)-ROW(Calc!$B$7))),"")</f>
        <v>Not Set</v>
      </c>
      <c r="F292" s="124" t="str">
        <f>IFERROR(IF(LEN(INDEX(Database!F$9:F$501,ROW(Calc!E292)-ROW(Calc!$B$7)))=0,$AD$3,INDEX(Database!F$9:F$501,ROW(Calc!E292)-ROW(Calc!$B$7))),"")</f>
        <v>Not Set</v>
      </c>
      <c r="G292" s="128" t="str">
        <f>IFERROR(IF(LEN(INDEX(Database!H$9:H$501,ROW(Calc!F292)-ROW(Calc!$B$7)))=0,$AD$3,INDEX(Database!H$9:H$501,ROW(Calc!F292)-ROW(Calc!$B$7))),"")</f>
        <v>Not Set</v>
      </c>
      <c r="H292" s="128" t="str">
        <f>IFERROR(IF(LEN(INDEX(Database!I$9:I$501,ROW(Calc!G292)-ROW(Calc!$B$7)))=0,$AD$3,INDEX(Database!I$9:I$501,ROW(Calc!G292)-ROW(Calc!$B$7))),"")</f>
        <v>Not Set</v>
      </c>
      <c r="I292" s="128" t="str">
        <f>IFERROR(IF(LEN(INDEX(Database!J$9:J$501,ROW(Calc!H292)-ROW(Calc!$B$7)))=0,$AD$3,INDEX(Database!J$9:J$501,ROW(Calc!H292)-ROW(Calc!$B$7))),"")</f>
        <v>Not Set</v>
      </c>
      <c r="J292" s="128" t="str">
        <f t="shared" si="41"/>
        <v>Not Set</v>
      </c>
      <c r="K292" s="124" t="str">
        <f>IFERROR(IF(LEN(INDEX(Database!E$9:E$501,ROW(Calc!I292)-ROW(Calc!$B$7)))=0,"",INDEX(Database!E$9:E$501,ROW(Calc!I292)-ROW(Calc!$B$7))),"")</f>
        <v/>
      </c>
      <c r="L292" s="129" t="str">
        <f>IFERROR(IF(LEN(INDEX(Database!K$9:K$501,ROW(Calc!K292)-ROW(Calc!$B$7)))=0,$AD$3,INDEX(Database!K$9:K$501,ROW(Calc!K292)-ROW(Calc!$B$7))),"")</f>
        <v>Not Set</v>
      </c>
      <c r="M292" s="130" t="str">
        <f>IFERROR(IF(LEN(INDEX(Database!L$9:L$501,ROW(Calc!L292)-ROW(Calc!$B$7)))=0,$AD$3,INDEX(Database!L$9:L$501,ROW(Calc!L292)-ROW(Calc!$B$7))),"")</f>
        <v>Not Set</v>
      </c>
      <c r="N292" s="131" t="str">
        <f>IFERROR(IF(LEN(INDEX(Database!M$9:M$501,ROW(Calc!M292)-ROW(Calc!$B$7)))=0,"",INDEX(Database!M$9:M$501,ROW(Calc!M292)-ROW(Calc!$B$7))),"")</f>
        <v/>
      </c>
      <c r="O292" s="132" t="str">
        <f t="shared" si="45"/>
        <v/>
      </c>
      <c r="P292" s="125" t="str">
        <f t="shared" si="42"/>
        <v>Not Set</v>
      </c>
      <c r="Q292" s="125" t="str">
        <f t="shared" si="43"/>
        <v>Not Set</v>
      </c>
      <c r="R292" s="125" t="str">
        <f>IFERROR(IF(G292=$AD$3,$AD$3,INDEX(Kanban_Helper!$C$317:$C$328,MATCH(MONTH(G292),Kanban_Helper!$B$317:$B$328,0))&amp;" - "&amp;YEAR(G292)),"$AD$3")</f>
        <v>Not Set</v>
      </c>
      <c r="S292" s="125" t="str">
        <f>IFERROR(IF(I292=$AD$3,$AD$3,INDEX(Kanban_Helper!$C$317:$C$328,MATCH(MONTH(I292),Kanban_Helper!$B$317:$B$328,0))&amp;" - "&amp;YEAR(I292)),$AD$3)</f>
        <v>Not Set</v>
      </c>
      <c r="T292" s="125" t="str">
        <f t="shared" ca="1" si="46"/>
        <v/>
      </c>
      <c r="U292" s="125" t="str">
        <f t="shared" ca="1" si="47"/>
        <v/>
      </c>
      <c r="V292" s="125" t="str">
        <f t="shared" si="44"/>
        <v>Not Set</v>
      </c>
      <c r="W292" s="126" t="str">
        <f t="shared" si="48"/>
        <v/>
      </c>
      <c r="X292" s="126" t="str">
        <f t="shared" si="49"/>
        <v/>
      </c>
      <c r="Y292" s="125" t="str">
        <f>IFERROR(IF(LEN(D292)=0,"",IF(SUBTOTAL(3,E292:E292)=0,MIN($Y$7:Y291)-1,SUBTOTAL(3,$E$8:E292))),"")</f>
        <v/>
      </c>
      <c r="Z292" s="17"/>
      <c r="AA292" s="10"/>
      <c r="AB292" s="10"/>
      <c r="AC292" s="10"/>
      <c r="AD292" s="10"/>
      <c r="AE292" s="10"/>
      <c r="AF292" s="10"/>
      <c r="AG292" s="10"/>
      <c r="AH292" s="10"/>
      <c r="AI292" s="10"/>
      <c r="AJ292" s="10"/>
      <c r="AK292" s="10"/>
      <c r="AL292" s="10"/>
      <c r="AM292" s="10"/>
      <c r="AN292" s="10"/>
    </row>
    <row r="293" spans="2:40" hidden="1" x14ac:dyDescent="0.35">
      <c r="B293" s="15"/>
      <c r="C293" s="127" t="str">
        <f>IFERROR(IF(LEN(INDEX(Database!C$9:C$501,ROW(Calc!A293)-ROW(Calc!$B$7)))=0,"",INDEX(Database!C$9:C$501,ROW(Calc!A293)-ROW(Calc!$B$7))),"")</f>
        <v/>
      </c>
      <c r="D293" s="70" t="str">
        <f>IFERROR(IF(LEN(INDEX(Database!D$9:D$501,ROW(Calc!B293)-ROW(Calc!$B$7)))=0,"",INDEX(Database!D$9:D$501,ROW(Calc!B293)-ROW(Calc!$B$7))),"")</f>
        <v/>
      </c>
      <c r="E293" s="124" t="str">
        <f>IFERROR(IF(LEN(INDEX(Database!G$9:G$501,ROW(Calc!D293)-ROW(Calc!$B$7)))=0,$AD$3,INDEX(Database!G$9:G$501,ROW(Calc!D293)-ROW(Calc!$B$7))),"")</f>
        <v>Not Set</v>
      </c>
      <c r="F293" s="124" t="str">
        <f>IFERROR(IF(LEN(INDEX(Database!F$9:F$501,ROW(Calc!E293)-ROW(Calc!$B$7)))=0,$AD$3,INDEX(Database!F$9:F$501,ROW(Calc!E293)-ROW(Calc!$B$7))),"")</f>
        <v>Not Set</v>
      </c>
      <c r="G293" s="128" t="str">
        <f>IFERROR(IF(LEN(INDEX(Database!H$9:H$501,ROW(Calc!F293)-ROW(Calc!$B$7)))=0,$AD$3,INDEX(Database!H$9:H$501,ROW(Calc!F293)-ROW(Calc!$B$7))),"")</f>
        <v>Not Set</v>
      </c>
      <c r="H293" s="128" t="str">
        <f>IFERROR(IF(LEN(INDEX(Database!I$9:I$501,ROW(Calc!G293)-ROW(Calc!$B$7)))=0,$AD$3,INDEX(Database!I$9:I$501,ROW(Calc!G293)-ROW(Calc!$B$7))),"")</f>
        <v>Not Set</v>
      </c>
      <c r="I293" s="128" t="str">
        <f>IFERROR(IF(LEN(INDEX(Database!J$9:J$501,ROW(Calc!H293)-ROW(Calc!$B$7)))=0,$AD$3,INDEX(Database!J$9:J$501,ROW(Calc!H293)-ROW(Calc!$B$7))),"")</f>
        <v>Not Set</v>
      </c>
      <c r="J293" s="128" t="str">
        <f t="shared" si="41"/>
        <v>Not Set</v>
      </c>
      <c r="K293" s="124" t="str">
        <f>IFERROR(IF(LEN(INDEX(Database!E$9:E$501,ROW(Calc!I293)-ROW(Calc!$B$7)))=0,"",INDEX(Database!E$9:E$501,ROW(Calc!I293)-ROW(Calc!$B$7))),"")</f>
        <v/>
      </c>
      <c r="L293" s="129" t="str">
        <f>IFERROR(IF(LEN(INDEX(Database!K$9:K$501,ROW(Calc!K293)-ROW(Calc!$B$7)))=0,$AD$3,INDEX(Database!K$9:K$501,ROW(Calc!K293)-ROW(Calc!$B$7))),"")</f>
        <v>Not Set</v>
      </c>
      <c r="M293" s="130" t="str">
        <f>IFERROR(IF(LEN(INDEX(Database!L$9:L$501,ROW(Calc!L293)-ROW(Calc!$B$7)))=0,$AD$3,INDEX(Database!L$9:L$501,ROW(Calc!L293)-ROW(Calc!$B$7))),"")</f>
        <v>Not Set</v>
      </c>
      <c r="N293" s="131" t="str">
        <f>IFERROR(IF(LEN(INDEX(Database!M$9:M$501,ROW(Calc!M293)-ROW(Calc!$B$7)))=0,"",INDEX(Database!M$9:M$501,ROW(Calc!M293)-ROW(Calc!$B$7))),"")</f>
        <v/>
      </c>
      <c r="O293" s="132" t="str">
        <f t="shared" si="45"/>
        <v/>
      </c>
      <c r="P293" s="125" t="str">
        <f t="shared" si="42"/>
        <v>Not Set</v>
      </c>
      <c r="Q293" s="125" t="str">
        <f t="shared" si="43"/>
        <v>Not Set</v>
      </c>
      <c r="R293" s="125" t="str">
        <f>IFERROR(IF(G293=$AD$3,$AD$3,INDEX(Kanban_Helper!$C$317:$C$328,MATCH(MONTH(G293),Kanban_Helper!$B$317:$B$328,0))&amp;" - "&amp;YEAR(G293)),"$AD$3")</f>
        <v>Not Set</v>
      </c>
      <c r="S293" s="125" t="str">
        <f>IFERROR(IF(I293=$AD$3,$AD$3,INDEX(Kanban_Helper!$C$317:$C$328,MATCH(MONTH(I293),Kanban_Helper!$B$317:$B$328,0))&amp;" - "&amp;YEAR(I293)),$AD$3)</f>
        <v>Not Set</v>
      </c>
      <c r="T293" s="125" t="str">
        <f t="shared" ca="1" si="46"/>
        <v/>
      </c>
      <c r="U293" s="125" t="str">
        <f t="shared" ca="1" si="47"/>
        <v/>
      </c>
      <c r="V293" s="125" t="str">
        <f t="shared" si="44"/>
        <v>Not Set</v>
      </c>
      <c r="W293" s="126" t="str">
        <f t="shared" si="48"/>
        <v/>
      </c>
      <c r="X293" s="126" t="str">
        <f t="shared" si="49"/>
        <v/>
      </c>
      <c r="Y293" s="125" t="str">
        <f>IFERROR(IF(LEN(D293)=0,"",IF(SUBTOTAL(3,E293:E293)=0,MIN($Y$7:Y292)-1,SUBTOTAL(3,$E$8:E293))),"")</f>
        <v/>
      </c>
      <c r="Z293" s="17"/>
      <c r="AA293" s="10"/>
      <c r="AB293" s="10"/>
      <c r="AC293" s="10"/>
      <c r="AD293" s="10"/>
      <c r="AE293" s="10"/>
      <c r="AF293" s="10"/>
      <c r="AG293" s="10"/>
      <c r="AH293" s="10"/>
      <c r="AI293" s="10"/>
      <c r="AJ293" s="10"/>
      <c r="AK293" s="10"/>
      <c r="AL293" s="10"/>
      <c r="AM293" s="10"/>
      <c r="AN293" s="10"/>
    </row>
    <row r="294" spans="2:40" hidden="1" x14ac:dyDescent="0.35">
      <c r="B294" s="15"/>
      <c r="C294" s="127" t="str">
        <f>IFERROR(IF(LEN(INDEX(Database!C$9:C$501,ROW(Calc!A294)-ROW(Calc!$B$7)))=0,"",INDEX(Database!C$9:C$501,ROW(Calc!A294)-ROW(Calc!$B$7))),"")</f>
        <v/>
      </c>
      <c r="D294" s="70" t="str">
        <f>IFERROR(IF(LEN(INDEX(Database!D$9:D$501,ROW(Calc!B294)-ROW(Calc!$B$7)))=0,"",INDEX(Database!D$9:D$501,ROW(Calc!B294)-ROW(Calc!$B$7))),"")</f>
        <v/>
      </c>
      <c r="E294" s="124" t="str">
        <f>IFERROR(IF(LEN(INDEX(Database!G$9:G$501,ROW(Calc!D294)-ROW(Calc!$B$7)))=0,$AD$3,INDEX(Database!G$9:G$501,ROW(Calc!D294)-ROW(Calc!$B$7))),"")</f>
        <v>Not Set</v>
      </c>
      <c r="F294" s="124" t="str">
        <f>IFERROR(IF(LEN(INDEX(Database!F$9:F$501,ROW(Calc!E294)-ROW(Calc!$B$7)))=0,$AD$3,INDEX(Database!F$9:F$501,ROW(Calc!E294)-ROW(Calc!$B$7))),"")</f>
        <v>Not Set</v>
      </c>
      <c r="G294" s="128" t="str">
        <f>IFERROR(IF(LEN(INDEX(Database!H$9:H$501,ROW(Calc!F294)-ROW(Calc!$B$7)))=0,$AD$3,INDEX(Database!H$9:H$501,ROW(Calc!F294)-ROW(Calc!$B$7))),"")</f>
        <v>Not Set</v>
      </c>
      <c r="H294" s="128" t="str">
        <f>IFERROR(IF(LEN(INDEX(Database!I$9:I$501,ROW(Calc!G294)-ROW(Calc!$B$7)))=0,$AD$3,INDEX(Database!I$9:I$501,ROW(Calc!G294)-ROW(Calc!$B$7))),"")</f>
        <v>Not Set</v>
      </c>
      <c r="I294" s="128" t="str">
        <f>IFERROR(IF(LEN(INDEX(Database!J$9:J$501,ROW(Calc!H294)-ROW(Calc!$B$7)))=0,$AD$3,INDEX(Database!J$9:J$501,ROW(Calc!H294)-ROW(Calc!$B$7))),"")</f>
        <v>Not Set</v>
      </c>
      <c r="J294" s="128" t="str">
        <f t="shared" si="41"/>
        <v>Not Set</v>
      </c>
      <c r="K294" s="124" t="str">
        <f>IFERROR(IF(LEN(INDEX(Database!E$9:E$501,ROW(Calc!I294)-ROW(Calc!$B$7)))=0,"",INDEX(Database!E$9:E$501,ROW(Calc!I294)-ROW(Calc!$B$7))),"")</f>
        <v/>
      </c>
      <c r="L294" s="129" t="str">
        <f>IFERROR(IF(LEN(INDEX(Database!K$9:K$501,ROW(Calc!K294)-ROW(Calc!$B$7)))=0,$AD$3,INDEX(Database!K$9:K$501,ROW(Calc!K294)-ROW(Calc!$B$7))),"")</f>
        <v>Not Set</v>
      </c>
      <c r="M294" s="130" t="str">
        <f>IFERROR(IF(LEN(INDEX(Database!L$9:L$501,ROW(Calc!L294)-ROW(Calc!$B$7)))=0,$AD$3,INDEX(Database!L$9:L$501,ROW(Calc!L294)-ROW(Calc!$B$7))),"")</f>
        <v>Not Set</v>
      </c>
      <c r="N294" s="131" t="str">
        <f>IFERROR(IF(LEN(INDEX(Database!M$9:M$501,ROW(Calc!M294)-ROW(Calc!$B$7)))=0,"",INDEX(Database!M$9:M$501,ROW(Calc!M294)-ROW(Calc!$B$7))),"")</f>
        <v/>
      </c>
      <c r="O294" s="132" t="str">
        <f t="shared" si="45"/>
        <v/>
      </c>
      <c r="P294" s="125" t="str">
        <f t="shared" si="42"/>
        <v>Not Set</v>
      </c>
      <c r="Q294" s="125" t="str">
        <f t="shared" si="43"/>
        <v>Not Set</v>
      </c>
      <c r="R294" s="125" t="str">
        <f>IFERROR(IF(G294=$AD$3,$AD$3,INDEX(Kanban_Helper!$C$317:$C$328,MATCH(MONTH(G294),Kanban_Helper!$B$317:$B$328,0))&amp;" - "&amp;YEAR(G294)),"$AD$3")</f>
        <v>Not Set</v>
      </c>
      <c r="S294" s="125" t="str">
        <f>IFERROR(IF(I294=$AD$3,$AD$3,INDEX(Kanban_Helper!$C$317:$C$328,MATCH(MONTH(I294),Kanban_Helper!$B$317:$B$328,0))&amp;" - "&amp;YEAR(I294)),$AD$3)</f>
        <v>Not Set</v>
      </c>
      <c r="T294" s="125" t="str">
        <f t="shared" ca="1" si="46"/>
        <v/>
      </c>
      <c r="U294" s="125" t="str">
        <f t="shared" ca="1" si="47"/>
        <v/>
      </c>
      <c r="V294" s="125" t="str">
        <f t="shared" si="44"/>
        <v>Not Set</v>
      </c>
      <c r="W294" s="126" t="str">
        <f t="shared" si="48"/>
        <v/>
      </c>
      <c r="X294" s="126" t="str">
        <f t="shared" si="49"/>
        <v/>
      </c>
      <c r="Y294" s="125" t="str">
        <f>IFERROR(IF(LEN(D294)=0,"",IF(SUBTOTAL(3,E294:E294)=0,MIN($Y$7:Y293)-1,SUBTOTAL(3,$E$8:E294))),"")</f>
        <v/>
      </c>
      <c r="Z294" s="17"/>
      <c r="AA294" s="10"/>
      <c r="AB294" s="10"/>
      <c r="AC294" s="10"/>
      <c r="AD294" s="10"/>
      <c r="AE294" s="10"/>
      <c r="AF294" s="10"/>
      <c r="AG294" s="10"/>
      <c r="AH294" s="10"/>
      <c r="AI294" s="10"/>
      <c r="AJ294" s="10"/>
      <c r="AK294" s="10"/>
      <c r="AL294" s="10"/>
      <c r="AM294" s="10"/>
      <c r="AN294" s="10"/>
    </row>
    <row r="295" spans="2:40" hidden="1" x14ac:dyDescent="0.35">
      <c r="B295" s="15"/>
      <c r="C295" s="127" t="str">
        <f>IFERROR(IF(LEN(INDEX(Database!C$9:C$501,ROW(Calc!A295)-ROW(Calc!$B$7)))=0,"",INDEX(Database!C$9:C$501,ROW(Calc!A295)-ROW(Calc!$B$7))),"")</f>
        <v/>
      </c>
      <c r="D295" s="70" t="str">
        <f>IFERROR(IF(LEN(INDEX(Database!D$9:D$501,ROW(Calc!B295)-ROW(Calc!$B$7)))=0,"",INDEX(Database!D$9:D$501,ROW(Calc!B295)-ROW(Calc!$B$7))),"")</f>
        <v/>
      </c>
      <c r="E295" s="124" t="str">
        <f>IFERROR(IF(LEN(INDEX(Database!G$9:G$501,ROW(Calc!D295)-ROW(Calc!$B$7)))=0,$AD$3,INDEX(Database!G$9:G$501,ROW(Calc!D295)-ROW(Calc!$B$7))),"")</f>
        <v>Not Set</v>
      </c>
      <c r="F295" s="124" t="str">
        <f>IFERROR(IF(LEN(INDEX(Database!F$9:F$501,ROW(Calc!E295)-ROW(Calc!$B$7)))=0,$AD$3,INDEX(Database!F$9:F$501,ROW(Calc!E295)-ROW(Calc!$B$7))),"")</f>
        <v>Not Set</v>
      </c>
      <c r="G295" s="128" t="str">
        <f>IFERROR(IF(LEN(INDEX(Database!H$9:H$501,ROW(Calc!F295)-ROW(Calc!$B$7)))=0,$AD$3,INDEX(Database!H$9:H$501,ROW(Calc!F295)-ROW(Calc!$B$7))),"")</f>
        <v>Not Set</v>
      </c>
      <c r="H295" s="128" t="str">
        <f>IFERROR(IF(LEN(INDEX(Database!I$9:I$501,ROW(Calc!G295)-ROW(Calc!$B$7)))=0,$AD$3,INDEX(Database!I$9:I$501,ROW(Calc!G295)-ROW(Calc!$B$7))),"")</f>
        <v>Not Set</v>
      </c>
      <c r="I295" s="128" t="str">
        <f>IFERROR(IF(LEN(INDEX(Database!J$9:J$501,ROW(Calc!H295)-ROW(Calc!$B$7)))=0,$AD$3,INDEX(Database!J$9:J$501,ROW(Calc!H295)-ROW(Calc!$B$7))),"")</f>
        <v>Not Set</v>
      </c>
      <c r="J295" s="128" t="str">
        <f t="shared" si="41"/>
        <v>Not Set</v>
      </c>
      <c r="K295" s="124" t="str">
        <f>IFERROR(IF(LEN(INDEX(Database!E$9:E$501,ROW(Calc!I295)-ROW(Calc!$B$7)))=0,"",INDEX(Database!E$9:E$501,ROW(Calc!I295)-ROW(Calc!$B$7))),"")</f>
        <v/>
      </c>
      <c r="L295" s="129" t="str">
        <f>IFERROR(IF(LEN(INDEX(Database!K$9:K$501,ROW(Calc!K295)-ROW(Calc!$B$7)))=0,$AD$3,INDEX(Database!K$9:K$501,ROW(Calc!K295)-ROW(Calc!$B$7))),"")</f>
        <v>Not Set</v>
      </c>
      <c r="M295" s="130" t="str">
        <f>IFERROR(IF(LEN(INDEX(Database!L$9:L$501,ROW(Calc!L295)-ROW(Calc!$B$7)))=0,$AD$3,INDEX(Database!L$9:L$501,ROW(Calc!L295)-ROW(Calc!$B$7))),"")</f>
        <v>Not Set</v>
      </c>
      <c r="N295" s="131" t="str">
        <f>IFERROR(IF(LEN(INDEX(Database!M$9:M$501,ROW(Calc!M295)-ROW(Calc!$B$7)))=0,"",INDEX(Database!M$9:M$501,ROW(Calc!M295)-ROW(Calc!$B$7))),"")</f>
        <v/>
      </c>
      <c r="O295" s="132" t="str">
        <f t="shared" si="45"/>
        <v/>
      </c>
      <c r="P295" s="125" t="str">
        <f t="shared" si="42"/>
        <v>Not Set</v>
      </c>
      <c r="Q295" s="125" t="str">
        <f t="shared" si="43"/>
        <v>Not Set</v>
      </c>
      <c r="R295" s="125" t="str">
        <f>IFERROR(IF(G295=$AD$3,$AD$3,INDEX(Kanban_Helper!$C$317:$C$328,MATCH(MONTH(G295),Kanban_Helper!$B$317:$B$328,0))&amp;" - "&amp;YEAR(G295)),"$AD$3")</f>
        <v>Not Set</v>
      </c>
      <c r="S295" s="125" t="str">
        <f>IFERROR(IF(I295=$AD$3,$AD$3,INDEX(Kanban_Helper!$C$317:$C$328,MATCH(MONTH(I295),Kanban_Helper!$B$317:$B$328,0))&amp;" - "&amp;YEAR(I295)),$AD$3)</f>
        <v>Not Set</v>
      </c>
      <c r="T295" s="125" t="str">
        <f t="shared" ca="1" si="46"/>
        <v/>
      </c>
      <c r="U295" s="125" t="str">
        <f t="shared" ca="1" si="47"/>
        <v/>
      </c>
      <c r="V295" s="125" t="str">
        <f t="shared" si="44"/>
        <v>Not Set</v>
      </c>
      <c r="W295" s="126" t="str">
        <f t="shared" si="48"/>
        <v/>
      </c>
      <c r="X295" s="126" t="str">
        <f t="shared" si="49"/>
        <v/>
      </c>
      <c r="Y295" s="125" t="str">
        <f>IFERROR(IF(LEN(D295)=0,"",IF(SUBTOTAL(3,E295:E295)=0,MIN($Y$7:Y294)-1,SUBTOTAL(3,$E$8:E295))),"")</f>
        <v/>
      </c>
      <c r="Z295" s="17"/>
      <c r="AA295" s="10"/>
      <c r="AB295" s="10"/>
      <c r="AC295" s="10"/>
      <c r="AD295" s="10"/>
      <c r="AE295" s="10"/>
      <c r="AF295" s="10"/>
      <c r="AG295" s="10"/>
      <c r="AH295" s="10"/>
      <c r="AI295" s="10"/>
      <c r="AJ295" s="10"/>
      <c r="AK295" s="10"/>
      <c r="AL295" s="10"/>
      <c r="AM295" s="10"/>
      <c r="AN295" s="10"/>
    </row>
    <row r="296" spans="2:40" hidden="1" x14ac:dyDescent="0.35">
      <c r="B296" s="15"/>
      <c r="C296" s="127" t="str">
        <f>IFERROR(IF(LEN(INDEX(Database!C$9:C$501,ROW(Calc!A296)-ROW(Calc!$B$7)))=0,"",INDEX(Database!C$9:C$501,ROW(Calc!A296)-ROW(Calc!$B$7))),"")</f>
        <v/>
      </c>
      <c r="D296" s="70" t="str">
        <f>IFERROR(IF(LEN(INDEX(Database!D$9:D$501,ROW(Calc!B296)-ROW(Calc!$B$7)))=0,"",INDEX(Database!D$9:D$501,ROW(Calc!B296)-ROW(Calc!$B$7))),"")</f>
        <v/>
      </c>
      <c r="E296" s="124" t="str">
        <f>IFERROR(IF(LEN(INDEX(Database!G$9:G$501,ROW(Calc!D296)-ROW(Calc!$B$7)))=0,$AD$3,INDEX(Database!G$9:G$501,ROW(Calc!D296)-ROW(Calc!$B$7))),"")</f>
        <v>Not Set</v>
      </c>
      <c r="F296" s="124" t="str">
        <f>IFERROR(IF(LEN(INDEX(Database!F$9:F$501,ROW(Calc!E296)-ROW(Calc!$B$7)))=0,$AD$3,INDEX(Database!F$9:F$501,ROW(Calc!E296)-ROW(Calc!$B$7))),"")</f>
        <v>Not Set</v>
      </c>
      <c r="G296" s="128" t="str">
        <f>IFERROR(IF(LEN(INDEX(Database!H$9:H$501,ROW(Calc!F296)-ROW(Calc!$B$7)))=0,$AD$3,INDEX(Database!H$9:H$501,ROW(Calc!F296)-ROW(Calc!$B$7))),"")</f>
        <v>Not Set</v>
      </c>
      <c r="H296" s="128" t="str">
        <f>IFERROR(IF(LEN(INDEX(Database!I$9:I$501,ROW(Calc!G296)-ROW(Calc!$B$7)))=0,$AD$3,INDEX(Database!I$9:I$501,ROW(Calc!G296)-ROW(Calc!$B$7))),"")</f>
        <v>Not Set</v>
      </c>
      <c r="I296" s="128" t="str">
        <f>IFERROR(IF(LEN(INDEX(Database!J$9:J$501,ROW(Calc!H296)-ROW(Calc!$B$7)))=0,$AD$3,INDEX(Database!J$9:J$501,ROW(Calc!H296)-ROW(Calc!$B$7))),"")</f>
        <v>Not Set</v>
      </c>
      <c r="J296" s="128" t="str">
        <f t="shared" si="41"/>
        <v>Not Set</v>
      </c>
      <c r="K296" s="124" t="str">
        <f>IFERROR(IF(LEN(INDEX(Database!E$9:E$501,ROW(Calc!I296)-ROW(Calc!$B$7)))=0,"",INDEX(Database!E$9:E$501,ROW(Calc!I296)-ROW(Calc!$B$7))),"")</f>
        <v/>
      </c>
      <c r="L296" s="129" t="str">
        <f>IFERROR(IF(LEN(INDEX(Database!K$9:K$501,ROW(Calc!K296)-ROW(Calc!$B$7)))=0,$AD$3,INDEX(Database!K$9:K$501,ROW(Calc!K296)-ROW(Calc!$B$7))),"")</f>
        <v>Not Set</v>
      </c>
      <c r="M296" s="130" t="str">
        <f>IFERROR(IF(LEN(INDEX(Database!L$9:L$501,ROW(Calc!L296)-ROW(Calc!$B$7)))=0,$AD$3,INDEX(Database!L$9:L$501,ROW(Calc!L296)-ROW(Calc!$B$7))),"")</f>
        <v>Not Set</v>
      </c>
      <c r="N296" s="131" t="str">
        <f>IFERROR(IF(LEN(INDEX(Database!M$9:M$501,ROW(Calc!M296)-ROW(Calc!$B$7)))=0,"",INDEX(Database!M$9:M$501,ROW(Calc!M296)-ROW(Calc!$B$7))),"")</f>
        <v/>
      </c>
      <c r="O296" s="132" t="str">
        <f t="shared" si="45"/>
        <v/>
      </c>
      <c r="P296" s="125" t="str">
        <f t="shared" si="42"/>
        <v>Not Set</v>
      </c>
      <c r="Q296" s="125" t="str">
        <f t="shared" si="43"/>
        <v>Not Set</v>
      </c>
      <c r="R296" s="125" t="str">
        <f>IFERROR(IF(G296=$AD$3,$AD$3,INDEX(Kanban_Helper!$C$317:$C$328,MATCH(MONTH(G296),Kanban_Helper!$B$317:$B$328,0))&amp;" - "&amp;YEAR(G296)),"$AD$3")</f>
        <v>Not Set</v>
      </c>
      <c r="S296" s="125" t="str">
        <f>IFERROR(IF(I296=$AD$3,$AD$3,INDEX(Kanban_Helper!$C$317:$C$328,MATCH(MONTH(I296),Kanban_Helper!$B$317:$B$328,0))&amp;" - "&amp;YEAR(I296)),$AD$3)</f>
        <v>Not Set</v>
      </c>
      <c r="T296" s="125" t="str">
        <f t="shared" ca="1" si="46"/>
        <v/>
      </c>
      <c r="U296" s="125" t="str">
        <f t="shared" ca="1" si="47"/>
        <v/>
      </c>
      <c r="V296" s="125" t="str">
        <f t="shared" si="44"/>
        <v>Not Set</v>
      </c>
      <c r="W296" s="126" t="str">
        <f t="shared" si="48"/>
        <v/>
      </c>
      <c r="X296" s="126" t="str">
        <f t="shared" si="49"/>
        <v/>
      </c>
      <c r="Y296" s="125" t="str">
        <f>IFERROR(IF(LEN(D296)=0,"",IF(SUBTOTAL(3,E296:E296)=0,MIN($Y$7:Y295)-1,SUBTOTAL(3,$E$8:E296))),"")</f>
        <v/>
      </c>
      <c r="Z296" s="17"/>
      <c r="AA296" s="10"/>
      <c r="AB296" s="10"/>
      <c r="AC296" s="10"/>
      <c r="AD296" s="10"/>
      <c r="AE296" s="10"/>
      <c r="AF296" s="10"/>
      <c r="AG296" s="10"/>
      <c r="AH296" s="10"/>
      <c r="AI296" s="10"/>
      <c r="AJ296" s="10"/>
      <c r="AK296" s="10"/>
      <c r="AL296" s="10"/>
      <c r="AM296" s="10"/>
      <c r="AN296" s="10"/>
    </row>
    <row r="297" spans="2:40" hidden="1" x14ac:dyDescent="0.35">
      <c r="B297" s="15"/>
      <c r="C297" s="127" t="str">
        <f>IFERROR(IF(LEN(INDEX(Database!C$9:C$501,ROW(Calc!A297)-ROW(Calc!$B$7)))=0,"",INDEX(Database!C$9:C$501,ROW(Calc!A297)-ROW(Calc!$B$7))),"")</f>
        <v/>
      </c>
      <c r="D297" s="70" t="str">
        <f>IFERROR(IF(LEN(INDEX(Database!D$9:D$501,ROW(Calc!B297)-ROW(Calc!$B$7)))=0,"",INDEX(Database!D$9:D$501,ROW(Calc!B297)-ROW(Calc!$B$7))),"")</f>
        <v/>
      </c>
      <c r="E297" s="124" t="str">
        <f>IFERROR(IF(LEN(INDEX(Database!G$9:G$501,ROW(Calc!D297)-ROW(Calc!$B$7)))=0,$AD$3,INDEX(Database!G$9:G$501,ROW(Calc!D297)-ROW(Calc!$B$7))),"")</f>
        <v>Not Set</v>
      </c>
      <c r="F297" s="124" t="str">
        <f>IFERROR(IF(LEN(INDEX(Database!F$9:F$501,ROW(Calc!E297)-ROW(Calc!$B$7)))=0,$AD$3,INDEX(Database!F$9:F$501,ROW(Calc!E297)-ROW(Calc!$B$7))),"")</f>
        <v>Not Set</v>
      </c>
      <c r="G297" s="128" t="str">
        <f>IFERROR(IF(LEN(INDEX(Database!H$9:H$501,ROW(Calc!F297)-ROW(Calc!$B$7)))=0,$AD$3,INDEX(Database!H$9:H$501,ROW(Calc!F297)-ROW(Calc!$B$7))),"")</f>
        <v>Not Set</v>
      </c>
      <c r="H297" s="128" t="str">
        <f>IFERROR(IF(LEN(INDEX(Database!I$9:I$501,ROW(Calc!G297)-ROW(Calc!$B$7)))=0,$AD$3,INDEX(Database!I$9:I$501,ROW(Calc!G297)-ROW(Calc!$B$7))),"")</f>
        <v>Not Set</v>
      </c>
      <c r="I297" s="128" t="str">
        <f>IFERROR(IF(LEN(INDEX(Database!J$9:J$501,ROW(Calc!H297)-ROW(Calc!$B$7)))=0,$AD$3,INDEX(Database!J$9:J$501,ROW(Calc!H297)-ROW(Calc!$B$7))),"")</f>
        <v>Not Set</v>
      </c>
      <c r="J297" s="128" t="str">
        <f t="shared" si="41"/>
        <v>Not Set</v>
      </c>
      <c r="K297" s="124" t="str">
        <f>IFERROR(IF(LEN(INDEX(Database!E$9:E$501,ROW(Calc!I297)-ROW(Calc!$B$7)))=0,"",INDEX(Database!E$9:E$501,ROW(Calc!I297)-ROW(Calc!$B$7))),"")</f>
        <v/>
      </c>
      <c r="L297" s="129" t="str">
        <f>IFERROR(IF(LEN(INDEX(Database!K$9:K$501,ROW(Calc!K297)-ROW(Calc!$B$7)))=0,$AD$3,INDEX(Database!K$9:K$501,ROW(Calc!K297)-ROW(Calc!$B$7))),"")</f>
        <v>Not Set</v>
      </c>
      <c r="M297" s="130" t="str">
        <f>IFERROR(IF(LEN(INDEX(Database!L$9:L$501,ROW(Calc!L297)-ROW(Calc!$B$7)))=0,$AD$3,INDEX(Database!L$9:L$501,ROW(Calc!L297)-ROW(Calc!$B$7))),"")</f>
        <v>Not Set</v>
      </c>
      <c r="N297" s="131" t="str">
        <f>IFERROR(IF(LEN(INDEX(Database!M$9:M$501,ROW(Calc!M297)-ROW(Calc!$B$7)))=0,"",INDEX(Database!M$9:M$501,ROW(Calc!M297)-ROW(Calc!$B$7))),"")</f>
        <v/>
      </c>
      <c r="O297" s="132" t="str">
        <f t="shared" si="45"/>
        <v/>
      </c>
      <c r="P297" s="125" t="str">
        <f t="shared" si="42"/>
        <v>Not Set</v>
      </c>
      <c r="Q297" s="125" t="str">
        <f t="shared" si="43"/>
        <v>Not Set</v>
      </c>
      <c r="R297" s="125" t="str">
        <f>IFERROR(IF(G297=$AD$3,$AD$3,INDEX(Kanban_Helper!$C$317:$C$328,MATCH(MONTH(G297),Kanban_Helper!$B$317:$B$328,0))&amp;" - "&amp;YEAR(G297)),"$AD$3")</f>
        <v>Not Set</v>
      </c>
      <c r="S297" s="125" t="str">
        <f>IFERROR(IF(I297=$AD$3,$AD$3,INDEX(Kanban_Helper!$C$317:$C$328,MATCH(MONTH(I297),Kanban_Helper!$B$317:$B$328,0))&amp;" - "&amp;YEAR(I297)),$AD$3)</f>
        <v>Not Set</v>
      </c>
      <c r="T297" s="125" t="str">
        <f t="shared" ca="1" si="46"/>
        <v/>
      </c>
      <c r="U297" s="125" t="str">
        <f t="shared" ca="1" si="47"/>
        <v/>
      </c>
      <c r="V297" s="125" t="str">
        <f t="shared" si="44"/>
        <v>Not Set</v>
      </c>
      <c r="W297" s="126" t="str">
        <f t="shared" si="48"/>
        <v/>
      </c>
      <c r="X297" s="126" t="str">
        <f t="shared" si="49"/>
        <v/>
      </c>
      <c r="Y297" s="125" t="str">
        <f>IFERROR(IF(LEN(D297)=0,"",IF(SUBTOTAL(3,E297:E297)=0,MIN($Y$7:Y296)-1,SUBTOTAL(3,$E$8:E297))),"")</f>
        <v/>
      </c>
      <c r="Z297" s="17"/>
      <c r="AA297" s="10"/>
      <c r="AB297" s="10"/>
      <c r="AC297" s="10"/>
      <c r="AD297" s="10"/>
      <c r="AE297" s="10"/>
      <c r="AF297" s="10"/>
      <c r="AG297" s="10"/>
      <c r="AH297" s="10"/>
      <c r="AI297" s="10"/>
      <c r="AJ297" s="10"/>
      <c r="AK297" s="10"/>
      <c r="AL297" s="10"/>
      <c r="AM297" s="10"/>
      <c r="AN297" s="10"/>
    </row>
    <row r="298" spans="2:40" hidden="1" x14ac:dyDescent="0.35">
      <c r="B298" s="15"/>
      <c r="C298" s="127" t="str">
        <f>IFERROR(IF(LEN(INDEX(Database!C$9:C$501,ROW(Calc!A298)-ROW(Calc!$B$7)))=0,"",INDEX(Database!C$9:C$501,ROW(Calc!A298)-ROW(Calc!$B$7))),"")</f>
        <v/>
      </c>
      <c r="D298" s="70" t="str">
        <f>IFERROR(IF(LEN(INDEX(Database!D$9:D$501,ROW(Calc!B298)-ROW(Calc!$B$7)))=0,"",INDEX(Database!D$9:D$501,ROW(Calc!B298)-ROW(Calc!$B$7))),"")</f>
        <v/>
      </c>
      <c r="E298" s="124" t="str">
        <f>IFERROR(IF(LEN(INDEX(Database!G$9:G$501,ROW(Calc!D298)-ROW(Calc!$B$7)))=0,$AD$3,INDEX(Database!G$9:G$501,ROW(Calc!D298)-ROW(Calc!$B$7))),"")</f>
        <v>Not Set</v>
      </c>
      <c r="F298" s="124" t="str">
        <f>IFERROR(IF(LEN(INDEX(Database!F$9:F$501,ROW(Calc!E298)-ROW(Calc!$B$7)))=0,$AD$3,INDEX(Database!F$9:F$501,ROW(Calc!E298)-ROW(Calc!$B$7))),"")</f>
        <v>Not Set</v>
      </c>
      <c r="G298" s="128" t="str">
        <f>IFERROR(IF(LEN(INDEX(Database!H$9:H$501,ROW(Calc!F298)-ROW(Calc!$B$7)))=0,$AD$3,INDEX(Database!H$9:H$501,ROW(Calc!F298)-ROW(Calc!$B$7))),"")</f>
        <v>Not Set</v>
      </c>
      <c r="H298" s="128" t="str">
        <f>IFERROR(IF(LEN(INDEX(Database!I$9:I$501,ROW(Calc!G298)-ROW(Calc!$B$7)))=0,$AD$3,INDEX(Database!I$9:I$501,ROW(Calc!G298)-ROW(Calc!$B$7))),"")</f>
        <v>Not Set</v>
      </c>
      <c r="I298" s="128" t="str">
        <f>IFERROR(IF(LEN(INDEX(Database!J$9:J$501,ROW(Calc!H298)-ROW(Calc!$B$7)))=0,$AD$3,INDEX(Database!J$9:J$501,ROW(Calc!H298)-ROW(Calc!$B$7))),"")</f>
        <v>Not Set</v>
      </c>
      <c r="J298" s="128" t="str">
        <f t="shared" si="41"/>
        <v>Not Set</v>
      </c>
      <c r="K298" s="124" t="str">
        <f>IFERROR(IF(LEN(INDEX(Database!E$9:E$501,ROW(Calc!I298)-ROW(Calc!$B$7)))=0,"",INDEX(Database!E$9:E$501,ROW(Calc!I298)-ROW(Calc!$B$7))),"")</f>
        <v/>
      </c>
      <c r="L298" s="129" t="str">
        <f>IFERROR(IF(LEN(INDEX(Database!K$9:K$501,ROW(Calc!K298)-ROW(Calc!$B$7)))=0,$AD$3,INDEX(Database!K$9:K$501,ROW(Calc!K298)-ROW(Calc!$B$7))),"")</f>
        <v>Not Set</v>
      </c>
      <c r="M298" s="130" t="str">
        <f>IFERROR(IF(LEN(INDEX(Database!L$9:L$501,ROW(Calc!L298)-ROW(Calc!$B$7)))=0,$AD$3,INDEX(Database!L$9:L$501,ROW(Calc!L298)-ROW(Calc!$B$7))),"")</f>
        <v>Not Set</v>
      </c>
      <c r="N298" s="131" t="str">
        <f>IFERROR(IF(LEN(INDEX(Database!M$9:M$501,ROW(Calc!M298)-ROW(Calc!$B$7)))=0,"",INDEX(Database!M$9:M$501,ROW(Calc!M298)-ROW(Calc!$B$7))),"")</f>
        <v/>
      </c>
      <c r="O298" s="132" t="str">
        <f t="shared" si="45"/>
        <v/>
      </c>
      <c r="P298" s="125" t="str">
        <f t="shared" si="42"/>
        <v>Not Set</v>
      </c>
      <c r="Q298" s="125" t="str">
        <f t="shared" si="43"/>
        <v>Not Set</v>
      </c>
      <c r="R298" s="125" t="str">
        <f>IFERROR(IF(G298=$AD$3,$AD$3,INDEX(Kanban_Helper!$C$317:$C$328,MATCH(MONTH(G298),Kanban_Helper!$B$317:$B$328,0))&amp;" - "&amp;YEAR(G298)),"$AD$3")</f>
        <v>Not Set</v>
      </c>
      <c r="S298" s="125" t="str">
        <f>IFERROR(IF(I298=$AD$3,$AD$3,INDEX(Kanban_Helper!$C$317:$C$328,MATCH(MONTH(I298),Kanban_Helper!$B$317:$B$328,0))&amp;" - "&amp;YEAR(I298)),$AD$3)</f>
        <v>Not Set</v>
      </c>
      <c r="T298" s="125" t="str">
        <f t="shared" ca="1" si="46"/>
        <v/>
      </c>
      <c r="U298" s="125" t="str">
        <f t="shared" ca="1" si="47"/>
        <v/>
      </c>
      <c r="V298" s="125" t="str">
        <f t="shared" si="44"/>
        <v>Not Set</v>
      </c>
      <c r="W298" s="126" t="str">
        <f t="shared" si="48"/>
        <v/>
      </c>
      <c r="X298" s="126" t="str">
        <f t="shared" si="49"/>
        <v/>
      </c>
      <c r="Y298" s="125" t="str">
        <f>IFERROR(IF(LEN(D298)=0,"",IF(SUBTOTAL(3,E298:E298)=0,MIN($Y$7:Y297)-1,SUBTOTAL(3,$E$8:E298))),"")</f>
        <v/>
      </c>
      <c r="Z298" s="17"/>
      <c r="AA298" s="10"/>
      <c r="AB298" s="10"/>
      <c r="AC298" s="10"/>
      <c r="AD298" s="10"/>
      <c r="AE298" s="10"/>
      <c r="AF298" s="10"/>
      <c r="AG298" s="10"/>
      <c r="AH298" s="10"/>
      <c r="AI298" s="10"/>
      <c r="AJ298" s="10"/>
      <c r="AK298" s="10"/>
      <c r="AL298" s="10"/>
      <c r="AM298" s="10"/>
      <c r="AN298" s="10"/>
    </row>
    <row r="299" spans="2:40" hidden="1" x14ac:dyDescent="0.35">
      <c r="B299" s="15"/>
      <c r="C299" s="127" t="str">
        <f>IFERROR(IF(LEN(INDEX(Database!C$9:C$501,ROW(Calc!A299)-ROW(Calc!$B$7)))=0,"",INDEX(Database!C$9:C$501,ROW(Calc!A299)-ROW(Calc!$B$7))),"")</f>
        <v/>
      </c>
      <c r="D299" s="70" t="str">
        <f>IFERROR(IF(LEN(INDEX(Database!D$9:D$501,ROW(Calc!B299)-ROW(Calc!$B$7)))=0,"",INDEX(Database!D$9:D$501,ROW(Calc!B299)-ROW(Calc!$B$7))),"")</f>
        <v/>
      </c>
      <c r="E299" s="124" t="str">
        <f>IFERROR(IF(LEN(INDEX(Database!G$9:G$501,ROW(Calc!D299)-ROW(Calc!$B$7)))=0,$AD$3,INDEX(Database!G$9:G$501,ROW(Calc!D299)-ROW(Calc!$B$7))),"")</f>
        <v>Not Set</v>
      </c>
      <c r="F299" s="124" t="str">
        <f>IFERROR(IF(LEN(INDEX(Database!F$9:F$501,ROW(Calc!E299)-ROW(Calc!$B$7)))=0,$AD$3,INDEX(Database!F$9:F$501,ROW(Calc!E299)-ROW(Calc!$B$7))),"")</f>
        <v>Not Set</v>
      </c>
      <c r="G299" s="128" t="str">
        <f>IFERROR(IF(LEN(INDEX(Database!H$9:H$501,ROW(Calc!F299)-ROW(Calc!$B$7)))=0,$AD$3,INDEX(Database!H$9:H$501,ROW(Calc!F299)-ROW(Calc!$B$7))),"")</f>
        <v>Not Set</v>
      </c>
      <c r="H299" s="128" t="str">
        <f>IFERROR(IF(LEN(INDEX(Database!I$9:I$501,ROW(Calc!G299)-ROW(Calc!$B$7)))=0,$AD$3,INDEX(Database!I$9:I$501,ROW(Calc!G299)-ROW(Calc!$B$7))),"")</f>
        <v>Not Set</v>
      </c>
      <c r="I299" s="128" t="str">
        <f>IFERROR(IF(LEN(INDEX(Database!J$9:J$501,ROW(Calc!H299)-ROW(Calc!$B$7)))=0,$AD$3,INDEX(Database!J$9:J$501,ROW(Calc!H299)-ROW(Calc!$B$7))),"")</f>
        <v>Not Set</v>
      </c>
      <c r="J299" s="128" t="str">
        <f t="shared" si="41"/>
        <v>Not Set</v>
      </c>
      <c r="K299" s="124" t="str">
        <f>IFERROR(IF(LEN(INDEX(Database!E$9:E$501,ROW(Calc!I299)-ROW(Calc!$B$7)))=0,"",INDEX(Database!E$9:E$501,ROW(Calc!I299)-ROW(Calc!$B$7))),"")</f>
        <v/>
      </c>
      <c r="L299" s="129" t="str">
        <f>IFERROR(IF(LEN(INDEX(Database!K$9:K$501,ROW(Calc!K299)-ROW(Calc!$B$7)))=0,$AD$3,INDEX(Database!K$9:K$501,ROW(Calc!K299)-ROW(Calc!$B$7))),"")</f>
        <v>Not Set</v>
      </c>
      <c r="M299" s="130" t="str">
        <f>IFERROR(IF(LEN(INDEX(Database!L$9:L$501,ROW(Calc!L299)-ROW(Calc!$B$7)))=0,$AD$3,INDEX(Database!L$9:L$501,ROW(Calc!L299)-ROW(Calc!$B$7))),"")</f>
        <v>Not Set</v>
      </c>
      <c r="N299" s="131" t="str">
        <f>IFERROR(IF(LEN(INDEX(Database!M$9:M$501,ROW(Calc!M299)-ROW(Calc!$B$7)))=0,"",INDEX(Database!M$9:M$501,ROW(Calc!M299)-ROW(Calc!$B$7))),"")</f>
        <v/>
      </c>
      <c r="O299" s="132" t="str">
        <f t="shared" si="45"/>
        <v/>
      </c>
      <c r="P299" s="125" t="str">
        <f t="shared" si="42"/>
        <v>Not Set</v>
      </c>
      <c r="Q299" s="125" t="str">
        <f t="shared" si="43"/>
        <v>Not Set</v>
      </c>
      <c r="R299" s="125" t="str">
        <f>IFERROR(IF(G299=$AD$3,$AD$3,INDEX(Kanban_Helper!$C$317:$C$328,MATCH(MONTH(G299),Kanban_Helper!$B$317:$B$328,0))&amp;" - "&amp;YEAR(G299)),"$AD$3")</f>
        <v>Not Set</v>
      </c>
      <c r="S299" s="125" t="str">
        <f>IFERROR(IF(I299=$AD$3,$AD$3,INDEX(Kanban_Helper!$C$317:$C$328,MATCH(MONTH(I299),Kanban_Helper!$B$317:$B$328,0))&amp;" - "&amp;YEAR(I299)),$AD$3)</f>
        <v>Not Set</v>
      </c>
      <c r="T299" s="125" t="str">
        <f t="shared" ca="1" si="46"/>
        <v/>
      </c>
      <c r="U299" s="125" t="str">
        <f t="shared" ca="1" si="47"/>
        <v/>
      </c>
      <c r="V299" s="125" t="str">
        <f t="shared" si="44"/>
        <v>Not Set</v>
      </c>
      <c r="W299" s="126" t="str">
        <f t="shared" si="48"/>
        <v/>
      </c>
      <c r="X299" s="126" t="str">
        <f t="shared" si="49"/>
        <v/>
      </c>
      <c r="Y299" s="125" t="str">
        <f>IFERROR(IF(LEN(D299)=0,"",IF(SUBTOTAL(3,E299:E299)=0,MIN($Y$7:Y298)-1,SUBTOTAL(3,$E$8:E299))),"")</f>
        <v/>
      </c>
      <c r="Z299" s="17"/>
      <c r="AA299" s="10"/>
      <c r="AB299" s="10"/>
      <c r="AC299" s="10"/>
      <c r="AD299" s="10"/>
      <c r="AE299" s="10"/>
      <c r="AF299" s="10"/>
      <c r="AG299" s="10"/>
      <c r="AH299" s="10"/>
      <c r="AI299" s="10"/>
      <c r="AJ299" s="10"/>
      <c r="AK299" s="10"/>
      <c r="AL299" s="10"/>
      <c r="AM299" s="10"/>
      <c r="AN299" s="10"/>
    </row>
    <row r="300" spans="2:40" hidden="1" x14ac:dyDescent="0.35">
      <c r="B300" s="15"/>
      <c r="C300" s="127" t="str">
        <f>IFERROR(IF(LEN(INDEX(Database!C$9:C$501,ROW(Calc!A300)-ROW(Calc!$B$7)))=0,"",INDEX(Database!C$9:C$501,ROW(Calc!A300)-ROW(Calc!$B$7))),"")</f>
        <v/>
      </c>
      <c r="D300" s="70" t="str">
        <f>IFERROR(IF(LEN(INDEX(Database!D$9:D$501,ROW(Calc!B300)-ROW(Calc!$B$7)))=0,"",INDEX(Database!D$9:D$501,ROW(Calc!B300)-ROW(Calc!$B$7))),"")</f>
        <v/>
      </c>
      <c r="E300" s="124" t="str">
        <f>IFERROR(IF(LEN(INDEX(Database!G$9:G$501,ROW(Calc!D300)-ROW(Calc!$B$7)))=0,$AD$3,INDEX(Database!G$9:G$501,ROW(Calc!D300)-ROW(Calc!$B$7))),"")</f>
        <v>Not Set</v>
      </c>
      <c r="F300" s="124" t="str">
        <f>IFERROR(IF(LEN(INDEX(Database!F$9:F$501,ROW(Calc!E300)-ROW(Calc!$B$7)))=0,$AD$3,INDEX(Database!F$9:F$501,ROW(Calc!E300)-ROW(Calc!$B$7))),"")</f>
        <v>Not Set</v>
      </c>
      <c r="G300" s="128" t="str">
        <f>IFERROR(IF(LEN(INDEX(Database!H$9:H$501,ROW(Calc!F300)-ROW(Calc!$B$7)))=0,$AD$3,INDEX(Database!H$9:H$501,ROW(Calc!F300)-ROW(Calc!$B$7))),"")</f>
        <v>Not Set</v>
      </c>
      <c r="H300" s="128" t="str">
        <f>IFERROR(IF(LEN(INDEX(Database!I$9:I$501,ROW(Calc!G300)-ROW(Calc!$B$7)))=0,$AD$3,INDEX(Database!I$9:I$501,ROW(Calc!G300)-ROW(Calc!$B$7))),"")</f>
        <v>Not Set</v>
      </c>
      <c r="I300" s="128" t="str">
        <f>IFERROR(IF(LEN(INDEX(Database!J$9:J$501,ROW(Calc!H300)-ROW(Calc!$B$7)))=0,$AD$3,INDEX(Database!J$9:J$501,ROW(Calc!H300)-ROW(Calc!$B$7))),"")</f>
        <v>Not Set</v>
      </c>
      <c r="J300" s="128" t="str">
        <f t="shared" si="41"/>
        <v>Not Set</v>
      </c>
      <c r="K300" s="124" t="str">
        <f>IFERROR(IF(LEN(INDEX(Database!E$9:E$501,ROW(Calc!I300)-ROW(Calc!$B$7)))=0,"",INDEX(Database!E$9:E$501,ROW(Calc!I300)-ROW(Calc!$B$7))),"")</f>
        <v/>
      </c>
      <c r="L300" s="129" t="str">
        <f>IFERROR(IF(LEN(INDEX(Database!K$9:K$501,ROW(Calc!K300)-ROW(Calc!$B$7)))=0,$AD$3,INDEX(Database!K$9:K$501,ROW(Calc!K300)-ROW(Calc!$B$7))),"")</f>
        <v>Not Set</v>
      </c>
      <c r="M300" s="130" t="str">
        <f>IFERROR(IF(LEN(INDEX(Database!L$9:L$501,ROW(Calc!L300)-ROW(Calc!$B$7)))=0,$AD$3,INDEX(Database!L$9:L$501,ROW(Calc!L300)-ROW(Calc!$B$7))),"")</f>
        <v>Not Set</v>
      </c>
      <c r="N300" s="131" t="str">
        <f>IFERROR(IF(LEN(INDEX(Database!M$9:M$501,ROW(Calc!M300)-ROW(Calc!$B$7)))=0,"",INDEX(Database!M$9:M$501,ROW(Calc!M300)-ROW(Calc!$B$7))),"")</f>
        <v/>
      </c>
      <c r="O300" s="132" t="str">
        <f t="shared" si="45"/>
        <v/>
      </c>
      <c r="P300" s="125" t="str">
        <f t="shared" si="42"/>
        <v>Not Set</v>
      </c>
      <c r="Q300" s="125" t="str">
        <f t="shared" si="43"/>
        <v>Not Set</v>
      </c>
      <c r="R300" s="125" t="str">
        <f>IFERROR(IF(G300=$AD$3,$AD$3,INDEX(Kanban_Helper!$C$317:$C$328,MATCH(MONTH(G300),Kanban_Helper!$B$317:$B$328,0))&amp;" - "&amp;YEAR(G300)),"$AD$3")</f>
        <v>Not Set</v>
      </c>
      <c r="S300" s="125" t="str">
        <f>IFERROR(IF(I300=$AD$3,$AD$3,INDEX(Kanban_Helper!$C$317:$C$328,MATCH(MONTH(I300),Kanban_Helper!$B$317:$B$328,0))&amp;" - "&amp;YEAR(I300)),$AD$3)</f>
        <v>Not Set</v>
      </c>
      <c r="T300" s="125" t="str">
        <f t="shared" ca="1" si="46"/>
        <v/>
      </c>
      <c r="U300" s="125" t="str">
        <f t="shared" ca="1" si="47"/>
        <v/>
      </c>
      <c r="V300" s="125" t="str">
        <f t="shared" si="44"/>
        <v>Not Set</v>
      </c>
      <c r="W300" s="126" t="str">
        <f t="shared" si="48"/>
        <v/>
      </c>
      <c r="X300" s="126" t="str">
        <f t="shared" si="49"/>
        <v/>
      </c>
      <c r="Y300" s="125" t="str">
        <f>IFERROR(IF(LEN(D300)=0,"",IF(SUBTOTAL(3,E300:E300)=0,MIN($Y$7:Y299)-1,SUBTOTAL(3,$E$8:E300))),"")</f>
        <v/>
      </c>
      <c r="Z300" s="17"/>
      <c r="AA300" s="10"/>
      <c r="AB300" s="10"/>
      <c r="AC300" s="10"/>
      <c r="AD300" s="10"/>
      <c r="AE300" s="10"/>
      <c r="AF300" s="10"/>
      <c r="AG300" s="10"/>
      <c r="AH300" s="10"/>
      <c r="AI300" s="10"/>
      <c r="AJ300" s="10"/>
      <c r="AK300" s="10"/>
      <c r="AL300" s="10"/>
      <c r="AM300" s="10"/>
      <c r="AN300" s="10"/>
    </row>
    <row r="301" spans="2:40" hidden="1" x14ac:dyDescent="0.35">
      <c r="B301" s="15"/>
      <c r="C301" s="127" t="str">
        <f>IFERROR(IF(LEN(INDEX(Database!C$9:C$501,ROW(Calc!A301)-ROW(Calc!$B$7)))=0,"",INDEX(Database!C$9:C$501,ROW(Calc!A301)-ROW(Calc!$B$7))),"")</f>
        <v/>
      </c>
      <c r="D301" s="70" t="str">
        <f>IFERROR(IF(LEN(INDEX(Database!D$9:D$501,ROW(Calc!B301)-ROW(Calc!$B$7)))=0,"",INDEX(Database!D$9:D$501,ROW(Calc!B301)-ROW(Calc!$B$7))),"")</f>
        <v/>
      </c>
      <c r="E301" s="124" t="str">
        <f>IFERROR(IF(LEN(INDEX(Database!G$9:G$501,ROW(Calc!D301)-ROW(Calc!$B$7)))=0,$AD$3,INDEX(Database!G$9:G$501,ROW(Calc!D301)-ROW(Calc!$B$7))),"")</f>
        <v>Not Set</v>
      </c>
      <c r="F301" s="124" t="str">
        <f>IFERROR(IF(LEN(INDEX(Database!F$9:F$501,ROW(Calc!E301)-ROW(Calc!$B$7)))=0,$AD$3,INDEX(Database!F$9:F$501,ROW(Calc!E301)-ROW(Calc!$B$7))),"")</f>
        <v>Not Set</v>
      </c>
      <c r="G301" s="128" t="str">
        <f>IFERROR(IF(LEN(INDEX(Database!H$9:H$501,ROW(Calc!F301)-ROW(Calc!$B$7)))=0,$AD$3,INDEX(Database!H$9:H$501,ROW(Calc!F301)-ROW(Calc!$B$7))),"")</f>
        <v>Not Set</v>
      </c>
      <c r="H301" s="128" t="str">
        <f>IFERROR(IF(LEN(INDEX(Database!I$9:I$501,ROW(Calc!G301)-ROW(Calc!$B$7)))=0,$AD$3,INDEX(Database!I$9:I$501,ROW(Calc!G301)-ROW(Calc!$B$7))),"")</f>
        <v>Not Set</v>
      </c>
      <c r="I301" s="128" t="str">
        <f>IFERROR(IF(LEN(INDEX(Database!J$9:J$501,ROW(Calc!H301)-ROW(Calc!$B$7)))=0,$AD$3,INDEX(Database!J$9:J$501,ROW(Calc!H301)-ROW(Calc!$B$7))),"")</f>
        <v>Not Set</v>
      </c>
      <c r="J301" s="128" t="str">
        <f t="shared" si="41"/>
        <v>Not Set</v>
      </c>
      <c r="K301" s="124" t="str">
        <f>IFERROR(IF(LEN(INDEX(Database!E$9:E$501,ROW(Calc!I301)-ROW(Calc!$B$7)))=0,"",INDEX(Database!E$9:E$501,ROW(Calc!I301)-ROW(Calc!$B$7))),"")</f>
        <v/>
      </c>
      <c r="L301" s="129" t="str">
        <f>IFERROR(IF(LEN(INDEX(Database!K$9:K$501,ROW(Calc!K301)-ROW(Calc!$B$7)))=0,$AD$3,INDEX(Database!K$9:K$501,ROW(Calc!K301)-ROW(Calc!$B$7))),"")</f>
        <v>Not Set</v>
      </c>
      <c r="M301" s="130" t="str">
        <f>IFERROR(IF(LEN(INDEX(Database!L$9:L$501,ROW(Calc!L301)-ROW(Calc!$B$7)))=0,$AD$3,INDEX(Database!L$9:L$501,ROW(Calc!L301)-ROW(Calc!$B$7))),"")</f>
        <v>Not Set</v>
      </c>
      <c r="N301" s="131" t="str">
        <f>IFERROR(IF(LEN(INDEX(Database!M$9:M$501,ROW(Calc!M301)-ROW(Calc!$B$7)))=0,"",INDEX(Database!M$9:M$501,ROW(Calc!M301)-ROW(Calc!$B$7))),"")</f>
        <v/>
      </c>
      <c r="O301" s="132" t="str">
        <f t="shared" si="45"/>
        <v/>
      </c>
      <c r="P301" s="125" t="str">
        <f t="shared" si="42"/>
        <v>Not Set</v>
      </c>
      <c r="Q301" s="125" t="str">
        <f t="shared" si="43"/>
        <v>Not Set</v>
      </c>
      <c r="R301" s="125" t="str">
        <f>IFERROR(IF(G301=$AD$3,$AD$3,INDEX(Kanban_Helper!$C$317:$C$328,MATCH(MONTH(G301),Kanban_Helper!$B$317:$B$328,0))&amp;" - "&amp;YEAR(G301)),"$AD$3")</f>
        <v>Not Set</v>
      </c>
      <c r="S301" s="125" t="str">
        <f>IFERROR(IF(I301=$AD$3,$AD$3,INDEX(Kanban_Helper!$C$317:$C$328,MATCH(MONTH(I301),Kanban_Helper!$B$317:$B$328,0))&amp;" - "&amp;YEAR(I301)),$AD$3)</f>
        <v>Not Set</v>
      </c>
      <c r="T301" s="125" t="str">
        <f t="shared" ca="1" si="46"/>
        <v/>
      </c>
      <c r="U301" s="125" t="str">
        <f t="shared" ca="1" si="47"/>
        <v/>
      </c>
      <c r="V301" s="125" t="str">
        <f t="shared" si="44"/>
        <v>Not Set</v>
      </c>
      <c r="W301" s="126" t="str">
        <f t="shared" si="48"/>
        <v/>
      </c>
      <c r="X301" s="126" t="str">
        <f t="shared" si="49"/>
        <v/>
      </c>
      <c r="Y301" s="125" t="str">
        <f>IFERROR(IF(LEN(D301)=0,"",IF(SUBTOTAL(3,E301:E301)=0,MIN($Y$7:Y300)-1,SUBTOTAL(3,$E$8:E301))),"")</f>
        <v/>
      </c>
      <c r="Z301" s="17"/>
      <c r="AA301" s="10"/>
      <c r="AB301" s="10"/>
      <c r="AC301" s="10"/>
      <c r="AD301" s="10"/>
      <c r="AE301" s="10"/>
      <c r="AF301" s="10"/>
      <c r="AG301" s="10"/>
      <c r="AH301" s="10"/>
      <c r="AI301" s="10"/>
      <c r="AJ301" s="10"/>
      <c r="AK301" s="10"/>
      <c r="AL301" s="10"/>
      <c r="AM301" s="10"/>
      <c r="AN301" s="10"/>
    </row>
    <row r="302" spans="2:40" hidden="1" x14ac:dyDescent="0.35">
      <c r="B302" s="15"/>
      <c r="C302" s="127" t="str">
        <f>IFERROR(IF(LEN(INDEX(Database!C$9:C$501,ROW(Calc!A302)-ROW(Calc!$B$7)))=0,"",INDEX(Database!C$9:C$501,ROW(Calc!A302)-ROW(Calc!$B$7))),"")</f>
        <v/>
      </c>
      <c r="D302" s="70" t="str">
        <f>IFERROR(IF(LEN(INDEX(Database!D$9:D$501,ROW(Calc!B302)-ROW(Calc!$B$7)))=0,"",INDEX(Database!D$9:D$501,ROW(Calc!B302)-ROW(Calc!$B$7))),"")</f>
        <v/>
      </c>
      <c r="E302" s="124" t="str">
        <f>IFERROR(IF(LEN(INDEX(Database!G$9:G$501,ROW(Calc!D302)-ROW(Calc!$B$7)))=0,$AD$3,INDEX(Database!G$9:G$501,ROW(Calc!D302)-ROW(Calc!$B$7))),"")</f>
        <v>Not Set</v>
      </c>
      <c r="F302" s="124" t="str">
        <f>IFERROR(IF(LEN(INDEX(Database!F$9:F$501,ROW(Calc!E302)-ROW(Calc!$B$7)))=0,$AD$3,INDEX(Database!F$9:F$501,ROW(Calc!E302)-ROW(Calc!$B$7))),"")</f>
        <v>Not Set</v>
      </c>
      <c r="G302" s="128" t="str">
        <f>IFERROR(IF(LEN(INDEX(Database!H$9:H$501,ROW(Calc!F302)-ROW(Calc!$B$7)))=0,$AD$3,INDEX(Database!H$9:H$501,ROW(Calc!F302)-ROW(Calc!$B$7))),"")</f>
        <v>Not Set</v>
      </c>
      <c r="H302" s="128" t="str">
        <f>IFERROR(IF(LEN(INDEX(Database!I$9:I$501,ROW(Calc!G302)-ROW(Calc!$B$7)))=0,$AD$3,INDEX(Database!I$9:I$501,ROW(Calc!G302)-ROW(Calc!$B$7))),"")</f>
        <v>Not Set</v>
      </c>
      <c r="I302" s="128" t="str">
        <f>IFERROR(IF(LEN(INDEX(Database!J$9:J$501,ROW(Calc!H302)-ROW(Calc!$B$7)))=0,$AD$3,INDEX(Database!J$9:J$501,ROW(Calc!H302)-ROW(Calc!$B$7))),"")</f>
        <v>Not Set</v>
      </c>
      <c r="J302" s="128" t="str">
        <f t="shared" si="41"/>
        <v>Not Set</v>
      </c>
      <c r="K302" s="124" t="str">
        <f>IFERROR(IF(LEN(INDEX(Database!E$9:E$501,ROW(Calc!I302)-ROW(Calc!$B$7)))=0,"",INDEX(Database!E$9:E$501,ROW(Calc!I302)-ROW(Calc!$B$7))),"")</f>
        <v/>
      </c>
      <c r="L302" s="129" t="str">
        <f>IFERROR(IF(LEN(INDEX(Database!K$9:K$501,ROW(Calc!K302)-ROW(Calc!$B$7)))=0,$AD$3,INDEX(Database!K$9:K$501,ROW(Calc!K302)-ROW(Calc!$B$7))),"")</f>
        <v>Not Set</v>
      </c>
      <c r="M302" s="130" t="str">
        <f>IFERROR(IF(LEN(INDEX(Database!L$9:L$501,ROW(Calc!L302)-ROW(Calc!$B$7)))=0,$AD$3,INDEX(Database!L$9:L$501,ROW(Calc!L302)-ROW(Calc!$B$7))),"")</f>
        <v>Not Set</v>
      </c>
      <c r="N302" s="131" t="str">
        <f>IFERROR(IF(LEN(INDEX(Database!M$9:M$501,ROW(Calc!M302)-ROW(Calc!$B$7)))=0,"",INDEX(Database!M$9:M$501,ROW(Calc!M302)-ROW(Calc!$B$7))),"")</f>
        <v/>
      </c>
      <c r="O302" s="132" t="str">
        <f t="shared" si="45"/>
        <v/>
      </c>
      <c r="P302" s="125" t="str">
        <f t="shared" si="42"/>
        <v>Not Set</v>
      </c>
      <c r="Q302" s="125" t="str">
        <f t="shared" si="43"/>
        <v>Not Set</v>
      </c>
      <c r="R302" s="125" t="str">
        <f>IFERROR(IF(G302=$AD$3,$AD$3,INDEX(Kanban_Helper!$C$317:$C$328,MATCH(MONTH(G302),Kanban_Helper!$B$317:$B$328,0))&amp;" - "&amp;YEAR(G302)),"$AD$3")</f>
        <v>Not Set</v>
      </c>
      <c r="S302" s="125" t="str">
        <f>IFERROR(IF(I302=$AD$3,$AD$3,INDEX(Kanban_Helper!$C$317:$C$328,MATCH(MONTH(I302),Kanban_Helper!$B$317:$B$328,0))&amp;" - "&amp;YEAR(I302)),$AD$3)</f>
        <v>Not Set</v>
      </c>
      <c r="T302" s="125" t="str">
        <f t="shared" ca="1" si="46"/>
        <v/>
      </c>
      <c r="U302" s="125" t="str">
        <f t="shared" ca="1" si="47"/>
        <v/>
      </c>
      <c r="V302" s="125" t="str">
        <f t="shared" si="44"/>
        <v>Not Set</v>
      </c>
      <c r="W302" s="126" t="str">
        <f t="shared" si="48"/>
        <v/>
      </c>
      <c r="X302" s="126" t="str">
        <f t="shared" si="49"/>
        <v/>
      </c>
      <c r="Y302" s="125" t="str">
        <f>IFERROR(IF(LEN(D302)=0,"",IF(SUBTOTAL(3,E302:E302)=0,MIN($Y$7:Y301)-1,SUBTOTAL(3,$E$8:E302))),"")</f>
        <v/>
      </c>
      <c r="Z302" s="17"/>
      <c r="AA302" s="10"/>
      <c r="AB302" s="10"/>
      <c r="AC302" s="10"/>
      <c r="AD302" s="10"/>
      <c r="AE302" s="10"/>
      <c r="AF302" s="10"/>
      <c r="AG302" s="10"/>
      <c r="AH302" s="10"/>
      <c r="AI302" s="10"/>
      <c r="AJ302" s="10"/>
      <c r="AK302" s="10"/>
      <c r="AL302" s="10"/>
      <c r="AM302" s="10"/>
      <c r="AN302" s="10"/>
    </row>
    <row r="303" spans="2:40" hidden="1" x14ac:dyDescent="0.35">
      <c r="B303" s="15"/>
      <c r="C303" s="127" t="str">
        <f>IFERROR(IF(LEN(INDEX(Database!C$9:C$501,ROW(Calc!A303)-ROW(Calc!$B$7)))=0,"",INDEX(Database!C$9:C$501,ROW(Calc!A303)-ROW(Calc!$B$7))),"")</f>
        <v/>
      </c>
      <c r="D303" s="70" t="str">
        <f>IFERROR(IF(LEN(INDEX(Database!D$9:D$501,ROW(Calc!B303)-ROW(Calc!$B$7)))=0,"",INDEX(Database!D$9:D$501,ROW(Calc!B303)-ROW(Calc!$B$7))),"")</f>
        <v/>
      </c>
      <c r="E303" s="124" t="str">
        <f>IFERROR(IF(LEN(INDEX(Database!G$9:G$501,ROW(Calc!D303)-ROW(Calc!$B$7)))=0,$AD$3,INDEX(Database!G$9:G$501,ROW(Calc!D303)-ROW(Calc!$B$7))),"")</f>
        <v>Not Set</v>
      </c>
      <c r="F303" s="124" t="str">
        <f>IFERROR(IF(LEN(INDEX(Database!F$9:F$501,ROW(Calc!E303)-ROW(Calc!$B$7)))=0,$AD$3,INDEX(Database!F$9:F$501,ROW(Calc!E303)-ROW(Calc!$B$7))),"")</f>
        <v>Not Set</v>
      </c>
      <c r="G303" s="128" t="str">
        <f>IFERROR(IF(LEN(INDEX(Database!H$9:H$501,ROW(Calc!F303)-ROW(Calc!$B$7)))=0,$AD$3,INDEX(Database!H$9:H$501,ROW(Calc!F303)-ROW(Calc!$B$7))),"")</f>
        <v>Not Set</v>
      </c>
      <c r="H303" s="128" t="str">
        <f>IFERROR(IF(LEN(INDEX(Database!I$9:I$501,ROW(Calc!G303)-ROW(Calc!$B$7)))=0,$AD$3,INDEX(Database!I$9:I$501,ROW(Calc!G303)-ROW(Calc!$B$7))),"")</f>
        <v>Not Set</v>
      </c>
      <c r="I303" s="128" t="str">
        <f>IFERROR(IF(LEN(INDEX(Database!J$9:J$501,ROW(Calc!H303)-ROW(Calc!$B$7)))=0,$AD$3,INDEX(Database!J$9:J$501,ROW(Calc!H303)-ROW(Calc!$B$7))),"")</f>
        <v>Not Set</v>
      </c>
      <c r="J303" s="128" t="str">
        <f t="shared" si="41"/>
        <v>Not Set</v>
      </c>
      <c r="K303" s="124" t="str">
        <f>IFERROR(IF(LEN(INDEX(Database!E$9:E$501,ROW(Calc!I303)-ROW(Calc!$B$7)))=0,"",INDEX(Database!E$9:E$501,ROW(Calc!I303)-ROW(Calc!$B$7))),"")</f>
        <v/>
      </c>
      <c r="L303" s="129" t="str">
        <f>IFERROR(IF(LEN(INDEX(Database!K$9:K$501,ROW(Calc!K303)-ROW(Calc!$B$7)))=0,$AD$3,INDEX(Database!K$9:K$501,ROW(Calc!K303)-ROW(Calc!$B$7))),"")</f>
        <v>Not Set</v>
      </c>
      <c r="M303" s="130" t="str">
        <f>IFERROR(IF(LEN(INDEX(Database!L$9:L$501,ROW(Calc!L303)-ROW(Calc!$B$7)))=0,$AD$3,INDEX(Database!L$9:L$501,ROW(Calc!L303)-ROW(Calc!$B$7))),"")</f>
        <v>Not Set</v>
      </c>
      <c r="N303" s="131" t="str">
        <f>IFERROR(IF(LEN(INDEX(Database!M$9:M$501,ROW(Calc!M303)-ROW(Calc!$B$7)))=0,"",INDEX(Database!M$9:M$501,ROW(Calc!M303)-ROW(Calc!$B$7))),"")</f>
        <v/>
      </c>
      <c r="O303" s="132" t="str">
        <f t="shared" si="45"/>
        <v/>
      </c>
      <c r="P303" s="125" t="str">
        <f t="shared" si="42"/>
        <v>Not Set</v>
      </c>
      <c r="Q303" s="125" t="str">
        <f t="shared" si="43"/>
        <v>Not Set</v>
      </c>
      <c r="R303" s="125" t="str">
        <f>IFERROR(IF(G303=$AD$3,$AD$3,INDEX(Kanban_Helper!$C$317:$C$328,MATCH(MONTH(G303),Kanban_Helper!$B$317:$B$328,0))&amp;" - "&amp;YEAR(G303)),"$AD$3")</f>
        <v>Not Set</v>
      </c>
      <c r="S303" s="125" t="str">
        <f>IFERROR(IF(I303=$AD$3,$AD$3,INDEX(Kanban_Helper!$C$317:$C$328,MATCH(MONTH(I303),Kanban_Helper!$B$317:$B$328,0))&amp;" - "&amp;YEAR(I303)),$AD$3)</f>
        <v>Not Set</v>
      </c>
      <c r="T303" s="125" t="str">
        <f t="shared" ca="1" si="46"/>
        <v/>
      </c>
      <c r="U303" s="125" t="str">
        <f t="shared" ca="1" si="47"/>
        <v/>
      </c>
      <c r="V303" s="125" t="str">
        <f t="shared" si="44"/>
        <v>Not Set</v>
      </c>
      <c r="W303" s="126" t="str">
        <f t="shared" si="48"/>
        <v/>
      </c>
      <c r="X303" s="126" t="str">
        <f t="shared" si="49"/>
        <v/>
      </c>
      <c r="Y303" s="125" t="str">
        <f>IFERROR(IF(LEN(D303)=0,"",IF(SUBTOTAL(3,E303:E303)=0,MIN($Y$7:Y302)-1,SUBTOTAL(3,$E$8:E303))),"")</f>
        <v/>
      </c>
      <c r="Z303" s="17"/>
      <c r="AA303" s="10"/>
      <c r="AB303" s="10"/>
      <c r="AC303" s="10"/>
      <c r="AD303" s="10"/>
      <c r="AE303" s="10"/>
      <c r="AF303" s="10"/>
      <c r="AG303" s="10"/>
      <c r="AH303" s="10"/>
      <c r="AI303" s="10"/>
      <c r="AJ303" s="10"/>
      <c r="AK303" s="10"/>
      <c r="AL303" s="10"/>
      <c r="AM303" s="10"/>
      <c r="AN303" s="10"/>
    </row>
    <row r="304" spans="2:40" hidden="1" x14ac:dyDescent="0.35">
      <c r="B304" s="15"/>
      <c r="C304" s="127" t="str">
        <f>IFERROR(IF(LEN(INDEX(Database!C$9:C$501,ROW(Calc!A304)-ROW(Calc!$B$7)))=0,"",INDEX(Database!C$9:C$501,ROW(Calc!A304)-ROW(Calc!$B$7))),"")</f>
        <v/>
      </c>
      <c r="D304" s="70" t="str">
        <f>IFERROR(IF(LEN(INDEX(Database!D$9:D$501,ROW(Calc!B304)-ROW(Calc!$B$7)))=0,"",INDEX(Database!D$9:D$501,ROW(Calc!B304)-ROW(Calc!$B$7))),"")</f>
        <v/>
      </c>
      <c r="E304" s="124" t="str">
        <f>IFERROR(IF(LEN(INDEX(Database!G$9:G$501,ROW(Calc!D304)-ROW(Calc!$B$7)))=0,$AD$3,INDEX(Database!G$9:G$501,ROW(Calc!D304)-ROW(Calc!$B$7))),"")</f>
        <v>Not Set</v>
      </c>
      <c r="F304" s="124" t="str">
        <f>IFERROR(IF(LEN(INDEX(Database!F$9:F$501,ROW(Calc!E304)-ROW(Calc!$B$7)))=0,$AD$3,INDEX(Database!F$9:F$501,ROW(Calc!E304)-ROW(Calc!$B$7))),"")</f>
        <v>Not Set</v>
      </c>
      <c r="G304" s="128" t="str">
        <f>IFERROR(IF(LEN(INDEX(Database!H$9:H$501,ROW(Calc!F304)-ROW(Calc!$B$7)))=0,$AD$3,INDEX(Database!H$9:H$501,ROW(Calc!F304)-ROW(Calc!$B$7))),"")</f>
        <v>Not Set</v>
      </c>
      <c r="H304" s="128" t="str">
        <f>IFERROR(IF(LEN(INDEX(Database!I$9:I$501,ROW(Calc!G304)-ROW(Calc!$B$7)))=0,$AD$3,INDEX(Database!I$9:I$501,ROW(Calc!G304)-ROW(Calc!$B$7))),"")</f>
        <v>Not Set</v>
      </c>
      <c r="I304" s="128" t="str">
        <f>IFERROR(IF(LEN(INDEX(Database!J$9:J$501,ROW(Calc!H304)-ROW(Calc!$B$7)))=0,$AD$3,INDEX(Database!J$9:J$501,ROW(Calc!H304)-ROW(Calc!$B$7))),"")</f>
        <v>Not Set</v>
      </c>
      <c r="J304" s="128" t="str">
        <f t="shared" si="41"/>
        <v>Not Set</v>
      </c>
      <c r="K304" s="124" t="str">
        <f>IFERROR(IF(LEN(INDEX(Database!E$9:E$501,ROW(Calc!I304)-ROW(Calc!$B$7)))=0,"",INDEX(Database!E$9:E$501,ROW(Calc!I304)-ROW(Calc!$B$7))),"")</f>
        <v/>
      </c>
      <c r="L304" s="129" t="str">
        <f>IFERROR(IF(LEN(INDEX(Database!K$9:K$501,ROW(Calc!K304)-ROW(Calc!$B$7)))=0,$AD$3,INDEX(Database!K$9:K$501,ROW(Calc!K304)-ROW(Calc!$B$7))),"")</f>
        <v>Not Set</v>
      </c>
      <c r="M304" s="130" t="str">
        <f>IFERROR(IF(LEN(INDEX(Database!L$9:L$501,ROW(Calc!L304)-ROW(Calc!$B$7)))=0,$AD$3,INDEX(Database!L$9:L$501,ROW(Calc!L304)-ROW(Calc!$B$7))),"")</f>
        <v>Not Set</v>
      </c>
      <c r="N304" s="131" t="str">
        <f>IFERROR(IF(LEN(INDEX(Database!M$9:M$501,ROW(Calc!M304)-ROW(Calc!$B$7)))=0,"",INDEX(Database!M$9:M$501,ROW(Calc!M304)-ROW(Calc!$B$7))),"")</f>
        <v/>
      </c>
      <c r="O304" s="132" t="str">
        <f t="shared" si="45"/>
        <v/>
      </c>
      <c r="P304" s="125" t="str">
        <f t="shared" si="42"/>
        <v>Not Set</v>
      </c>
      <c r="Q304" s="125" t="str">
        <f t="shared" si="43"/>
        <v>Not Set</v>
      </c>
      <c r="R304" s="125" t="str">
        <f>IFERROR(IF(G304=$AD$3,$AD$3,INDEX(Kanban_Helper!$C$317:$C$328,MATCH(MONTH(G304),Kanban_Helper!$B$317:$B$328,0))&amp;" - "&amp;YEAR(G304)),"$AD$3")</f>
        <v>Not Set</v>
      </c>
      <c r="S304" s="125" t="str">
        <f>IFERROR(IF(I304=$AD$3,$AD$3,INDEX(Kanban_Helper!$C$317:$C$328,MATCH(MONTH(I304),Kanban_Helper!$B$317:$B$328,0))&amp;" - "&amp;YEAR(I304)),$AD$3)</f>
        <v>Not Set</v>
      </c>
      <c r="T304" s="125" t="str">
        <f t="shared" ca="1" si="46"/>
        <v/>
      </c>
      <c r="U304" s="125" t="str">
        <f t="shared" ca="1" si="47"/>
        <v/>
      </c>
      <c r="V304" s="125" t="str">
        <f t="shared" si="44"/>
        <v>Not Set</v>
      </c>
      <c r="W304" s="126" t="str">
        <f t="shared" si="48"/>
        <v/>
      </c>
      <c r="X304" s="126" t="str">
        <f t="shared" si="49"/>
        <v/>
      </c>
      <c r="Y304" s="125" t="str">
        <f>IFERROR(IF(LEN(D304)=0,"",IF(SUBTOTAL(3,E304:E304)=0,MIN($Y$7:Y303)-1,SUBTOTAL(3,$E$8:E304))),"")</f>
        <v/>
      </c>
      <c r="Z304" s="17"/>
      <c r="AA304" s="10"/>
      <c r="AB304" s="10"/>
      <c r="AC304" s="10"/>
      <c r="AD304" s="10"/>
      <c r="AE304" s="10"/>
      <c r="AF304" s="10"/>
      <c r="AG304" s="10"/>
      <c r="AH304" s="10"/>
      <c r="AI304" s="10"/>
      <c r="AJ304" s="10"/>
      <c r="AK304" s="10"/>
      <c r="AL304" s="10"/>
      <c r="AM304" s="10"/>
      <c r="AN304" s="10"/>
    </row>
    <row r="305" spans="2:40" hidden="1" x14ac:dyDescent="0.35">
      <c r="B305" s="15"/>
      <c r="C305" s="127" t="str">
        <f>IFERROR(IF(LEN(INDEX(Database!C$9:C$501,ROW(Calc!A305)-ROW(Calc!$B$7)))=0,"",INDEX(Database!C$9:C$501,ROW(Calc!A305)-ROW(Calc!$B$7))),"")</f>
        <v/>
      </c>
      <c r="D305" s="70" t="str">
        <f>IFERROR(IF(LEN(INDEX(Database!D$9:D$501,ROW(Calc!B305)-ROW(Calc!$B$7)))=0,"",INDEX(Database!D$9:D$501,ROW(Calc!B305)-ROW(Calc!$B$7))),"")</f>
        <v/>
      </c>
      <c r="E305" s="124" t="str">
        <f>IFERROR(IF(LEN(INDEX(Database!G$9:G$501,ROW(Calc!D305)-ROW(Calc!$B$7)))=0,$AD$3,INDEX(Database!G$9:G$501,ROW(Calc!D305)-ROW(Calc!$B$7))),"")</f>
        <v>Not Set</v>
      </c>
      <c r="F305" s="124" t="str">
        <f>IFERROR(IF(LEN(INDEX(Database!F$9:F$501,ROW(Calc!E305)-ROW(Calc!$B$7)))=0,$AD$3,INDEX(Database!F$9:F$501,ROW(Calc!E305)-ROW(Calc!$B$7))),"")</f>
        <v>Not Set</v>
      </c>
      <c r="G305" s="128" t="str">
        <f>IFERROR(IF(LEN(INDEX(Database!H$9:H$501,ROW(Calc!F305)-ROW(Calc!$B$7)))=0,$AD$3,INDEX(Database!H$9:H$501,ROW(Calc!F305)-ROW(Calc!$B$7))),"")</f>
        <v>Not Set</v>
      </c>
      <c r="H305" s="128" t="str">
        <f>IFERROR(IF(LEN(INDEX(Database!I$9:I$501,ROW(Calc!G305)-ROW(Calc!$B$7)))=0,$AD$3,INDEX(Database!I$9:I$501,ROW(Calc!G305)-ROW(Calc!$B$7))),"")</f>
        <v>Not Set</v>
      </c>
      <c r="I305" s="128" t="str">
        <f>IFERROR(IF(LEN(INDEX(Database!J$9:J$501,ROW(Calc!H305)-ROW(Calc!$B$7)))=0,$AD$3,INDEX(Database!J$9:J$501,ROW(Calc!H305)-ROW(Calc!$B$7))),"")</f>
        <v>Not Set</v>
      </c>
      <c r="J305" s="128" t="str">
        <f t="shared" si="41"/>
        <v>Not Set</v>
      </c>
      <c r="K305" s="124" t="str">
        <f>IFERROR(IF(LEN(INDEX(Database!E$9:E$501,ROW(Calc!I305)-ROW(Calc!$B$7)))=0,"",INDEX(Database!E$9:E$501,ROW(Calc!I305)-ROW(Calc!$B$7))),"")</f>
        <v/>
      </c>
      <c r="L305" s="129" t="str">
        <f>IFERROR(IF(LEN(INDEX(Database!K$9:K$501,ROW(Calc!K305)-ROW(Calc!$B$7)))=0,$AD$3,INDEX(Database!K$9:K$501,ROW(Calc!K305)-ROW(Calc!$B$7))),"")</f>
        <v>Not Set</v>
      </c>
      <c r="M305" s="130" t="str">
        <f>IFERROR(IF(LEN(INDEX(Database!L$9:L$501,ROW(Calc!L305)-ROW(Calc!$B$7)))=0,$AD$3,INDEX(Database!L$9:L$501,ROW(Calc!L305)-ROW(Calc!$B$7))),"")</f>
        <v>Not Set</v>
      </c>
      <c r="N305" s="131" t="str">
        <f>IFERROR(IF(LEN(INDEX(Database!M$9:M$501,ROW(Calc!M305)-ROW(Calc!$B$7)))=0,"",INDEX(Database!M$9:M$501,ROW(Calc!M305)-ROW(Calc!$B$7))),"")</f>
        <v/>
      </c>
      <c r="O305" s="132" t="str">
        <f t="shared" si="45"/>
        <v/>
      </c>
      <c r="P305" s="125" t="str">
        <f t="shared" si="42"/>
        <v>Not Set</v>
      </c>
      <c r="Q305" s="125" t="str">
        <f t="shared" si="43"/>
        <v>Not Set</v>
      </c>
      <c r="R305" s="125" t="str">
        <f>IFERROR(IF(G305=$AD$3,$AD$3,INDEX(Kanban_Helper!$C$317:$C$328,MATCH(MONTH(G305),Kanban_Helper!$B$317:$B$328,0))&amp;" - "&amp;YEAR(G305)),"$AD$3")</f>
        <v>Not Set</v>
      </c>
      <c r="S305" s="125" t="str">
        <f>IFERROR(IF(I305=$AD$3,$AD$3,INDEX(Kanban_Helper!$C$317:$C$328,MATCH(MONTH(I305),Kanban_Helper!$B$317:$B$328,0))&amp;" - "&amp;YEAR(I305)),$AD$3)</f>
        <v>Not Set</v>
      </c>
      <c r="T305" s="125" t="str">
        <f t="shared" ca="1" si="46"/>
        <v/>
      </c>
      <c r="U305" s="125" t="str">
        <f t="shared" ca="1" si="47"/>
        <v/>
      </c>
      <c r="V305" s="125" t="str">
        <f t="shared" si="44"/>
        <v>Not Set</v>
      </c>
      <c r="W305" s="126" t="str">
        <f t="shared" si="48"/>
        <v/>
      </c>
      <c r="X305" s="126" t="str">
        <f t="shared" si="49"/>
        <v/>
      </c>
      <c r="Y305" s="125" t="str">
        <f>IFERROR(IF(LEN(D305)=0,"",IF(SUBTOTAL(3,E305:E305)=0,MIN($Y$7:Y304)-1,SUBTOTAL(3,$E$8:E305))),"")</f>
        <v/>
      </c>
      <c r="Z305" s="17"/>
      <c r="AA305" s="10"/>
      <c r="AB305" s="10"/>
      <c r="AC305" s="10"/>
      <c r="AD305" s="10"/>
      <c r="AE305" s="10"/>
      <c r="AF305" s="10"/>
      <c r="AG305" s="10"/>
      <c r="AH305" s="10"/>
      <c r="AI305" s="10"/>
      <c r="AJ305" s="10"/>
      <c r="AK305" s="10"/>
      <c r="AL305" s="10"/>
      <c r="AM305" s="10"/>
      <c r="AN305" s="10"/>
    </row>
    <row r="306" spans="2:40" hidden="1" x14ac:dyDescent="0.35">
      <c r="B306" s="15"/>
      <c r="C306" s="127" t="str">
        <f>IFERROR(IF(LEN(INDEX(Database!C$9:C$501,ROW(Calc!A306)-ROW(Calc!$B$7)))=0,"",INDEX(Database!C$9:C$501,ROW(Calc!A306)-ROW(Calc!$B$7))),"")</f>
        <v/>
      </c>
      <c r="D306" s="70" t="str">
        <f>IFERROR(IF(LEN(INDEX(Database!D$9:D$501,ROW(Calc!B306)-ROW(Calc!$B$7)))=0,"",INDEX(Database!D$9:D$501,ROW(Calc!B306)-ROW(Calc!$B$7))),"")</f>
        <v/>
      </c>
      <c r="E306" s="124" t="str">
        <f>IFERROR(IF(LEN(INDEX(Database!G$9:G$501,ROW(Calc!D306)-ROW(Calc!$B$7)))=0,$AD$3,INDEX(Database!G$9:G$501,ROW(Calc!D306)-ROW(Calc!$B$7))),"")</f>
        <v>Not Set</v>
      </c>
      <c r="F306" s="124" t="str">
        <f>IFERROR(IF(LEN(INDEX(Database!F$9:F$501,ROW(Calc!E306)-ROW(Calc!$B$7)))=0,$AD$3,INDEX(Database!F$9:F$501,ROW(Calc!E306)-ROW(Calc!$B$7))),"")</f>
        <v>Not Set</v>
      </c>
      <c r="G306" s="128" t="str">
        <f>IFERROR(IF(LEN(INDEX(Database!H$9:H$501,ROW(Calc!F306)-ROW(Calc!$B$7)))=0,$AD$3,INDEX(Database!H$9:H$501,ROW(Calc!F306)-ROW(Calc!$B$7))),"")</f>
        <v>Not Set</v>
      </c>
      <c r="H306" s="128" t="str">
        <f>IFERROR(IF(LEN(INDEX(Database!I$9:I$501,ROW(Calc!G306)-ROW(Calc!$B$7)))=0,$AD$3,INDEX(Database!I$9:I$501,ROW(Calc!G306)-ROW(Calc!$B$7))),"")</f>
        <v>Not Set</v>
      </c>
      <c r="I306" s="128" t="str">
        <f>IFERROR(IF(LEN(INDEX(Database!J$9:J$501,ROW(Calc!H306)-ROW(Calc!$B$7)))=0,$AD$3,INDEX(Database!J$9:J$501,ROW(Calc!H306)-ROW(Calc!$B$7))),"")</f>
        <v>Not Set</v>
      </c>
      <c r="J306" s="128" t="str">
        <f t="shared" si="41"/>
        <v>Not Set</v>
      </c>
      <c r="K306" s="124" t="str">
        <f>IFERROR(IF(LEN(INDEX(Database!E$9:E$501,ROW(Calc!I306)-ROW(Calc!$B$7)))=0,"",INDEX(Database!E$9:E$501,ROW(Calc!I306)-ROW(Calc!$B$7))),"")</f>
        <v/>
      </c>
      <c r="L306" s="129" t="str">
        <f>IFERROR(IF(LEN(INDEX(Database!K$9:K$501,ROW(Calc!K306)-ROW(Calc!$B$7)))=0,$AD$3,INDEX(Database!K$9:K$501,ROW(Calc!K306)-ROW(Calc!$B$7))),"")</f>
        <v>Not Set</v>
      </c>
      <c r="M306" s="130" t="str">
        <f>IFERROR(IF(LEN(INDEX(Database!L$9:L$501,ROW(Calc!L306)-ROW(Calc!$B$7)))=0,$AD$3,INDEX(Database!L$9:L$501,ROW(Calc!L306)-ROW(Calc!$B$7))),"")</f>
        <v>Not Set</v>
      </c>
      <c r="N306" s="131" t="str">
        <f>IFERROR(IF(LEN(INDEX(Database!M$9:M$501,ROW(Calc!M306)-ROW(Calc!$B$7)))=0,"",INDEX(Database!M$9:M$501,ROW(Calc!M306)-ROW(Calc!$B$7))),"")</f>
        <v/>
      </c>
      <c r="O306" s="132" t="str">
        <f t="shared" si="45"/>
        <v/>
      </c>
      <c r="P306" s="125" t="str">
        <f t="shared" si="42"/>
        <v>Not Set</v>
      </c>
      <c r="Q306" s="125" t="str">
        <f t="shared" si="43"/>
        <v>Not Set</v>
      </c>
      <c r="R306" s="125" t="str">
        <f>IFERROR(IF(G306=$AD$3,$AD$3,INDEX(Kanban_Helper!$C$317:$C$328,MATCH(MONTH(G306),Kanban_Helper!$B$317:$B$328,0))&amp;" - "&amp;YEAR(G306)),"$AD$3")</f>
        <v>Not Set</v>
      </c>
      <c r="S306" s="125" t="str">
        <f>IFERROR(IF(I306=$AD$3,$AD$3,INDEX(Kanban_Helper!$C$317:$C$328,MATCH(MONTH(I306),Kanban_Helper!$B$317:$B$328,0))&amp;" - "&amp;YEAR(I306)),$AD$3)</f>
        <v>Not Set</v>
      </c>
      <c r="T306" s="125" t="str">
        <f t="shared" ca="1" si="46"/>
        <v/>
      </c>
      <c r="U306" s="125" t="str">
        <f t="shared" ca="1" si="47"/>
        <v/>
      </c>
      <c r="V306" s="125" t="str">
        <f t="shared" si="44"/>
        <v>Not Set</v>
      </c>
      <c r="W306" s="126" t="str">
        <f t="shared" si="48"/>
        <v/>
      </c>
      <c r="X306" s="126" t="str">
        <f t="shared" si="49"/>
        <v/>
      </c>
      <c r="Y306" s="125" t="str">
        <f>IFERROR(IF(LEN(D306)=0,"",IF(SUBTOTAL(3,E306:E306)=0,MIN($Y$7:Y305)-1,SUBTOTAL(3,$E$8:E306))),"")</f>
        <v/>
      </c>
      <c r="Z306" s="17"/>
      <c r="AA306" s="10"/>
      <c r="AB306" s="10"/>
      <c r="AC306" s="10"/>
      <c r="AD306" s="10"/>
      <c r="AE306" s="10"/>
      <c r="AF306" s="10"/>
      <c r="AG306" s="10"/>
      <c r="AH306" s="10"/>
      <c r="AI306" s="10"/>
      <c r="AJ306" s="10"/>
      <c r="AK306" s="10"/>
      <c r="AL306" s="10"/>
      <c r="AM306" s="10"/>
      <c r="AN306" s="10"/>
    </row>
    <row r="307" spans="2:40" hidden="1" x14ac:dyDescent="0.35">
      <c r="B307" s="15"/>
      <c r="C307" s="127" t="str">
        <f>IFERROR(IF(LEN(INDEX(Database!C$9:C$501,ROW(Calc!A307)-ROW(Calc!$B$7)))=0,"",INDEX(Database!C$9:C$501,ROW(Calc!A307)-ROW(Calc!$B$7))),"")</f>
        <v/>
      </c>
      <c r="D307" s="70" t="str">
        <f>IFERROR(IF(LEN(INDEX(Database!D$9:D$501,ROW(Calc!B307)-ROW(Calc!$B$7)))=0,"",INDEX(Database!D$9:D$501,ROW(Calc!B307)-ROW(Calc!$B$7))),"")</f>
        <v/>
      </c>
      <c r="E307" s="124" t="str">
        <f>IFERROR(IF(LEN(INDEX(Database!G$9:G$501,ROW(Calc!D307)-ROW(Calc!$B$7)))=0,$AD$3,INDEX(Database!G$9:G$501,ROW(Calc!D307)-ROW(Calc!$B$7))),"")</f>
        <v>Not Set</v>
      </c>
      <c r="F307" s="124" t="str">
        <f>IFERROR(IF(LEN(INDEX(Database!F$9:F$501,ROW(Calc!E307)-ROW(Calc!$B$7)))=0,$AD$3,INDEX(Database!F$9:F$501,ROW(Calc!E307)-ROW(Calc!$B$7))),"")</f>
        <v>Not Set</v>
      </c>
      <c r="G307" s="128" t="str">
        <f>IFERROR(IF(LEN(INDEX(Database!H$9:H$501,ROW(Calc!F307)-ROW(Calc!$B$7)))=0,$AD$3,INDEX(Database!H$9:H$501,ROW(Calc!F307)-ROW(Calc!$B$7))),"")</f>
        <v>Not Set</v>
      </c>
      <c r="H307" s="128" t="str">
        <f>IFERROR(IF(LEN(INDEX(Database!I$9:I$501,ROW(Calc!G307)-ROW(Calc!$B$7)))=0,$AD$3,INDEX(Database!I$9:I$501,ROW(Calc!G307)-ROW(Calc!$B$7))),"")</f>
        <v>Not Set</v>
      </c>
      <c r="I307" s="128" t="str">
        <f>IFERROR(IF(LEN(INDEX(Database!J$9:J$501,ROW(Calc!H307)-ROW(Calc!$B$7)))=0,$AD$3,INDEX(Database!J$9:J$501,ROW(Calc!H307)-ROW(Calc!$B$7))),"")</f>
        <v>Not Set</v>
      </c>
      <c r="J307" s="128" t="str">
        <f t="shared" si="41"/>
        <v>Not Set</v>
      </c>
      <c r="K307" s="124" t="str">
        <f>IFERROR(IF(LEN(INDEX(Database!E$9:E$501,ROW(Calc!I307)-ROW(Calc!$B$7)))=0,"",INDEX(Database!E$9:E$501,ROW(Calc!I307)-ROW(Calc!$B$7))),"")</f>
        <v/>
      </c>
      <c r="L307" s="129" t="str">
        <f>IFERROR(IF(LEN(INDEX(Database!K$9:K$501,ROW(Calc!K307)-ROW(Calc!$B$7)))=0,$AD$3,INDEX(Database!K$9:K$501,ROW(Calc!K307)-ROW(Calc!$B$7))),"")</f>
        <v>Not Set</v>
      </c>
      <c r="M307" s="130" t="str">
        <f>IFERROR(IF(LEN(INDEX(Database!L$9:L$501,ROW(Calc!L307)-ROW(Calc!$B$7)))=0,$AD$3,INDEX(Database!L$9:L$501,ROW(Calc!L307)-ROW(Calc!$B$7))),"")</f>
        <v>Not Set</v>
      </c>
      <c r="N307" s="131" t="str">
        <f>IFERROR(IF(LEN(INDEX(Database!M$9:M$501,ROW(Calc!M307)-ROW(Calc!$B$7)))=0,"",INDEX(Database!M$9:M$501,ROW(Calc!M307)-ROW(Calc!$B$7))),"")</f>
        <v/>
      </c>
      <c r="O307" s="132" t="str">
        <f t="shared" si="45"/>
        <v/>
      </c>
      <c r="P307" s="125" t="str">
        <f t="shared" si="42"/>
        <v>Not Set</v>
      </c>
      <c r="Q307" s="125" t="str">
        <f t="shared" si="43"/>
        <v>Not Set</v>
      </c>
      <c r="R307" s="125" t="str">
        <f>IFERROR(IF(G307=$AD$3,$AD$3,INDEX(Kanban_Helper!$C$317:$C$328,MATCH(MONTH(G307),Kanban_Helper!$B$317:$B$328,0))&amp;" - "&amp;YEAR(G307)),"$AD$3")</f>
        <v>Not Set</v>
      </c>
      <c r="S307" s="125" t="str">
        <f>IFERROR(IF(I307=$AD$3,$AD$3,INDEX(Kanban_Helper!$C$317:$C$328,MATCH(MONTH(I307),Kanban_Helper!$B$317:$B$328,0))&amp;" - "&amp;YEAR(I307)),$AD$3)</f>
        <v>Not Set</v>
      </c>
      <c r="T307" s="125" t="str">
        <f t="shared" ca="1" si="46"/>
        <v/>
      </c>
      <c r="U307" s="125" t="str">
        <f t="shared" ca="1" si="47"/>
        <v/>
      </c>
      <c r="V307" s="125" t="str">
        <f t="shared" si="44"/>
        <v>Not Set</v>
      </c>
      <c r="W307" s="126" t="str">
        <f t="shared" si="48"/>
        <v/>
      </c>
      <c r="X307" s="126" t="str">
        <f t="shared" si="49"/>
        <v/>
      </c>
      <c r="Y307" s="125" t="str">
        <f>IFERROR(IF(LEN(D307)=0,"",IF(SUBTOTAL(3,E307:E307)=0,MIN($Y$7:Y306)-1,SUBTOTAL(3,$E$8:E307))),"")</f>
        <v/>
      </c>
      <c r="Z307" s="17"/>
      <c r="AA307" s="10"/>
      <c r="AB307" s="10"/>
      <c r="AC307" s="10"/>
      <c r="AD307" s="10"/>
      <c r="AE307" s="10"/>
      <c r="AF307" s="10"/>
      <c r="AG307" s="10"/>
      <c r="AH307" s="10"/>
      <c r="AI307" s="10"/>
      <c r="AJ307" s="10"/>
      <c r="AK307" s="10"/>
      <c r="AL307" s="10"/>
      <c r="AM307" s="10"/>
      <c r="AN307" s="10"/>
    </row>
    <row r="308" spans="2:40" hidden="1" x14ac:dyDescent="0.35">
      <c r="B308" s="15"/>
      <c r="C308" s="127" t="str">
        <f>IFERROR(IF(LEN(INDEX(Database!C$9:C$501,ROW(Calc!A308)-ROW(Calc!$B$7)))=0,"",INDEX(Database!C$9:C$501,ROW(Calc!A308)-ROW(Calc!$B$7))),"")</f>
        <v/>
      </c>
      <c r="D308" s="70" t="str">
        <f>IFERROR(IF(LEN(INDEX(Database!D$9:D$501,ROW(Calc!B308)-ROW(Calc!$B$7)))=0,"",INDEX(Database!D$9:D$501,ROW(Calc!B308)-ROW(Calc!$B$7))),"")</f>
        <v/>
      </c>
      <c r="E308" s="124" t="str">
        <f>IFERROR(IF(LEN(INDEX(Database!G$9:G$501,ROW(Calc!D308)-ROW(Calc!$B$7)))=0,$AD$3,INDEX(Database!G$9:G$501,ROW(Calc!D308)-ROW(Calc!$B$7))),"")</f>
        <v>Not Set</v>
      </c>
      <c r="F308" s="124" t="str">
        <f>IFERROR(IF(LEN(INDEX(Database!F$9:F$501,ROW(Calc!E308)-ROW(Calc!$B$7)))=0,$AD$3,INDEX(Database!F$9:F$501,ROW(Calc!E308)-ROW(Calc!$B$7))),"")</f>
        <v>Not Set</v>
      </c>
      <c r="G308" s="128" t="str">
        <f>IFERROR(IF(LEN(INDEX(Database!H$9:H$501,ROW(Calc!F308)-ROW(Calc!$B$7)))=0,$AD$3,INDEX(Database!H$9:H$501,ROW(Calc!F308)-ROW(Calc!$B$7))),"")</f>
        <v>Not Set</v>
      </c>
      <c r="H308" s="128" t="str">
        <f>IFERROR(IF(LEN(INDEX(Database!I$9:I$501,ROW(Calc!G308)-ROW(Calc!$B$7)))=0,$AD$3,INDEX(Database!I$9:I$501,ROW(Calc!G308)-ROW(Calc!$B$7))),"")</f>
        <v>Not Set</v>
      </c>
      <c r="I308" s="128" t="str">
        <f>IFERROR(IF(LEN(INDEX(Database!J$9:J$501,ROW(Calc!H308)-ROW(Calc!$B$7)))=0,$AD$3,INDEX(Database!J$9:J$501,ROW(Calc!H308)-ROW(Calc!$B$7))),"")</f>
        <v>Not Set</v>
      </c>
      <c r="J308" s="128" t="str">
        <f t="shared" si="41"/>
        <v>Not Set</v>
      </c>
      <c r="K308" s="124" t="str">
        <f>IFERROR(IF(LEN(INDEX(Database!E$9:E$501,ROW(Calc!I308)-ROW(Calc!$B$7)))=0,"",INDEX(Database!E$9:E$501,ROW(Calc!I308)-ROW(Calc!$B$7))),"")</f>
        <v/>
      </c>
      <c r="L308" s="129" t="str">
        <f>IFERROR(IF(LEN(INDEX(Database!K$9:K$501,ROW(Calc!K308)-ROW(Calc!$B$7)))=0,$AD$3,INDEX(Database!K$9:K$501,ROW(Calc!K308)-ROW(Calc!$B$7))),"")</f>
        <v>Not Set</v>
      </c>
      <c r="M308" s="130" t="str">
        <f>IFERROR(IF(LEN(INDEX(Database!L$9:L$501,ROW(Calc!L308)-ROW(Calc!$B$7)))=0,$AD$3,INDEX(Database!L$9:L$501,ROW(Calc!L308)-ROW(Calc!$B$7))),"")</f>
        <v>Not Set</v>
      </c>
      <c r="N308" s="131" t="str">
        <f>IFERROR(IF(LEN(INDEX(Database!M$9:M$501,ROW(Calc!M308)-ROW(Calc!$B$7)))=0,"",INDEX(Database!M$9:M$501,ROW(Calc!M308)-ROW(Calc!$B$7))),"")</f>
        <v/>
      </c>
      <c r="O308" s="132" t="str">
        <f t="shared" si="45"/>
        <v/>
      </c>
      <c r="P308" s="125" t="str">
        <f t="shared" si="42"/>
        <v>Not Set</v>
      </c>
      <c r="Q308" s="125" t="str">
        <f t="shared" si="43"/>
        <v>Not Set</v>
      </c>
      <c r="R308" s="125" t="str">
        <f>IFERROR(IF(G308=$AD$3,$AD$3,INDEX(Kanban_Helper!$C$317:$C$328,MATCH(MONTH(G308),Kanban_Helper!$B$317:$B$328,0))&amp;" - "&amp;YEAR(G308)),"$AD$3")</f>
        <v>Not Set</v>
      </c>
      <c r="S308" s="125" t="str">
        <f>IFERROR(IF(I308=$AD$3,$AD$3,INDEX(Kanban_Helper!$C$317:$C$328,MATCH(MONTH(I308),Kanban_Helper!$B$317:$B$328,0))&amp;" - "&amp;YEAR(I308)),$AD$3)</f>
        <v>Not Set</v>
      </c>
      <c r="T308" s="125" t="str">
        <f t="shared" ca="1" si="46"/>
        <v/>
      </c>
      <c r="U308" s="125" t="str">
        <f t="shared" ca="1" si="47"/>
        <v/>
      </c>
      <c r="V308" s="125" t="str">
        <f t="shared" si="44"/>
        <v>Not Set</v>
      </c>
      <c r="W308" s="126" t="str">
        <f t="shared" si="48"/>
        <v/>
      </c>
      <c r="X308" s="126" t="str">
        <f t="shared" si="49"/>
        <v/>
      </c>
      <c r="Y308" s="125" t="str">
        <f>IFERROR(IF(LEN(D308)=0,"",IF(SUBTOTAL(3,E308:E308)=0,MIN($Y$7:Y307)-1,SUBTOTAL(3,$E$8:E308))),"")</f>
        <v/>
      </c>
      <c r="Z308" s="17"/>
      <c r="AA308" s="10"/>
      <c r="AB308" s="10"/>
      <c r="AC308" s="10"/>
      <c r="AD308" s="10"/>
      <c r="AE308" s="10"/>
      <c r="AF308" s="10"/>
      <c r="AG308" s="10"/>
      <c r="AH308" s="10"/>
      <c r="AI308" s="10"/>
      <c r="AJ308" s="10"/>
      <c r="AK308" s="10"/>
      <c r="AL308" s="10"/>
      <c r="AM308" s="10"/>
      <c r="AN308" s="10"/>
    </row>
    <row r="309" spans="2:40" hidden="1" x14ac:dyDescent="0.35">
      <c r="B309" s="15"/>
      <c r="C309" s="127" t="str">
        <f>IFERROR(IF(LEN(INDEX(Database!C$9:C$501,ROW(Calc!A309)-ROW(Calc!$B$7)))=0,"",INDEX(Database!C$9:C$501,ROW(Calc!A309)-ROW(Calc!$B$7))),"")</f>
        <v/>
      </c>
      <c r="D309" s="70" t="str">
        <f>IFERROR(IF(LEN(INDEX(Database!D$9:D$501,ROW(Calc!B309)-ROW(Calc!$B$7)))=0,"",INDEX(Database!D$9:D$501,ROW(Calc!B309)-ROW(Calc!$B$7))),"")</f>
        <v/>
      </c>
      <c r="E309" s="124" t="str">
        <f>IFERROR(IF(LEN(INDEX(Database!G$9:G$501,ROW(Calc!D309)-ROW(Calc!$B$7)))=0,$AD$3,INDEX(Database!G$9:G$501,ROW(Calc!D309)-ROW(Calc!$B$7))),"")</f>
        <v>Not Set</v>
      </c>
      <c r="F309" s="124" t="str">
        <f>IFERROR(IF(LEN(INDEX(Database!F$9:F$501,ROW(Calc!E309)-ROW(Calc!$B$7)))=0,$AD$3,INDEX(Database!F$9:F$501,ROW(Calc!E309)-ROW(Calc!$B$7))),"")</f>
        <v>Not Set</v>
      </c>
      <c r="G309" s="128" t="str">
        <f>IFERROR(IF(LEN(INDEX(Database!H$9:H$501,ROW(Calc!F309)-ROW(Calc!$B$7)))=0,$AD$3,INDEX(Database!H$9:H$501,ROW(Calc!F309)-ROW(Calc!$B$7))),"")</f>
        <v>Not Set</v>
      </c>
      <c r="H309" s="128" t="str">
        <f>IFERROR(IF(LEN(INDEX(Database!I$9:I$501,ROW(Calc!G309)-ROW(Calc!$B$7)))=0,$AD$3,INDEX(Database!I$9:I$501,ROW(Calc!G309)-ROW(Calc!$B$7))),"")</f>
        <v>Not Set</v>
      </c>
      <c r="I309" s="128" t="str">
        <f>IFERROR(IF(LEN(INDEX(Database!J$9:J$501,ROW(Calc!H309)-ROW(Calc!$B$7)))=0,$AD$3,INDEX(Database!J$9:J$501,ROW(Calc!H309)-ROW(Calc!$B$7))),"")</f>
        <v>Not Set</v>
      </c>
      <c r="J309" s="128" t="str">
        <f t="shared" si="41"/>
        <v>Not Set</v>
      </c>
      <c r="K309" s="124" t="str">
        <f>IFERROR(IF(LEN(INDEX(Database!E$9:E$501,ROW(Calc!I309)-ROW(Calc!$B$7)))=0,"",INDEX(Database!E$9:E$501,ROW(Calc!I309)-ROW(Calc!$B$7))),"")</f>
        <v/>
      </c>
      <c r="L309" s="129" t="str">
        <f>IFERROR(IF(LEN(INDEX(Database!K$9:K$501,ROW(Calc!K309)-ROW(Calc!$B$7)))=0,$AD$3,INDEX(Database!K$9:K$501,ROW(Calc!K309)-ROW(Calc!$B$7))),"")</f>
        <v>Not Set</v>
      </c>
      <c r="M309" s="130" t="str">
        <f>IFERROR(IF(LEN(INDEX(Database!L$9:L$501,ROW(Calc!L309)-ROW(Calc!$B$7)))=0,$AD$3,INDEX(Database!L$9:L$501,ROW(Calc!L309)-ROW(Calc!$B$7))),"")</f>
        <v>Not Set</v>
      </c>
      <c r="N309" s="131" t="str">
        <f>IFERROR(IF(LEN(INDEX(Database!M$9:M$501,ROW(Calc!M309)-ROW(Calc!$B$7)))=0,"",INDEX(Database!M$9:M$501,ROW(Calc!M309)-ROW(Calc!$B$7))),"")</f>
        <v/>
      </c>
      <c r="O309" s="132" t="str">
        <f t="shared" si="45"/>
        <v/>
      </c>
      <c r="P309" s="125" t="str">
        <f t="shared" si="42"/>
        <v>Not Set</v>
      </c>
      <c r="Q309" s="125" t="str">
        <f t="shared" si="43"/>
        <v>Not Set</v>
      </c>
      <c r="R309" s="125" t="str">
        <f>IFERROR(IF(G309=$AD$3,$AD$3,INDEX(Kanban_Helper!$C$317:$C$328,MATCH(MONTH(G309),Kanban_Helper!$B$317:$B$328,0))&amp;" - "&amp;YEAR(G309)),"$AD$3")</f>
        <v>Not Set</v>
      </c>
      <c r="S309" s="125" t="str">
        <f>IFERROR(IF(I309=$AD$3,$AD$3,INDEX(Kanban_Helper!$C$317:$C$328,MATCH(MONTH(I309),Kanban_Helper!$B$317:$B$328,0))&amp;" - "&amp;YEAR(I309)),$AD$3)</f>
        <v>Not Set</v>
      </c>
      <c r="T309" s="125" t="str">
        <f t="shared" ca="1" si="46"/>
        <v/>
      </c>
      <c r="U309" s="125" t="str">
        <f t="shared" ca="1" si="47"/>
        <v/>
      </c>
      <c r="V309" s="125" t="str">
        <f t="shared" si="44"/>
        <v>Not Set</v>
      </c>
      <c r="W309" s="126" t="str">
        <f t="shared" si="48"/>
        <v/>
      </c>
      <c r="X309" s="126" t="str">
        <f t="shared" si="49"/>
        <v/>
      </c>
      <c r="Y309" s="125" t="str">
        <f>IFERROR(IF(LEN(D309)=0,"",IF(SUBTOTAL(3,E309:E309)=0,MIN($Y$7:Y308)-1,SUBTOTAL(3,$E$8:E309))),"")</f>
        <v/>
      </c>
      <c r="Z309" s="17"/>
      <c r="AA309" s="10"/>
      <c r="AB309" s="10"/>
      <c r="AC309" s="10"/>
      <c r="AD309" s="10"/>
      <c r="AE309" s="10"/>
      <c r="AF309" s="10"/>
      <c r="AG309" s="10"/>
      <c r="AH309" s="10"/>
      <c r="AI309" s="10"/>
      <c r="AJ309" s="10"/>
      <c r="AK309" s="10"/>
      <c r="AL309" s="10"/>
      <c r="AM309" s="10"/>
      <c r="AN309" s="10"/>
    </row>
    <row r="310" spans="2:40" hidden="1" x14ac:dyDescent="0.35">
      <c r="B310" s="15"/>
      <c r="C310" s="127" t="str">
        <f>IFERROR(IF(LEN(INDEX(Database!C$9:C$501,ROW(Calc!A310)-ROW(Calc!$B$7)))=0,"",INDEX(Database!C$9:C$501,ROW(Calc!A310)-ROW(Calc!$B$7))),"")</f>
        <v/>
      </c>
      <c r="D310" s="70" t="str">
        <f>IFERROR(IF(LEN(INDEX(Database!D$9:D$501,ROW(Calc!B310)-ROW(Calc!$B$7)))=0,"",INDEX(Database!D$9:D$501,ROW(Calc!B310)-ROW(Calc!$B$7))),"")</f>
        <v/>
      </c>
      <c r="E310" s="124" t="str">
        <f>IFERROR(IF(LEN(INDEX(Database!G$9:G$501,ROW(Calc!D310)-ROW(Calc!$B$7)))=0,$AD$3,INDEX(Database!G$9:G$501,ROW(Calc!D310)-ROW(Calc!$B$7))),"")</f>
        <v>Not Set</v>
      </c>
      <c r="F310" s="124" t="str">
        <f>IFERROR(IF(LEN(INDEX(Database!F$9:F$501,ROW(Calc!E310)-ROW(Calc!$B$7)))=0,$AD$3,INDEX(Database!F$9:F$501,ROW(Calc!E310)-ROW(Calc!$B$7))),"")</f>
        <v>Not Set</v>
      </c>
      <c r="G310" s="128" t="str">
        <f>IFERROR(IF(LEN(INDEX(Database!H$9:H$501,ROW(Calc!F310)-ROW(Calc!$B$7)))=0,$AD$3,INDEX(Database!H$9:H$501,ROW(Calc!F310)-ROW(Calc!$B$7))),"")</f>
        <v>Not Set</v>
      </c>
      <c r="H310" s="128" t="str">
        <f>IFERROR(IF(LEN(INDEX(Database!I$9:I$501,ROW(Calc!G310)-ROW(Calc!$B$7)))=0,$AD$3,INDEX(Database!I$9:I$501,ROW(Calc!G310)-ROW(Calc!$B$7))),"")</f>
        <v>Not Set</v>
      </c>
      <c r="I310" s="128" t="str">
        <f>IFERROR(IF(LEN(INDEX(Database!J$9:J$501,ROW(Calc!H310)-ROW(Calc!$B$7)))=0,$AD$3,INDEX(Database!J$9:J$501,ROW(Calc!H310)-ROW(Calc!$B$7))),"")</f>
        <v>Not Set</v>
      </c>
      <c r="J310" s="128" t="str">
        <f t="shared" si="41"/>
        <v>Not Set</v>
      </c>
      <c r="K310" s="124" t="str">
        <f>IFERROR(IF(LEN(INDEX(Database!E$9:E$501,ROW(Calc!I310)-ROW(Calc!$B$7)))=0,"",INDEX(Database!E$9:E$501,ROW(Calc!I310)-ROW(Calc!$B$7))),"")</f>
        <v/>
      </c>
      <c r="L310" s="129" t="str">
        <f>IFERROR(IF(LEN(INDEX(Database!K$9:K$501,ROW(Calc!K310)-ROW(Calc!$B$7)))=0,$AD$3,INDEX(Database!K$9:K$501,ROW(Calc!K310)-ROW(Calc!$B$7))),"")</f>
        <v>Not Set</v>
      </c>
      <c r="M310" s="130" t="str">
        <f>IFERROR(IF(LEN(INDEX(Database!L$9:L$501,ROW(Calc!L310)-ROW(Calc!$B$7)))=0,$AD$3,INDEX(Database!L$9:L$501,ROW(Calc!L310)-ROW(Calc!$B$7))),"")</f>
        <v>Not Set</v>
      </c>
      <c r="N310" s="131" t="str">
        <f>IFERROR(IF(LEN(INDEX(Database!M$9:M$501,ROW(Calc!M310)-ROW(Calc!$B$7)))=0,"",INDEX(Database!M$9:M$501,ROW(Calc!M310)-ROW(Calc!$B$7))),"")</f>
        <v/>
      </c>
      <c r="O310" s="132" t="str">
        <f t="shared" si="45"/>
        <v/>
      </c>
      <c r="P310" s="125" t="str">
        <f t="shared" si="42"/>
        <v>Not Set</v>
      </c>
      <c r="Q310" s="125" t="str">
        <f t="shared" si="43"/>
        <v>Not Set</v>
      </c>
      <c r="R310" s="125" t="str">
        <f>IFERROR(IF(G310=$AD$3,$AD$3,INDEX(Kanban_Helper!$C$317:$C$328,MATCH(MONTH(G310),Kanban_Helper!$B$317:$B$328,0))&amp;" - "&amp;YEAR(G310)),"$AD$3")</f>
        <v>Not Set</v>
      </c>
      <c r="S310" s="125" t="str">
        <f>IFERROR(IF(I310=$AD$3,$AD$3,INDEX(Kanban_Helper!$C$317:$C$328,MATCH(MONTH(I310),Kanban_Helper!$B$317:$B$328,0))&amp;" - "&amp;YEAR(I310)),$AD$3)</f>
        <v>Not Set</v>
      </c>
      <c r="T310" s="125" t="str">
        <f t="shared" ca="1" si="46"/>
        <v/>
      </c>
      <c r="U310" s="125" t="str">
        <f t="shared" ca="1" si="47"/>
        <v/>
      </c>
      <c r="V310" s="125" t="str">
        <f t="shared" si="44"/>
        <v>Not Set</v>
      </c>
      <c r="W310" s="126" t="str">
        <f t="shared" si="48"/>
        <v/>
      </c>
      <c r="X310" s="126" t="str">
        <f t="shared" si="49"/>
        <v/>
      </c>
      <c r="Y310" s="125" t="str">
        <f>IFERROR(IF(LEN(D310)=0,"",IF(SUBTOTAL(3,E310:E310)=0,MIN($Y$7:Y309)-1,SUBTOTAL(3,$E$8:E310))),"")</f>
        <v/>
      </c>
      <c r="Z310" s="17"/>
      <c r="AA310" s="10"/>
      <c r="AB310" s="10"/>
      <c r="AC310" s="10"/>
      <c r="AD310" s="10"/>
      <c r="AE310" s="10"/>
      <c r="AF310" s="10"/>
      <c r="AG310" s="10"/>
      <c r="AH310" s="10"/>
      <c r="AI310" s="10"/>
      <c r="AJ310" s="10"/>
      <c r="AK310" s="10"/>
      <c r="AL310" s="10"/>
      <c r="AM310" s="10"/>
      <c r="AN310" s="10"/>
    </row>
    <row r="311" spans="2:40" hidden="1" x14ac:dyDescent="0.35">
      <c r="B311" s="15"/>
      <c r="C311" s="127" t="str">
        <f>IFERROR(IF(LEN(INDEX(Database!C$9:C$501,ROW(Calc!A311)-ROW(Calc!$B$7)))=0,"",INDEX(Database!C$9:C$501,ROW(Calc!A311)-ROW(Calc!$B$7))),"")</f>
        <v/>
      </c>
      <c r="D311" s="70" t="str">
        <f>IFERROR(IF(LEN(INDEX(Database!D$9:D$501,ROW(Calc!B311)-ROW(Calc!$B$7)))=0,"",INDEX(Database!D$9:D$501,ROW(Calc!B311)-ROW(Calc!$B$7))),"")</f>
        <v/>
      </c>
      <c r="E311" s="124" t="str">
        <f>IFERROR(IF(LEN(INDEX(Database!G$9:G$501,ROW(Calc!D311)-ROW(Calc!$B$7)))=0,$AD$3,INDEX(Database!G$9:G$501,ROW(Calc!D311)-ROW(Calc!$B$7))),"")</f>
        <v>Not Set</v>
      </c>
      <c r="F311" s="124" t="str">
        <f>IFERROR(IF(LEN(INDEX(Database!F$9:F$501,ROW(Calc!E311)-ROW(Calc!$B$7)))=0,$AD$3,INDEX(Database!F$9:F$501,ROW(Calc!E311)-ROW(Calc!$B$7))),"")</f>
        <v>Not Set</v>
      </c>
      <c r="G311" s="128" t="str">
        <f>IFERROR(IF(LEN(INDEX(Database!H$9:H$501,ROW(Calc!F311)-ROW(Calc!$B$7)))=0,$AD$3,INDEX(Database!H$9:H$501,ROW(Calc!F311)-ROW(Calc!$B$7))),"")</f>
        <v>Not Set</v>
      </c>
      <c r="H311" s="128" t="str">
        <f>IFERROR(IF(LEN(INDEX(Database!I$9:I$501,ROW(Calc!G311)-ROW(Calc!$B$7)))=0,$AD$3,INDEX(Database!I$9:I$501,ROW(Calc!G311)-ROW(Calc!$B$7))),"")</f>
        <v>Not Set</v>
      </c>
      <c r="I311" s="128" t="str">
        <f>IFERROR(IF(LEN(INDEX(Database!J$9:J$501,ROW(Calc!H311)-ROW(Calc!$B$7)))=0,$AD$3,INDEX(Database!J$9:J$501,ROW(Calc!H311)-ROW(Calc!$B$7))),"")</f>
        <v>Not Set</v>
      </c>
      <c r="J311" s="128" t="str">
        <f t="shared" si="41"/>
        <v>Not Set</v>
      </c>
      <c r="K311" s="124" t="str">
        <f>IFERROR(IF(LEN(INDEX(Database!E$9:E$501,ROW(Calc!I311)-ROW(Calc!$B$7)))=0,"",INDEX(Database!E$9:E$501,ROW(Calc!I311)-ROW(Calc!$B$7))),"")</f>
        <v/>
      </c>
      <c r="L311" s="129" t="str">
        <f>IFERROR(IF(LEN(INDEX(Database!K$9:K$501,ROW(Calc!K311)-ROW(Calc!$B$7)))=0,$AD$3,INDEX(Database!K$9:K$501,ROW(Calc!K311)-ROW(Calc!$B$7))),"")</f>
        <v>Not Set</v>
      </c>
      <c r="M311" s="130" t="str">
        <f>IFERROR(IF(LEN(INDEX(Database!L$9:L$501,ROW(Calc!L311)-ROW(Calc!$B$7)))=0,$AD$3,INDEX(Database!L$9:L$501,ROW(Calc!L311)-ROW(Calc!$B$7))),"")</f>
        <v>Not Set</v>
      </c>
      <c r="N311" s="131" t="str">
        <f>IFERROR(IF(LEN(INDEX(Database!M$9:M$501,ROW(Calc!M311)-ROW(Calc!$B$7)))=0,"",INDEX(Database!M$9:M$501,ROW(Calc!M311)-ROW(Calc!$B$7))),"")</f>
        <v/>
      </c>
      <c r="O311" s="132" t="str">
        <f t="shared" si="45"/>
        <v/>
      </c>
      <c r="P311" s="125" t="str">
        <f t="shared" si="42"/>
        <v>Not Set</v>
      </c>
      <c r="Q311" s="125" t="str">
        <f t="shared" si="43"/>
        <v>Not Set</v>
      </c>
      <c r="R311" s="125" t="str">
        <f>IFERROR(IF(G311=$AD$3,$AD$3,INDEX(Kanban_Helper!$C$317:$C$328,MATCH(MONTH(G311),Kanban_Helper!$B$317:$B$328,0))&amp;" - "&amp;YEAR(G311)),"$AD$3")</f>
        <v>Not Set</v>
      </c>
      <c r="S311" s="125" t="str">
        <f>IFERROR(IF(I311=$AD$3,$AD$3,INDEX(Kanban_Helper!$C$317:$C$328,MATCH(MONTH(I311),Kanban_Helper!$B$317:$B$328,0))&amp;" - "&amp;YEAR(I311)),$AD$3)</f>
        <v>Not Set</v>
      </c>
      <c r="T311" s="125" t="str">
        <f t="shared" ca="1" si="46"/>
        <v/>
      </c>
      <c r="U311" s="125" t="str">
        <f t="shared" ca="1" si="47"/>
        <v/>
      </c>
      <c r="V311" s="125" t="str">
        <f t="shared" si="44"/>
        <v>Not Set</v>
      </c>
      <c r="W311" s="126" t="str">
        <f t="shared" si="48"/>
        <v/>
      </c>
      <c r="X311" s="126" t="str">
        <f t="shared" si="49"/>
        <v/>
      </c>
      <c r="Y311" s="125" t="str">
        <f>IFERROR(IF(LEN(D311)=0,"",IF(SUBTOTAL(3,E311:E311)=0,MIN($Y$7:Y310)-1,SUBTOTAL(3,$E$8:E311))),"")</f>
        <v/>
      </c>
      <c r="Z311" s="17"/>
      <c r="AA311" s="10"/>
      <c r="AB311" s="10"/>
      <c r="AC311" s="10"/>
      <c r="AD311" s="10"/>
      <c r="AE311" s="10"/>
      <c r="AF311" s="10"/>
      <c r="AG311" s="10"/>
      <c r="AH311" s="10"/>
      <c r="AI311" s="10"/>
      <c r="AJ311" s="10"/>
      <c r="AK311" s="10"/>
      <c r="AL311" s="10"/>
      <c r="AM311" s="10"/>
      <c r="AN311" s="10"/>
    </row>
    <row r="312" spans="2:40" hidden="1" x14ac:dyDescent="0.35">
      <c r="B312" s="15"/>
      <c r="C312" s="127" t="str">
        <f>IFERROR(IF(LEN(INDEX(Database!C$9:C$501,ROW(Calc!A312)-ROW(Calc!$B$7)))=0,"",INDEX(Database!C$9:C$501,ROW(Calc!A312)-ROW(Calc!$B$7))),"")</f>
        <v/>
      </c>
      <c r="D312" s="70" t="str">
        <f>IFERROR(IF(LEN(INDEX(Database!D$9:D$501,ROW(Calc!B312)-ROW(Calc!$B$7)))=0,"",INDEX(Database!D$9:D$501,ROW(Calc!B312)-ROW(Calc!$B$7))),"")</f>
        <v/>
      </c>
      <c r="E312" s="124" t="str">
        <f>IFERROR(IF(LEN(INDEX(Database!G$9:G$501,ROW(Calc!D312)-ROW(Calc!$B$7)))=0,$AD$3,INDEX(Database!G$9:G$501,ROW(Calc!D312)-ROW(Calc!$B$7))),"")</f>
        <v>Not Set</v>
      </c>
      <c r="F312" s="124" t="str">
        <f>IFERROR(IF(LEN(INDEX(Database!F$9:F$501,ROW(Calc!E312)-ROW(Calc!$B$7)))=0,$AD$3,INDEX(Database!F$9:F$501,ROW(Calc!E312)-ROW(Calc!$B$7))),"")</f>
        <v>Not Set</v>
      </c>
      <c r="G312" s="128" t="str">
        <f>IFERROR(IF(LEN(INDEX(Database!H$9:H$501,ROW(Calc!F312)-ROW(Calc!$B$7)))=0,$AD$3,INDEX(Database!H$9:H$501,ROW(Calc!F312)-ROW(Calc!$B$7))),"")</f>
        <v>Not Set</v>
      </c>
      <c r="H312" s="128" t="str">
        <f>IFERROR(IF(LEN(INDEX(Database!I$9:I$501,ROW(Calc!G312)-ROW(Calc!$B$7)))=0,$AD$3,INDEX(Database!I$9:I$501,ROW(Calc!G312)-ROW(Calc!$B$7))),"")</f>
        <v>Not Set</v>
      </c>
      <c r="I312" s="128" t="str">
        <f>IFERROR(IF(LEN(INDEX(Database!J$9:J$501,ROW(Calc!H312)-ROW(Calc!$B$7)))=0,$AD$3,INDEX(Database!J$9:J$501,ROW(Calc!H312)-ROW(Calc!$B$7))),"")</f>
        <v>Not Set</v>
      </c>
      <c r="J312" s="128" t="str">
        <f t="shared" si="41"/>
        <v>Not Set</v>
      </c>
      <c r="K312" s="124" t="str">
        <f>IFERROR(IF(LEN(INDEX(Database!E$9:E$501,ROW(Calc!I312)-ROW(Calc!$B$7)))=0,"",INDEX(Database!E$9:E$501,ROW(Calc!I312)-ROW(Calc!$B$7))),"")</f>
        <v/>
      </c>
      <c r="L312" s="129" t="str">
        <f>IFERROR(IF(LEN(INDEX(Database!K$9:K$501,ROW(Calc!K312)-ROW(Calc!$B$7)))=0,$AD$3,INDEX(Database!K$9:K$501,ROW(Calc!K312)-ROW(Calc!$B$7))),"")</f>
        <v>Not Set</v>
      </c>
      <c r="M312" s="130" t="str">
        <f>IFERROR(IF(LEN(INDEX(Database!L$9:L$501,ROW(Calc!L312)-ROW(Calc!$B$7)))=0,$AD$3,INDEX(Database!L$9:L$501,ROW(Calc!L312)-ROW(Calc!$B$7))),"")</f>
        <v>Not Set</v>
      </c>
      <c r="N312" s="131" t="str">
        <f>IFERROR(IF(LEN(INDEX(Database!M$9:M$501,ROW(Calc!M312)-ROW(Calc!$B$7)))=0,"",INDEX(Database!M$9:M$501,ROW(Calc!M312)-ROW(Calc!$B$7))),"")</f>
        <v/>
      </c>
      <c r="O312" s="132" t="str">
        <f t="shared" si="45"/>
        <v/>
      </c>
      <c r="P312" s="125" t="str">
        <f t="shared" si="42"/>
        <v>Not Set</v>
      </c>
      <c r="Q312" s="125" t="str">
        <f t="shared" si="43"/>
        <v>Not Set</v>
      </c>
      <c r="R312" s="125" t="str">
        <f>IFERROR(IF(G312=$AD$3,$AD$3,INDEX(Kanban_Helper!$C$317:$C$328,MATCH(MONTH(G312),Kanban_Helper!$B$317:$B$328,0))&amp;" - "&amp;YEAR(G312)),"$AD$3")</f>
        <v>Not Set</v>
      </c>
      <c r="S312" s="125" t="str">
        <f>IFERROR(IF(I312=$AD$3,$AD$3,INDEX(Kanban_Helper!$C$317:$C$328,MATCH(MONTH(I312),Kanban_Helper!$B$317:$B$328,0))&amp;" - "&amp;YEAR(I312)),$AD$3)</f>
        <v>Not Set</v>
      </c>
      <c r="T312" s="125" t="str">
        <f t="shared" ca="1" si="46"/>
        <v/>
      </c>
      <c r="U312" s="125" t="str">
        <f t="shared" ca="1" si="47"/>
        <v/>
      </c>
      <c r="V312" s="125" t="str">
        <f t="shared" si="44"/>
        <v>Not Set</v>
      </c>
      <c r="W312" s="126" t="str">
        <f t="shared" si="48"/>
        <v/>
      </c>
      <c r="X312" s="126" t="str">
        <f t="shared" si="49"/>
        <v/>
      </c>
      <c r="Y312" s="125" t="str">
        <f>IFERROR(IF(LEN(D312)=0,"",IF(SUBTOTAL(3,E312:E312)=0,MIN($Y$7:Y311)-1,SUBTOTAL(3,$E$8:E312))),"")</f>
        <v/>
      </c>
      <c r="Z312" s="17"/>
      <c r="AA312" s="10"/>
      <c r="AB312" s="10"/>
      <c r="AC312" s="10"/>
      <c r="AD312" s="10"/>
      <c r="AE312" s="10"/>
      <c r="AF312" s="10"/>
      <c r="AG312" s="10"/>
      <c r="AH312" s="10"/>
      <c r="AI312" s="10"/>
      <c r="AJ312" s="10"/>
      <c r="AK312" s="10"/>
      <c r="AL312" s="10"/>
      <c r="AM312" s="10"/>
      <c r="AN312" s="10"/>
    </row>
    <row r="313" spans="2:40" hidden="1" x14ac:dyDescent="0.35">
      <c r="B313" s="15"/>
      <c r="C313" s="127" t="str">
        <f>IFERROR(IF(LEN(INDEX(Database!C$9:C$501,ROW(Calc!A313)-ROW(Calc!$B$7)))=0,"",INDEX(Database!C$9:C$501,ROW(Calc!A313)-ROW(Calc!$B$7))),"")</f>
        <v/>
      </c>
      <c r="D313" s="70" t="str">
        <f>IFERROR(IF(LEN(INDEX(Database!D$9:D$501,ROW(Calc!B313)-ROW(Calc!$B$7)))=0,"",INDEX(Database!D$9:D$501,ROW(Calc!B313)-ROW(Calc!$B$7))),"")</f>
        <v/>
      </c>
      <c r="E313" s="124" t="str">
        <f>IFERROR(IF(LEN(INDEX(Database!G$9:G$501,ROW(Calc!D313)-ROW(Calc!$B$7)))=0,$AD$3,INDEX(Database!G$9:G$501,ROW(Calc!D313)-ROW(Calc!$B$7))),"")</f>
        <v>Not Set</v>
      </c>
      <c r="F313" s="124" t="str">
        <f>IFERROR(IF(LEN(INDEX(Database!F$9:F$501,ROW(Calc!E313)-ROW(Calc!$B$7)))=0,$AD$3,INDEX(Database!F$9:F$501,ROW(Calc!E313)-ROW(Calc!$B$7))),"")</f>
        <v>Not Set</v>
      </c>
      <c r="G313" s="128" t="str">
        <f>IFERROR(IF(LEN(INDEX(Database!H$9:H$501,ROW(Calc!F313)-ROW(Calc!$B$7)))=0,$AD$3,INDEX(Database!H$9:H$501,ROW(Calc!F313)-ROW(Calc!$B$7))),"")</f>
        <v>Not Set</v>
      </c>
      <c r="H313" s="128" t="str">
        <f>IFERROR(IF(LEN(INDEX(Database!I$9:I$501,ROW(Calc!G313)-ROW(Calc!$B$7)))=0,$AD$3,INDEX(Database!I$9:I$501,ROW(Calc!G313)-ROW(Calc!$B$7))),"")</f>
        <v>Not Set</v>
      </c>
      <c r="I313" s="128" t="str">
        <f>IFERROR(IF(LEN(INDEX(Database!J$9:J$501,ROW(Calc!H313)-ROW(Calc!$B$7)))=0,$AD$3,INDEX(Database!J$9:J$501,ROW(Calc!H313)-ROW(Calc!$B$7))),"")</f>
        <v>Not Set</v>
      </c>
      <c r="J313" s="128" t="str">
        <f t="shared" si="41"/>
        <v>Not Set</v>
      </c>
      <c r="K313" s="124" t="str">
        <f>IFERROR(IF(LEN(INDEX(Database!E$9:E$501,ROW(Calc!I313)-ROW(Calc!$B$7)))=0,"",INDEX(Database!E$9:E$501,ROW(Calc!I313)-ROW(Calc!$B$7))),"")</f>
        <v/>
      </c>
      <c r="L313" s="129" t="str">
        <f>IFERROR(IF(LEN(INDEX(Database!K$9:K$501,ROW(Calc!K313)-ROW(Calc!$B$7)))=0,$AD$3,INDEX(Database!K$9:K$501,ROW(Calc!K313)-ROW(Calc!$B$7))),"")</f>
        <v>Not Set</v>
      </c>
      <c r="M313" s="130" t="str">
        <f>IFERROR(IF(LEN(INDEX(Database!L$9:L$501,ROW(Calc!L313)-ROW(Calc!$B$7)))=0,$AD$3,INDEX(Database!L$9:L$501,ROW(Calc!L313)-ROW(Calc!$B$7))),"")</f>
        <v>Not Set</v>
      </c>
      <c r="N313" s="131" t="str">
        <f>IFERROR(IF(LEN(INDEX(Database!M$9:M$501,ROW(Calc!M313)-ROW(Calc!$B$7)))=0,"",INDEX(Database!M$9:M$501,ROW(Calc!M313)-ROW(Calc!$B$7))),"")</f>
        <v/>
      </c>
      <c r="O313" s="132" t="str">
        <f t="shared" si="45"/>
        <v/>
      </c>
      <c r="P313" s="125" t="str">
        <f t="shared" si="42"/>
        <v>Not Set</v>
      </c>
      <c r="Q313" s="125" t="str">
        <f t="shared" si="43"/>
        <v>Not Set</v>
      </c>
      <c r="R313" s="125" t="str">
        <f>IFERROR(IF(G313=$AD$3,$AD$3,INDEX(Kanban_Helper!$C$317:$C$328,MATCH(MONTH(G313),Kanban_Helper!$B$317:$B$328,0))&amp;" - "&amp;YEAR(G313)),"$AD$3")</f>
        <v>Not Set</v>
      </c>
      <c r="S313" s="125" t="str">
        <f>IFERROR(IF(I313=$AD$3,$AD$3,INDEX(Kanban_Helper!$C$317:$C$328,MATCH(MONTH(I313),Kanban_Helper!$B$317:$B$328,0))&amp;" - "&amp;YEAR(I313)),$AD$3)</f>
        <v>Not Set</v>
      </c>
      <c r="T313" s="125" t="str">
        <f t="shared" ca="1" si="46"/>
        <v/>
      </c>
      <c r="U313" s="125" t="str">
        <f t="shared" ca="1" si="47"/>
        <v/>
      </c>
      <c r="V313" s="125" t="str">
        <f t="shared" si="44"/>
        <v>Not Set</v>
      </c>
      <c r="W313" s="126" t="str">
        <f t="shared" si="48"/>
        <v/>
      </c>
      <c r="X313" s="126" t="str">
        <f t="shared" si="49"/>
        <v/>
      </c>
      <c r="Y313" s="125" t="str">
        <f>IFERROR(IF(LEN(D313)=0,"",IF(SUBTOTAL(3,E313:E313)=0,MIN($Y$7:Y312)-1,SUBTOTAL(3,$E$8:E313))),"")</f>
        <v/>
      </c>
      <c r="Z313" s="17"/>
      <c r="AA313" s="10"/>
      <c r="AB313" s="10"/>
      <c r="AC313" s="10"/>
      <c r="AD313" s="10"/>
      <c r="AE313" s="10"/>
      <c r="AF313" s="10"/>
      <c r="AG313" s="10"/>
      <c r="AH313" s="10"/>
      <c r="AI313" s="10"/>
      <c r="AJ313" s="10"/>
      <c r="AK313" s="10"/>
      <c r="AL313" s="10"/>
      <c r="AM313" s="10"/>
      <c r="AN313" s="10"/>
    </row>
    <row r="314" spans="2:40" hidden="1" x14ac:dyDescent="0.35">
      <c r="B314" s="15"/>
      <c r="C314" s="127" t="str">
        <f>IFERROR(IF(LEN(INDEX(Database!C$9:C$501,ROW(Calc!A314)-ROW(Calc!$B$7)))=0,"",INDEX(Database!C$9:C$501,ROW(Calc!A314)-ROW(Calc!$B$7))),"")</f>
        <v/>
      </c>
      <c r="D314" s="70" t="str">
        <f>IFERROR(IF(LEN(INDEX(Database!D$9:D$501,ROW(Calc!B314)-ROW(Calc!$B$7)))=0,"",INDEX(Database!D$9:D$501,ROW(Calc!B314)-ROW(Calc!$B$7))),"")</f>
        <v/>
      </c>
      <c r="E314" s="124" t="str">
        <f>IFERROR(IF(LEN(INDEX(Database!G$9:G$501,ROW(Calc!D314)-ROW(Calc!$B$7)))=0,$AD$3,INDEX(Database!G$9:G$501,ROW(Calc!D314)-ROW(Calc!$B$7))),"")</f>
        <v>Not Set</v>
      </c>
      <c r="F314" s="124" t="str">
        <f>IFERROR(IF(LEN(INDEX(Database!F$9:F$501,ROW(Calc!E314)-ROW(Calc!$B$7)))=0,$AD$3,INDEX(Database!F$9:F$501,ROW(Calc!E314)-ROW(Calc!$B$7))),"")</f>
        <v>Not Set</v>
      </c>
      <c r="G314" s="128" t="str">
        <f>IFERROR(IF(LEN(INDEX(Database!H$9:H$501,ROW(Calc!F314)-ROW(Calc!$B$7)))=0,$AD$3,INDEX(Database!H$9:H$501,ROW(Calc!F314)-ROW(Calc!$B$7))),"")</f>
        <v>Not Set</v>
      </c>
      <c r="H314" s="128" t="str">
        <f>IFERROR(IF(LEN(INDEX(Database!I$9:I$501,ROW(Calc!G314)-ROW(Calc!$B$7)))=0,$AD$3,INDEX(Database!I$9:I$501,ROW(Calc!G314)-ROW(Calc!$B$7))),"")</f>
        <v>Not Set</v>
      </c>
      <c r="I314" s="128" t="str">
        <f>IFERROR(IF(LEN(INDEX(Database!J$9:J$501,ROW(Calc!H314)-ROW(Calc!$B$7)))=0,$AD$3,INDEX(Database!J$9:J$501,ROW(Calc!H314)-ROW(Calc!$B$7))),"")</f>
        <v>Not Set</v>
      </c>
      <c r="J314" s="128" t="str">
        <f t="shared" si="41"/>
        <v>Not Set</v>
      </c>
      <c r="K314" s="124" t="str">
        <f>IFERROR(IF(LEN(INDEX(Database!E$9:E$501,ROW(Calc!I314)-ROW(Calc!$B$7)))=0,"",INDEX(Database!E$9:E$501,ROW(Calc!I314)-ROW(Calc!$B$7))),"")</f>
        <v/>
      </c>
      <c r="L314" s="129" t="str">
        <f>IFERROR(IF(LEN(INDEX(Database!K$9:K$501,ROW(Calc!K314)-ROW(Calc!$B$7)))=0,$AD$3,INDEX(Database!K$9:K$501,ROW(Calc!K314)-ROW(Calc!$B$7))),"")</f>
        <v>Not Set</v>
      </c>
      <c r="M314" s="130" t="str">
        <f>IFERROR(IF(LEN(INDEX(Database!L$9:L$501,ROW(Calc!L314)-ROW(Calc!$B$7)))=0,$AD$3,INDEX(Database!L$9:L$501,ROW(Calc!L314)-ROW(Calc!$B$7))),"")</f>
        <v>Not Set</v>
      </c>
      <c r="N314" s="131" t="str">
        <f>IFERROR(IF(LEN(INDEX(Database!M$9:M$501,ROW(Calc!M314)-ROW(Calc!$B$7)))=0,"",INDEX(Database!M$9:M$501,ROW(Calc!M314)-ROW(Calc!$B$7))),"")</f>
        <v/>
      </c>
      <c r="O314" s="132" t="str">
        <f t="shared" si="45"/>
        <v/>
      </c>
      <c r="P314" s="125" t="str">
        <f t="shared" si="42"/>
        <v>Not Set</v>
      </c>
      <c r="Q314" s="125" t="str">
        <f t="shared" si="43"/>
        <v>Not Set</v>
      </c>
      <c r="R314" s="125" t="str">
        <f>IFERROR(IF(G314=$AD$3,$AD$3,INDEX(Kanban_Helper!$C$317:$C$328,MATCH(MONTH(G314),Kanban_Helper!$B$317:$B$328,0))&amp;" - "&amp;YEAR(G314)),"$AD$3")</f>
        <v>Not Set</v>
      </c>
      <c r="S314" s="125" t="str">
        <f>IFERROR(IF(I314=$AD$3,$AD$3,INDEX(Kanban_Helper!$C$317:$C$328,MATCH(MONTH(I314),Kanban_Helper!$B$317:$B$328,0))&amp;" - "&amp;YEAR(I314)),$AD$3)</f>
        <v>Not Set</v>
      </c>
      <c r="T314" s="125" t="str">
        <f t="shared" ca="1" si="46"/>
        <v/>
      </c>
      <c r="U314" s="125" t="str">
        <f t="shared" ca="1" si="47"/>
        <v/>
      </c>
      <c r="V314" s="125" t="str">
        <f t="shared" si="44"/>
        <v>Not Set</v>
      </c>
      <c r="W314" s="126" t="str">
        <f t="shared" si="48"/>
        <v/>
      </c>
      <c r="X314" s="126" t="str">
        <f t="shared" si="49"/>
        <v/>
      </c>
      <c r="Y314" s="125" t="str">
        <f>IFERROR(IF(LEN(D314)=0,"",IF(SUBTOTAL(3,E314:E314)=0,MIN($Y$7:Y313)-1,SUBTOTAL(3,$E$8:E314))),"")</f>
        <v/>
      </c>
      <c r="Z314" s="17"/>
      <c r="AA314" s="10"/>
      <c r="AB314" s="10"/>
      <c r="AC314" s="10"/>
      <c r="AD314" s="10"/>
      <c r="AE314" s="10"/>
      <c r="AF314" s="10"/>
      <c r="AG314" s="10"/>
      <c r="AH314" s="10"/>
      <c r="AI314" s="10"/>
      <c r="AJ314" s="10"/>
      <c r="AK314" s="10"/>
      <c r="AL314" s="10"/>
      <c r="AM314" s="10"/>
      <c r="AN314" s="10"/>
    </row>
    <row r="315" spans="2:40" hidden="1" x14ac:dyDescent="0.35">
      <c r="B315" s="15"/>
      <c r="C315" s="127" t="str">
        <f>IFERROR(IF(LEN(INDEX(Database!C$9:C$501,ROW(Calc!A315)-ROW(Calc!$B$7)))=0,"",INDEX(Database!C$9:C$501,ROW(Calc!A315)-ROW(Calc!$B$7))),"")</f>
        <v/>
      </c>
      <c r="D315" s="70" t="str">
        <f>IFERROR(IF(LEN(INDEX(Database!D$9:D$501,ROW(Calc!B315)-ROW(Calc!$B$7)))=0,"",INDEX(Database!D$9:D$501,ROW(Calc!B315)-ROW(Calc!$B$7))),"")</f>
        <v/>
      </c>
      <c r="E315" s="124" t="str">
        <f>IFERROR(IF(LEN(INDEX(Database!G$9:G$501,ROW(Calc!D315)-ROW(Calc!$B$7)))=0,$AD$3,INDEX(Database!G$9:G$501,ROW(Calc!D315)-ROW(Calc!$B$7))),"")</f>
        <v>Not Set</v>
      </c>
      <c r="F315" s="124" t="str">
        <f>IFERROR(IF(LEN(INDEX(Database!F$9:F$501,ROW(Calc!E315)-ROW(Calc!$B$7)))=0,$AD$3,INDEX(Database!F$9:F$501,ROW(Calc!E315)-ROW(Calc!$B$7))),"")</f>
        <v>Not Set</v>
      </c>
      <c r="G315" s="128" t="str">
        <f>IFERROR(IF(LEN(INDEX(Database!H$9:H$501,ROW(Calc!F315)-ROW(Calc!$B$7)))=0,$AD$3,INDEX(Database!H$9:H$501,ROW(Calc!F315)-ROW(Calc!$B$7))),"")</f>
        <v>Not Set</v>
      </c>
      <c r="H315" s="128" t="str">
        <f>IFERROR(IF(LEN(INDEX(Database!I$9:I$501,ROW(Calc!G315)-ROW(Calc!$B$7)))=0,$AD$3,INDEX(Database!I$9:I$501,ROW(Calc!G315)-ROW(Calc!$B$7))),"")</f>
        <v>Not Set</v>
      </c>
      <c r="I315" s="128" t="str">
        <f>IFERROR(IF(LEN(INDEX(Database!J$9:J$501,ROW(Calc!H315)-ROW(Calc!$B$7)))=0,$AD$3,INDEX(Database!J$9:J$501,ROW(Calc!H315)-ROW(Calc!$B$7))),"")</f>
        <v>Not Set</v>
      </c>
      <c r="J315" s="128" t="str">
        <f t="shared" si="41"/>
        <v>Not Set</v>
      </c>
      <c r="K315" s="124" t="str">
        <f>IFERROR(IF(LEN(INDEX(Database!E$9:E$501,ROW(Calc!I315)-ROW(Calc!$B$7)))=0,"",INDEX(Database!E$9:E$501,ROW(Calc!I315)-ROW(Calc!$B$7))),"")</f>
        <v/>
      </c>
      <c r="L315" s="129" t="str">
        <f>IFERROR(IF(LEN(INDEX(Database!K$9:K$501,ROW(Calc!K315)-ROW(Calc!$B$7)))=0,$AD$3,INDEX(Database!K$9:K$501,ROW(Calc!K315)-ROW(Calc!$B$7))),"")</f>
        <v>Not Set</v>
      </c>
      <c r="M315" s="130" t="str">
        <f>IFERROR(IF(LEN(INDEX(Database!L$9:L$501,ROW(Calc!L315)-ROW(Calc!$B$7)))=0,$AD$3,INDEX(Database!L$9:L$501,ROW(Calc!L315)-ROW(Calc!$B$7))),"")</f>
        <v>Not Set</v>
      </c>
      <c r="N315" s="131" t="str">
        <f>IFERROR(IF(LEN(INDEX(Database!M$9:M$501,ROW(Calc!M315)-ROW(Calc!$B$7)))=0,"",INDEX(Database!M$9:M$501,ROW(Calc!M315)-ROW(Calc!$B$7))),"")</f>
        <v/>
      </c>
      <c r="O315" s="132" t="str">
        <f t="shared" si="45"/>
        <v/>
      </c>
      <c r="P315" s="125" t="str">
        <f t="shared" si="42"/>
        <v>Not Set</v>
      </c>
      <c r="Q315" s="125" t="str">
        <f t="shared" si="43"/>
        <v>Not Set</v>
      </c>
      <c r="R315" s="125" t="str">
        <f>IFERROR(IF(G315=$AD$3,$AD$3,INDEX(Kanban_Helper!$C$317:$C$328,MATCH(MONTH(G315),Kanban_Helper!$B$317:$B$328,0))&amp;" - "&amp;YEAR(G315)),"$AD$3")</f>
        <v>Not Set</v>
      </c>
      <c r="S315" s="125" t="str">
        <f>IFERROR(IF(I315=$AD$3,$AD$3,INDEX(Kanban_Helper!$C$317:$C$328,MATCH(MONTH(I315),Kanban_Helper!$B$317:$B$328,0))&amp;" - "&amp;YEAR(I315)),$AD$3)</f>
        <v>Not Set</v>
      </c>
      <c r="T315" s="125" t="str">
        <f t="shared" ca="1" si="46"/>
        <v/>
      </c>
      <c r="U315" s="125" t="str">
        <f t="shared" ca="1" si="47"/>
        <v/>
      </c>
      <c r="V315" s="125" t="str">
        <f t="shared" si="44"/>
        <v>Not Set</v>
      </c>
      <c r="W315" s="126" t="str">
        <f t="shared" si="48"/>
        <v/>
      </c>
      <c r="X315" s="126" t="str">
        <f t="shared" si="49"/>
        <v/>
      </c>
      <c r="Y315" s="125" t="str">
        <f>IFERROR(IF(LEN(D315)=0,"",IF(SUBTOTAL(3,E315:E315)=0,MIN($Y$7:Y314)-1,SUBTOTAL(3,$E$8:E315))),"")</f>
        <v/>
      </c>
      <c r="Z315" s="17"/>
      <c r="AA315" s="10"/>
      <c r="AB315" s="10"/>
      <c r="AC315" s="10"/>
      <c r="AD315" s="10"/>
      <c r="AE315" s="10"/>
      <c r="AF315" s="10"/>
      <c r="AG315" s="10"/>
      <c r="AH315" s="10"/>
      <c r="AI315" s="10"/>
      <c r="AJ315" s="10"/>
      <c r="AK315" s="10"/>
      <c r="AL315" s="10"/>
      <c r="AM315" s="10"/>
      <c r="AN315" s="10"/>
    </row>
    <row r="316" spans="2:40" hidden="1" x14ac:dyDescent="0.35">
      <c r="B316" s="15"/>
      <c r="C316" s="127" t="str">
        <f>IFERROR(IF(LEN(INDEX(Database!C$9:C$501,ROW(Calc!A316)-ROW(Calc!$B$7)))=0,"",INDEX(Database!C$9:C$501,ROW(Calc!A316)-ROW(Calc!$B$7))),"")</f>
        <v/>
      </c>
      <c r="D316" s="70" t="str">
        <f>IFERROR(IF(LEN(INDEX(Database!D$9:D$501,ROW(Calc!B316)-ROW(Calc!$B$7)))=0,"",INDEX(Database!D$9:D$501,ROW(Calc!B316)-ROW(Calc!$B$7))),"")</f>
        <v/>
      </c>
      <c r="E316" s="124" t="str">
        <f>IFERROR(IF(LEN(INDEX(Database!G$9:G$501,ROW(Calc!D316)-ROW(Calc!$B$7)))=0,$AD$3,INDEX(Database!G$9:G$501,ROW(Calc!D316)-ROW(Calc!$B$7))),"")</f>
        <v>Not Set</v>
      </c>
      <c r="F316" s="124" t="str">
        <f>IFERROR(IF(LEN(INDEX(Database!F$9:F$501,ROW(Calc!E316)-ROW(Calc!$B$7)))=0,$AD$3,INDEX(Database!F$9:F$501,ROW(Calc!E316)-ROW(Calc!$B$7))),"")</f>
        <v>Not Set</v>
      </c>
      <c r="G316" s="128" t="str">
        <f>IFERROR(IF(LEN(INDEX(Database!H$9:H$501,ROW(Calc!F316)-ROW(Calc!$B$7)))=0,$AD$3,INDEX(Database!H$9:H$501,ROW(Calc!F316)-ROW(Calc!$B$7))),"")</f>
        <v>Not Set</v>
      </c>
      <c r="H316" s="128" t="str">
        <f>IFERROR(IF(LEN(INDEX(Database!I$9:I$501,ROW(Calc!G316)-ROW(Calc!$B$7)))=0,$AD$3,INDEX(Database!I$9:I$501,ROW(Calc!G316)-ROW(Calc!$B$7))),"")</f>
        <v>Not Set</v>
      </c>
      <c r="I316" s="128" t="str">
        <f>IFERROR(IF(LEN(INDEX(Database!J$9:J$501,ROW(Calc!H316)-ROW(Calc!$B$7)))=0,$AD$3,INDEX(Database!J$9:J$501,ROW(Calc!H316)-ROW(Calc!$B$7))),"")</f>
        <v>Not Set</v>
      </c>
      <c r="J316" s="128" t="str">
        <f t="shared" si="41"/>
        <v>Not Set</v>
      </c>
      <c r="K316" s="124" t="str">
        <f>IFERROR(IF(LEN(INDEX(Database!E$9:E$501,ROW(Calc!I316)-ROW(Calc!$B$7)))=0,"",INDEX(Database!E$9:E$501,ROW(Calc!I316)-ROW(Calc!$B$7))),"")</f>
        <v/>
      </c>
      <c r="L316" s="129" t="str">
        <f>IFERROR(IF(LEN(INDEX(Database!K$9:K$501,ROW(Calc!K316)-ROW(Calc!$B$7)))=0,$AD$3,INDEX(Database!K$9:K$501,ROW(Calc!K316)-ROW(Calc!$B$7))),"")</f>
        <v>Not Set</v>
      </c>
      <c r="M316" s="130" t="str">
        <f>IFERROR(IF(LEN(INDEX(Database!L$9:L$501,ROW(Calc!L316)-ROW(Calc!$B$7)))=0,$AD$3,INDEX(Database!L$9:L$501,ROW(Calc!L316)-ROW(Calc!$B$7))),"")</f>
        <v>Not Set</v>
      </c>
      <c r="N316" s="131" t="str">
        <f>IFERROR(IF(LEN(INDEX(Database!M$9:M$501,ROW(Calc!M316)-ROW(Calc!$B$7)))=0,"",INDEX(Database!M$9:M$501,ROW(Calc!M316)-ROW(Calc!$B$7))),"")</f>
        <v/>
      </c>
      <c r="O316" s="132" t="str">
        <f t="shared" si="45"/>
        <v/>
      </c>
      <c r="P316" s="125" t="str">
        <f t="shared" si="42"/>
        <v>Not Set</v>
      </c>
      <c r="Q316" s="125" t="str">
        <f t="shared" si="43"/>
        <v>Not Set</v>
      </c>
      <c r="R316" s="125" t="str">
        <f>IFERROR(IF(G316=$AD$3,$AD$3,INDEX(Kanban_Helper!$C$317:$C$328,MATCH(MONTH(G316),Kanban_Helper!$B$317:$B$328,0))&amp;" - "&amp;YEAR(G316)),"$AD$3")</f>
        <v>Not Set</v>
      </c>
      <c r="S316" s="125" t="str">
        <f>IFERROR(IF(I316=$AD$3,$AD$3,INDEX(Kanban_Helper!$C$317:$C$328,MATCH(MONTH(I316),Kanban_Helper!$B$317:$B$328,0))&amp;" - "&amp;YEAR(I316)),$AD$3)</f>
        <v>Not Set</v>
      </c>
      <c r="T316" s="125" t="str">
        <f t="shared" ca="1" si="46"/>
        <v/>
      </c>
      <c r="U316" s="125" t="str">
        <f t="shared" ca="1" si="47"/>
        <v/>
      </c>
      <c r="V316" s="125" t="str">
        <f t="shared" si="44"/>
        <v>Not Set</v>
      </c>
      <c r="W316" s="126" t="str">
        <f t="shared" si="48"/>
        <v/>
      </c>
      <c r="X316" s="126" t="str">
        <f t="shared" si="49"/>
        <v/>
      </c>
      <c r="Y316" s="125" t="str">
        <f>IFERROR(IF(LEN(D316)=0,"",IF(SUBTOTAL(3,E316:E316)=0,MIN($Y$7:Y315)-1,SUBTOTAL(3,$E$8:E316))),"")</f>
        <v/>
      </c>
      <c r="Z316" s="17"/>
      <c r="AA316" s="10"/>
      <c r="AB316" s="10"/>
      <c r="AC316" s="10"/>
      <c r="AD316" s="10"/>
      <c r="AE316" s="10"/>
      <c r="AF316" s="10"/>
      <c r="AG316" s="10"/>
      <c r="AH316" s="10"/>
      <c r="AI316" s="10"/>
      <c r="AJ316" s="10"/>
      <c r="AK316" s="10"/>
      <c r="AL316" s="10"/>
      <c r="AM316" s="10"/>
      <c r="AN316" s="10"/>
    </row>
    <row r="317" spans="2:40" hidden="1" x14ac:dyDescent="0.35">
      <c r="B317" s="15"/>
      <c r="C317" s="127" t="str">
        <f>IFERROR(IF(LEN(INDEX(Database!C$9:C$501,ROW(Calc!A317)-ROW(Calc!$B$7)))=0,"",INDEX(Database!C$9:C$501,ROW(Calc!A317)-ROW(Calc!$B$7))),"")</f>
        <v/>
      </c>
      <c r="D317" s="70" t="str">
        <f>IFERROR(IF(LEN(INDEX(Database!D$9:D$501,ROW(Calc!B317)-ROW(Calc!$B$7)))=0,"",INDEX(Database!D$9:D$501,ROW(Calc!B317)-ROW(Calc!$B$7))),"")</f>
        <v/>
      </c>
      <c r="E317" s="124" t="str">
        <f>IFERROR(IF(LEN(INDEX(Database!G$9:G$501,ROW(Calc!D317)-ROW(Calc!$B$7)))=0,$AD$3,INDEX(Database!G$9:G$501,ROW(Calc!D317)-ROW(Calc!$B$7))),"")</f>
        <v>Not Set</v>
      </c>
      <c r="F317" s="124" t="str">
        <f>IFERROR(IF(LEN(INDEX(Database!F$9:F$501,ROW(Calc!E317)-ROW(Calc!$B$7)))=0,$AD$3,INDEX(Database!F$9:F$501,ROW(Calc!E317)-ROW(Calc!$B$7))),"")</f>
        <v>Not Set</v>
      </c>
      <c r="G317" s="128" t="str">
        <f>IFERROR(IF(LEN(INDEX(Database!H$9:H$501,ROW(Calc!F317)-ROW(Calc!$B$7)))=0,$AD$3,INDEX(Database!H$9:H$501,ROW(Calc!F317)-ROW(Calc!$B$7))),"")</f>
        <v>Not Set</v>
      </c>
      <c r="H317" s="128" t="str">
        <f>IFERROR(IF(LEN(INDEX(Database!I$9:I$501,ROW(Calc!G317)-ROW(Calc!$B$7)))=0,$AD$3,INDEX(Database!I$9:I$501,ROW(Calc!G317)-ROW(Calc!$B$7))),"")</f>
        <v>Not Set</v>
      </c>
      <c r="I317" s="128" t="str">
        <f>IFERROR(IF(LEN(INDEX(Database!J$9:J$501,ROW(Calc!H317)-ROW(Calc!$B$7)))=0,$AD$3,INDEX(Database!J$9:J$501,ROW(Calc!H317)-ROW(Calc!$B$7))),"")</f>
        <v>Not Set</v>
      </c>
      <c r="J317" s="128" t="str">
        <f t="shared" si="41"/>
        <v>Not Set</v>
      </c>
      <c r="K317" s="124" t="str">
        <f>IFERROR(IF(LEN(INDEX(Database!E$9:E$501,ROW(Calc!I317)-ROW(Calc!$B$7)))=0,"",INDEX(Database!E$9:E$501,ROW(Calc!I317)-ROW(Calc!$B$7))),"")</f>
        <v/>
      </c>
      <c r="L317" s="129" t="str">
        <f>IFERROR(IF(LEN(INDEX(Database!K$9:K$501,ROW(Calc!K317)-ROW(Calc!$B$7)))=0,$AD$3,INDEX(Database!K$9:K$501,ROW(Calc!K317)-ROW(Calc!$B$7))),"")</f>
        <v>Not Set</v>
      </c>
      <c r="M317" s="130" t="str">
        <f>IFERROR(IF(LEN(INDEX(Database!L$9:L$501,ROW(Calc!L317)-ROW(Calc!$B$7)))=0,$AD$3,INDEX(Database!L$9:L$501,ROW(Calc!L317)-ROW(Calc!$B$7))),"")</f>
        <v>Not Set</v>
      </c>
      <c r="N317" s="131" t="str">
        <f>IFERROR(IF(LEN(INDEX(Database!M$9:M$501,ROW(Calc!M317)-ROW(Calc!$B$7)))=0,"",INDEX(Database!M$9:M$501,ROW(Calc!M317)-ROW(Calc!$B$7))),"")</f>
        <v/>
      </c>
      <c r="O317" s="132" t="str">
        <f t="shared" si="45"/>
        <v/>
      </c>
      <c r="P317" s="125" t="str">
        <f t="shared" si="42"/>
        <v>Not Set</v>
      </c>
      <c r="Q317" s="125" t="str">
        <f t="shared" si="43"/>
        <v>Not Set</v>
      </c>
      <c r="R317" s="125" t="str">
        <f>IFERROR(IF(G317=$AD$3,$AD$3,INDEX(Kanban_Helper!$C$317:$C$328,MATCH(MONTH(G317),Kanban_Helper!$B$317:$B$328,0))&amp;" - "&amp;YEAR(G317)),"$AD$3")</f>
        <v>Not Set</v>
      </c>
      <c r="S317" s="125" t="str">
        <f>IFERROR(IF(I317=$AD$3,$AD$3,INDEX(Kanban_Helper!$C$317:$C$328,MATCH(MONTH(I317),Kanban_Helper!$B$317:$B$328,0))&amp;" - "&amp;YEAR(I317)),$AD$3)</f>
        <v>Not Set</v>
      </c>
      <c r="T317" s="125" t="str">
        <f t="shared" ca="1" si="46"/>
        <v/>
      </c>
      <c r="U317" s="125" t="str">
        <f t="shared" ca="1" si="47"/>
        <v/>
      </c>
      <c r="V317" s="125" t="str">
        <f t="shared" si="44"/>
        <v>Not Set</v>
      </c>
      <c r="W317" s="126" t="str">
        <f t="shared" si="48"/>
        <v/>
      </c>
      <c r="X317" s="126" t="str">
        <f t="shared" si="49"/>
        <v/>
      </c>
      <c r="Y317" s="125" t="str">
        <f>IFERROR(IF(LEN(D317)=0,"",IF(SUBTOTAL(3,E317:E317)=0,MIN($Y$7:Y316)-1,SUBTOTAL(3,$E$8:E317))),"")</f>
        <v/>
      </c>
      <c r="Z317" s="17"/>
      <c r="AA317" s="10"/>
      <c r="AB317" s="10"/>
      <c r="AC317" s="10"/>
      <c r="AD317" s="10"/>
      <c r="AE317" s="10"/>
      <c r="AF317" s="10"/>
      <c r="AG317" s="10"/>
      <c r="AH317" s="10"/>
      <c r="AI317" s="10"/>
      <c r="AJ317" s="10"/>
      <c r="AK317" s="10"/>
      <c r="AL317" s="10"/>
      <c r="AM317" s="10"/>
      <c r="AN317" s="10"/>
    </row>
    <row r="318" spans="2:40" hidden="1" x14ac:dyDescent="0.35">
      <c r="B318" s="15"/>
      <c r="C318" s="127" t="str">
        <f>IFERROR(IF(LEN(INDEX(Database!C$9:C$501,ROW(Calc!A318)-ROW(Calc!$B$7)))=0,"",INDEX(Database!C$9:C$501,ROW(Calc!A318)-ROW(Calc!$B$7))),"")</f>
        <v/>
      </c>
      <c r="D318" s="70" t="str">
        <f>IFERROR(IF(LEN(INDEX(Database!D$9:D$501,ROW(Calc!B318)-ROW(Calc!$B$7)))=0,"",INDEX(Database!D$9:D$501,ROW(Calc!B318)-ROW(Calc!$B$7))),"")</f>
        <v/>
      </c>
      <c r="E318" s="124" t="str">
        <f>IFERROR(IF(LEN(INDEX(Database!G$9:G$501,ROW(Calc!D318)-ROW(Calc!$B$7)))=0,$AD$3,INDEX(Database!G$9:G$501,ROW(Calc!D318)-ROW(Calc!$B$7))),"")</f>
        <v>Not Set</v>
      </c>
      <c r="F318" s="124" t="str">
        <f>IFERROR(IF(LEN(INDEX(Database!F$9:F$501,ROW(Calc!E318)-ROW(Calc!$B$7)))=0,$AD$3,INDEX(Database!F$9:F$501,ROW(Calc!E318)-ROW(Calc!$B$7))),"")</f>
        <v>Not Set</v>
      </c>
      <c r="G318" s="128" t="str">
        <f>IFERROR(IF(LEN(INDEX(Database!H$9:H$501,ROW(Calc!F318)-ROW(Calc!$B$7)))=0,$AD$3,INDEX(Database!H$9:H$501,ROW(Calc!F318)-ROW(Calc!$B$7))),"")</f>
        <v>Not Set</v>
      </c>
      <c r="H318" s="128" t="str">
        <f>IFERROR(IF(LEN(INDEX(Database!I$9:I$501,ROW(Calc!G318)-ROW(Calc!$B$7)))=0,$AD$3,INDEX(Database!I$9:I$501,ROW(Calc!G318)-ROW(Calc!$B$7))),"")</f>
        <v>Not Set</v>
      </c>
      <c r="I318" s="128" t="str">
        <f>IFERROR(IF(LEN(INDEX(Database!J$9:J$501,ROW(Calc!H318)-ROW(Calc!$B$7)))=0,$AD$3,INDEX(Database!J$9:J$501,ROW(Calc!H318)-ROW(Calc!$B$7))),"")</f>
        <v>Not Set</v>
      </c>
      <c r="J318" s="128" t="str">
        <f t="shared" si="41"/>
        <v>Not Set</v>
      </c>
      <c r="K318" s="124" t="str">
        <f>IFERROR(IF(LEN(INDEX(Database!E$9:E$501,ROW(Calc!I318)-ROW(Calc!$B$7)))=0,"",INDEX(Database!E$9:E$501,ROW(Calc!I318)-ROW(Calc!$B$7))),"")</f>
        <v/>
      </c>
      <c r="L318" s="129" t="str">
        <f>IFERROR(IF(LEN(INDEX(Database!K$9:K$501,ROW(Calc!K318)-ROW(Calc!$B$7)))=0,$AD$3,INDEX(Database!K$9:K$501,ROW(Calc!K318)-ROW(Calc!$B$7))),"")</f>
        <v>Not Set</v>
      </c>
      <c r="M318" s="130" t="str">
        <f>IFERROR(IF(LEN(INDEX(Database!L$9:L$501,ROW(Calc!L318)-ROW(Calc!$B$7)))=0,$AD$3,INDEX(Database!L$9:L$501,ROW(Calc!L318)-ROW(Calc!$B$7))),"")</f>
        <v>Not Set</v>
      </c>
      <c r="N318" s="131" t="str">
        <f>IFERROR(IF(LEN(INDEX(Database!M$9:M$501,ROW(Calc!M318)-ROW(Calc!$B$7)))=0,"",INDEX(Database!M$9:M$501,ROW(Calc!M318)-ROW(Calc!$B$7))),"")</f>
        <v/>
      </c>
      <c r="O318" s="132" t="str">
        <f t="shared" si="45"/>
        <v/>
      </c>
      <c r="P318" s="125" t="str">
        <f t="shared" si="42"/>
        <v>Not Set</v>
      </c>
      <c r="Q318" s="125" t="str">
        <f t="shared" si="43"/>
        <v>Not Set</v>
      </c>
      <c r="R318" s="125" t="str">
        <f>IFERROR(IF(G318=$AD$3,$AD$3,INDEX(Kanban_Helper!$C$317:$C$328,MATCH(MONTH(G318),Kanban_Helper!$B$317:$B$328,0))&amp;" - "&amp;YEAR(G318)),"$AD$3")</f>
        <v>Not Set</v>
      </c>
      <c r="S318" s="125" t="str">
        <f>IFERROR(IF(I318=$AD$3,$AD$3,INDEX(Kanban_Helper!$C$317:$C$328,MATCH(MONTH(I318),Kanban_Helper!$B$317:$B$328,0))&amp;" - "&amp;YEAR(I318)),$AD$3)</f>
        <v>Not Set</v>
      </c>
      <c r="T318" s="125" t="str">
        <f t="shared" ca="1" si="46"/>
        <v/>
      </c>
      <c r="U318" s="125" t="str">
        <f t="shared" ca="1" si="47"/>
        <v/>
      </c>
      <c r="V318" s="125" t="str">
        <f t="shared" si="44"/>
        <v>Not Set</v>
      </c>
      <c r="W318" s="126" t="str">
        <f t="shared" si="48"/>
        <v/>
      </c>
      <c r="X318" s="126" t="str">
        <f t="shared" si="49"/>
        <v/>
      </c>
      <c r="Y318" s="125" t="str">
        <f>IFERROR(IF(LEN(D318)=0,"",IF(SUBTOTAL(3,E318:E318)=0,MIN($Y$7:Y317)-1,SUBTOTAL(3,$E$8:E318))),"")</f>
        <v/>
      </c>
      <c r="Z318" s="17"/>
      <c r="AA318" s="10"/>
      <c r="AB318" s="10"/>
      <c r="AC318" s="10"/>
      <c r="AD318" s="10"/>
      <c r="AE318" s="10"/>
      <c r="AF318" s="10"/>
      <c r="AG318" s="10"/>
      <c r="AH318" s="10"/>
      <c r="AI318" s="10"/>
      <c r="AJ318" s="10"/>
      <c r="AK318" s="10"/>
      <c r="AL318" s="10"/>
      <c r="AM318" s="10"/>
      <c r="AN318" s="10"/>
    </row>
    <row r="319" spans="2:40" hidden="1" x14ac:dyDescent="0.35">
      <c r="B319" s="15"/>
      <c r="C319" s="127" t="str">
        <f>IFERROR(IF(LEN(INDEX(Database!C$9:C$501,ROW(Calc!A319)-ROW(Calc!$B$7)))=0,"",INDEX(Database!C$9:C$501,ROW(Calc!A319)-ROW(Calc!$B$7))),"")</f>
        <v/>
      </c>
      <c r="D319" s="70" t="str">
        <f>IFERROR(IF(LEN(INDEX(Database!D$9:D$501,ROW(Calc!B319)-ROW(Calc!$B$7)))=0,"",INDEX(Database!D$9:D$501,ROW(Calc!B319)-ROW(Calc!$B$7))),"")</f>
        <v/>
      </c>
      <c r="E319" s="124" t="str">
        <f>IFERROR(IF(LEN(INDEX(Database!G$9:G$501,ROW(Calc!D319)-ROW(Calc!$B$7)))=0,$AD$3,INDEX(Database!G$9:G$501,ROW(Calc!D319)-ROW(Calc!$B$7))),"")</f>
        <v>Not Set</v>
      </c>
      <c r="F319" s="124" t="str">
        <f>IFERROR(IF(LEN(INDEX(Database!F$9:F$501,ROW(Calc!E319)-ROW(Calc!$B$7)))=0,$AD$3,INDEX(Database!F$9:F$501,ROW(Calc!E319)-ROW(Calc!$B$7))),"")</f>
        <v>Not Set</v>
      </c>
      <c r="G319" s="128" t="str">
        <f>IFERROR(IF(LEN(INDEX(Database!H$9:H$501,ROW(Calc!F319)-ROW(Calc!$B$7)))=0,$AD$3,INDEX(Database!H$9:H$501,ROW(Calc!F319)-ROW(Calc!$B$7))),"")</f>
        <v>Not Set</v>
      </c>
      <c r="H319" s="128" t="str">
        <f>IFERROR(IF(LEN(INDEX(Database!I$9:I$501,ROW(Calc!G319)-ROW(Calc!$B$7)))=0,$AD$3,INDEX(Database!I$9:I$501,ROW(Calc!G319)-ROW(Calc!$B$7))),"")</f>
        <v>Not Set</v>
      </c>
      <c r="I319" s="128" t="str">
        <f>IFERROR(IF(LEN(INDEX(Database!J$9:J$501,ROW(Calc!H319)-ROW(Calc!$B$7)))=0,$AD$3,INDEX(Database!J$9:J$501,ROW(Calc!H319)-ROW(Calc!$B$7))),"")</f>
        <v>Not Set</v>
      </c>
      <c r="J319" s="128" t="str">
        <f t="shared" si="41"/>
        <v>Not Set</v>
      </c>
      <c r="K319" s="124" t="str">
        <f>IFERROR(IF(LEN(INDEX(Database!E$9:E$501,ROW(Calc!I319)-ROW(Calc!$B$7)))=0,"",INDEX(Database!E$9:E$501,ROW(Calc!I319)-ROW(Calc!$B$7))),"")</f>
        <v/>
      </c>
      <c r="L319" s="129" t="str">
        <f>IFERROR(IF(LEN(INDEX(Database!K$9:K$501,ROW(Calc!K319)-ROW(Calc!$B$7)))=0,$AD$3,INDEX(Database!K$9:K$501,ROW(Calc!K319)-ROW(Calc!$B$7))),"")</f>
        <v>Not Set</v>
      </c>
      <c r="M319" s="130" t="str">
        <f>IFERROR(IF(LEN(INDEX(Database!L$9:L$501,ROW(Calc!L319)-ROW(Calc!$B$7)))=0,$AD$3,INDEX(Database!L$9:L$501,ROW(Calc!L319)-ROW(Calc!$B$7))),"")</f>
        <v>Not Set</v>
      </c>
      <c r="N319" s="131" t="str">
        <f>IFERROR(IF(LEN(INDEX(Database!M$9:M$501,ROW(Calc!M319)-ROW(Calc!$B$7)))=0,"",INDEX(Database!M$9:M$501,ROW(Calc!M319)-ROW(Calc!$B$7))),"")</f>
        <v/>
      </c>
      <c r="O319" s="132" t="str">
        <f t="shared" si="45"/>
        <v/>
      </c>
      <c r="P319" s="125" t="str">
        <f t="shared" si="42"/>
        <v>Not Set</v>
      </c>
      <c r="Q319" s="125" t="str">
        <f t="shared" si="43"/>
        <v>Not Set</v>
      </c>
      <c r="R319" s="125" t="str">
        <f>IFERROR(IF(G319=$AD$3,$AD$3,INDEX(Kanban_Helper!$C$317:$C$328,MATCH(MONTH(G319),Kanban_Helper!$B$317:$B$328,0))&amp;" - "&amp;YEAR(G319)),"$AD$3")</f>
        <v>Not Set</v>
      </c>
      <c r="S319" s="125" t="str">
        <f>IFERROR(IF(I319=$AD$3,$AD$3,INDEX(Kanban_Helper!$C$317:$C$328,MATCH(MONTH(I319),Kanban_Helper!$B$317:$B$328,0))&amp;" - "&amp;YEAR(I319)),$AD$3)</f>
        <v>Not Set</v>
      </c>
      <c r="T319" s="125" t="str">
        <f t="shared" ca="1" si="46"/>
        <v/>
      </c>
      <c r="U319" s="125" t="str">
        <f t="shared" ca="1" si="47"/>
        <v/>
      </c>
      <c r="V319" s="125" t="str">
        <f t="shared" si="44"/>
        <v>Not Set</v>
      </c>
      <c r="W319" s="126" t="str">
        <f t="shared" si="48"/>
        <v/>
      </c>
      <c r="X319" s="126" t="str">
        <f t="shared" si="49"/>
        <v/>
      </c>
      <c r="Y319" s="125" t="str">
        <f>IFERROR(IF(LEN(D319)=0,"",IF(SUBTOTAL(3,E319:E319)=0,MIN($Y$7:Y318)-1,SUBTOTAL(3,$E$8:E319))),"")</f>
        <v/>
      </c>
      <c r="Z319" s="17"/>
      <c r="AA319" s="10"/>
      <c r="AB319" s="10"/>
      <c r="AC319" s="10"/>
      <c r="AD319" s="10"/>
      <c r="AE319" s="10"/>
      <c r="AF319" s="10"/>
      <c r="AG319" s="10"/>
      <c r="AH319" s="10"/>
      <c r="AI319" s="10"/>
      <c r="AJ319" s="10"/>
      <c r="AK319" s="10"/>
      <c r="AL319" s="10"/>
      <c r="AM319" s="10"/>
      <c r="AN319" s="10"/>
    </row>
    <row r="320" spans="2:40" hidden="1" x14ac:dyDescent="0.35">
      <c r="B320" s="15"/>
      <c r="C320" s="127" t="str">
        <f>IFERROR(IF(LEN(INDEX(Database!C$9:C$501,ROW(Calc!A320)-ROW(Calc!$B$7)))=0,"",INDEX(Database!C$9:C$501,ROW(Calc!A320)-ROW(Calc!$B$7))),"")</f>
        <v/>
      </c>
      <c r="D320" s="70" t="str">
        <f>IFERROR(IF(LEN(INDEX(Database!D$9:D$501,ROW(Calc!B320)-ROW(Calc!$B$7)))=0,"",INDEX(Database!D$9:D$501,ROW(Calc!B320)-ROW(Calc!$B$7))),"")</f>
        <v/>
      </c>
      <c r="E320" s="124" t="str">
        <f>IFERROR(IF(LEN(INDEX(Database!G$9:G$501,ROW(Calc!D320)-ROW(Calc!$B$7)))=0,$AD$3,INDEX(Database!G$9:G$501,ROW(Calc!D320)-ROW(Calc!$B$7))),"")</f>
        <v>Not Set</v>
      </c>
      <c r="F320" s="124" t="str">
        <f>IFERROR(IF(LEN(INDEX(Database!F$9:F$501,ROW(Calc!E320)-ROW(Calc!$B$7)))=0,$AD$3,INDEX(Database!F$9:F$501,ROW(Calc!E320)-ROW(Calc!$B$7))),"")</f>
        <v>Not Set</v>
      </c>
      <c r="G320" s="128" t="str">
        <f>IFERROR(IF(LEN(INDEX(Database!H$9:H$501,ROW(Calc!F320)-ROW(Calc!$B$7)))=0,$AD$3,INDEX(Database!H$9:H$501,ROW(Calc!F320)-ROW(Calc!$B$7))),"")</f>
        <v>Not Set</v>
      </c>
      <c r="H320" s="128" t="str">
        <f>IFERROR(IF(LEN(INDEX(Database!I$9:I$501,ROW(Calc!G320)-ROW(Calc!$B$7)))=0,$AD$3,INDEX(Database!I$9:I$501,ROW(Calc!G320)-ROW(Calc!$B$7))),"")</f>
        <v>Not Set</v>
      </c>
      <c r="I320" s="128" t="str">
        <f>IFERROR(IF(LEN(INDEX(Database!J$9:J$501,ROW(Calc!H320)-ROW(Calc!$B$7)))=0,$AD$3,INDEX(Database!J$9:J$501,ROW(Calc!H320)-ROW(Calc!$B$7))),"")</f>
        <v>Not Set</v>
      </c>
      <c r="J320" s="128" t="str">
        <f t="shared" si="41"/>
        <v>Not Set</v>
      </c>
      <c r="K320" s="124" t="str">
        <f>IFERROR(IF(LEN(INDEX(Database!E$9:E$501,ROW(Calc!I320)-ROW(Calc!$B$7)))=0,"",INDEX(Database!E$9:E$501,ROW(Calc!I320)-ROW(Calc!$B$7))),"")</f>
        <v/>
      </c>
      <c r="L320" s="129" t="str">
        <f>IFERROR(IF(LEN(INDEX(Database!K$9:K$501,ROW(Calc!K320)-ROW(Calc!$B$7)))=0,$AD$3,INDEX(Database!K$9:K$501,ROW(Calc!K320)-ROW(Calc!$B$7))),"")</f>
        <v>Not Set</v>
      </c>
      <c r="M320" s="130" t="str">
        <f>IFERROR(IF(LEN(INDEX(Database!L$9:L$501,ROW(Calc!L320)-ROW(Calc!$B$7)))=0,$AD$3,INDEX(Database!L$9:L$501,ROW(Calc!L320)-ROW(Calc!$B$7))),"")</f>
        <v>Not Set</v>
      </c>
      <c r="N320" s="131" t="str">
        <f>IFERROR(IF(LEN(INDEX(Database!M$9:M$501,ROW(Calc!M320)-ROW(Calc!$B$7)))=0,"",INDEX(Database!M$9:M$501,ROW(Calc!M320)-ROW(Calc!$B$7))),"")</f>
        <v/>
      </c>
      <c r="O320" s="132" t="str">
        <f t="shared" si="45"/>
        <v/>
      </c>
      <c r="P320" s="125" t="str">
        <f t="shared" si="42"/>
        <v>Not Set</v>
      </c>
      <c r="Q320" s="125" t="str">
        <f t="shared" si="43"/>
        <v>Not Set</v>
      </c>
      <c r="R320" s="125" t="str">
        <f>IFERROR(IF(G320=$AD$3,$AD$3,INDEX(Kanban_Helper!$C$317:$C$328,MATCH(MONTH(G320),Kanban_Helper!$B$317:$B$328,0))&amp;" - "&amp;YEAR(G320)),"$AD$3")</f>
        <v>Not Set</v>
      </c>
      <c r="S320" s="125" t="str">
        <f>IFERROR(IF(I320=$AD$3,$AD$3,INDEX(Kanban_Helper!$C$317:$C$328,MATCH(MONTH(I320),Kanban_Helper!$B$317:$B$328,0))&amp;" - "&amp;YEAR(I320)),$AD$3)</f>
        <v>Not Set</v>
      </c>
      <c r="T320" s="125" t="str">
        <f t="shared" ca="1" si="46"/>
        <v/>
      </c>
      <c r="U320" s="125" t="str">
        <f t="shared" ca="1" si="47"/>
        <v/>
      </c>
      <c r="V320" s="125" t="str">
        <f t="shared" si="44"/>
        <v>Not Set</v>
      </c>
      <c r="W320" s="126" t="str">
        <f t="shared" si="48"/>
        <v/>
      </c>
      <c r="X320" s="126" t="str">
        <f t="shared" si="49"/>
        <v/>
      </c>
      <c r="Y320" s="125" t="str">
        <f>IFERROR(IF(LEN(D320)=0,"",IF(SUBTOTAL(3,E320:E320)=0,MIN($Y$7:Y319)-1,SUBTOTAL(3,$E$8:E320))),"")</f>
        <v/>
      </c>
      <c r="Z320" s="17"/>
      <c r="AA320" s="10"/>
      <c r="AB320" s="10"/>
      <c r="AC320" s="10"/>
      <c r="AD320" s="10"/>
      <c r="AE320" s="10"/>
      <c r="AF320" s="10"/>
      <c r="AG320" s="10"/>
      <c r="AH320" s="10"/>
      <c r="AI320" s="10"/>
      <c r="AJ320" s="10"/>
      <c r="AK320" s="10"/>
      <c r="AL320" s="10"/>
      <c r="AM320" s="10"/>
      <c r="AN320" s="10"/>
    </row>
    <row r="321" spans="2:40" hidden="1" x14ac:dyDescent="0.35">
      <c r="B321" s="15"/>
      <c r="C321" s="127" t="str">
        <f>IFERROR(IF(LEN(INDEX(Database!C$9:C$501,ROW(Calc!A321)-ROW(Calc!$B$7)))=0,"",INDEX(Database!C$9:C$501,ROW(Calc!A321)-ROW(Calc!$B$7))),"")</f>
        <v/>
      </c>
      <c r="D321" s="70" t="str">
        <f>IFERROR(IF(LEN(INDEX(Database!D$9:D$501,ROW(Calc!B321)-ROW(Calc!$B$7)))=0,"",INDEX(Database!D$9:D$501,ROW(Calc!B321)-ROW(Calc!$B$7))),"")</f>
        <v/>
      </c>
      <c r="E321" s="124" t="str">
        <f>IFERROR(IF(LEN(INDEX(Database!G$9:G$501,ROW(Calc!D321)-ROW(Calc!$B$7)))=0,$AD$3,INDEX(Database!G$9:G$501,ROW(Calc!D321)-ROW(Calc!$B$7))),"")</f>
        <v>Not Set</v>
      </c>
      <c r="F321" s="124" t="str">
        <f>IFERROR(IF(LEN(INDEX(Database!F$9:F$501,ROW(Calc!E321)-ROW(Calc!$B$7)))=0,$AD$3,INDEX(Database!F$9:F$501,ROW(Calc!E321)-ROW(Calc!$B$7))),"")</f>
        <v>Not Set</v>
      </c>
      <c r="G321" s="128" t="str">
        <f>IFERROR(IF(LEN(INDEX(Database!H$9:H$501,ROW(Calc!F321)-ROW(Calc!$B$7)))=0,$AD$3,INDEX(Database!H$9:H$501,ROW(Calc!F321)-ROW(Calc!$B$7))),"")</f>
        <v>Not Set</v>
      </c>
      <c r="H321" s="128" t="str">
        <f>IFERROR(IF(LEN(INDEX(Database!I$9:I$501,ROW(Calc!G321)-ROW(Calc!$B$7)))=0,$AD$3,INDEX(Database!I$9:I$501,ROW(Calc!G321)-ROW(Calc!$B$7))),"")</f>
        <v>Not Set</v>
      </c>
      <c r="I321" s="128" t="str">
        <f>IFERROR(IF(LEN(INDEX(Database!J$9:J$501,ROW(Calc!H321)-ROW(Calc!$B$7)))=0,$AD$3,INDEX(Database!J$9:J$501,ROW(Calc!H321)-ROW(Calc!$B$7))),"")</f>
        <v>Not Set</v>
      </c>
      <c r="J321" s="128" t="str">
        <f t="shared" si="41"/>
        <v>Not Set</v>
      </c>
      <c r="K321" s="124" t="str">
        <f>IFERROR(IF(LEN(INDEX(Database!E$9:E$501,ROW(Calc!I321)-ROW(Calc!$B$7)))=0,"",INDEX(Database!E$9:E$501,ROW(Calc!I321)-ROW(Calc!$B$7))),"")</f>
        <v/>
      </c>
      <c r="L321" s="129" t="str">
        <f>IFERROR(IF(LEN(INDEX(Database!K$9:K$501,ROW(Calc!K321)-ROW(Calc!$B$7)))=0,$AD$3,INDEX(Database!K$9:K$501,ROW(Calc!K321)-ROW(Calc!$B$7))),"")</f>
        <v>Not Set</v>
      </c>
      <c r="M321" s="130" t="str">
        <f>IFERROR(IF(LEN(INDEX(Database!L$9:L$501,ROW(Calc!L321)-ROW(Calc!$B$7)))=0,$AD$3,INDEX(Database!L$9:L$501,ROW(Calc!L321)-ROW(Calc!$B$7))),"")</f>
        <v>Not Set</v>
      </c>
      <c r="N321" s="131" t="str">
        <f>IFERROR(IF(LEN(INDEX(Database!M$9:M$501,ROW(Calc!M321)-ROW(Calc!$B$7)))=0,"",INDEX(Database!M$9:M$501,ROW(Calc!M321)-ROW(Calc!$B$7))),"")</f>
        <v/>
      </c>
      <c r="O321" s="132" t="str">
        <f t="shared" si="45"/>
        <v/>
      </c>
      <c r="P321" s="125" t="str">
        <f t="shared" si="42"/>
        <v>Not Set</v>
      </c>
      <c r="Q321" s="125" t="str">
        <f t="shared" si="43"/>
        <v>Not Set</v>
      </c>
      <c r="R321" s="125" t="str">
        <f>IFERROR(IF(G321=$AD$3,$AD$3,INDEX(Kanban_Helper!$C$317:$C$328,MATCH(MONTH(G321),Kanban_Helper!$B$317:$B$328,0))&amp;" - "&amp;YEAR(G321)),"$AD$3")</f>
        <v>Not Set</v>
      </c>
      <c r="S321" s="125" t="str">
        <f>IFERROR(IF(I321=$AD$3,$AD$3,INDEX(Kanban_Helper!$C$317:$C$328,MATCH(MONTH(I321),Kanban_Helper!$B$317:$B$328,0))&amp;" - "&amp;YEAR(I321)),$AD$3)</f>
        <v>Not Set</v>
      </c>
      <c r="T321" s="125" t="str">
        <f t="shared" ca="1" si="46"/>
        <v/>
      </c>
      <c r="U321" s="125" t="str">
        <f t="shared" ca="1" si="47"/>
        <v/>
      </c>
      <c r="V321" s="125" t="str">
        <f t="shared" si="44"/>
        <v>Not Set</v>
      </c>
      <c r="W321" s="126" t="str">
        <f t="shared" si="48"/>
        <v/>
      </c>
      <c r="X321" s="126" t="str">
        <f t="shared" si="49"/>
        <v/>
      </c>
      <c r="Y321" s="125" t="str">
        <f>IFERROR(IF(LEN(D321)=0,"",IF(SUBTOTAL(3,E321:E321)=0,MIN($Y$7:Y320)-1,SUBTOTAL(3,$E$8:E321))),"")</f>
        <v/>
      </c>
      <c r="Z321" s="17"/>
      <c r="AA321" s="10"/>
      <c r="AB321" s="10"/>
      <c r="AC321" s="10"/>
      <c r="AD321" s="10"/>
      <c r="AE321" s="10"/>
      <c r="AF321" s="10"/>
      <c r="AG321" s="10"/>
      <c r="AH321" s="10"/>
      <c r="AI321" s="10"/>
      <c r="AJ321" s="10"/>
      <c r="AK321" s="10"/>
      <c r="AL321" s="10"/>
      <c r="AM321" s="10"/>
      <c r="AN321" s="10"/>
    </row>
    <row r="322" spans="2:40" hidden="1" x14ac:dyDescent="0.35">
      <c r="B322" s="15"/>
      <c r="C322" s="127" t="str">
        <f>IFERROR(IF(LEN(INDEX(Database!C$9:C$501,ROW(Calc!A322)-ROW(Calc!$B$7)))=0,"",INDEX(Database!C$9:C$501,ROW(Calc!A322)-ROW(Calc!$B$7))),"")</f>
        <v/>
      </c>
      <c r="D322" s="70" t="str">
        <f>IFERROR(IF(LEN(INDEX(Database!D$9:D$501,ROW(Calc!B322)-ROW(Calc!$B$7)))=0,"",INDEX(Database!D$9:D$501,ROW(Calc!B322)-ROW(Calc!$B$7))),"")</f>
        <v/>
      </c>
      <c r="E322" s="124" t="str">
        <f>IFERROR(IF(LEN(INDEX(Database!G$9:G$501,ROW(Calc!D322)-ROW(Calc!$B$7)))=0,$AD$3,INDEX(Database!G$9:G$501,ROW(Calc!D322)-ROW(Calc!$B$7))),"")</f>
        <v>Not Set</v>
      </c>
      <c r="F322" s="124" t="str">
        <f>IFERROR(IF(LEN(INDEX(Database!F$9:F$501,ROW(Calc!E322)-ROW(Calc!$B$7)))=0,$AD$3,INDEX(Database!F$9:F$501,ROW(Calc!E322)-ROW(Calc!$B$7))),"")</f>
        <v>Not Set</v>
      </c>
      <c r="G322" s="128" t="str">
        <f>IFERROR(IF(LEN(INDEX(Database!H$9:H$501,ROW(Calc!F322)-ROW(Calc!$B$7)))=0,$AD$3,INDEX(Database!H$9:H$501,ROW(Calc!F322)-ROW(Calc!$B$7))),"")</f>
        <v>Not Set</v>
      </c>
      <c r="H322" s="128" t="str">
        <f>IFERROR(IF(LEN(INDEX(Database!I$9:I$501,ROW(Calc!G322)-ROW(Calc!$B$7)))=0,$AD$3,INDEX(Database!I$9:I$501,ROW(Calc!G322)-ROW(Calc!$B$7))),"")</f>
        <v>Not Set</v>
      </c>
      <c r="I322" s="128" t="str">
        <f>IFERROR(IF(LEN(INDEX(Database!J$9:J$501,ROW(Calc!H322)-ROW(Calc!$B$7)))=0,$AD$3,INDEX(Database!J$9:J$501,ROW(Calc!H322)-ROW(Calc!$B$7))),"")</f>
        <v>Not Set</v>
      </c>
      <c r="J322" s="128" t="str">
        <f t="shared" si="41"/>
        <v>Not Set</v>
      </c>
      <c r="K322" s="124" t="str">
        <f>IFERROR(IF(LEN(INDEX(Database!E$9:E$501,ROW(Calc!I322)-ROW(Calc!$B$7)))=0,"",INDEX(Database!E$9:E$501,ROW(Calc!I322)-ROW(Calc!$B$7))),"")</f>
        <v/>
      </c>
      <c r="L322" s="129" t="str">
        <f>IFERROR(IF(LEN(INDEX(Database!K$9:K$501,ROW(Calc!K322)-ROW(Calc!$B$7)))=0,$AD$3,INDEX(Database!K$9:K$501,ROW(Calc!K322)-ROW(Calc!$B$7))),"")</f>
        <v>Not Set</v>
      </c>
      <c r="M322" s="130" t="str">
        <f>IFERROR(IF(LEN(INDEX(Database!L$9:L$501,ROW(Calc!L322)-ROW(Calc!$B$7)))=0,$AD$3,INDEX(Database!L$9:L$501,ROW(Calc!L322)-ROW(Calc!$B$7))),"")</f>
        <v>Not Set</v>
      </c>
      <c r="N322" s="131" t="str">
        <f>IFERROR(IF(LEN(INDEX(Database!M$9:M$501,ROW(Calc!M322)-ROW(Calc!$B$7)))=0,"",INDEX(Database!M$9:M$501,ROW(Calc!M322)-ROW(Calc!$B$7))),"")</f>
        <v/>
      </c>
      <c r="O322" s="132" t="str">
        <f t="shared" si="45"/>
        <v/>
      </c>
      <c r="P322" s="125" t="str">
        <f t="shared" si="42"/>
        <v>Not Set</v>
      </c>
      <c r="Q322" s="125" t="str">
        <f t="shared" si="43"/>
        <v>Not Set</v>
      </c>
      <c r="R322" s="125" t="str">
        <f>IFERROR(IF(G322=$AD$3,$AD$3,INDEX(Kanban_Helper!$C$317:$C$328,MATCH(MONTH(G322),Kanban_Helper!$B$317:$B$328,0))&amp;" - "&amp;YEAR(G322)),"$AD$3")</f>
        <v>Not Set</v>
      </c>
      <c r="S322" s="125" t="str">
        <f>IFERROR(IF(I322=$AD$3,$AD$3,INDEX(Kanban_Helper!$C$317:$C$328,MATCH(MONTH(I322),Kanban_Helper!$B$317:$B$328,0))&amp;" - "&amp;YEAR(I322)),$AD$3)</f>
        <v>Not Set</v>
      </c>
      <c r="T322" s="125" t="str">
        <f t="shared" ca="1" si="46"/>
        <v/>
      </c>
      <c r="U322" s="125" t="str">
        <f t="shared" ca="1" si="47"/>
        <v/>
      </c>
      <c r="V322" s="125" t="str">
        <f t="shared" si="44"/>
        <v>Not Set</v>
      </c>
      <c r="W322" s="126" t="str">
        <f t="shared" si="48"/>
        <v/>
      </c>
      <c r="X322" s="126" t="str">
        <f t="shared" si="49"/>
        <v/>
      </c>
      <c r="Y322" s="125" t="str">
        <f>IFERROR(IF(LEN(D322)=0,"",IF(SUBTOTAL(3,E322:E322)=0,MIN($Y$7:Y321)-1,SUBTOTAL(3,$E$8:E322))),"")</f>
        <v/>
      </c>
      <c r="Z322" s="17"/>
      <c r="AA322" s="10"/>
      <c r="AB322" s="10"/>
      <c r="AC322" s="10"/>
      <c r="AD322" s="10"/>
      <c r="AE322" s="10"/>
      <c r="AF322" s="10"/>
      <c r="AG322" s="10"/>
      <c r="AH322" s="10"/>
      <c r="AI322" s="10"/>
      <c r="AJ322" s="10"/>
      <c r="AK322" s="10"/>
      <c r="AL322" s="10"/>
      <c r="AM322" s="10"/>
      <c r="AN322" s="10"/>
    </row>
    <row r="323" spans="2:40" hidden="1" x14ac:dyDescent="0.35">
      <c r="B323" s="15"/>
      <c r="C323" s="127" t="str">
        <f>IFERROR(IF(LEN(INDEX(Database!C$9:C$501,ROW(Calc!A323)-ROW(Calc!$B$7)))=0,"",INDEX(Database!C$9:C$501,ROW(Calc!A323)-ROW(Calc!$B$7))),"")</f>
        <v/>
      </c>
      <c r="D323" s="70" t="str">
        <f>IFERROR(IF(LEN(INDEX(Database!D$9:D$501,ROW(Calc!B323)-ROW(Calc!$B$7)))=0,"",INDEX(Database!D$9:D$501,ROW(Calc!B323)-ROW(Calc!$B$7))),"")</f>
        <v/>
      </c>
      <c r="E323" s="124" t="str">
        <f>IFERROR(IF(LEN(INDEX(Database!G$9:G$501,ROW(Calc!D323)-ROW(Calc!$B$7)))=0,$AD$3,INDEX(Database!G$9:G$501,ROW(Calc!D323)-ROW(Calc!$B$7))),"")</f>
        <v>Not Set</v>
      </c>
      <c r="F323" s="124" t="str">
        <f>IFERROR(IF(LEN(INDEX(Database!F$9:F$501,ROW(Calc!E323)-ROW(Calc!$B$7)))=0,$AD$3,INDEX(Database!F$9:F$501,ROW(Calc!E323)-ROW(Calc!$B$7))),"")</f>
        <v>Not Set</v>
      </c>
      <c r="G323" s="128" t="str">
        <f>IFERROR(IF(LEN(INDEX(Database!H$9:H$501,ROW(Calc!F323)-ROW(Calc!$B$7)))=0,$AD$3,INDEX(Database!H$9:H$501,ROW(Calc!F323)-ROW(Calc!$B$7))),"")</f>
        <v>Not Set</v>
      </c>
      <c r="H323" s="128" t="str">
        <f>IFERROR(IF(LEN(INDEX(Database!I$9:I$501,ROW(Calc!G323)-ROW(Calc!$B$7)))=0,$AD$3,INDEX(Database!I$9:I$501,ROW(Calc!G323)-ROW(Calc!$B$7))),"")</f>
        <v>Not Set</v>
      </c>
      <c r="I323" s="128" t="str">
        <f>IFERROR(IF(LEN(INDEX(Database!J$9:J$501,ROW(Calc!H323)-ROW(Calc!$B$7)))=0,$AD$3,INDEX(Database!J$9:J$501,ROW(Calc!H323)-ROW(Calc!$B$7))),"")</f>
        <v>Not Set</v>
      </c>
      <c r="J323" s="128" t="str">
        <f t="shared" si="41"/>
        <v>Not Set</v>
      </c>
      <c r="K323" s="124" t="str">
        <f>IFERROR(IF(LEN(INDEX(Database!E$9:E$501,ROW(Calc!I323)-ROW(Calc!$B$7)))=0,"",INDEX(Database!E$9:E$501,ROW(Calc!I323)-ROW(Calc!$B$7))),"")</f>
        <v/>
      </c>
      <c r="L323" s="129" t="str">
        <f>IFERROR(IF(LEN(INDEX(Database!K$9:K$501,ROW(Calc!K323)-ROW(Calc!$B$7)))=0,$AD$3,INDEX(Database!K$9:K$501,ROW(Calc!K323)-ROW(Calc!$B$7))),"")</f>
        <v>Not Set</v>
      </c>
      <c r="M323" s="130" t="str">
        <f>IFERROR(IF(LEN(INDEX(Database!L$9:L$501,ROW(Calc!L323)-ROW(Calc!$B$7)))=0,$AD$3,INDEX(Database!L$9:L$501,ROW(Calc!L323)-ROW(Calc!$B$7))),"")</f>
        <v>Not Set</v>
      </c>
      <c r="N323" s="131" t="str">
        <f>IFERROR(IF(LEN(INDEX(Database!M$9:M$501,ROW(Calc!M323)-ROW(Calc!$B$7)))=0,"",INDEX(Database!M$9:M$501,ROW(Calc!M323)-ROW(Calc!$B$7))),"")</f>
        <v/>
      </c>
      <c r="O323" s="132" t="str">
        <f t="shared" si="45"/>
        <v/>
      </c>
      <c r="P323" s="125" t="str">
        <f t="shared" si="42"/>
        <v>Not Set</v>
      </c>
      <c r="Q323" s="125" t="str">
        <f t="shared" si="43"/>
        <v>Not Set</v>
      </c>
      <c r="R323" s="125" t="str">
        <f>IFERROR(IF(G323=$AD$3,$AD$3,INDEX(Kanban_Helper!$C$317:$C$328,MATCH(MONTH(G323),Kanban_Helper!$B$317:$B$328,0))&amp;" - "&amp;YEAR(G323)),"$AD$3")</f>
        <v>Not Set</v>
      </c>
      <c r="S323" s="125" t="str">
        <f>IFERROR(IF(I323=$AD$3,$AD$3,INDEX(Kanban_Helper!$C$317:$C$328,MATCH(MONTH(I323),Kanban_Helper!$B$317:$B$328,0))&amp;" - "&amp;YEAR(I323)),$AD$3)</f>
        <v>Not Set</v>
      </c>
      <c r="T323" s="125" t="str">
        <f t="shared" ca="1" si="46"/>
        <v/>
      </c>
      <c r="U323" s="125" t="str">
        <f t="shared" ca="1" si="47"/>
        <v/>
      </c>
      <c r="V323" s="125" t="str">
        <f t="shared" si="44"/>
        <v>Not Set</v>
      </c>
      <c r="W323" s="126" t="str">
        <f t="shared" si="48"/>
        <v/>
      </c>
      <c r="X323" s="126" t="str">
        <f t="shared" si="49"/>
        <v/>
      </c>
      <c r="Y323" s="125" t="str">
        <f>IFERROR(IF(LEN(D323)=0,"",IF(SUBTOTAL(3,E323:E323)=0,MIN($Y$7:Y322)-1,SUBTOTAL(3,$E$8:E323))),"")</f>
        <v/>
      </c>
      <c r="Z323" s="17"/>
      <c r="AA323" s="10"/>
      <c r="AB323" s="10"/>
      <c r="AC323" s="10"/>
      <c r="AD323" s="10"/>
      <c r="AE323" s="10"/>
      <c r="AF323" s="10"/>
      <c r="AG323" s="10"/>
      <c r="AH323" s="10"/>
      <c r="AI323" s="10"/>
      <c r="AJ323" s="10"/>
      <c r="AK323" s="10"/>
      <c r="AL323" s="10"/>
      <c r="AM323" s="10"/>
      <c r="AN323" s="10"/>
    </row>
    <row r="324" spans="2:40" hidden="1" x14ac:dyDescent="0.35">
      <c r="B324" s="15"/>
      <c r="C324" s="127" t="str">
        <f>IFERROR(IF(LEN(INDEX(Database!C$9:C$501,ROW(Calc!A324)-ROW(Calc!$B$7)))=0,"",INDEX(Database!C$9:C$501,ROW(Calc!A324)-ROW(Calc!$B$7))),"")</f>
        <v/>
      </c>
      <c r="D324" s="70" t="str">
        <f>IFERROR(IF(LEN(INDEX(Database!D$9:D$501,ROW(Calc!B324)-ROW(Calc!$B$7)))=0,"",INDEX(Database!D$9:D$501,ROW(Calc!B324)-ROW(Calc!$B$7))),"")</f>
        <v/>
      </c>
      <c r="E324" s="124" t="str">
        <f>IFERROR(IF(LEN(INDEX(Database!G$9:G$501,ROW(Calc!D324)-ROW(Calc!$B$7)))=0,$AD$3,INDEX(Database!G$9:G$501,ROW(Calc!D324)-ROW(Calc!$B$7))),"")</f>
        <v>Not Set</v>
      </c>
      <c r="F324" s="124" t="str">
        <f>IFERROR(IF(LEN(INDEX(Database!F$9:F$501,ROW(Calc!E324)-ROW(Calc!$B$7)))=0,$AD$3,INDEX(Database!F$9:F$501,ROW(Calc!E324)-ROW(Calc!$B$7))),"")</f>
        <v>Not Set</v>
      </c>
      <c r="G324" s="128" t="str">
        <f>IFERROR(IF(LEN(INDEX(Database!H$9:H$501,ROW(Calc!F324)-ROW(Calc!$B$7)))=0,$AD$3,INDEX(Database!H$9:H$501,ROW(Calc!F324)-ROW(Calc!$B$7))),"")</f>
        <v>Not Set</v>
      </c>
      <c r="H324" s="128" t="str">
        <f>IFERROR(IF(LEN(INDEX(Database!I$9:I$501,ROW(Calc!G324)-ROW(Calc!$B$7)))=0,$AD$3,INDEX(Database!I$9:I$501,ROW(Calc!G324)-ROW(Calc!$B$7))),"")</f>
        <v>Not Set</v>
      </c>
      <c r="I324" s="128" t="str">
        <f>IFERROR(IF(LEN(INDEX(Database!J$9:J$501,ROW(Calc!H324)-ROW(Calc!$B$7)))=0,$AD$3,INDEX(Database!J$9:J$501,ROW(Calc!H324)-ROW(Calc!$B$7))),"")</f>
        <v>Not Set</v>
      </c>
      <c r="J324" s="128" t="str">
        <f t="shared" si="41"/>
        <v>Not Set</v>
      </c>
      <c r="K324" s="124" t="str">
        <f>IFERROR(IF(LEN(INDEX(Database!E$9:E$501,ROW(Calc!I324)-ROW(Calc!$B$7)))=0,"",INDEX(Database!E$9:E$501,ROW(Calc!I324)-ROW(Calc!$B$7))),"")</f>
        <v/>
      </c>
      <c r="L324" s="129" t="str">
        <f>IFERROR(IF(LEN(INDEX(Database!K$9:K$501,ROW(Calc!K324)-ROW(Calc!$B$7)))=0,$AD$3,INDEX(Database!K$9:K$501,ROW(Calc!K324)-ROW(Calc!$B$7))),"")</f>
        <v>Not Set</v>
      </c>
      <c r="M324" s="130" t="str">
        <f>IFERROR(IF(LEN(INDEX(Database!L$9:L$501,ROW(Calc!L324)-ROW(Calc!$B$7)))=0,$AD$3,INDEX(Database!L$9:L$501,ROW(Calc!L324)-ROW(Calc!$B$7))),"")</f>
        <v>Not Set</v>
      </c>
      <c r="N324" s="131" t="str">
        <f>IFERROR(IF(LEN(INDEX(Database!M$9:M$501,ROW(Calc!M324)-ROW(Calc!$B$7)))=0,"",INDEX(Database!M$9:M$501,ROW(Calc!M324)-ROW(Calc!$B$7))),"")</f>
        <v/>
      </c>
      <c r="O324" s="132" t="str">
        <f t="shared" si="45"/>
        <v/>
      </c>
      <c r="P324" s="125" t="str">
        <f t="shared" si="42"/>
        <v>Not Set</v>
      </c>
      <c r="Q324" s="125" t="str">
        <f t="shared" si="43"/>
        <v>Not Set</v>
      </c>
      <c r="R324" s="125" t="str">
        <f>IFERROR(IF(G324=$AD$3,$AD$3,INDEX(Kanban_Helper!$C$317:$C$328,MATCH(MONTH(G324),Kanban_Helper!$B$317:$B$328,0))&amp;" - "&amp;YEAR(G324)),"$AD$3")</f>
        <v>Not Set</v>
      </c>
      <c r="S324" s="125" t="str">
        <f>IFERROR(IF(I324=$AD$3,$AD$3,INDEX(Kanban_Helper!$C$317:$C$328,MATCH(MONTH(I324),Kanban_Helper!$B$317:$B$328,0))&amp;" - "&amp;YEAR(I324)),$AD$3)</f>
        <v>Not Set</v>
      </c>
      <c r="T324" s="125" t="str">
        <f t="shared" ca="1" si="46"/>
        <v/>
      </c>
      <c r="U324" s="125" t="str">
        <f t="shared" ca="1" si="47"/>
        <v/>
      </c>
      <c r="V324" s="125" t="str">
        <f t="shared" si="44"/>
        <v>Not Set</v>
      </c>
      <c r="W324" s="126" t="str">
        <f t="shared" si="48"/>
        <v/>
      </c>
      <c r="X324" s="126" t="str">
        <f t="shared" si="49"/>
        <v/>
      </c>
      <c r="Y324" s="125" t="str">
        <f>IFERROR(IF(LEN(D324)=0,"",IF(SUBTOTAL(3,E324:E324)=0,MIN($Y$7:Y323)-1,SUBTOTAL(3,$E$8:E324))),"")</f>
        <v/>
      </c>
      <c r="Z324" s="17"/>
      <c r="AA324" s="10"/>
      <c r="AB324" s="10"/>
      <c r="AC324" s="10"/>
      <c r="AD324" s="10"/>
      <c r="AE324" s="10"/>
      <c r="AF324" s="10"/>
      <c r="AG324" s="10"/>
      <c r="AH324" s="10"/>
      <c r="AI324" s="10"/>
      <c r="AJ324" s="10"/>
      <c r="AK324" s="10"/>
      <c r="AL324" s="10"/>
      <c r="AM324" s="10"/>
      <c r="AN324" s="10"/>
    </row>
    <row r="325" spans="2:40" hidden="1" x14ac:dyDescent="0.35">
      <c r="B325" s="15"/>
      <c r="C325" s="127" t="str">
        <f>IFERROR(IF(LEN(INDEX(Database!C$9:C$501,ROW(Calc!A325)-ROW(Calc!$B$7)))=0,"",INDEX(Database!C$9:C$501,ROW(Calc!A325)-ROW(Calc!$B$7))),"")</f>
        <v/>
      </c>
      <c r="D325" s="70" t="str">
        <f>IFERROR(IF(LEN(INDEX(Database!D$9:D$501,ROW(Calc!B325)-ROW(Calc!$B$7)))=0,"",INDEX(Database!D$9:D$501,ROW(Calc!B325)-ROW(Calc!$B$7))),"")</f>
        <v/>
      </c>
      <c r="E325" s="124" t="str">
        <f>IFERROR(IF(LEN(INDEX(Database!G$9:G$501,ROW(Calc!D325)-ROW(Calc!$B$7)))=0,$AD$3,INDEX(Database!G$9:G$501,ROW(Calc!D325)-ROW(Calc!$B$7))),"")</f>
        <v>Not Set</v>
      </c>
      <c r="F325" s="124" t="str">
        <f>IFERROR(IF(LEN(INDEX(Database!F$9:F$501,ROW(Calc!E325)-ROW(Calc!$B$7)))=0,$AD$3,INDEX(Database!F$9:F$501,ROW(Calc!E325)-ROW(Calc!$B$7))),"")</f>
        <v>Not Set</v>
      </c>
      <c r="G325" s="128" t="str">
        <f>IFERROR(IF(LEN(INDEX(Database!H$9:H$501,ROW(Calc!F325)-ROW(Calc!$B$7)))=0,$AD$3,INDEX(Database!H$9:H$501,ROW(Calc!F325)-ROW(Calc!$B$7))),"")</f>
        <v>Not Set</v>
      </c>
      <c r="H325" s="128" t="str">
        <f>IFERROR(IF(LEN(INDEX(Database!I$9:I$501,ROW(Calc!G325)-ROW(Calc!$B$7)))=0,$AD$3,INDEX(Database!I$9:I$501,ROW(Calc!G325)-ROW(Calc!$B$7))),"")</f>
        <v>Not Set</v>
      </c>
      <c r="I325" s="128" t="str">
        <f>IFERROR(IF(LEN(INDEX(Database!J$9:J$501,ROW(Calc!H325)-ROW(Calc!$B$7)))=0,$AD$3,INDEX(Database!J$9:J$501,ROW(Calc!H325)-ROW(Calc!$B$7))),"")</f>
        <v>Not Set</v>
      </c>
      <c r="J325" s="128" t="str">
        <f t="shared" si="41"/>
        <v>Not Set</v>
      </c>
      <c r="K325" s="124" t="str">
        <f>IFERROR(IF(LEN(INDEX(Database!E$9:E$501,ROW(Calc!I325)-ROW(Calc!$B$7)))=0,"",INDEX(Database!E$9:E$501,ROW(Calc!I325)-ROW(Calc!$B$7))),"")</f>
        <v/>
      </c>
      <c r="L325" s="129" t="str">
        <f>IFERROR(IF(LEN(INDEX(Database!K$9:K$501,ROW(Calc!K325)-ROW(Calc!$B$7)))=0,$AD$3,INDEX(Database!K$9:K$501,ROW(Calc!K325)-ROW(Calc!$B$7))),"")</f>
        <v>Not Set</v>
      </c>
      <c r="M325" s="130" t="str">
        <f>IFERROR(IF(LEN(INDEX(Database!L$9:L$501,ROW(Calc!L325)-ROW(Calc!$B$7)))=0,$AD$3,INDEX(Database!L$9:L$501,ROW(Calc!L325)-ROW(Calc!$B$7))),"")</f>
        <v>Not Set</v>
      </c>
      <c r="N325" s="131" t="str">
        <f>IFERROR(IF(LEN(INDEX(Database!M$9:M$501,ROW(Calc!M325)-ROW(Calc!$B$7)))=0,"",INDEX(Database!M$9:M$501,ROW(Calc!M325)-ROW(Calc!$B$7))),"")</f>
        <v/>
      </c>
      <c r="O325" s="132" t="str">
        <f t="shared" si="45"/>
        <v/>
      </c>
      <c r="P325" s="125" t="str">
        <f t="shared" si="42"/>
        <v>Not Set</v>
      </c>
      <c r="Q325" s="125" t="str">
        <f t="shared" si="43"/>
        <v>Not Set</v>
      </c>
      <c r="R325" s="125" t="str">
        <f>IFERROR(IF(G325=$AD$3,$AD$3,INDEX(Kanban_Helper!$C$317:$C$328,MATCH(MONTH(G325),Kanban_Helper!$B$317:$B$328,0))&amp;" - "&amp;YEAR(G325)),"$AD$3")</f>
        <v>Not Set</v>
      </c>
      <c r="S325" s="125" t="str">
        <f>IFERROR(IF(I325=$AD$3,$AD$3,INDEX(Kanban_Helper!$C$317:$C$328,MATCH(MONTH(I325),Kanban_Helper!$B$317:$B$328,0))&amp;" - "&amp;YEAR(I325)),$AD$3)</f>
        <v>Not Set</v>
      </c>
      <c r="T325" s="125" t="str">
        <f t="shared" ca="1" si="46"/>
        <v/>
      </c>
      <c r="U325" s="125" t="str">
        <f t="shared" ca="1" si="47"/>
        <v/>
      </c>
      <c r="V325" s="125" t="str">
        <f t="shared" si="44"/>
        <v>Not Set</v>
      </c>
      <c r="W325" s="126" t="str">
        <f t="shared" si="48"/>
        <v/>
      </c>
      <c r="X325" s="126" t="str">
        <f t="shared" si="49"/>
        <v/>
      </c>
      <c r="Y325" s="125" t="str">
        <f>IFERROR(IF(LEN(D325)=0,"",IF(SUBTOTAL(3,E325:E325)=0,MIN($Y$7:Y324)-1,SUBTOTAL(3,$E$8:E325))),"")</f>
        <v/>
      </c>
      <c r="Z325" s="17"/>
      <c r="AA325" s="10"/>
      <c r="AB325" s="10"/>
      <c r="AC325" s="10"/>
      <c r="AD325" s="10"/>
      <c r="AE325" s="10"/>
      <c r="AF325" s="10"/>
      <c r="AG325" s="10"/>
      <c r="AH325" s="10"/>
      <c r="AI325" s="10"/>
      <c r="AJ325" s="10"/>
      <c r="AK325" s="10"/>
      <c r="AL325" s="10"/>
      <c r="AM325" s="10"/>
      <c r="AN325" s="10"/>
    </row>
    <row r="326" spans="2:40" hidden="1" x14ac:dyDescent="0.35">
      <c r="B326" s="15"/>
      <c r="C326" s="127" t="str">
        <f>IFERROR(IF(LEN(INDEX(Database!C$9:C$501,ROW(Calc!A326)-ROW(Calc!$B$7)))=0,"",INDEX(Database!C$9:C$501,ROW(Calc!A326)-ROW(Calc!$B$7))),"")</f>
        <v/>
      </c>
      <c r="D326" s="70" t="str">
        <f>IFERROR(IF(LEN(INDEX(Database!D$9:D$501,ROW(Calc!B326)-ROW(Calc!$B$7)))=0,"",INDEX(Database!D$9:D$501,ROW(Calc!B326)-ROW(Calc!$B$7))),"")</f>
        <v/>
      </c>
      <c r="E326" s="124" t="str">
        <f>IFERROR(IF(LEN(INDEX(Database!G$9:G$501,ROW(Calc!D326)-ROW(Calc!$B$7)))=0,$AD$3,INDEX(Database!G$9:G$501,ROW(Calc!D326)-ROW(Calc!$B$7))),"")</f>
        <v>Not Set</v>
      </c>
      <c r="F326" s="124" t="str">
        <f>IFERROR(IF(LEN(INDEX(Database!F$9:F$501,ROW(Calc!E326)-ROW(Calc!$B$7)))=0,$AD$3,INDEX(Database!F$9:F$501,ROW(Calc!E326)-ROW(Calc!$B$7))),"")</f>
        <v>Not Set</v>
      </c>
      <c r="G326" s="128" t="str">
        <f>IFERROR(IF(LEN(INDEX(Database!H$9:H$501,ROW(Calc!F326)-ROW(Calc!$B$7)))=0,$AD$3,INDEX(Database!H$9:H$501,ROW(Calc!F326)-ROW(Calc!$B$7))),"")</f>
        <v>Not Set</v>
      </c>
      <c r="H326" s="128" t="str">
        <f>IFERROR(IF(LEN(INDEX(Database!I$9:I$501,ROW(Calc!G326)-ROW(Calc!$B$7)))=0,$AD$3,INDEX(Database!I$9:I$501,ROW(Calc!G326)-ROW(Calc!$B$7))),"")</f>
        <v>Not Set</v>
      </c>
      <c r="I326" s="128" t="str">
        <f>IFERROR(IF(LEN(INDEX(Database!J$9:J$501,ROW(Calc!H326)-ROW(Calc!$B$7)))=0,$AD$3,INDEX(Database!J$9:J$501,ROW(Calc!H326)-ROW(Calc!$B$7))),"")</f>
        <v>Not Set</v>
      </c>
      <c r="J326" s="128" t="str">
        <f t="shared" si="41"/>
        <v>Not Set</v>
      </c>
      <c r="K326" s="124" t="str">
        <f>IFERROR(IF(LEN(INDEX(Database!E$9:E$501,ROW(Calc!I326)-ROW(Calc!$B$7)))=0,"",INDEX(Database!E$9:E$501,ROW(Calc!I326)-ROW(Calc!$B$7))),"")</f>
        <v/>
      </c>
      <c r="L326" s="129" t="str">
        <f>IFERROR(IF(LEN(INDEX(Database!K$9:K$501,ROW(Calc!K326)-ROW(Calc!$B$7)))=0,$AD$3,INDEX(Database!K$9:K$501,ROW(Calc!K326)-ROW(Calc!$B$7))),"")</f>
        <v>Not Set</v>
      </c>
      <c r="M326" s="130" t="str">
        <f>IFERROR(IF(LEN(INDEX(Database!L$9:L$501,ROW(Calc!L326)-ROW(Calc!$B$7)))=0,$AD$3,INDEX(Database!L$9:L$501,ROW(Calc!L326)-ROW(Calc!$B$7))),"")</f>
        <v>Not Set</v>
      </c>
      <c r="N326" s="131" t="str">
        <f>IFERROR(IF(LEN(INDEX(Database!M$9:M$501,ROW(Calc!M326)-ROW(Calc!$B$7)))=0,"",INDEX(Database!M$9:M$501,ROW(Calc!M326)-ROW(Calc!$B$7))),"")</f>
        <v/>
      </c>
      <c r="O326" s="132" t="str">
        <f t="shared" si="45"/>
        <v/>
      </c>
      <c r="P326" s="125" t="str">
        <f t="shared" si="42"/>
        <v>Not Set</v>
      </c>
      <c r="Q326" s="125" t="str">
        <f t="shared" si="43"/>
        <v>Not Set</v>
      </c>
      <c r="R326" s="125" t="str">
        <f>IFERROR(IF(G326=$AD$3,$AD$3,INDEX(Kanban_Helper!$C$317:$C$328,MATCH(MONTH(G326),Kanban_Helper!$B$317:$B$328,0))&amp;" - "&amp;YEAR(G326)),"$AD$3")</f>
        <v>Not Set</v>
      </c>
      <c r="S326" s="125" t="str">
        <f>IFERROR(IF(I326=$AD$3,$AD$3,INDEX(Kanban_Helper!$C$317:$C$328,MATCH(MONTH(I326),Kanban_Helper!$B$317:$B$328,0))&amp;" - "&amp;YEAR(I326)),$AD$3)</f>
        <v>Not Set</v>
      </c>
      <c r="T326" s="125" t="str">
        <f t="shared" ca="1" si="46"/>
        <v/>
      </c>
      <c r="U326" s="125" t="str">
        <f t="shared" ca="1" si="47"/>
        <v/>
      </c>
      <c r="V326" s="125" t="str">
        <f t="shared" si="44"/>
        <v>Not Set</v>
      </c>
      <c r="W326" s="126" t="str">
        <f t="shared" si="48"/>
        <v/>
      </c>
      <c r="X326" s="126" t="str">
        <f t="shared" si="49"/>
        <v/>
      </c>
      <c r="Y326" s="125" t="str">
        <f>IFERROR(IF(LEN(D326)=0,"",IF(SUBTOTAL(3,E326:E326)=0,MIN($Y$7:Y325)-1,SUBTOTAL(3,$E$8:E326))),"")</f>
        <v/>
      </c>
      <c r="Z326" s="17"/>
      <c r="AA326" s="10"/>
      <c r="AB326" s="10"/>
      <c r="AC326" s="10"/>
      <c r="AD326" s="10"/>
      <c r="AE326" s="10"/>
      <c r="AF326" s="10"/>
      <c r="AG326" s="10"/>
      <c r="AH326" s="10"/>
      <c r="AI326" s="10"/>
      <c r="AJ326" s="10"/>
      <c r="AK326" s="10"/>
      <c r="AL326" s="10"/>
      <c r="AM326" s="10"/>
      <c r="AN326" s="10"/>
    </row>
    <row r="327" spans="2:40" hidden="1" x14ac:dyDescent="0.35">
      <c r="B327" s="15"/>
      <c r="C327" s="127" t="str">
        <f>IFERROR(IF(LEN(INDEX(Database!C$9:C$501,ROW(Calc!A327)-ROW(Calc!$B$7)))=0,"",INDEX(Database!C$9:C$501,ROW(Calc!A327)-ROW(Calc!$B$7))),"")</f>
        <v/>
      </c>
      <c r="D327" s="70" t="str">
        <f>IFERROR(IF(LEN(INDEX(Database!D$9:D$501,ROW(Calc!B327)-ROW(Calc!$B$7)))=0,"",INDEX(Database!D$9:D$501,ROW(Calc!B327)-ROW(Calc!$B$7))),"")</f>
        <v/>
      </c>
      <c r="E327" s="124" t="str">
        <f>IFERROR(IF(LEN(INDEX(Database!G$9:G$501,ROW(Calc!D327)-ROW(Calc!$B$7)))=0,$AD$3,INDEX(Database!G$9:G$501,ROW(Calc!D327)-ROW(Calc!$B$7))),"")</f>
        <v>Not Set</v>
      </c>
      <c r="F327" s="124" t="str">
        <f>IFERROR(IF(LEN(INDEX(Database!F$9:F$501,ROW(Calc!E327)-ROW(Calc!$B$7)))=0,$AD$3,INDEX(Database!F$9:F$501,ROW(Calc!E327)-ROW(Calc!$B$7))),"")</f>
        <v>Not Set</v>
      </c>
      <c r="G327" s="128" t="str">
        <f>IFERROR(IF(LEN(INDEX(Database!H$9:H$501,ROW(Calc!F327)-ROW(Calc!$B$7)))=0,$AD$3,INDEX(Database!H$9:H$501,ROW(Calc!F327)-ROW(Calc!$B$7))),"")</f>
        <v>Not Set</v>
      </c>
      <c r="H327" s="128" t="str">
        <f>IFERROR(IF(LEN(INDEX(Database!I$9:I$501,ROW(Calc!G327)-ROW(Calc!$B$7)))=0,$AD$3,INDEX(Database!I$9:I$501,ROW(Calc!G327)-ROW(Calc!$B$7))),"")</f>
        <v>Not Set</v>
      </c>
      <c r="I327" s="128" t="str">
        <f>IFERROR(IF(LEN(INDEX(Database!J$9:J$501,ROW(Calc!H327)-ROW(Calc!$B$7)))=0,$AD$3,INDEX(Database!J$9:J$501,ROW(Calc!H327)-ROW(Calc!$B$7))),"")</f>
        <v>Not Set</v>
      </c>
      <c r="J327" s="128" t="str">
        <f t="shared" si="41"/>
        <v>Not Set</v>
      </c>
      <c r="K327" s="124" t="str">
        <f>IFERROR(IF(LEN(INDEX(Database!E$9:E$501,ROW(Calc!I327)-ROW(Calc!$B$7)))=0,"",INDEX(Database!E$9:E$501,ROW(Calc!I327)-ROW(Calc!$B$7))),"")</f>
        <v/>
      </c>
      <c r="L327" s="129" t="str">
        <f>IFERROR(IF(LEN(INDEX(Database!K$9:K$501,ROW(Calc!K327)-ROW(Calc!$B$7)))=0,$AD$3,INDEX(Database!K$9:K$501,ROW(Calc!K327)-ROW(Calc!$B$7))),"")</f>
        <v>Not Set</v>
      </c>
      <c r="M327" s="130" t="str">
        <f>IFERROR(IF(LEN(INDEX(Database!L$9:L$501,ROW(Calc!L327)-ROW(Calc!$B$7)))=0,$AD$3,INDEX(Database!L$9:L$501,ROW(Calc!L327)-ROW(Calc!$B$7))),"")</f>
        <v>Not Set</v>
      </c>
      <c r="N327" s="131" t="str">
        <f>IFERROR(IF(LEN(INDEX(Database!M$9:M$501,ROW(Calc!M327)-ROW(Calc!$B$7)))=0,"",INDEX(Database!M$9:M$501,ROW(Calc!M327)-ROW(Calc!$B$7))),"")</f>
        <v/>
      </c>
      <c r="O327" s="132" t="str">
        <f t="shared" si="45"/>
        <v/>
      </c>
      <c r="P327" s="125" t="str">
        <f t="shared" si="42"/>
        <v>Not Set</v>
      </c>
      <c r="Q327" s="125" t="str">
        <f t="shared" si="43"/>
        <v>Not Set</v>
      </c>
      <c r="R327" s="125" t="str">
        <f>IFERROR(IF(G327=$AD$3,$AD$3,INDEX(Kanban_Helper!$C$317:$C$328,MATCH(MONTH(G327),Kanban_Helper!$B$317:$B$328,0))&amp;" - "&amp;YEAR(G327)),"$AD$3")</f>
        <v>Not Set</v>
      </c>
      <c r="S327" s="125" t="str">
        <f>IFERROR(IF(I327=$AD$3,$AD$3,INDEX(Kanban_Helper!$C$317:$C$328,MATCH(MONTH(I327),Kanban_Helper!$B$317:$B$328,0))&amp;" - "&amp;YEAR(I327)),$AD$3)</f>
        <v>Not Set</v>
      </c>
      <c r="T327" s="125" t="str">
        <f t="shared" ca="1" si="46"/>
        <v/>
      </c>
      <c r="U327" s="125" t="str">
        <f t="shared" ca="1" si="47"/>
        <v/>
      </c>
      <c r="V327" s="125" t="str">
        <f t="shared" si="44"/>
        <v>Not Set</v>
      </c>
      <c r="W327" s="126" t="str">
        <f t="shared" si="48"/>
        <v/>
      </c>
      <c r="X327" s="126" t="str">
        <f t="shared" si="49"/>
        <v/>
      </c>
      <c r="Y327" s="125" t="str">
        <f>IFERROR(IF(LEN(D327)=0,"",IF(SUBTOTAL(3,E327:E327)=0,MIN($Y$7:Y326)-1,SUBTOTAL(3,$E$8:E327))),"")</f>
        <v/>
      </c>
      <c r="Z327" s="17"/>
      <c r="AA327" s="10"/>
      <c r="AB327" s="10"/>
      <c r="AC327" s="10"/>
      <c r="AD327" s="10"/>
      <c r="AE327" s="10"/>
      <c r="AF327" s="10"/>
      <c r="AG327" s="10"/>
      <c r="AH327" s="10"/>
      <c r="AI327" s="10"/>
      <c r="AJ327" s="10"/>
      <c r="AK327" s="10"/>
      <c r="AL327" s="10"/>
      <c r="AM327" s="10"/>
      <c r="AN327" s="10"/>
    </row>
    <row r="328" spans="2:40" hidden="1" x14ac:dyDescent="0.35">
      <c r="B328" s="15"/>
      <c r="C328" s="127" t="str">
        <f>IFERROR(IF(LEN(INDEX(Database!C$9:C$501,ROW(Calc!A328)-ROW(Calc!$B$7)))=0,"",INDEX(Database!C$9:C$501,ROW(Calc!A328)-ROW(Calc!$B$7))),"")</f>
        <v/>
      </c>
      <c r="D328" s="70" t="str">
        <f>IFERROR(IF(LEN(INDEX(Database!D$9:D$501,ROW(Calc!B328)-ROW(Calc!$B$7)))=0,"",INDEX(Database!D$9:D$501,ROW(Calc!B328)-ROW(Calc!$B$7))),"")</f>
        <v/>
      </c>
      <c r="E328" s="124" t="str">
        <f>IFERROR(IF(LEN(INDEX(Database!G$9:G$501,ROW(Calc!D328)-ROW(Calc!$B$7)))=0,$AD$3,INDEX(Database!G$9:G$501,ROW(Calc!D328)-ROW(Calc!$B$7))),"")</f>
        <v>Not Set</v>
      </c>
      <c r="F328" s="124" t="str">
        <f>IFERROR(IF(LEN(INDEX(Database!F$9:F$501,ROW(Calc!E328)-ROW(Calc!$B$7)))=0,$AD$3,INDEX(Database!F$9:F$501,ROW(Calc!E328)-ROW(Calc!$B$7))),"")</f>
        <v>Not Set</v>
      </c>
      <c r="G328" s="128" t="str">
        <f>IFERROR(IF(LEN(INDEX(Database!H$9:H$501,ROW(Calc!F328)-ROW(Calc!$B$7)))=0,$AD$3,INDEX(Database!H$9:H$501,ROW(Calc!F328)-ROW(Calc!$B$7))),"")</f>
        <v>Not Set</v>
      </c>
      <c r="H328" s="128" t="str">
        <f>IFERROR(IF(LEN(INDEX(Database!I$9:I$501,ROW(Calc!G328)-ROW(Calc!$B$7)))=0,$AD$3,INDEX(Database!I$9:I$501,ROW(Calc!G328)-ROW(Calc!$B$7))),"")</f>
        <v>Not Set</v>
      </c>
      <c r="I328" s="128" t="str">
        <f>IFERROR(IF(LEN(INDEX(Database!J$9:J$501,ROW(Calc!H328)-ROW(Calc!$B$7)))=0,$AD$3,INDEX(Database!J$9:J$501,ROW(Calc!H328)-ROW(Calc!$B$7))),"")</f>
        <v>Not Set</v>
      </c>
      <c r="J328" s="128" t="str">
        <f t="shared" ref="J328:J391" si="50">IFERROR(IF(I328=$AD$3,$AD$3,CONCATENATE(DAY(I328),".",MONTH(I328),".",YEAR(I328))),"")</f>
        <v>Not Set</v>
      </c>
      <c r="K328" s="124" t="str">
        <f>IFERROR(IF(LEN(INDEX(Database!E$9:E$501,ROW(Calc!I328)-ROW(Calc!$B$7)))=0,"",INDEX(Database!E$9:E$501,ROW(Calc!I328)-ROW(Calc!$B$7))),"")</f>
        <v/>
      </c>
      <c r="L328" s="129" t="str">
        <f>IFERROR(IF(LEN(INDEX(Database!K$9:K$501,ROW(Calc!K328)-ROW(Calc!$B$7)))=0,$AD$3,INDEX(Database!K$9:K$501,ROW(Calc!K328)-ROW(Calc!$B$7))),"")</f>
        <v>Not Set</v>
      </c>
      <c r="M328" s="130" t="str">
        <f>IFERROR(IF(LEN(INDEX(Database!L$9:L$501,ROW(Calc!L328)-ROW(Calc!$B$7)))=0,$AD$3,INDEX(Database!L$9:L$501,ROW(Calc!L328)-ROW(Calc!$B$7))),"")</f>
        <v>Not Set</v>
      </c>
      <c r="N328" s="131" t="str">
        <f>IFERROR(IF(LEN(INDEX(Database!M$9:M$501,ROW(Calc!M328)-ROW(Calc!$B$7)))=0,"",INDEX(Database!M$9:M$501,ROW(Calc!M328)-ROW(Calc!$B$7))),"")</f>
        <v/>
      </c>
      <c r="O328" s="132" t="str">
        <f t="shared" si="45"/>
        <v/>
      </c>
      <c r="P328" s="125" t="str">
        <f t="shared" ref="P328:P391" si="51">IFERROR(IF(G328=$AD$3,$AD$3,MONTH(G328)),"")</f>
        <v>Not Set</v>
      </c>
      <c r="Q328" s="125" t="str">
        <f t="shared" ref="Q328:Q391" si="52">IFERROR(IF(I328=$AD$3,$AD$3,MONTH(I328)),"")</f>
        <v>Not Set</v>
      </c>
      <c r="R328" s="125" t="str">
        <f>IFERROR(IF(G328=$AD$3,$AD$3,INDEX(Kanban_Helper!$C$317:$C$328,MATCH(MONTH(G328),Kanban_Helper!$B$317:$B$328,0))&amp;" - "&amp;YEAR(G328)),"$AD$3")</f>
        <v>Not Set</v>
      </c>
      <c r="S328" s="125" t="str">
        <f>IFERROR(IF(I328=$AD$3,$AD$3,INDEX(Kanban_Helper!$C$317:$C$328,MATCH(MONTH(I328),Kanban_Helper!$B$317:$B$328,0))&amp;" - "&amp;YEAR(I328)),$AD$3)</f>
        <v>Not Set</v>
      </c>
      <c r="T328" s="125" t="str">
        <f t="shared" ca="1" si="46"/>
        <v/>
      </c>
      <c r="U328" s="125" t="str">
        <f t="shared" ca="1" si="47"/>
        <v/>
      </c>
      <c r="V328" s="125" t="str">
        <f t="shared" ref="V328:V391" si="53">IFERROR(IF(OR(G328=$AD$3,H328=$AD$3),$AD$3,IF(H328&lt;=I328,"No","Yes")),$AD$3)</f>
        <v>Not Set</v>
      </c>
      <c r="W328" s="126" t="str">
        <f t="shared" si="48"/>
        <v/>
      </c>
      <c r="X328" s="126" t="str">
        <f t="shared" si="49"/>
        <v/>
      </c>
      <c r="Y328" s="125" t="str">
        <f>IFERROR(IF(LEN(D328)=0,"",IF(SUBTOTAL(3,E328:E328)=0,MIN($Y$7:Y327)-1,SUBTOTAL(3,$E$8:E328))),"")</f>
        <v/>
      </c>
      <c r="Z328" s="17"/>
      <c r="AA328" s="10"/>
      <c r="AB328" s="10"/>
      <c r="AC328" s="10"/>
      <c r="AD328" s="10"/>
      <c r="AE328" s="10"/>
      <c r="AF328" s="10"/>
      <c r="AG328" s="10"/>
      <c r="AH328" s="10"/>
      <c r="AI328" s="10"/>
      <c r="AJ328" s="10"/>
      <c r="AK328" s="10"/>
      <c r="AL328" s="10"/>
      <c r="AM328" s="10"/>
      <c r="AN328" s="10"/>
    </row>
    <row r="329" spans="2:40" hidden="1" x14ac:dyDescent="0.35">
      <c r="B329" s="15"/>
      <c r="C329" s="127" t="str">
        <f>IFERROR(IF(LEN(INDEX(Database!C$9:C$501,ROW(Calc!A329)-ROW(Calc!$B$7)))=0,"",INDEX(Database!C$9:C$501,ROW(Calc!A329)-ROW(Calc!$B$7))),"")</f>
        <v/>
      </c>
      <c r="D329" s="70" t="str">
        <f>IFERROR(IF(LEN(INDEX(Database!D$9:D$501,ROW(Calc!B329)-ROW(Calc!$B$7)))=0,"",INDEX(Database!D$9:D$501,ROW(Calc!B329)-ROW(Calc!$B$7))),"")</f>
        <v/>
      </c>
      <c r="E329" s="124" t="str">
        <f>IFERROR(IF(LEN(INDEX(Database!G$9:G$501,ROW(Calc!D329)-ROW(Calc!$B$7)))=0,$AD$3,INDEX(Database!G$9:G$501,ROW(Calc!D329)-ROW(Calc!$B$7))),"")</f>
        <v>Not Set</v>
      </c>
      <c r="F329" s="124" t="str">
        <f>IFERROR(IF(LEN(INDEX(Database!F$9:F$501,ROW(Calc!E329)-ROW(Calc!$B$7)))=0,$AD$3,INDEX(Database!F$9:F$501,ROW(Calc!E329)-ROW(Calc!$B$7))),"")</f>
        <v>Not Set</v>
      </c>
      <c r="G329" s="128" t="str">
        <f>IFERROR(IF(LEN(INDEX(Database!H$9:H$501,ROW(Calc!F329)-ROW(Calc!$B$7)))=0,$AD$3,INDEX(Database!H$9:H$501,ROW(Calc!F329)-ROW(Calc!$B$7))),"")</f>
        <v>Not Set</v>
      </c>
      <c r="H329" s="128" t="str">
        <f>IFERROR(IF(LEN(INDEX(Database!I$9:I$501,ROW(Calc!G329)-ROW(Calc!$B$7)))=0,$AD$3,INDEX(Database!I$9:I$501,ROW(Calc!G329)-ROW(Calc!$B$7))),"")</f>
        <v>Not Set</v>
      </c>
      <c r="I329" s="128" t="str">
        <f>IFERROR(IF(LEN(INDEX(Database!J$9:J$501,ROW(Calc!H329)-ROW(Calc!$B$7)))=0,$AD$3,INDEX(Database!J$9:J$501,ROW(Calc!H329)-ROW(Calc!$B$7))),"")</f>
        <v>Not Set</v>
      </c>
      <c r="J329" s="128" t="str">
        <f t="shared" si="50"/>
        <v>Not Set</v>
      </c>
      <c r="K329" s="124" t="str">
        <f>IFERROR(IF(LEN(INDEX(Database!E$9:E$501,ROW(Calc!I329)-ROW(Calc!$B$7)))=0,"",INDEX(Database!E$9:E$501,ROW(Calc!I329)-ROW(Calc!$B$7))),"")</f>
        <v/>
      </c>
      <c r="L329" s="129" t="str">
        <f>IFERROR(IF(LEN(INDEX(Database!K$9:K$501,ROW(Calc!K329)-ROW(Calc!$B$7)))=0,$AD$3,INDEX(Database!K$9:K$501,ROW(Calc!K329)-ROW(Calc!$B$7))),"")</f>
        <v>Not Set</v>
      </c>
      <c r="M329" s="130" t="str">
        <f>IFERROR(IF(LEN(INDEX(Database!L$9:L$501,ROW(Calc!L329)-ROW(Calc!$B$7)))=0,$AD$3,INDEX(Database!L$9:L$501,ROW(Calc!L329)-ROW(Calc!$B$7))),"")</f>
        <v>Not Set</v>
      </c>
      <c r="N329" s="131" t="str">
        <f>IFERROR(IF(LEN(INDEX(Database!M$9:M$501,ROW(Calc!M329)-ROW(Calc!$B$7)))=0,"",INDEX(Database!M$9:M$501,ROW(Calc!M329)-ROW(Calc!$B$7))),"")</f>
        <v/>
      </c>
      <c r="O329" s="132" t="str">
        <f t="shared" ref="O329:O392" si="54">IFERROR(IF(LEN(D329)=0,"",ROW(D329)-ROW($D$7)),"")</f>
        <v/>
      </c>
      <c r="P329" s="125" t="str">
        <f t="shared" si="51"/>
        <v>Not Set</v>
      </c>
      <c r="Q329" s="125" t="str">
        <f t="shared" si="52"/>
        <v>Not Set</v>
      </c>
      <c r="R329" s="125" t="str">
        <f>IFERROR(IF(G329=$AD$3,$AD$3,INDEX(Kanban_Helper!$C$317:$C$328,MATCH(MONTH(G329),Kanban_Helper!$B$317:$B$328,0))&amp;" - "&amp;YEAR(G329)),"$AD$3")</f>
        <v>Not Set</v>
      </c>
      <c r="S329" s="125" t="str">
        <f>IFERROR(IF(I329=$AD$3,$AD$3,INDEX(Kanban_Helper!$C$317:$C$328,MATCH(MONTH(I329),Kanban_Helper!$B$317:$B$328,0))&amp;" - "&amp;YEAR(I329)),$AD$3)</f>
        <v>Not Set</v>
      </c>
      <c r="T329" s="125" t="str">
        <f t="shared" ref="T329:T392" ca="1" si="55">IFERROR(IF(LEN(G329)=0,"",IF(LEN(H329)=0,TODAY()-G329,H329-G329)),"")</f>
        <v/>
      </c>
      <c r="U329" s="125" t="str">
        <f t="shared" ref="U329:U392" ca="1" si="56">IFERROR(IF(LEN(I329)=0,"",IF(LEN(H329)=0,IF(TODAY()&gt;=I329,TODAY()-I329,""),IF(H329&gt;I329,H329-I329,""))),"")</f>
        <v/>
      </c>
      <c r="V329" s="125" t="str">
        <f t="shared" si="53"/>
        <v>Not Set</v>
      </c>
      <c r="W329" s="126" t="str">
        <f t="shared" ref="W329:W392" si="57">IFERROR(IF(OR(LEN(L329)=0,LEN(M329)=0),"",L329*M329),"")</f>
        <v/>
      </c>
      <c r="X329" s="126" t="str">
        <f t="shared" ref="X329:X392" si="58">IFERROR(IF(OR(LEN(W329)=0,LEN(M329)=0),"",M329-W329),"")</f>
        <v/>
      </c>
      <c r="Y329" s="125" t="str">
        <f>IFERROR(IF(LEN(D329)=0,"",IF(SUBTOTAL(3,E329:E329)=0,MIN($Y$7:Y328)-1,SUBTOTAL(3,$E$8:E329))),"")</f>
        <v/>
      </c>
      <c r="Z329" s="17"/>
      <c r="AA329" s="10"/>
      <c r="AB329" s="10"/>
      <c r="AC329" s="10"/>
      <c r="AD329" s="10"/>
      <c r="AE329" s="10"/>
      <c r="AF329" s="10"/>
      <c r="AG329" s="10"/>
      <c r="AH329" s="10"/>
      <c r="AI329" s="10"/>
      <c r="AJ329" s="10"/>
      <c r="AK329" s="10"/>
      <c r="AL329" s="10"/>
      <c r="AM329" s="10"/>
      <c r="AN329" s="10"/>
    </row>
    <row r="330" spans="2:40" hidden="1" x14ac:dyDescent="0.35">
      <c r="B330" s="15"/>
      <c r="C330" s="127" t="str">
        <f>IFERROR(IF(LEN(INDEX(Database!C$9:C$501,ROW(Calc!A330)-ROW(Calc!$B$7)))=0,"",INDEX(Database!C$9:C$501,ROW(Calc!A330)-ROW(Calc!$B$7))),"")</f>
        <v/>
      </c>
      <c r="D330" s="70" t="str">
        <f>IFERROR(IF(LEN(INDEX(Database!D$9:D$501,ROW(Calc!B330)-ROW(Calc!$B$7)))=0,"",INDEX(Database!D$9:D$501,ROW(Calc!B330)-ROW(Calc!$B$7))),"")</f>
        <v/>
      </c>
      <c r="E330" s="124" t="str">
        <f>IFERROR(IF(LEN(INDEX(Database!G$9:G$501,ROW(Calc!D330)-ROW(Calc!$B$7)))=0,$AD$3,INDEX(Database!G$9:G$501,ROW(Calc!D330)-ROW(Calc!$B$7))),"")</f>
        <v>Not Set</v>
      </c>
      <c r="F330" s="124" t="str">
        <f>IFERROR(IF(LEN(INDEX(Database!F$9:F$501,ROW(Calc!E330)-ROW(Calc!$B$7)))=0,$AD$3,INDEX(Database!F$9:F$501,ROW(Calc!E330)-ROW(Calc!$B$7))),"")</f>
        <v>Not Set</v>
      </c>
      <c r="G330" s="128" t="str">
        <f>IFERROR(IF(LEN(INDEX(Database!H$9:H$501,ROW(Calc!F330)-ROW(Calc!$B$7)))=0,$AD$3,INDEX(Database!H$9:H$501,ROW(Calc!F330)-ROW(Calc!$B$7))),"")</f>
        <v>Not Set</v>
      </c>
      <c r="H330" s="128" t="str">
        <f>IFERROR(IF(LEN(INDEX(Database!I$9:I$501,ROW(Calc!G330)-ROW(Calc!$B$7)))=0,$AD$3,INDEX(Database!I$9:I$501,ROW(Calc!G330)-ROW(Calc!$B$7))),"")</f>
        <v>Not Set</v>
      </c>
      <c r="I330" s="128" t="str">
        <f>IFERROR(IF(LEN(INDEX(Database!J$9:J$501,ROW(Calc!H330)-ROW(Calc!$B$7)))=0,$AD$3,INDEX(Database!J$9:J$501,ROW(Calc!H330)-ROW(Calc!$B$7))),"")</f>
        <v>Not Set</v>
      </c>
      <c r="J330" s="128" t="str">
        <f t="shared" si="50"/>
        <v>Not Set</v>
      </c>
      <c r="K330" s="124" t="str">
        <f>IFERROR(IF(LEN(INDEX(Database!E$9:E$501,ROW(Calc!I330)-ROW(Calc!$B$7)))=0,"",INDEX(Database!E$9:E$501,ROW(Calc!I330)-ROW(Calc!$B$7))),"")</f>
        <v/>
      </c>
      <c r="L330" s="129" t="str">
        <f>IFERROR(IF(LEN(INDEX(Database!K$9:K$501,ROW(Calc!K330)-ROW(Calc!$B$7)))=0,$AD$3,INDEX(Database!K$9:K$501,ROW(Calc!K330)-ROW(Calc!$B$7))),"")</f>
        <v>Not Set</v>
      </c>
      <c r="M330" s="130" t="str">
        <f>IFERROR(IF(LEN(INDEX(Database!L$9:L$501,ROW(Calc!L330)-ROW(Calc!$B$7)))=0,$AD$3,INDEX(Database!L$9:L$501,ROW(Calc!L330)-ROW(Calc!$B$7))),"")</f>
        <v>Not Set</v>
      </c>
      <c r="N330" s="131" t="str">
        <f>IFERROR(IF(LEN(INDEX(Database!M$9:M$501,ROW(Calc!M330)-ROW(Calc!$B$7)))=0,"",INDEX(Database!M$9:M$501,ROW(Calc!M330)-ROW(Calc!$B$7))),"")</f>
        <v/>
      </c>
      <c r="O330" s="132" t="str">
        <f t="shared" si="54"/>
        <v/>
      </c>
      <c r="P330" s="125" t="str">
        <f t="shared" si="51"/>
        <v>Not Set</v>
      </c>
      <c r="Q330" s="125" t="str">
        <f t="shared" si="52"/>
        <v>Not Set</v>
      </c>
      <c r="R330" s="125" t="str">
        <f>IFERROR(IF(G330=$AD$3,$AD$3,INDEX(Kanban_Helper!$C$317:$C$328,MATCH(MONTH(G330),Kanban_Helper!$B$317:$B$328,0))&amp;" - "&amp;YEAR(G330)),"$AD$3")</f>
        <v>Not Set</v>
      </c>
      <c r="S330" s="125" t="str">
        <f>IFERROR(IF(I330=$AD$3,$AD$3,INDEX(Kanban_Helper!$C$317:$C$328,MATCH(MONTH(I330),Kanban_Helper!$B$317:$B$328,0))&amp;" - "&amp;YEAR(I330)),$AD$3)</f>
        <v>Not Set</v>
      </c>
      <c r="T330" s="125" t="str">
        <f t="shared" ca="1" si="55"/>
        <v/>
      </c>
      <c r="U330" s="125" t="str">
        <f t="shared" ca="1" si="56"/>
        <v/>
      </c>
      <c r="V330" s="125" t="str">
        <f t="shared" si="53"/>
        <v>Not Set</v>
      </c>
      <c r="W330" s="126" t="str">
        <f t="shared" si="57"/>
        <v/>
      </c>
      <c r="X330" s="126" t="str">
        <f t="shared" si="58"/>
        <v/>
      </c>
      <c r="Y330" s="125" t="str">
        <f>IFERROR(IF(LEN(D330)=0,"",IF(SUBTOTAL(3,E330:E330)=0,MIN($Y$7:Y329)-1,SUBTOTAL(3,$E$8:E330))),"")</f>
        <v/>
      </c>
      <c r="Z330" s="17"/>
      <c r="AA330" s="10"/>
      <c r="AB330" s="10"/>
      <c r="AC330" s="10"/>
      <c r="AD330" s="10"/>
      <c r="AE330" s="10"/>
      <c r="AF330" s="10"/>
      <c r="AG330" s="10"/>
      <c r="AH330" s="10"/>
      <c r="AI330" s="10"/>
      <c r="AJ330" s="10"/>
      <c r="AK330" s="10"/>
      <c r="AL330" s="10"/>
      <c r="AM330" s="10"/>
      <c r="AN330" s="10"/>
    </row>
    <row r="331" spans="2:40" hidden="1" x14ac:dyDescent="0.35">
      <c r="B331" s="15"/>
      <c r="C331" s="127" t="str">
        <f>IFERROR(IF(LEN(INDEX(Database!C$9:C$501,ROW(Calc!A331)-ROW(Calc!$B$7)))=0,"",INDEX(Database!C$9:C$501,ROW(Calc!A331)-ROW(Calc!$B$7))),"")</f>
        <v/>
      </c>
      <c r="D331" s="70" t="str">
        <f>IFERROR(IF(LEN(INDEX(Database!D$9:D$501,ROW(Calc!B331)-ROW(Calc!$B$7)))=0,"",INDEX(Database!D$9:D$501,ROW(Calc!B331)-ROW(Calc!$B$7))),"")</f>
        <v/>
      </c>
      <c r="E331" s="124" t="str">
        <f>IFERROR(IF(LEN(INDEX(Database!G$9:G$501,ROW(Calc!D331)-ROW(Calc!$B$7)))=0,$AD$3,INDEX(Database!G$9:G$501,ROW(Calc!D331)-ROW(Calc!$B$7))),"")</f>
        <v>Not Set</v>
      </c>
      <c r="F331" s="124" t="str">
        <f>IFERROR(IF(LEN(INDEX(Database!F$9:F$501,ROW(Calc!E331)-ROW(Calc!$B$7)))=0,$AD$3,INDEX(Database!F$9:F$501,ROW(Calc!E331)-ROW(Calc!$B$7))),"")</f>
        <v>Not Set</v>
      </c>
      <c r="G331" s="128" t="str">
        <f>IFERROR(IF(LEN(INDEX(Database!H$9:H$501,ROW(Calc!F331)-ROW(Calc!$B$7)))=0,$AD$3,INDEX(Database!H$9:H$501,ROW(Calc!F331)-ROW(Calc!$B$7))),"")</f>
        <v>Not Set</v>
      </c>
      <c r="H331" s="128" t="str">
        <f>IFERROR(IF(LEN(INDEX(Database!I$9:I$501,ROW(Calc!G331)-ROW(Calc!$B$7)))=0,$AD$3,INDEX(Database!I$9:I$501,ROW(Calc!G331)-ROW(Calc!$B$7))),"")</f>
        <v>Not Set</v>
      </c>
      <c r="I331" s="128" t="str">
        <f>IFERROR(IF(LEN(INDEX(Database!J$9:J$501,ROW(Calc!H331)-ROW(Calc!$B$7)))=0,$AD$3,INDEX(Database!J$9:J$501,ROW(Calc!H331)-ROW(Calc!$B$7))),"")</f>
        <v>Not Set</v>
      </c>
      <c r="J331" s="128" t="str">
        <f t="shared" si="50"/>
        <v>Not Set</v>
      </c>
      <c r="K331" s="124" t="str">
        <f>IFERROR(IF(LEN(INDEX(Database!E$9:E$501,ROW(Calc!I331)-ROW(Calc!$B$7)))=0,"",INDEX(Database!E$9:E$501,ROW(Calc!I331)-ROW(Calc!$B$7))),"")</f>
        <v/>
      </c>
      <c r="L331" s="129" t="str">
        <f>IFERROR(IF(LEN(INDEX(Database!K$9:K$501,ROW(Calc!K331)-ROW(Calc!$B$7)))=0,$AD$3,INDEX(Database!K$9:K$501,ROW(Calc!K331)-ROW(Calc!$B$7))),"")</f>
        <v>Not Set</v>
      </c>
      <c r="M331" s="130" t="str">
        <f>IFERROR(IF(LEN(INDEX(Database!L$9:L$501,ROW(Calc!L331)-ROW(Calc!$B$7)))=0,$AD$3,INDEX(Database!L$9:L$501,ROW(Calc!L331)-ROW(Calc!$B$7))),"")</f>
        <v>Not Set</v>
      </c>
      <c r="N331" s="131" t="str">
        <f>IFERROR(IF(LEN(INDEX(Database!M$9:M$501,ROW(Calc!M331)-ROW(Calc!$B$7)))=0,"",INDEX(Database!M$9:M$501,ROW(Calc!M331)-ROW(Calc!$B$7))),"")</f>
        <v/>
      </c>
      <c r="O331" s="132" t="str">
        <f t="shared" si="54"/>
        <v/>
      </c>
      <c r="P331" s="125" t="str">
        <f t="shared" si="51"/>
        <v>Not Set</v>
      </c>
      <c r="Q331" s="125" t="str">
        <f t="shared" si="52"/>
        <v>Not Set</v>
      </c>
      <c r="R331" s="125" t="str">
        <f>IFERROR(IF(G331=$AD$3,$AD$3,INDEX(Kanban_Helper!$C$317:$C$328,MATCH(MONTH(G331),Kanban_Helper!$B$317:$B$328,0))&amp;" - "&amp;YEAR(G331)),"$AD$3")</f>
        <v>Not Set</v>
      </c>
      <c r="S331" s="125" t="str">
        <f>IFERROR(IF(I331=$AD$3,$AD$3,INDEX(Kanban_Helper!$C$317:$C$328,MATCH(MONTH(I331),Kanban_Helper!$B$317:$B$328,0))&amp;" - "&amp;YEAR(I331)),$AD$3)</f>
        <v>Not Set</v>
      </c>
      <c r="T331" s="125" t="str">
        <f t="shared" ca="1" si="55"/>
        <v/>
      </c>
      <c r="U331" s="125" t="str">
        <f t="shared" ca="1" si="56"/>
        <v/>
      </c>
      <c r="V331" s="125" t="str">
        <f t="shared" si="53"/>
        <v>Not Set</v>
      </c>
      <c r="W331" s="126" t="str">
        <f t="shared" si="57"/>
        <v/>
      </c>
      <c r="X331" s="126" t="str">
        <f t="shared" si="58"/>
        <v/>
      </c>
      <c r="Y331" s="125" t="str">
        <f>IFERROR(IF(LEN(D331)=0,"",IF(SUBTOTAL(3,E331:E331)=0,MIN($Y$7:Y330)-1,SUBTOTAL(3,$E$8:E331))),"")</f>
        <v/>
      </c>
      <c r="Z331" s="17"/>
      <c r="AA331" s="10"/>
      <c r="AB331" s="10"/>
      <c r="AC331" s="10"/>
      <c r="AD331" s="10"/>
      <c r="AE331" s="10"/>
      <c r="AF331" s="10"/>
      <c r="AG331" s="10"/>
      <c r="AH331" s="10"/>
      <c r="AI331" s="10"/>
      <c r="AJ331" s="10"/>
      <c r="AK331" s="10"/>
      <c r="AL331" s="10"/>
      <c r="AM331" s="10"/>
      <c r="AN331" s="10"/>
    </row>
    <row r="332" spans="2:40" hidden="1" x14ac:dyDescent="0.35">
      <c r="B332" s="15"/>
      <c r="C332" s="127" t="str">
        <f>IFERROR(IF(LEN(INDEX(Database!C$9:C$501,ROW(Calc!A332)-ROW(Calc!$B$7)))=0,"",INDEX(Database!C$9:C$501,ROW(Calc!A332)-ROW(Calc!$B$7))),"")</f>
        <v/>
      </c>
      <c r="D332" s="70" t="str">
        <f>IFERROR(IF(LEN(INDEX(Database!D$9:D$501,ROW(Calc!B332)-ROW(Calc!$B$7)))=0,"",INDEX(Database!D$9:D$501,ROW(Calc!B332)-ROW(Calc!$B$7))),"")</f>
        <v/>
      </c>
      <c r="E332" s="124" t="str">
        <f>IFERROR(IF(LEN(INDEX(Database!G$9:G$501,ROW(Calc!D332)-ROW(Calc!$B$7)))=0,$AD$3,INDEX(Database!G$9:G$501,ROW(Calc!D332)-ROW(Calc!$B$7))),"")</f>
        <v>Not Set</v>
      </c>
      <c r="F332" s="124" t="str">
        <f>IFERROR(IF(LEN(INDEX(Database!F$9:F$501,ROW(Calc!E332)-ROW(Calc!$B$7)))=0,$AD$3,INDEX(Database!F$9:F$501,ROW(Calc!E332)-ROW(Calc!$B$7))),"")</f>
        <v>Not Set</v>
      </c>
      <c r="G332" s="128" t="str">
        <f>IFERROR(IF(LEN(INDEX(Database!H$9:H$501,ROW(Calc!F332)-ROW(Calc!$B$7)))=0,$AD$3,INDEX(Database!H$9:H$501,ROW(Calc!F332)-ROW(Calc!$B$7))),"")</f>
        <v>Not Set</v>
      </c>
      <c r="H332" s="128" t="str">
        <f>IFERROR(IF(LEN(INDEX(Database!I$9:I$501,ROW(Calc!G332)-ROW(Calc!$B$7)))=0,$AD$3,INDEX(Database!I$9:I$501,ROW(Calc!G332)-ROW(Calc!$B$7))),"")</f>
        <v>Not Set</v>
      </c>
      <c r="I332" s="128" t="str">
        <f>IFERROR(IF(LEN(INDEX(Database!J$9:J$501,ROW(Calc!H332)-ROW(Calc!$B$7)))=0,$AD$3,INDEX(Database!J$9:J$501,ROW(Calc!H332)-ROW(Calc!$B$7))),"")</f>
        <v>Not Set</v>
      </c>
      <c r="J332" s="128" t="str">
        <f t="shared" si="50"/>
        <v>Not Set</v>
      </c>
      <c r="K332" s="124" t="str">
        <f>IFERROR(IF(LEN(INDEX(Database!E$9:E$501,ROW(Calc!I332)-ROW(Calc!$B$7)))=0,"",INDEX(Database!E$9:E$501,ROW(Calc!I332)-ROW(Calc!$B$7))),"")</f>
        <v/>
      </c>
      <c r="L332" s="129" t="str">
        <f>IFERROR(IF(LEN(INDEX(Database!K$9:K$501,ROW(Calc!K332)-ROW(Calc!$B$7)))=0,$AD$3,INDEX(Database!K$9:K$501,ROW(Calc!K332)-ROW(Calc!$B$7))),"")</f>
        <v>Not Set</v>
      </c>
      <c r="M332" s="130" t="str">
        <f>IFERROR(IF(LEN(INDEX(Database!L$9:L$501,ROW(Calc!L332)-ROW(Calc!$B$7)))=0,$AD$3,INDEX(Database!L$9:L$501,ROW(Calc!L332)-ROW(Calc!$B$7))),"")</f>
        <v>Not Set</v>
      </c>
      <c r="N332" s="131" t="str">
        <f>IFERROR(IF(LEN(INDEX(Database!M$9:M$501,ROW(Calc!M332)-ROW(Calc!$B$7)))=0,"",INDEX(Database!M$9:M$501,ROW(Calc!M332)-ROW(Calc!$B$7))),"")</f>
        <v/>
      </c>
      <c r="O332" s="132" t="str">
        <f t="shared" si="54"/>
        <v/>
      </c>
      <c r="P332" s="125" t="str">
        <f t="shared" si="51"/>
        <v>Not Set</v>
      </c>
      <c r="Q332" s="125" t="str">
        <f t="shared" si="52"/>
        <v>Not Set</v>
      </c>
      <c r="R332" s="125" t="str">
        <f>IFERROR(IF(G332=$AD$3,$AD$3,INDEX(Kanban_Helper!$C$317:$C$328,MATCH(MONTH(G332),Kanban_Helper!$B$317:$B$328,0))&amp;" - "&amp;YEAR(G332)),"$AD$3")</f>
        <v>Not Set</v>
      </c>
      <c r="S332" s="125" t="str">
        <f>IFERROR(IF(I332=$AD$3,$AD$3,INDEX(Kanban_Helper!$C$317:$C$328,MATCH(MONTH(I332),Kanban_Helper!$B$317:$B$328,0))&amp;" - "&amp;YEAR(I332)),$AD$3)</f>
        <v>Not Set</v>
      </c>
      <c r="T332" s="125" t="str">
        <f t="shared" ca="1" si="55"/>
        <v/>
      </c>
      <c r="U332" s="125" t="str">
        <f t="shared" ca="1" si="56"/>
        <v/>
      </c>
      <c r="V332" s="125" t="str">
        <f t="shared" si="53"/>
        <v>Not Set</v>
      </c>
      <c r="W332" s="126" t="str">
        <f t="shared" si="57"/>
        <v/>
      </c>
      <c r="X332" s="126" t="str">
        <f t="shared" si="58"/>
        <v/>
      </c>
      <c r="Y332" s="125" t="str">
        <f>IFERROR(IF(LEN(D332)=0,"",IF(SUBTOTAL(3,E332:E332)=0,MIN($Y$7:Y331)-1,SUBTOTAL(3,$E$8:E332))),"")</f>
        <v/>
      </c>
      <c r="Z332" s="17"/>
      <c r="AA332" s="10"/>
      <c r="AB332" s="10"/>
      <c r="AC332" s="10"/>
      <c r="AD332" s="10"/>
      <c r="AE332" s="10"/>
      <c r="AF332" s="10"/>
      <c r="AG332" s="10"/>
      <c r="AH332" s="10"/>
      <c r="AI332" s="10"/>
      <c r="AJ332" s="10"/>
      <c r="AK332" s="10"/>
      <c r="AL332" s="10"/>
      <c r="AM332" s="10"/>
      <c r="AN332" s="10"/>
    </row>
    <row r="333" spans="2:40" hidden="1" x14ac:dyDescent="0.35">
      <c r="B333" s="15"/>
      <c r="C333" s="127" t="str">
        <f>IFERROR(IF(LEN(INDEX(Database!C$9:C$501,ROW(Calc!A333)-ROW(Calc!$B$7)))=0,"",INDEX(Database!C$9:C$501,ROW(Calc!A333)-ROW(Calc!$B$7))),"")</f>
        <v/>
      </c>
      <c r="D333" s="70" t="str">
        <f>IFERROR(IF(LEN(INDEX(Database!D$9:D$501,ROW(Calc!B333)-ROW(Calc!$B$7)))=0,"",INDEX(Database!D$9:D$501,ROW(Calc!B333)-ROW(Calc!$B$7))),"")</f>
        <v/>
      </c>
      <c r="E333" s="124" t="str">
        <f>IFERROR(IF(LEN(INDEX(Database!G$9:G$501,ROW(Calc!D333)-ROW(Calc!$B$7)))=0,$AD$3,INDEX(Database!G$9:G$501,ROW(Calc!D333)-ROW(Calc!$B$7))),"")</f>
        <v>Not Set</v>
      </c>
      <c r="F333" s="124" t="str">
        <f>IFERROR(IF(LEN(INDEX(Database!F$9:F$501,ROW(Calc!E333)-ROW(Calc!$B$7)))=0,$AD$3,INDEX(Database!F$9:F$501,ROW(Calc!E333)-ROW(Calc!$B$7))),"")</f>
        <v>Not Set</v>
      </c>
      <c r="G333" s="128" t="str">
        <f>IFERROR(IF(LEN(INDEX(Database!H$9:H$501,ROW(Calc!F333)-ROW(Calc!$B$7)))=0,$AD$3,INDEX(Database!H$9:H$501,ROW(Calc!F333)-ROW(Calc!$B$7))),"")</f>
        <v>Not Set</v>
      </c>
      <c r="H333" s="128" t="str">
        <f>IFERROR(IF(LEN(INDEX(Database!I$9:I$501,ROW(Calc!G333)-ROW(Calc!$B$7)))=0,$AD$3,INDEX(Database!I$9:I$501,ROW(Calc!G333)-ROW(Calc!$B$7))),"")</f>
        <v>Not Set</v>
      </c>
      <c r="I333" s="128" t="str">
        <f>IFERROR(IF(LEN(INDEX(Database!J$9:J$501,ROW(Calc!H333)-ROW(Calc!$B$7)))=0,$AD$3,INDEX(Database!J$9:J$501,ROW(Calc!H333)-ROW(Calc!$B$7))),"")</f>
        <v>Not Set</v>
      </c>
      <c r="J333" s="128" t="str">
        <f t="shared" si="50"/>
        <v>Not Set</v>
      </c>
      <c r="K333" s="124" t="str">
        <f>IFERROR(IF(LEN(INDEX(Database!E$9:E$501,ROW(Calc!I333)-ROW(Calc!$B$7)))=0,"",INDEX(Database!E$9:E$501,ROW(Calc!I333)-ROW(Calc!$B$7))),"")</f>
        <v/>
      </c>
      <c r="L333" s="129" t="str">
        <f>IFERROR(IF(LEN(INDEX(Database!K$9:K$501,ROW(Calc!K333)-ROW(Calc!$B$7)))=0,$AD$3,INDEX(Database!K$9:K$501,ROW(Calc!K333)-ROW(Calc!$B$7))),"")</f>
        <v>Not Set</v>
      </c>
      <c r="M333" s="130" t="str">
        <f>IFERROR(IF(LEN(INDEX(Database!L$9:L$501,ROW(Calc!L333)-ROW(Calc!$B$7)))=0,$AD$3,INDEX(Database!L$9:L$501,ROW(Calc!L333)-ROW(Calc!$B$7))),"")</f>
        <v>Not Set</v>
      </c>
      <c r="N333" s="131" t="str">
        <f>IFERROR(IF(LEN(INDEX(Database!M$9:M$501,ROW(Calc!M333)-ROW(Calc!$B$7)))=0,"",INDEX(Database!M$9:M$501,ROW(Calc!M333)-ROW(Calc!$B$7))),"")</f>
        <v/>
      </c>
      <c r="O333" s="132" t="str">
        <f t="shared" si="54"/>
        <v/>
      </c>
      <c r="P333" s="125" t="str">
        <f t="shared" si="51"/>
        <v>Not Set</v>
      </c>
      <c r="Q333" s="125" t="str">
        <f t="shared" si="52"/>
        <v>Not Set</v>
      </c>
      <c r="R333" s="125" t="str">
        <f>IFERROR(IF(G333=$AD$3,$AD$3,INDEX(Kanban_Helper!$C$317:$C$328,MATCH(MONTH(G333),Kanban_Helper!$B$317:$B$328,0))&amp;" - "&amp;YEAR(G333)),"$AD$3")</f>
        <v>Not Set</v>
      </c>
      <c r="S333" s="125" t="str">
        <f>IFERROR(IF(I333=$AD$3,$AD$3,INDEX(Kanban_Helper!$C$317:$C$328,MATCH(MONTH(I333),Kanban_Helper!$B$317:$B$328,0))&amp;" - "&amp;YEAR(I333)),$AD$3)</f>
        <v>Not Set</v>
      </c>
      <c r="T333" s="125" t="str">
        <f t="shared" ca="1" si="55"/>
        <v/>
      </c>
      <c r="U333" s="125" t="str">
        <f t="shared" ca="1" si="56"/>
        <v/>
      </c>
      <c r="V333" s="125" t="str">
        <f t="shared" si="53"/>
        <v>Not Set</v>
      </c>
      <c r="W333" s="126" t="str">
        <f t="shared" si="57"/>
        <v/>
      </c>
      <c r="X333" s="126" t="str">
        <f t="shared" si="58"/>
        <v/>
      </c>
      <c r="Y333" s="125" t="str">
        <f>IFERROR(IF(LEN(D333)=0,"",IF(SUBTOTAL(3,E333:E333)=0,MIN($Y$7:Y332)-1,SUBTOTAL(3,$E$8:E333))),"")</f>
        <v/>
      </c>
      <c r="Z333" s="17"/>
      <c r="AA333" s="10"/>
      <c r="AB333" s="10"/>
      <c r="AC333" s="10"/>
      <c r="AD333" s="10"/>
      <c r="AE333" s="10"/>
      <c r="AF333" s="10"/>
      <c r="AG333" s="10"/>
      <c r="AH333" s="10"/>
      <c r="AI333" s="10"/>
      <c r="AJ333" s="10"/>
      <c r="AK333" s="10"/>
      <c r="AL333" s="10"/>
      <c r="AM333" s="10"/>
      <c r="AN333" s="10"/>
    </row>
    <row r="334" spans="2:40" hidden="1" x14ac:dyDescent="0.35">
      <c r="B334" s="15"/>
      <c r="C334" s="127" t="str">
        <f>IFERROR(IF(LEN(INDEX(Database!C$9:C$501,ROW(Calc!A334)-ROW(Calc!$B$7)))=0,"",INDEX(Database!C$9:C$501,ROW(Calc!A334)-ROW(Calc!$B$7))),"")</f>
        <v/>
      </c>
      <c r="D334" s="70" t="str">
        <f>IFERROR(IF(LEN(INDEX(Database!D$9:D$501,ROW(Calc!B334)-ROW(Calc!$B$7)))=0,"",INDEX(Database!D$9:D$501,ROW(Calc!B334)-ROW(Calc!$B$7))),"")</f>
        <v/>
      </c>
      <c r="E334" s="124" t="str">
        <f>IFERROR(IF(LEN(INDEX(Database!G$9:G$501,ROW(Calc!D334)-ROW(Calc!$B$7)))=0,$AD$3,INDEX(Database!G$9:G$501,ROW(Calc!D334)-ROW(Calc!$B$7))),"")</f>
        <v>Not Set</v>
      </c>
      <c r="F334" s="124" t="str">
        <f>IFERROR(IF(LEN(INDEX(Database!F$9:F$501,ROW(Calc!E334)-ROW(Calc!$B$7)))=0,$AD$3,INDEX(Database!F$9:F$501,ROW(Calc!E334)-ROW(Calc!$B$7))),"")</f>
        <v>Not Set</v>
      </c>
      <c r="G334" s="128" t="str">
        <f>IFERROR(IF(LEN(INDEX(Database!H$9:H$501,ROW(Calc!F334)-ROW(Calc!$B$7)))=0,$AD$3,INDEX(Database!H$9:H$501,ROW(Calc!F334)-ROW(Calc!$B$7))),"")</f>
        <v>Not Set</v>
      </c>
      <c r="H334" s="128" t="str">
        <f>IFERROR(IF(LEN(INDEX(Database!I$9:I$501,ROW(Calc!G334)-ROW(Calc!$B$7)))=0,$AD$3,INDEX(Database!I$9:I$501,ROW(Calc!G334)-ROW(Calc!$B$7))),"")</f>
        <v>Not Set</v>
      </c>
      <c r="I334" s="128" t="str">
        <f>IFERROR(IF(LEN(INDEX(Database!J$9:J$501,ROW(Calc!H334)-ROW(Calc!$B$7)))=0,$AD$3,INDEX(Database!J$9:J$501,ROW(Calc!H334)-ROW(Calc!$B$7))),"")</f>
        <v>Not Set</v>
      </c>
      <c r="J334" s="128" t="str">
        <f t="shared" si="50"/>
        <v>Not Set</v>
      </c>
      <c r="K334" s="124" t="str">
        <f>IFERROR(IF(LEN(INDEX(Database!E$9:E$501,ROW(Calc!I334)-ROW(Calc!$B$7)))=0,"",INDEX(Database!E$9:E$501,ROW(Calc!I334)-ROW(Calc!$B$7))),"")</f>
        <v/>
      </c>
      <c r="L334" s="129" t="str">
        <f>IFERROR(IF(LEN(INDEX(Database!K$9:K$501,ROW(Calc!K334)-ROW(Calc!$B$7)))=0,$AD$3,INDEX(Database!K$9:K$501,ROW(Calc!K334)-ROW(Calc!$B$7))),"")</f>
        <v>Not Set</v>
      </c>
      <c r="M334" s="130" t="str">
        <f>IFERROR(IF(LEN(INDEX(Database!L$9:L$501,ROW(Calc!L334)-ROW(Calc!$B$7)))=0,$AD$3,INDEX(Database!L$9:L$501,ROW(Calc!L334)-ROW(Calc!$B$7))),"")</f>
        <v>Not Set</v>
      </c>
      <c r="N334" s="131" t="str">
        <f>IFERROR(IF(LEN(INDEX(Database!M$9:M$501,ROW(Calc!M334)-ROW(Calc!$B$7)))=0,"",INDEX(Database!M$9:M$501,ROW(Calc!M334)-ROW(Calc!$B$7))),"")</f>
        <v/>
      </c>
      <c r="O334" s="132" t="str">
        <f t="shared" si="54"/>
        <v/>
      </c>
      <c r="P334" s="125" t="str">
        <f t="shared" si="51"/>
        <v>Not Set</v>
      </c>
      <c r="Q334" s="125" t="str">
        <f t="shared" si="52"/>
        <v>Not Set</v>
      </c>
      <c r="R334" s="125" t="str">
        <f>IFERROR(IF(G334=$AD$3,$AD$3,INDEX(Kanban_Helper!$C$317:$C$328,MATCH(MONTH(G334),Kanban_Helper!$B$317:$B$328,0))&amp;" - "&amp;YEAR(G334)),"$AD$3")</f>
        <v>Not Set</v>
      </c>
      <c r="S334" s="125" t="str">
        <f>IFERROR(IF(I334=$AD$3,$AD$3,INDEX(Kanban_Helper!$C$317:$C$328,MATCH(MONTH(I334),Kanban_Helper!$B$317:$B$328,0))&amp;" - "&amp;YEAR(I334)),$AD$3)</f>
        <v>Not Set</v>
      </c>
      <c r="T334" s="125" t="str">
        <f t="shared" ca="1" si="55"/>
        <v/>
      </c>
      <c r="U334" s="125" t="str">
        <f t="shared" ca="1" si="56"/>
        <v/>
      </c>
      <c r="V334" s="125" t="str">
        <f t="shared" si="53"/>
        <v>Not Set</v>
      </c>
      <c r="W334" s="126" t="str">
        <f t="shared" si="57"/>
        <v/>
      </c>
      <c r="X334" s="126" t="str">
        <f t="shared" si="58"/>
        <v/>
      </c>
      <c r="Y334" s="125" t="str">
        <f>IFERROR(IF(LEN(D334)=0,"",IF(SUBTOTAL(3,E334:E334)=0,MIN($Y$7:Y333)-1,SUBTOTAL(3,$E$8:E334))),"")</f>
        <v/>
      </c>
      <c r="Z334" s="17"/>
      <c r="AA334" s="10"/>
      <c r="AB334" s="10"/>
      <c r="AC334" s="10"/>
      <c r="AD334" s="10"/>
      <c r="AE334" s="10"/>
      <c r="AF334" s="10"/>
      <c r="AG334" s="10"/>
      <c r="AH334" s="10"/>
      <c r="AI334" s="10"/>
      <c r="AJ334" s="10"/>
      <c r="AK334" s="10"/>
      <c r="AL334" s="10"/>
      <c r="AM334" s="10"/>
      <c r="AN334" s="10"/>
    </row>
    <row r="335" spans="2:40" hidden="1" x14ac:dyDescent="0.35">
      <c r="B335" s="15"/>
      <c r="C335" s="127" t="str">
        <f>IFERROR(IF(LEN(INDEX(Database!C$9:C$501,ROW(Calc!A335)-ROW(Calc!$B$7)))=0,"",INDEX(Database!C$9:C$501,ROW(Calc!A335)-ROW(Calc!$B$7))),"")</f>
        <v/>
      </c>
      <c r="D335" s="70" t="str">
        <f>IFERROR(IF(LEN(INDEX(Database!D$9:D$501,ROW(Calc!B335)-ROW(Calc!$B$7)))=0,"",INDEX(Database!D$9:D$501,ROW(Calc!B335)-ROW(Calc!$B$7))),"")</f>
        <v/>
      </c>
      <c r="E335" s="124" t="str">
        <f>IFERROR(IF(LEN(INDEX(Database!G$9:G$501,ROW(Calc!D335)-ROW(Calc!$B$7)))=0,$AD$3,INDEX(Database!G$9:G$501,ROW(Calc!D335)-ROW(Calc!$B$7))),"")</f>
        <v>Not Set</v>
      </c>
      <c r="F335" s="124" t="str">
        <f>IFERROR(IF(LEN(INDEX(Database!F$9:F$501,ROW(Calc!E335)-ROW(Calc!$B$7)))=0,$AD$3,INDEX(Database!F$9:F$501,ROW(Calc!E335)-ROW(Calc!$B$7))),"")</f>
        <v>Not Set</v>
      </c>
      <c r="G335" s="128" t="str">
        <f>IFERROR(IF(LEN(INDEX(Database!H$9:H$501,ROW(Calc!F335)-ROW(Calc!$B$7)))=0,$AD$3,INDEX(Database!H$9:H$501,ROW(Calc!F335)-ROW(Calc!$B$7))),"")</f>
        <v>Not Set</v>
      </c>
      <c r="H335" s="128" t="str">
        <f>IFERROR(IF(LEN(INDEX(Database!I$9:I$501,ROW(Calc!G335)-ROW(Calc!$B$7)))=0,$AD$3,INDEX(Database!I$9:I$501,ROW(Calc!G335)-ROW(Calc!$B$7))),"")</f>
        <v>Not Set</v>
      </c>
      <c r="I335" s="128" t="str">
        <f>IFERROR(IF(LEN(INDEX(Database!J$9:J$501,ROW(Calc!H335)-ROW(Calc!$B$7)))=0,$AD$3,INDEX(Database!J$9:J$501,ROW(Calc!H335)-ROW(Calc!$B$7))),"")</f>
        <v>Not Set</v>
      </c>
      <c r="J335" s="128" t="str">
        <f t="shared" si="50"/>
        <v>Not Set</v>
      </c>
      <c r="K335" s="124" t="str">
        <f>IFERROR(IF(LEN(INDEX(Database!E$9:E$501,ROW(Calc!I335)-ROW(Calc!$B$7)))=0,"",INDEX(Database!E$9:E$501,ROW(Calc!I335)-ROW(Calc!$B$7))),"")</f>
        <v/>
      </c>
      <c r="L335" s="129" t="str">
        <f>IFERROR(IF(LEN(INDEX(Database!K$9:K$501,ROW(Calc!K335)-ROW(Calc!$B$7)))=0,$AD$3,INDEX(Database!K$9:K$501,ROW(Calc!K335)-ROW(Calc!$B$7))),"")</f>
        <v>Not Set</v>
      </c>
      <c r="M335" s="130" t="str">
        <f>IFERROR(IF(LEN(INDEX(Database!L$9:L$501,ROW(Calc!L335)-ROW(Calc!$B$7)))=0,$AD$3,INDEX(Database!L$9:L$501,ROW(Calc!L335)-ROW(Calc!$B$7))),"")</f>
        <v>Not Set</v>
      </c>
      <c r="N335" s="131" t="str">
        <f>IFERROR(IF(LEN(INDEX(Database!M$9:M$501,ROW(Calc!M335)-ROW(Calc!$B$7)))=0,"",INDEX(Database!M$9:M$501,ROW(Calc!M335)-ROW(Calc!$B$7))),"")</f>
        <v/>
      </c>
      <c r="O335" s="132" t="str">
        <f t="shared" si="54"/>
        <v/>
      </c>
      <c r="P335" s="125" t="str">
        <f t="shared" si="51"/>
        <v>Not Set</v>
      </c>
      <c r="Q335" s="125" t="str">
        <f t="shared" si="52"/>
        <v>Not Set</v>
      </c>
      <c r="R335" s="125" t="str">
        <f>IFERROR(IF(G335=$AD$3,$AD$3,INDEX(Kanban_Helper!$C$317:$C$328,MATCH(MONTH(G335),Kanban_Helper!$B$317:$B$328,0))&amp;" - "&amp;YEAR(G335)),"$AD$3")</f>
        <v>Not Set</v>
      </c>
      <c r="S335" s="125" t="str">
        <f>IFERROR(IF(I335=$AD$3,$AD$3,INDEX(Kanban_Helper!$C$317:$C$328,MATCH(MONTH(I335),Kanban_Helper!$B$317:$B$328,0))&amp;" - "&amp;YEAR(I335)),$AD$3)</f>
        <v>Not Set</v>
      </c>
      <c r="T335" s="125" t="str">
        <f t="shared" ca="1" si="55"/>
        <v/>
      </c>
      <c r="U335" s="125" t="str">
        <f t="shared" ca="1" si="56"/>
        <v/>
      </c>
      <c r="V335" s="125" t="str">
        <f t="shared" si="53"/>
        <v>Not Set</v>
      </c>
      <c r="W335" s="126" t="str">
        <f t="shared" si="57"/>
        <v/>
      </c>
      <c r="X335" s="126" t="str">
        <f t="shared" si="58"/>
        <v/>
      </c>
      <c r="Y335" s="125" t="str">
        <f>IFERROR(IF(LEN(D335)=0,"",IF(SUBTOTAL(3,E335:E335)=0,MIN($Y$7:Y334)-1,SUBTOTAL(3,$E$8:E335))),"")</f>
        <v/>
      </c>
      <c r="Z335" s="17"/>
      <c r="AA335" s="10"/>
      <c r="AB335" s="10"/>
      <c r="AC335" s="10"/>
      <c r="AD335" s="10"/>
      <c r="AE335" s="10"/>
      <c r="AF335" s="10"/>
      <c r="AG335" s="10"/>
      <c r="AH335" s="10"/>
      <c r="AI335" s="10"/>
      <c r="AJ335" s="10"/>
      <c r="AK335" s="10"/>
      <c r="AL335" s="10"/>
      <c r="AM335" s="10"/>
      <c r="AN335" s="10"/>
    </row>
    <row r="336" spans="2:40" hidden="1" x14ac:dyDescent="0.35">
      <c r="B336" s="15"/>
      <c r="C336" s="127" t="str">
        <f>IFERROR(IF(LEN(INDEX(Database!C$9:C$501,ROW(Calc!A336)-ROW(Calc!$B$7)))=0,"",INDEX(Database!C$9:C$501,ROW(Calc!A336)-ROW(Calc!$B$7))),"")</f>
        <v/>
      </c>
      <c r="D336" s="70" t="str">
        <f>IFERROR(IF(LEN(INDEX(Database!D$9:D$501,ROW(Calc!B336)-ROW(Calc!$B$7)))=0,"",INDEX(Database!D$9:D$501,ROW(Calc!B336)-ROW(Calc!$B$7))),"")</f>
        <v/>
      </c>
      <c r="E336" s="124" t="str">
        <f>IFERROR(IF(LEN(INDEX(Database!G$9:G$501,ROW(Calc!D336)-ROW(Calc!$B$7)))=0,$AD$3,INDEX(Database!G$9:G$501,ROW(Calc!D336)-ROW(Calc!$B$7))),"")</f>
        <v>Not Set</v>
      </c>
      <c r="F336" s="124" t="str">
        <f>IFERROR(IF(LEN(INDEX(Database!F$9:F$501,ROW(Calc!E336)-ROW(Calc!$B$7)))=0,$AD$3,INDEX(Database!F$9:F$501,ROW(Calc!E336)-ROW(Calc!$B$7))),"")</f>
        <v>Not Set</v>
      </c>
      <c r="G336" s="128" t="str">
        <f>IFERROR(IF(LEN(INDEX(Database!H$9:H$501,ROW(Calc!F336)-ROW(Calc!$B$7)))=0,$AD$3,INDEX(Database!H$9:H$501,ROW(Calc!F336)-ROW(Calc!$B$7))),"")</f>
        <v>Not Set</v>
      </c>
      <c r="H336" s="128" t="str">
        <f>IFERROR(IF(LEN(INDEX(Database!I$9:I$501,ROW(Calc!G336)-ROW(Calc!$B$7)))=0,$AD$3,INDEX(Database!I$9:I$501,ROW(Calc!G336)-ROW(Calc!$B$7))),"")</f>
        <v>Not Set</v>
      </c>
      <c r="I336" s="128" t="str">
        <f>IFERROR(IF(LEN(INDEX(Database!J$9:J$501,ROW(Calc!H336)-ROW(Calc!$B$7)))=0,$AD$3,INDEX(Database!J$9:J$501,ROW(Calc!H336)-ROW(Calc!$B$7))),"")</f>
        <v>Not Set</v>
      </c>
      <c r="J336" s="128" t="str">
        <f t="shared" si="50"/>
        <v>Not Set</v>
      </c>
      <c r="K336" s="124" t="str">
        <f>IFERROR(IF(LEN(INDEX(Database!E$9:E$501,ROW(Calc!I336)-ROW(Calc!$B$7)))=0,"",INDEX(Database!E$9:E$501,ROW(Calc!I336)-ROW(Calc!$B$7))),"")</f>
        <v/>
      </c>
      <c r="L336" s="129" t="str">
        <f>IFERROR(IF(LEN(INDEX(Database!K$9:K$501,ROW(Calc!K336)-ROW(Calc!$B$7)))=0,$AD$3,INDEX(Database!K$9:K$501,ROW(Calc!K336)-ROW(Calc!$B$7))),"")</f>
        <v>Not Set</v>
      </c>
      <c r="M336" s="130" t="str">
        <f>IFERROR(IF(LEN(INDEX(Database!L$9:L$501,ROW(Calc!L336)-ROW(Calc!$B$7)))=0,$AD$3,INDEX(Database!L$9:L$501,ROW(Calc!L336)-ROW(Calc!$B$7))),"")</f>
        <v>Not Set</v>
      </c>
      <c r="N336" s="131" t="str">
        <f>IFERROR(IF(LEN(INDEX(Database!M$9:M$501,ROW(Calc!M336)-ROW(Calc!$B$7)))=0,"",INDEX(Database!M$9:M$501,ROW(Calc!M336)-ROW(Calc!$B$7))),"")</f>
        <v/>
      </c>
      <c r="O336" s="132" t="str">
        <f t="shared" si="54"/>
        <v/>
      </c>
      <c r="P336" s="125" t="str">
        <f t="shared" si="51"/>
        <v>Not Set</v>
      </c>
      <c r="Q336" s="125" t="str">
        <f t="shared" si="52"/>
        <v>Not Set</v>
      </c>
      <c r="R336" s="125" t="str">
        <f>IFERROR(IF(G336=$AD$3,$AD$3,INDEX(Kanban_Helper!$C$317:$C$328,MATCH(MONTH(G336),Kanban_Helper!$B$317:$B$328,0))&amp;" - "&amp;YEAR(G336)),"$AD$3")</f>
        <v>Not Set</v>
      </c>
      <c r="S336" s="125" t="str">
        <f>IFERROR(IF(I336=$AD$3,$AD$3,INDEX(Kanban_Helper!$C$317:$C$328,MATCH(MONTH(I336),Kanban_Helper!$B$317:$B$328,0))&amp;" - "&amp;YEAR(I336)),$AD$3)</f>
        <v>Not Set</v>
      </c>
      <c r="T336" s="125" t="str">
        <f t="shared" ca="1" si="55"/>
        <v/>
      </c>
      <c r="U336" s="125" t="str">
        <f t="shared" ca="1" si="56"/>
        <v/>
      </c>
      <c r="V336" s="125" t="str">
        <f t="shared" si="53"/>
        <v>Not Set</v>
      </c>
      <c r="W336" s="126" t="str">
        <f t="shared" si="57"/>
        <v/>
      </c>
      <c r="X336" s="126" t="str">
        <f t="shared" si="58"/>
        <v/>
      </c>
      <c r="Y336" s="125" t="str">
        <f>IFERROR(IF(LEN(D336)=0,"",IF(SUBTOTAL(3,E336:E336)=0,MIN($Y$7:Y335)-1,SUBTOTAL(3,$E$8:E336))),"")</f>
        <v/>
      </c>
      <c r="Z336" s="17"/>
      <c r="AA336" s="10"/>
      <c r="AB336" s="10"/>
      <c r="AC336" s="10"/>
      <c r="AD336" s="10"/>
      <c r="AE336" s="10"/>
      <c r="AF336" s="10"/>
      <c r="AG336" s="10"/>
      <c r="AH336" s="10"/>
      <c r="AI336" s="10"/>
      <c r="AJ336" s="10"/>
      <c r="AK336" s="10"/>
      <c r="AL336" s="10"/>
      <c r="AM336" s="10"/>
      <c r="AN336" s="10"/>
    </row>
    <row r="337" spans="2:40" hidden="1" x14ac:dyDescent="0.35">
      <c r="B337" s="15"/>
      <c r="C337" s="127" t="str">
        <f>IFERROR(IF(LEN(INDEX(Database!C$9:C$501,ROW(Calc!A337)-ROW(Calc!$B$7)))=0,"",INDEX(Database!C$9:C$501,ROW(Calc!A337)-ROW(Calc!$B$7))),"")</f>
        <v/>
      </c>
      <c r="D337" s="70" t="str">
        <f>IFERROR(IF(LEN(INDEX(Database!D$9:D$501,ROW(Calc!B337)-ROW(Calc!$B$7)))=0,"",INDEX(Database!D$9:D$501,ROW(Calc!B337)-ROW(Calc!$B$7))),"")</f>
        <v/>
      </c>
      <c r="E337" s="124" t="str">
        <f>IFERROR(IF(LEN(INDEX(Database!G$9:G$501,ROW(Calc!D337)-ROW(Calc!$B$7)))=0,$AD$3,INDEX(Database!G$9:G$501,ROW(Calc!D337)-ROW(Calc!$B$7))),"")</f>
        <v>Not Set</v>
      </c>
      <c r="F337" s="124" t="str">
        <f>IFERROR(IF(LEN(INDEX(Database!F$9:F$501,ROW(Calc!E337)-ROW(Calc!$B$7)))=0,$AD$3,INDEX(Database!F$9:F$501,ROW(Calc!E337)-ROW(Calc!$B$7))),"")</f>
        <v>Not Set</v>
      </c>
      <c r="G337" s="128" t="str">
        <f>IFERROR(IF(LEN(INDEX(Database!H$9:H$501,ROW(Calc!F337)-ROW(Calc!$B$7)))=0,$AD$3,INDEX(Database!H$9:H$501,ROW(Calc!F337)-ROW(Calc!$B$7))),"")</f>
        <v>Not Set</v>
      </c>
      <c r="H337" s="128" t="str">
        <f>IFERROR(IF(LEN(INDEX(Database!I$9:I$501,ROW(Calc!G337)-ROW(Calc!$B$7)))=0,$AD$3,INDEX(Database!I$9:I$501,ROW(Calc!G337)-ROW(Calc!$B$7))),"")</f>
        <v>Not Set</v>
      </c>
      <c r="I337" s="128" t="str">
        <f>IFERROR(IF(LEN(INDEX(Database!J$9:J$501,ROW(Calc!H337)-ROW(Calc!$B$7)))=0,$AD$3,INDEX(Database!J$9:J$501,ROW(Calc!H337)-ROW(Calc!$B$7))),"")</f>
        <v>Not Set</v>
      </c>
      <c r="J337" s="128" t="str">
        <f t="shared" si="50"/>
        <v>Not Set</v>
      </c>
      <c r="K337" s="124" t="str">
        <f>IFERROR(IF(LEN(INDEX(Database!E$9:E$501,ROW(Calc!I337)-ROW(Calc!$B$7)))=0,"",INDEX(Database!E$9:E$501,ROW(Calc!I337)-ROW(Calc!$B$7))),"")</f>
        <v/>
      </c>
      <c r="L337" s="129" t="str">
        <f>IFERROR(IF(LEN(INDEX(Database!K$9:K$501,ROW(Calc!K337)-ROW(Calc!$B$7)))=0,$AD$3,INDEX(Database!K$9:K$501,ROW(Calc!K337)-ROW(Calc!$B$7))),"")</f>
        <v>Not Set</v>
      </c>
      <c r="M337" s="130" t="str">
        <f>IFERROR(IF(LEN(INDEX(Database!L$9:L$501,ROW(Calc!L337)-ROW(Calc!$B$7)))=0,$AD$3,INDEX(Database!L$9:L$501,ROW(Calc!L337)-ROW(Calc!$B$7))),"")</f>
        <v>Not Set</v>
      </c>
      <c r="N337" s="131" t="str">
        <f>IFERROR(IF(LEN(INDEX(Database!M$9:M$501,ROW(Calc!M337)-ROW(Calc!$B$7)))=0,"",INDEX(Database!M$9:M$501,ROW(Calc!M337)-ROW(Calc!$B$7))),"")</f>
        <v/>
      </c>
      <c r="O337" s="132" t="str">
        <f t="shared" si="54"/>
        <v/>
      </c>
      <c r="P337" s="125" t="str">
        <f t="shared" si="51"/>
        <v>Not Set</v>
      </c>
      <c r="Q337" s="125" t="str">
        <f t="shared" si="52"/>
        <v>Not Set</v>
      </c>
      <c r="R337" s="125" t="str">
        <f>IFERROR(IF(G337=$AD$3,$AD$3,INDEX(Kanban_Helper!$C$317:$C$328,MATCH(MONTH(G337),Kanban_Helper!$B$317:$B$328,0))&amp;" - "&amp;YEAR(G337)),"$AD$3")</f>
        <v>Not Set</v>
      </c>
      <c r="S337" s="125" t="str">
        <f>IFERROR(IF(I337=$AD$3,$AD$3,INDEX(Kanban_Helper!$C$317:$C$328,MATCH(MONTH(I337),Kanban_Helper!$B$317:$B$328,0))&amp;" - "&amp;YEAR(I337)),$AD$3)</f>
        <v>Not Set</v>
      </c>
      <c r="T337" s="125" t="str">
        <f t="shared" ca="1" si="55"/>
        <v/>
      </c>
      <c r="U337" s="125" t="str">
        <f t="shared" ca="1" si="56"/>
        <v/>
      </c>
      <c r="V337" s="125" t="str">
        <f t="shared" si="53"/>
        <v>Not Set</v>
      </c>
      <c r="W337" s="126" t="str">
        <f t="shared" si="57"/>
        <v/>
      </c>
      <c r="X337" s="126" t="str">
        <f t="shared" si="58"/>
        <v/>
      </c>
      <c r="Y337" s="125" t="str">
        <f>IFERROR(IF(LEN(D337)=0,"",IF(SUBTOTAL(3,E337:E337)=0,MIN($Y$7:Y336)-1,SUBTOTAL(3,$E$8:E337))),"")</f>
        <v/>
      </c>
      <c r="Z337" s="17"/>
      <c r="AA337" s="10"/>
      <c r="AB337" s="10"/>
      <c r="AC337" s="10"/>
      <c r="AD337" s="10"/>
      <c r="AE337" s="10"/>
      <c r="AF337" s="10"/>
      <c r="AG337" s="10"/>
      <c r="AH337" s="10"/>
      <c r="AI337" s="10"/>
      <c r="AJ337" s="10"/>
      <c r="AK337" s="10"/>
      <c r="AL337" s="10"/>
      <c r="AM337" s="10"/>
      <c r="AN337" s="10"/>
    </row>
    <row r="338" spans="2:40" hidden="1" x14ac:dyDescent="0.35">
      <c r="B338" s="15"/>
      <c r="C338" s="127" t="str">
        <f>IFERROR(IF(LEN(INDEX(Database!C$9:C$501,ROW(Calc!A338)-ROW(Calc!$B$7)))=0,"",INDEX(Database!C$9:C$501,ROW(Calc!A338)-ROW(Calc!$B$7))),"")</f>
        <v/>
      </c>
      <c r="D338" s="70" t="str">
        <f>IFERROR(IF(LEN(INDEX(Database!D$9:D$501,ROW(Calc!B338)-ROW(Calc!$B$7)))=0,"",INDEX(Database!D$9:D$501,ROW(Calc!B338)-ROW(Calc!$B$7))),"")</f>
        <v/>
      </c>
      <c r="E338" s="124" t="str">
        <f>IFERROR(IF(LEN(INDEX(Database!G$9:G$501,ROW(Calc!D338)-ROW(Calc!$B$7)))=0,$AD$3,INDEX(Database!G$9:G$501,ROW(Calc!D338)-ROW(Calc!$B$7))),"")</f>
        <v>Not Set</v>
      </c>
      <c r="F338" s="124" t="str">
        <f>IFERROR(IF(LEN(INDEX(Database!F$9:F$501,ROW(Calc!E338)-ROW(Calc!$B$7)))=0,$AD$3,INDEX(Database!F$9:F$501,ROW(Calc!E338)-ROW(Calc!$B$7))),"")</f>
        <v>Not Set</v>
      </c>
      <c r="G338" s="128" t="str">
        <f>IFERROR(IF(LEN(INDEX(Database!H$9:H$501,ROW(Calc!F338)-ROW(Calc!$B$7)))=0,$AD$3,INDEX(Database!H$9:H$501,ROW(Calc!F338)-ROW(Calc!$B$7))),"")</f>
        <v>Not Set</v>
      </c>
      <c r="H338" s="128" t="str">
        <f>IFERROR(IF(LEN(INDEX(Database!I$9:I$501,ROW(Calc!G338)-ROW(Calc!$B$7)))=0,$AD$3,INDEX(Database!I$9:I$501,ROW(Calc!G338)-ROW(Calc!$B$7))),"")</f>
        <v>Not Set</v>
      </c>
      <c r="I338" s="128" t="str">
        <f>IFERROR(IF(LEN(INDEX(Database!J$9:J$501,ROW(Calc!H338)-ROW(Calc!$B$7)))=0,$AD$3,INDEX(Database!J$9:J$501,ROW(Calc!H338)-ROW(Calc!$B$7))),"")</f>
        <v>Not Set</v>
      </c>
      <c r="J338" s="128" t="str">
        <f t="shared" si="50"/>
        <v>Not Set</v>
      </c>
      <c r="K338" s="124" t="str">
        <f>IFERROR(IF(LEN(INDEX(Database!E$9:E$501,ROW(Calc!I338)-ROW(Calc!$B$7)))=0,"",INDEX(Database!E$9:E$501,ROW(Calc!I338)-ROW(Calc!$B$7))),"")</f>
        <v/>
      </c>
      <c r="L338" s="129" t="str">
        <f>IFERROR(IF(LEN(INDEX(Database!K$9:K$501,ROW(Calc!K338)-ROW(Calc!$B$7)))=0,$AD$3,INDEX(Database!K$9:K$501,ROW(Calc!K338)-ROW(Calc!$B$7))),"")</f>
        <v>Not Set</v>
      </c>
      <c r="M338" s="130" t="str">
        <f>IFERROR(IF(LEN(INDEX(Database!L$9:L$501,ROW(Calc!L338)-ROW(Calc!$B$7)))=0,$AD$3,INDEX(Database!L$9:L$501,ROW(Calc!L338)-ROW(Calc!$B$7))),"")</f>
        <v>Not Set</v>
      </c>
      <c r="N338" s="131" t="str">
        <f>IFERROR(IF(LEN(INDEX(Database!M$9:M$501,ROW(Calc!M338)-ROW(Calc!$B$7)))=0,"",INDEX(Database!M$9:M$501,ROW(Calc!M338)-ROW(Calc!$B$7))),"")</f>
        <v/>
      </c>
      <c r="O338" s="132" t="str">
        <f t="shared" si="54"/>
        <v/>
      </c>
      <c r="P338" s="125" t="str">
        <f t="shared" si="51"/>
        <v>Not Set</v>
      </c>
      <c r="Q338" s="125" t="str">
        <f t="shared" si="52"/>
        <v>Not Set</v>
      </c>
      <c r="R338" s="125" t="str">
        <f>IFERROR(IF(G338=$AD$3,$AD$3,INDEX(Kanban_Helper!$C$317:$C$328,MATCH(MONTH(G338),Kanban_Helper!$B$317:$B$328,0))&amp;" - "&amp;YEAR(G338)),"$AD$3")</f>
        <v>Not Set</v>
      </c>
      <c r="S338" s="125" t="str">
        <f>IFERROR(IF(I338=$AD$3,$AD$3,INDEX(Kanban_Helper!$C$317:$C$328,MATCH(MONTH(I338),Kanban_Helper!$B$317:$B$328,0))&amp;" - "&amp;YEAR(I338)),$AD$3)</f>
        <v>Not Set</v>
      </c>
      <c r="T338" s="125" t="str">
        <f t="shared" ca="1" si="55"/>
        <v/>
      </c>
      <c r="U338" s="125" t="str">
        <f t="shared" ca="1" si="56"/>
        <v/>
      </c>
      <c r="V338" s="125" t="str">
        <f t="shared" si="53"/>
        <v>Not Set</v>
      </c>
      <c r="W338" s="126" t="str">
        <f t="shared" si="57"/>
        <v/>
      </c>
      <c r="X338" s="126" t="str">
        <f t="shared" si="58"/>
        <v/>
      </c>
      <c r="Y338" s="125" t="str">
        <f>IFERROR(IF(LEN(D338)=0,"",IF(SUBTOTAL(3,E338:E338)=0,MIN($Y$7:Y337)-1,SUBTOTAL(3,$E$8:E338))),"")</f>
        <v/>
      </c>
      <c r="Z338" s="17"/>
      <c r="AA338" s="10"/>
      <c r="AB338" s="10"/>
      <c r="AC338" s="10"/>
      <c r="AD338" s="10"/>
      <c r="AE338" s="10"/>
      <c r="AF338" s="10"/>
      <c r="AG338" s="10"/>
      <c r="AH338" s="10"/>
      <c r="AI338" s="10"/>
      <c r="AJ338" s="10"/>
      <c r="AK338" s="10"/>
      <c r="AL338" s="10"/>
      <c r="AM338" s="10"/>
      <c r="AN338" s="10"/>
    </row>
    <row r="339" spans="2:40" hidden="1" x14ac:dyDescent="0.35">
      <c r="B339" s="15"/>
      <c r="C339" s="127" t="str">
        <f>IFERROR(IF(LEN(INDEX(Database!C$9:C$501,ROW(Calc!A339)-ROW(Calc!$B$7)))=0,"",INDEX(Database!C$9:C$501,ROW(Calc!A339)-ROW(Calc!$B$7))),"")</f>
        <v/>
      </c>
      <c r="D339" s="70" t="str">
        <f>IFERROR(IF(LEN(INDEX(Database!D$9:D$501,ROW(Calc!B339)-ROW(Calc!$B$7)))=0,"",INDEX(Database!D$9:D$501,ROW(Calc!B339)-ROW(Calc!$B$7))),"")</f>
        <v/>
      </c>
      <c r="E339" s="124" t="str">
        <f>IFERROR(IF(LEN(INDEX(Database!G$9:G$501,ROW(Calc!D339)-ROW(Calc!$B$7)))=0,$AD$3,INDEX(Database!G$9:G$501,ROW(Calc!D339)-ROW(Calc!$B$7))),"")</f>
        <v>Not Set</v>
      </c>
      <c r="F339" s="124" t="str">
        <f>IFERROR(IF(LEN(INDEX(Database!F$9:F$501,ROW(Calc!E339)-ROW(Calc!$B$7)))=0,$AD$3,INDEX(Database!F$9:F$501,ROW(Calc!E339)-ROW(Calc!$B$7))),"")</f>
        <v>Not Set</v>
      </c>
      <c r="G339" s="128" t="str">
        <f>IFERROR(IF(LEN(INDEX(Database!H$9:H$501,ROW(Calc!F339)-ROW(Calc!$B$7)))=0,$AD$3,INDEX(Database!H$9:H$501,ROW(Calc!F339)-ROW(Calc!$B$7))),"")</f>
        <v>Not Set</v>
      </c>
      <c r="H339" s="128" t="str">
        <f>IFERROR(IF(LEN(INDEX(Database!I$9:I$501,ROW(Calc!G339)-ROW(Calc!$B$7)))=0,$AD$3,INDEX(Database!I$9:I$501,ROW(Calc!G339)-ROW(Calc!$B$7))),"")</f>
        <v>Not Set</v>
      </c>
      <c r="I339" s="128" t="str">
        <f>IFERROR(IF(LEN(INDEX(Database!J$9:J$501,ROW(Calc!H339)-ROW(Calc!$B$7)))=0,$AD$3,INDEX(Database!J$9:J$501,ROW(Calc!H339)-ROW(Calc!$B$7))),"")</f>
        <v>Not Set</v>
      </c>
      <c r="J339" s="128" t="str">
        <f t="shared" si="50"/>
        <v>Not Set</v>
      </c>
      <c r="K339" s="124" t="str">
        <f>IFERROR(IF(LEN(INDEX(Database!E$9:E$501,ROW(Calc!I339)-ROW(Calc!$B$7)))=0,"",INDEX(Database!E$9:E$501,ROW(Calc!I339)-ROW(Calc!$B$7))),"")</f>
        <v/>
      </c>
      <c r="L339" s="129" t="str">
        <f>IFERROR(IF(LEN(INDEX(Database!K$9:K$501,ROW(Calc!K339)-ROW(Calc!$B$7)))=0,$AD$3,INDEX(Database!K$9:K$501,ROW(Calc!K339)-ROW(Calc!$B$7))),"")</f>
        <v>Not Set</v>
      </c>
      <c r="M339" s="130" t="str">
        <f>IFERROR(IF(LEN(INDEX(Database!L$9:L$501,ROW(Calc!L339)-ROW(Calc!$B$7)))=0,$AD$3,INDEX(Database!L$9:L$501,ROW(Calc!L339)-ROW(Calc!$B$7))),"")</f>
        <v>Not Set</v>
      </c>
      <c r="N339" s="131" t="str">
        <f>IFERROR(IF(LEN(INDEX(Database!M$9:M$501,ROW(Calc!M339)-ROW(Calc!$B$7)))=0,"",INDEX(Database!M$9:M$501,ROW(Calc!M339)-ROW(Calc!$B$7))),"")</f>
        <v/>
      </c>
      <c r="O339" s="132" t="str">
        <f t="shared" si="54"/>
        <v/>
      </c>
      <c r="P339" s="125" t="str">
        <f t="shared" si="51"/>
        <v>Not Set</v>
      </c>
      <c r="Q339" s="125" t="str">
        <f t="shared" si="52"/>
        <v>Not Set</v>
      </c>
      <c r="R339" s="125" t="str">
        <f>IFERROR(IF(G339=$AD$3,$AD$3,INDEX(Kanban_Helper!$C$317:$C$328,MATCH(MONTH(G339),Kanban_Helper!$B$317:$B$328,0))&amp;" - "&amp;YEAR(G339)),"$AD$3")</f>
        <v>Not Set</v>
      </c>
      <c r="S339" s="125" t="str">
        <f>IFERROR(IF(I339=$AD$3,$AD$3,INDEX(Kanban_Helper!$C$317:$C$328,MATCH(MONTH(I339),Kanban_Helper!$B$317:$B$328,0))&amp;" - "&amp;YEAR(I339)),$AD$3)</f>
        <v>Not Set</v>
      </c>
      <c r="T339" s="125" t="str">
        <f t="shared" ca="1" si="55"/>
        <v/>
      </c>
      <c r="U339" s="125" t="str">
        <f t="shared" ca="1" si="56"/>
        <v/>
      </c>
      <c r="V339" s="125" t="str">
        <f t="shared" si="53"/>
        <v>Not Set</v>
      </c>
      <c r="W339" s="126" t="str">
        <f t="shared" si="57"/>
        <v/>
      </c>
      <c r="X339" s="126" t="str">
        <f t="shared" si="58"/>
        <v/>
      </c>
      <c r="Y339" s="125" t="str">
        <f>IFERROR(IF(LEN(D339)=0,"",IF(SUBTOTAL(3,E339:E339)=0,MIN($Y$7:Y338)-1,SUBTOTAL(3,$E$8:E339))),"")</f>
        <v/>
      </c>
      <c r="Z339" s="17"/>
      <c r="AA339" s="10"/>
      <c r="AB339" s="10"/>
      <c r="AC339" s="10"/>
      <c r="AD339" s="10"/>
      <c r="AE339" s="10"/>
      <c r="AF339" s="10"/>
      <c r="AG339" s="10"/>
      <c r="AH339" s="10"/>
      <c r="AI339" s="10"/>
      <c r="AJ339" s="10"/>
      <c r="AK339" s="10"/>
      <c r="AL339" s="10"/>
      <c r="AM339" s="10"/>
      <c r="AN339" s="10"/>
    </row>
    <row r="340" spans="2:40" hidden="1" x14ac:dyDescent="0.35">
      <c r="B340" s="15"/>
      <c r="C340" s="127" t="str">
        <f>IFERROR(IF(LEN(INDEX(Database!C$9:C$501,ROW(Calc!A340)-ROW(Calc!$B$7)))=0,"",INDEX(Database!C$9:C$501,ROW(Calc!A340)-ROW(Calc!$B$7))),"")</f>
        <v/>
      </c>
      <c r="D340" s="70" t="str">
        <f>IFERROR(IF(LEN(INDEX(Database!D$9:D$501,ROW(Calc!B340)-ROW(Calc!$B$7)))=0,"",INDEX(Database!D$9:D$501,ROW(Calc!B340)-ROW(Calc!$B$7))),"")</f>
        <v/>
      </c>
      <c r="E340" s="124" t="str">
        <f>IFERROR(IF(LEN(INDEX(Database!G$9:G$501,ROW(Calc!D340)-ROW(Calc!$B$7)))=0,$AD$3,INDEX(Database!G$9:G$501,ROW(Calc!D340)-ROW(Calc!$B$7))),"")</f>
        <v>Not Set</v>
      </c>
      <c r="F340" s="124" t="str">
        <f>IFERROR(IF(LEN(INDEX(Database!F$9:F$501,ROW(Calc!E340)-ROW(Calc!$B$7)))=0,$AD$3,INDEX(Database!F$9:F$501,ROW(Calc!E340)-ROW(Calc!$B$7))),"")</f>
        <v>Not Set</v>
      </c>
      <c r="G340" s="128" t="str">
        <f>IFERROR(IF(LEN(INDEX(Database!H$9:H$501,ROW(Calc!F340)-ROW(Calc!$B$7)))=0,$AD$3,INDEX(Database!H$9:H$501,ROW(Calc!F340)-ROW(Calc!$B$7))),"")</f>
        <v>Not Set</v>
      </c>
      <c r="H340" s="128" t="str">
        <f>IFERROR(IF(LEN(INDEX(Database!I$9:I$501,ROW(Calc!G340)-ROW(Calc!$B$7)))=0,$AD$3,INDEX(Database!I$9:I$501,ROW(Calc!G340)-ROW(Calc!$B$7))),"")</f>
        <v>Not Set</v>
      </c>
      <c r="I340" s="128" t="str">
        <f>IFERROR(IF(LEN(INDEX(Database!J$9:J$501,ROW(Calc!H340)-ROW(Calc!$B$7)))=0,$AD$3,INDEX(Database!J$9:J$501,ROW(Calc!H340)-ROW(Calc!$B$7))),"")</f>
        <v>Not Set</v>
      </c>
      <c r="J340" s="128" t="str">
        <f t="shared" si="50"/>
        <v>Not Set</v>
      </c>
      <c r="K340" s="124" t="str">
        <f>IFERROR(IF(LEN(INDEX(Database!E$9:E$501,ROW(Calc!I340)-ROW(Calc!$B$7)))=0,"",INDEX(Database!E$9:E$501,ROW(Calc!I340)-ROW(Calc!$B$7))),"")</f>
        <v/>
      </c>
      <c r="L340" s="129" t="str">
        <f>IFERROR(IF(LEN(INDEX(Database!K$9:K$501,ROW(Calc!K340)-ROW(Calc!$B$7)))=0,$AD$3,INDEX(Database!K$9:K$501,ROW(Calc!K340)-ROW(Calc!$B$7))),"")</f>
        <v>Not Set</v>
      </c>
      <c r="M340" s="130" t="str">
        <f>IFERROR(IF(LEN(INDEX(Database!L$9:L$501,ROW(Calc!L340)-ROW(Calc!$B$7)))=0,$AD$3,INDEX(Database!L$9:L$501,ROW(Calc!L340)-ROW(Calc!$B$7))),"")</f>
        <v>Not Set</v>
      </c>
      <c r="N340" s="131" t="str">
        <f>IFERROR(IF(LEN(INDEX(Database!M$9:M$501,ROW(Calc!M340)-ROW(Calc!$B$7)))=0,"",INDEX(Database!M$9:M$501,ROW(Calc!M340)-ROW(Calc!$B$7))),"")</f>
        <v/>
      </c>
      <c r="O340" s="132" t="str">
        <f t="shared" si="54"/>
        <v/>
      </c>
      <c r="P340" s="125" t="str">
        <f t="shared" si="51"/>
        <v>Not Set</v>
      </c>
      <c r="Q340" s="125" t="str">
        <f t="shared" si="52"/>
        <v>Not Set</v>
      </c>
      <c r="R340" s="125" t="str">
        <f>IFERROR(IF(G340=$AD$3,$AD$3,INDEX(Kanban_Helper!$C$317:$C$328,MATCH(MONTH(G340),Kanban_Helper!$B$317:$B$328,0))&amp;" - "&amp;YEAR(G340)),"$AD$3")</f>
        <v>Not Set</v>
      </c>
      <c r="S340" s="125" t="str">
        <f>IFERROR(IF(I340=$AD$3,$AD$3,INDEX(Kanban_Helper!$C$317:$C$328,MATCH(MONTH(I340),Kanban_Helper!$B$317:$B$328,0))&amp;" - "&amp;YEAR(I340)),$AD$3)</f>
        <v>Not Set</v>
      </c>
      <c r="T340" s="125" t="str">
        <f t="shared" ca="1" si="55"/>
        <v/>
      </c>
      <c r="U340" s="125" t="str">
        <f t="shared" ca="1" si="56"/>
        <v/>
      </c>
      <c r="V340" s="125" t="str">
        <f t="shared" si="53"/>
        <v>Not Set</v>
      </c>
      <c r="W340" s="126" t="str">
        <f t="shared" si="57"/>
        <v/>
      </c>
      <c r="X340" s="126" t="str">
        <f t="shared" si="58"/>
        <v/>
      </c>
      <c r="Y340" s="125" t="str">
        <f>IFERROR(IF(LEN(D340)=0,"",IF(SUBTOTAL(3,E340:E340)=0,MIN($Y$7:Y339)-1,SUBTOTAL(3,$E$8:E340))),"")</f>
        <v/>
      </c>
      <c r="Z340" s="17"/>
      <c r="AA340" s="10"/>
      <c r="AB340" s="10"/>
      <c r="AC340" s="10"/>
      <c r="AD340" s="10"/>
      <c r="AE340" s="10"/>
      <c r="AF340" s="10"/>
      <c r="AG340" s="10"/>
      <c r="AH340" s="10"/>
      <c r="AI340" s="10"/>
      <c r="AJ340" s="10"/>
      <c r="AK340" s="10"/>
      <c r="AL340" s="10"/>
      <c r="AM340" s="10"/>
      <c r="AN340" s="10"/>
    </row>
    <row r="341" spans="2:40" hidden="1" x14ac:dyDescent="0.35">
      <c r="B341" s="15"/>
      <c r="C341" s="127" t="str">
        <f>IFERROR(IF(LEN(INDEX(Database!C$9:C$501,ROW(Calc!A341)-ROW(Calc!$B$7)))=0,"",INDEX(Database!C$9:C$501,ROW(Calc!A341)-ROW(Calc!$B$7))),"")</f>
        <v/>
      </c>
      <c r="D341" s="70" t="str">
        <f>IFERROR(IF(LEN(INDEX(Database!D$9:D$501,ROW(Calc!B341)-ROW(Calc!$B$7)))=0,"",INDEX(Database!D$9:D$501,ROW(Calc!B341)-ROW(Calc!$B$7))),"")</f>
        <v/>
      </c>
      <c r="E341" s="124" t="str">
        <f>IFERROR(IF(LEN(INDEX(Database!G$9:G$501,ROW(Calc!D341)-ROW(Calc!$B$7)))=0,$AD$3,INDEX(Database!G$9:G$501,ROW(Calc!D341)-ROW(Calc!$B$7))),"")</f>
        <v>Not Set</v>
      </c>
      <c r="F341" s="124" t="str">
        <f>IFERROR(IF(LEN(INDEX(Database!F$9:F$501,ROW(Calc!E341)-ROW(Calc!$B$7)))=0,$AD$3,INDEX(Database!F$9:F$501,ROW(Calc!E341)-ROW(Calc!$B$7))),"")</f>
        <v>Not Set</v>
      </c>
      <c r="G341" s="128" t="str">
        <f>IFERROR(IF(LEN(INDEX(Database!H$9:H$501,ROW(Calc!F341)-ROW(Calc!$B$7)))=0,$AD$3,INDEX(Database!H$9:H$501,ROW(Calc!F341)-ROW(Calc!$B$7))),"")</f>
        <v>Not Set</v>
      </c>
      <c r="H341" s="128" t="str">
        <f>IFERROR(IF(LEN(INDEX(Database!I$9:I$501,ROW(Calc!G341)-ROW(Calc!$B$7)))=0,$AD$3,INDEX(Database!I$9:I$501,ROW(Calc!G341)-ROW(Calc!$B$7))),"")</f>
        <v>Not Set</v>
      </c>
      <c r="I341" s="128" t="str">
        <f>IFERROR(IF(LEN(INDEX(Database!J$9:J$501,ROW(Calc!H341)-ROW(Calc!$B$7)))=0,$AD$3,INDEX(Database!J$9:J$501,ROW(Calc!H341)-ROW(Calc!$B$7))),"")</f>
        <v>Not Set</v>
      </c>
      <c r="J341" s="128" t="str">
        <f t="shared" si="50"/>
        <v>Not Set</v>
      </c>
      <c r="K341" s="124" t="str">
        <f>IFERROR(IF(LEN(INDEX(Database!E$9:E$501,ROW(Calc!I341)-ROW(Calc!$B$7)))=0,"",INDEX(Database!E$9:E$501,ROW(Calc!I341)-ROW(Calc!$B$7))),"")</f>
        <v/>
      </c>
      <c r="L341" s="129" t="str">
        <f>IFERROR(IF(LEN(INDEX(Database!K$9:K$501,ROW(Calc!K341)-ROW(Calc!$B$7)))=0,$AD$3,INDEX(Database!K$9:K$501,ROW(Calc!K341)-ROW(Calc!$B$7))),"")</f>
        <v>Not Set</v>
      </c>
      <c r="M341" s="130" t="str">
        <f>IFERROR(IF(LEN(INDEX(Database!L$9:L$501,ROW(Calc!L341)-ROW(Calc!$B$7)))=0,$AD$3,INDEX(Database!L$9:L$501,ROW(Calc!L341)-ROW(Calc!$B$7))),"")</f>
        <v>Not Set</v>
      </c>
      <c r="N341" s="131" t="str">
        <f>IFERROR(IF(LEN(INDEX(Database!M$9:M$501,ROW(Calc!M341)-ROW(Calc!$B$7)))=0,"",INDEX(Database!M$9:M$501,ROW(Calc!M341)-ROW(Calc!$B$7))),"")</f>
        <v/>
      </c>
      <c r="O341" s="132" t="str">
        <f t="shared" si="54"/>
        <v/>
      </c>
      <c r="P341" s="125" t="str">
        <f t="shared" si="51"/>
        <v>Not Set</v>
      </c>
      <c r="Q341" s="125" t="str">
        <f t="shared" si="52"/>
        <v>Not Set</v>
      </c>
      <c r="R341" s="125" t="str">
        <f>IFERROR(IF(G341=$AD$3,$AD$3,INDEX(Kanban_Helper!$C$317:$C$328,MATCH(MONTH(G341),Kanban_Helper!$B$317:$B$328,0))&amp;" - "&amp;YEAR(G341)),"$AD$3")</f>
        <v>Not Set</v>
      </c>
      <c r="S341" s="125" t="str">
        <f>IFERROR(IF(I341=$AD$3,$AD$3,INDEX(Kanban_Helper!$C$317:$C$328,MATCH(MONTH(I341),Kanban_Helper!$B$317:$B$328,0))&amp;" - "&amp;YEAR(I341)),$AD$3)</f>
        <v>Not Set</v>
      </c>
      <c r="T341" s="125" t="str">
        <f t="shared" ca="1" si="55"/>
        <v/>
      </c>
      <c r="U341" s="125" t="str">
        <f t="shared" ca="1" si="56"/>
        <v/>
      </c>
      <c r="V341" s="125" t="str">
        <f t="shared" si="53"/>
        <v>Not Set</v>
      </c>
      <c r="W341" s="126" t="str">
        <f t="shared" si="57"/>
        <v/>
      </c>
      <c r="X341" s="126" t="str">
        <f t="shared" si="58"/>
        <v/>
      </c>
      <c r="Y341" s="125" t="str">
        <f>IFERROR(IF(LEN(D341)=0,"",IF(SUBTOTAL(3,E341:E341)=0,MIN($Y$7:Y340)-1,SUBTOTAL(3,$E$8:E341))),"")</f>
        <v/>
      </c>
      <c r="Z341" s="17"/>
      <c r="AA341" s="10"/>
      <c r="AB341" s="10"/>
      <c r="AC341" s="10"/>
      <c r="AD341" s="10"/>
      <c r="AE341" s="10"/>
      <c r="AF341" s="10"/>
      <c r="AG341" s="10"/>
      <c r="AH341" s="10"/>
      <c r="AI341" s="10"/>
      <c r="AJ341" s="10"/>
      <c r="AK341" s="10"/>
      <c r="AL341" s="10"/>
      <c r="AM341" s="10"/>
      <c r="AN341" s="10"/>
    </row>
    <row r="342" spans="2:40" hidden="1" x14ac:dyDescent="0.35">
      <c r="B342" s="15"/>
      <c r="C342" s="127" t="str">
        <f>IFERROR(IF(LEN(INDEX(Database!C$9:C$501,ROW(Calc!A342)-ROW(Calc!$B$7)))=0,"",INDEX(Database!C$9:C$501,ROW(Calc!A342)-ROW(Calc!$B$7))),"")</f>
        <v/>
      </c>
      <c r="D342" s="70" t="str">
        <f>IFERROR(IF(LEN(INDEX(Database!D$9:D$501,ROW(Calc!B342)-ROW(Calc!$B$7)))=0,"",INDEX(Database!D$9:D$501,ROW(Calc!B342)-ROW(Calc!$B$7))),"")</f>
        <v/>
      </c>
      <c r="E342" s="124" t="str">
        <f>IFERROR(IF(LEN(INDEX(Database!G$9:G$501,ROW(Calc!D342)-ROW(Calc!$B$7)))=0,$AD$3,INDEX(Database!G$9:G$501,ROW(Calc!D342)-ROW(Calc!$B$7))),"")</f>
        <v>Not Set</v>
      </c>
      <c r="F342" s="124" t="str">
        <f>IFERROR(IF(LEN(INDEX(Database!F$9:F$501,ROW(Calc!E342)-ROW(Calc!$B$7)))=0,$AD$3,INDEX(Database!F$9:F$501,ROW(Calc!E342)-ROW(Calc!$B$7))),"")</f>
        <v>Not Set</v>
      </c>
      <c r="G342" s="128" t="str">
        <f>IFERROR(IF(LEN(INDEX(Database!H$9:H$501,ROW(Calc!F342)-ROW(Calc!$B$7)))=0,$AD$3,INDEX(Database!H$9:H$501,ROW(Calc!F342)-ROW(Calc!$B$7))),"")</f>
        <v>Not Set</v>
      </c>
      <c r="H342" s="128" t="str">
        <f>IFERROR(IF(LEN(INDEX(Database!I$9:I$501,ROW(Calc!G342)-ROW(Calc!$B$7)))=0,$AD$3,INDEX(Database!I$9:I$501,ROW(Calc!G342)-ROW(Calc!$B$7))),"")</f>
        <v>Not Set</v>
      </c>
      <c r="I342" s="128" t="str">
        <f>IFERROR(IF(LEN(INDEX(Database!J$9:J$501,ROW(Calc!H342)-ROW(Calc!$B$7)))=0,$AD$3,INDEX(Database!J$9:J$501,ROW(Calc!H342)-ROW(Calc!$B$7))),"")</f>
        <v>Not Set</v>
      </c>
      <c r="J342" s="128" t="str">
        <f t="shared" si="50"/>
        <v>Not Set</v>
      </c>
      <c r="K342" s="124" t="str">
        <f>IFERROR(IF(LEN(INDEX(Database!E$9:E$501,ROW(Calc!I342)-ROW(Calc!$B$7)))=0,"",INDEX(Database!E$9:E$501,ROW(Calc!I342)-ROW(Calc!$B$7))),"")</f>
        <v/>
      </c>
      <c r="L342" s="129" t="str">
        <f>IFERROR(IF(LEN(INDEX(Database!K$9:K$501,ROW(Calc!K342)-ROW(Calc!$B$7)))=0,$AD$3,INDEX(Database!K$9:K$501,ROW(Calc!K342)-ROW(Calc!$B$7))),"")</f>
        <v>Not Set</v>
      </c>
      <c r="M342" s="130" t="str">
        <f>IFERROR(IF(LEN(INDEX(Database!L$9:L$501,ROW(Calc!L342)-ROW(Calc!$B$7)))=0,$AD$3,INDEX(Database!L$9:L$501,ROW(Calc!L342)-ROW(Calc!$B$7))),"")</f>
        <v>Not Set</v>
      </c>
      <c r="N342" s="131" t="str">
        <f>IFERROR(IF(LEN(INDEX(Database!M$9:M$501,ROW(Calc!M342)-ROW(Calc!$B$7)))=0,"",INDEX(Database!M$9:M$501,ROW(Calc!M342)-ROW(Calc!$B$7))),"")</f>
        <v/>
      </c>
      <c r="O342" s="132" t="str">
        <f t="shared" si="54"/>
        <v/>
      </c>
      <c r="P342" s="125" t="str">
        <f t="shared" si="51"/>
        <v>Not Set</v>
      </c>
      <c r="Q342" s="125" t="str">
        <f t="shared" si="52"/>
        <v>Not Set</v>
      </c>
      <c r="R342" s="125" t="str">
        <f>IFERROR(IF(G342=$AD$3,$AD$3,INDEX(Kanban_Helper!$C$317:$C$328,MATCH(MONTH(G342),Kanban_Helper!$B$317:$B$328,0))&amp;" - "&amp;YEAR(G342)),"$AD$3")</f>
        <v>Not Set</v>
      </c>
      <c r="S342" s="125" t="str">
        <f>IFERROR(IF(I342=$AD$3,$AD$3,INDEX(Kanban_Helper!$C$317:$C$328,MATCH(MONTH(I342),Kanban_Helper!$B$317:$B$328,0))&amp;" - "&amp;YEAR(I342)),$AD$3)</f>
        <v>Not Set</v>
      </c>
      <c r="T342" s="125" t="str">
        <f t="shared" ca="1" si="55"/>
        <v/>
      </c>
      <c r="U342" s="125" t="str">
        <f t="shared" ca="1" si="56"/>
        <v/>
      </c>
      <c r="V342" s="125" t="str">
        <f t="shared" si="53"/>
        <v>Not Set</v>
      </c>
      <c r="W342" s="126" t="str">
        <f t="shared" si="57"/>
        <v/>
      </c>
      <c r="X342" s="126" t="str">
        <f t="shared" si="58"/>
        <v/>
      </c>
      <c r="Y342" s="125" t="str">
        <f>IFERROR(IF(LEN(D342)=0,"",IF(SUBTOTAL(3,E342:E342)=0,MIN($Y$7:Y341)-1,SUBTOTAL(3,$E$8:E342))),"")</f>
        <v/>
      </c>
      <c r="Z342" s="17"/>
      <c r="AA342" s="10"/>
      <c r="AB342" s="10"/>
      <c r="AC342" s="10"/>
      <c r="AD342" s="10"/>
      <c r="AE342" s="10"/>
      <c r="AF342" s="10"/>
      <c r="AG342" s="10"/>
      <c r="AH342" s="10"/>
      <c r="AI342" s="10"/>
      <c r="AJ342" s="10"/>
      <c r="AK342" s="10"/>
      <c r="AL342" s="10"/>
      <c r="AM342" s="10"/>
      <c r="AN342" s="10"/>
    </row>
    <row r="343" spans="2:40" hidden="1" x14ac:dyDescent="0.35">
      <c r="B343" s="15"/>
      <c r="C343" s="127" t="str">
        <f>IFERROR(IF(LEN(INDEX(Database!C$9:C$501,ROW(Calc!A343)-ROW(Calc!$B$7)))=0,"",INDEX(Database!C$9:C$501,ROW(Calc!A343)-ROW(Calc!$B$7))),"")</f>
        <v/>
      </c>
      <c r="D343" s="70" t="str">
        <f>IFERROR(IF(LEN(INDEX(Database!D$9:D$501,ROW(Calc!B343)-ROW(Calc!$B$7)))=0,"",INDEX(Database!D$9:D$501,ROW(Calc!B343)-ROW(Calc!$B$7))),"")</f>
        <v/>
      </c>
      <c r="E343" s="124" t="str">
        <f>IFERROR(IF(LEN(INDEX(Database!G$9:G$501,ROW(Calc!D343)-ROW(Calc!$B$7)))=0,$AD$3,INDEX(Database!G$9:G$501,ROW(Calc!D343)-ROW(Calc!$B$7))),"")</f>
        <v>Not Set</v>
      </c>
      <c r="F343" s="124" t="str">
        <f>IFERROR(IF(LEN(INDEX(Database!F$9:F$501,ROW(Calc!E343)-ROW(Calc!$B$7)))=0,$AD$3,INDEX(Database!F$9:F$501,ROW(Calc!E343)-ROW(Calc!$B$7))),"")</f>
        <v>Not Set</v>
      </c>
      <c r="G343" s="128" t="str">
        <f>IFERROR(IF(LEN(INDEX(Database!H$9:H$501,ROW(Calc!F343)-ROW(Calc!$B$7)))=0,$AD$3,INDEX(Database!H$9:H$501,ROW(Calc!F343)-ROW(Calc!$B$7))),"")</f>
        <v>Not Set</v>
      </c>
      <c r="H343" s="128" t="str">
        <f>IFERROR(IF(LEN(INDEX(Database!I$9:I$501,ROW(Calc!G343)-ROW(Calc!$B$7)))=0,$AD$3,INDEX(Database!I$9:I$501,ROW(Calc!G343)-ROW(Calc!$B$7))),"")</f>
        <v>Not Set</v>
      </c>
      <c r="I343" s="128" t="str">
        <f>IFERROR(IF(LEN(INDEX(Database!J$9:J$501,ROW(Calc!H343)-ROW(Calc!$B$7)))=0,$AD$3,INDEX(Database!J$9:J$501,ROW(Calc!H343)-ROW(Calc!$B$7))),"")</f>
        <v>Not Set</v>
      </c>
      <c r="J343" s="128" t="str">
        <f t="shared" si="50"/>
        <v>Not Set</v>
      </c>
      <c r="K343" s="124" t="str">
        <f>IFERROR(IF(LEN(INDEX(Database!E$9:E$501,ROW(Calc!I343)-ROW(Calc!$B$7)))=0,"",INDEX(Database!E$9:E$501,ROW(Calc!I343)-ROW(Calc!$B$7))),"")</f>
        <v/>
      </c>
      <c r="L343" s="129" t="str">
        <f>IFERROR(IF(LEN(INDEX(Database!K$9:K$501,ROW(Calc!K343)-ROW(Calc!$B$7)))=0,$AD$3,INDEX(Database!K$9:K$501,ROW(Calc!K343)-ROW(Calc!$B$7))),"")</f>
        <v>Not Set</v>
      </c>
      <c r="M343" s="130" t="str">
        <f>IFERROR(IF(LEN(INDEX(Database!L$9:L$501,ROW(Calc!L343)-ROW(Calc!$B$7)))=0,$AD$3,INDEX(Database!L$9:L$501,ROW(Calc!L343)-ROW(Calc!$B$7))),"")</f>
        <v>Not Set</v>
      </c>
      <c r="N343" s="131" t="str">
        <f>IFERROR(IF(LEN(INDEX(Database!M$9:M$501,ROW(Calc!M343)-ROW(Calc!$B$7)))=0,"",INDEX(Database!M$9:M$501,ROW(Calc!M343)-ROW(Calc!$B$7))),"")</f>
        <v/>
      </c>
      <c r="O343" s="132" t="str">
        <f t="shared" si="54"/>
        <v/>
      </c>
      <c r="P343" s="125" t="str">
        <f t="shared" si="51"/>
        <v>Not Set</v>
      </c>
      <c r="Q343" s="125" t="str">
        <f t="shared" si="52"/>
        <v>Not Set</v>
      </c>
      <c r="R343" s="125" t="str">
        <f>IFERROR(IF(G343=$AD$3,$AD$3,INDEX(Kanban_Helper!$C$317:$C$328,MATCH(MONTH(G343),Kanban_Helper!$B$317:$B$328,0))&amp;" - "&amp;YEAR(G343)),"$AD$3")</f>
        <v>Not Set</v>
      </c>
      <c r="S343" s="125" t="str">
        <f>IFERROR(IF(I343=$AD$3,$AD$3,INDEX(Kanban_Helper!$C$317:$C$328,MATCH(MONTH(I343),Kanban_Helper!$B$317:$B$328,0))&amp;" - "&amp;YEAR(I343)),$AD$3)</f>
        <v>Not Set</v>
      </c>
      <c r="T343" s="125" t="str">
        <f t="shared" ca="1" si="55"/>
        <v/>
      </c>
      <c r="U343" s="125" t="str">
        <f t="shared" ca="1" si="56"/>
        <v/>
      </c>
      <c r="V343" s="125" t="str">
        <f t="shared" si="53"/>
        <v>Not Set</v>
      </c>
      <c r="W343" s="126" t="str">
        <f t="shared" si="57"/>
        <v/>
      </c>
      <c r="X343" s="126" t="str">
        <f t="shared" si="58"/>
        <v/>
      </c>
      <c r="Y343" s="125" t="str">
        <f>IFERROR(IF(LEN(D343)=0,"",IF(SUBTOTAL(3,E343:E343)=0,MIN($Y$7:Y342)-1,SUBTOTAL(3,$E$8:E343))),"")</f>
        <v/>
      </c>
      <c r="Z343" s="17"/>
      <c r="AA343" s="10"/>
      <c r="AB343" s="10"/>
      <c r="AC343" s="10"/>
      <c r="AD343" s="10"/>
      <c r="AE343" s="10"/>
      <c r="AF343" s="10"/>
      <c r="AG343" s="10"/>
      <c r="AH343" s="10"/>
      <c r="AI343" s="10"/>
      <c r="AJ343" s="10"/>
      <c r="AK343" s="10"/>
      <c r="AL343" s="10"/>
      <c r="AM343" s="10"/>
      <c r="AN343" s="10"/>
    </row>
    <row r="344" spans="2:40" hidden="1" x14ac:dyDescent="0.35">
      <c r="B344" s="15"/>
      <c r="C344" s="127" t="str">
        <f>IFERROR(IF(LEN(INDEX(Database!C$9:C$501,ROW(Calc!A344)-ROW(Calc!$B$7)))=0,"",INDEX(Database!C$9:C$501,ROW(Calc!A344)-ROW(Calc!$B$7))),"")</f>
        <v/>
      </c>
      <c r="D344" s="70" t="str">
        <f>IFERROR(IF(LEN(INDEX(Database!D$9:D$501,ROW(Calc!B344)-ROW(Calc!$B$7)))=0,"",INDEX(Database!D$9:D$501,ROW(Calc!B344)-ROW(Calc!$B$7))),"")</f>
        <v/>
      </c>
      <c r="E344" s="124" t="str">
        <f>IFERROR(IF(LEN(INDEX(Database!G$9:G$501,ROW(Calc!D344)-ROW(Calc!$B$7)))=0,$AD$3,INDEX(Database!G$9:G$501,ROW(Calc!D344)-ROW(Calc!$B$7))),"")</f>
        <v>Not Set</v>
      </c>
      <c r="F344" s="124" t="str">
        <f>IFERROR(IF(LEN(INDEX(Database!F$9:F$501,ROW(Calc!E344)-ROW(Calc!$B$7)))=0,$AD$3,INDEX(Database!F$9:F$501,ROW(Calc!E344)-ROW(Calc!$B$7))),"")</f>
        <v>Not Set</v>
      </c>
      <c r="G344" s="128" t="str">
        <f>IFERROR(IF(LEN(INDEX(Database!H$9:H$501,ROW(Calc!F344)-ROW(Calc!$B$7)))=0,$AD$3,INDEX(Database!H$9:H$501,ROW(Calc!F344)-ROW(Calc!$B$7))),"")</f>
        <v>Not Set</v>
      </c>
      <c r="H344" s="128" t="str">
        <f>IFERROR(IF(LEN(INDEX(Database!I$9:I$501,ROW(Calc!G344)-ROW(Calc!$B$7)))=0,$AD$3,INDEX(Database!I$9:I$501,ROW(Calc!G344)-ROW(Calc!$B$7))),"")</f>
        <v>Not Set</v>
      </c>
      <c r="I344" s="128" t="str">
        <f>IFERROR(IF(LEN(INDEX(Database!J$9:J$501,ROW(Calc!H344)-ROW(Calc!$B$7)))=0,$AD$3,INDEX(Database!J$9:J$501,ROW(Calc!H344)-ROW(Calc!$B$7))),"")</f>
        <v>Not Set</v>
      </c>
      <c r="J344" s="128" t="str">
        <f t="shared" si="50"/>
        <v>Not Set</v>
      </c>
      <c r="K344" s="124" t="str">
        <f>IFERROR(IF(LEN(INDEX(Database!E$9:E$501,ROW(Calc!I344)-ROW(Calc!$B$7)))=0,"",INDEX(Database!E$9:E$501,ROW(Calc!I344)-ROW(Calc!$B$7))),"")</f>
        <v/>
      </c>
      <c r="L344" s="129" t="str">
        <f>IFERROR(IF(LEN(INDEX(Database!K$9:K$501,ROW(Calc!K344)-ROW(Calc!$B$7)))=0,$AD$3,INDEX(Database!K$9:K$501,ROW(Calc!K344)-ROW(Calc!$B$7))),"")</f>
        <v>Not Set</v>
      </c>
      <c r="M344" s="130" t="str">
        <f>IFERROR(IF(LEN(INDEX(Database!L$9:L$501,ROW(Calc!L344)-ROW(Calc!$B$7)))=0,$AD$3,INDEX(Database!L$9:L$501,ROW(Calc!L344)-ROW(Calc!$B$7))),"")</f>
        <v>Not Set</v>
      </c>
      <c r="N344" s="131" t="str">
        <f>IFERROR(IF(LEN(INDEX(Database!M$9:M$501,ROW(Calc!M344)-ROW(Calc!$B$7)))=0,"",INDEX(Database!M$9:M$501,ROW(Calc!M344)-ROW(Calc!$B$7))),"")</f>
        <v/>
      </c>
      <c r="O344" s="132" t="str">
        <f t="shared" si="54"/>
        <v/>
      </c>
      <c r="P344" s="125" t="str">
        <f t="shared" si="51"/>
        <v>Not Set</v>
      </c>
      <c r="Q344" s="125" t="str">
        <f t="shared" si="52"/>
        <v>Not Set</v>
      </c>
      <c r="R344" s="125" t="str">
        <f>IFERROR(IF(G344=$AD$3,$AD$3,INDEX(Kanban_Helper!$C$317:$C$328,MATCH(MONTH(G344),Kanban_Helper!$B$317:$B$328,0))&amp;" - "&amp;YEAR(G344)),"$AD$3")</f>
        <v>Not Set</v>
      </c>
      <c r="S344" s="125" t="str">
        <f>IFERROR(IF(I344=$AD$3,$AD$3,INDEX(Kanban_Helper!$C$317:$C$328,MATCH(MONTH(I344),Kanban_Helper!$B$317:$B$328,0))&amp;" - "&amp;YEAR(I344)),$AD$3)</f>
        <v>Not Set</v>
      </c>
      <c r="T344" s="125" t="str">
        <f t="shared" ca="1" si="55"/>
        <v/>
      </c>
      <c r="U344" s="125" t="str">
        <f t="shared" ca="1" si="56"/>
        <v/>
      </c>
      <c r="V344" s="125" t="str">
        <f t="shared" si="53"/>
        <v>Not Set</v>
      </c>
      <c r="W344" s="126" t="str">
        <f t="shared" si="57"/>
        <v/>
      </c>
      <c r="X344" s="126" t="str">
        <f t="shared" si="58"/>
        <v/>
      </c>
      <c r="Y344" s="125" t="str">
        <f>IFERROR(IF(LEN(D344)=0,"",IF(SUBTOTAL(3,E344:E344)=0,MIN($Y$7:Y343)-1,SUBTOTAL(3,$E$8:E344))),"")</f>
        <v/>
      </c>
      <c r="Z344" s="17"/>
      <c r="AA344" s="10"/>
      <c r="AB344" s="10"/>
      <c r="AC344" s="10"/>
      <c r="AD344" s="10"/>
      <c r="AE344" s="10"/>
      <c r="AF344" s="10"/>
      <c r="AG344" s="10"/>
      <c r="AH344" s="10"/>
      <c r="AI344" s="10"/>
      <c r="AJ344" s="10"/>
      <c r="AK344" s="10"/>
      <c r="AL344" s="10"/>
      <c r="AM344" s="10"/>
      <c r="AN344" s="10"/>
    </row>
    <row r="345" spans="2:40" hidden="1" x14ac:dyDescent="0.35">
      <c r="B345" s="15"/>
      <c r="C345" s="127" t="str">
        <f>IFERROR(IF(LEN(INDEX(Database!C$9:C$501,ROW(Calc!A345)-ROW(Calc!$B$7)))=0,"",INDEX(Database!C$9:C$501,ROW(Calc!A345)-ROW(Calc!$B$7))),"")</f>
        <v/>
      </c>
      <c r="D345" s="70" t="str">
        <f>IFERROR(IF(LEN(INDEX(Database!D$9:D$501,ROW(Calc!B345)-ROW(Calc!$B$7)))=0,"",INDEX(Database!D$9:D$501,ROW(Calc!B345)-ROW(Calc!$B$7))),"")</f>
        <v/>
      </c>
      <c r="E345" s="124" t="str">
        <f>IFERROR(IF(LEN(INDEX(Database!G$9:G$501,ROW(Calc!D345)-ROW(Calc!$B$7)))=0,$AD$3,INDEX(Database!G$9:G$501,ROW(Calc!D345)-ROW(Calc!$B$7))),"")</f>
        <v>Not Set</v>
      </c>
      <c r="F345" s="124" t="str">
        <f>IFERROR(IF(LEN(INDEX(Database!F$9:F$501,ROW(Calc!E345)-ROW(Calc!$B$7)))=0,$AD$3,INDEX(Database!F$9:F$501,ROW(Calc!E345)-ROW(Calc!$B$7))),"")</f>
        <v>Not Set</v>
      </c>
      <c r="G345" s="128" t="str">
        <f>IFERROR(IF(LEN(INDEX(Database!H$9:H$501,ROW(Calc!F345)-ROW(Calc!$B$7)))=0,$AD$3,INDEX(Database!H$9:H$501,ROW(Calc!F345)-ROW(Calc!$B$7))),"")</f>
        <v>Not Set</v>
      </c>
      <c r="H345" s="128" t="str">
        <f>IFERROR(IF(LEN(INDEX(Database!I$9:I$501,ROW(Calc!G345)-ROW(Calc!$B$7)))=0,$AD$3,INDEX(Database!I$9:I$501,ROW(Calc!G345)-ROW(Calc!$B$7))),"")</f>
        <v>Not Set</v>
      </c>
      <c r="I345" s="128" t="str">
        <f>IFERROR(IF(LEN(INDEX(Database!J$9:J$501,ROW(Calc!H345)-ROW(Calc!$B$7)))=0,$AD$3,INDEX(Database!J$9:J$501,ROW(Calc!H345)-ROW(Calc!$B$7))),"")</f>
        <v>Not Set</v>
      </c>
      <c r="J345" s="128" t="str">
        <f t="shared" si="50"/>
        <v>Not Set</v>
      </c>
      <c r="K345" s="124" t="str">
        <f>IFERROR(IF(LEN(INDEX(Database!E$9:E$501,ROW(Calc!I345)-ROW(Calc!$B$7)))=0,"",INDEX(Database!E$9:E$501,ROW(Calc!I345)-ROW(Calc!$B$7))),"")</f>
        <v/>
      </c>
      <c r="L345" s="129" t="str">
        <f>IFERROR(IF(LEN(INDEX(Database!K$9:K$501,ROW(Calc!K345)-ROW(Calc!$B$7)))=0,$AD$3,INDEX(Database!K$9:K$501,ROW(Calc!K345)-ROW(Calc!$B$7))),"")</f>
        <v>Not Set</v>
      </c>
      <c r="M345" s="130" t="str">
        <f>IFERROR(IF(LEN(INDEX(Database!L$9:L$501,ROW(Calc!L345)-ROW(Calc!$B$7)))=0,$AD$3,INDEX(Database!L$9:L$501,ROW(Calc!L345)-ROW(Calc!$B$7))),"")</f>
        <v>Not Set</v>
      </c>
      <c r="N345" s="131" t="str">
        <f>IFERROR(IF(LEN(INDEX(Database!M$9:M$501,ROW(Calc!M345)-ROW(Calc!$B$7)))=0,"",INDEX(Database!M$9:M$501,ROW(Calc!M345)-ROW(Calc!$B$7))),"")</f>
        <v/>
      </c>
      <c r="O345" s="132" t="str">
        <f t="shared" si="54"/>
        <v/>
      </c>
      <c r="P345" s="125" t="str">
        <f t="shared" si="51"/>
        <v>Not Set</v>
      </c>
      <c r="Q345" s="125" t="str">
        <f t="shared" si="52"/>
        <v>Not Set</v>
      </c>
      <c r="R345" s="125" t="str">
        <f>IFERROR(IF(G345=$AD$3,$AD$3,INDEX(Kanban_Helper!$C$317:$C$328,MATCH(MONTH(G345),Kanban_Helper!$B$317:$B$328,0))&amp;" - "&amp;YEAR(G345)),"$AD$3")</f>
        <v>Not Set</v>
      </c>
      <c r="S345" s="125" t="str">
        <f>IFERROR(IF(I345=$AD$3,$AD$3,INDEX(Kanban_Helper!$C$317:$C$328,MATCH(MONTH(I345),Kanban_Helper!$B$317:$B$328,0))&amp;" - "&amp;YEAR(I345)),$AD$3)</f>
        <v>Not Set</v>
      </c>
      <c r="T345" s="125" t="str">
        <f t="shared" ca="1" si="55"/>
        <v/>
      </c>
      <c r="U345" s="125" t="str">
        <f t="shared" ca="1" si="56"/>
        <v/>
      </c>
      <c r="V345" s="125" t="str">
        <f t="shared" si="53"/>
        <v>Not Set</v>
      </c>
      <c r="W345" s="126" t="str">
        <f t="shared" si="57"/>
        <v/>
      </c>
      <c r="X345" s="126" t="str">
        <f t="shared" si="58"/>
        <v/>
      </c>
      <c r="Y345" s="125" t="str">
        <f>IFERROR(IF(LEN(D345)=0,"",IF(SUBTOTAL(3,E345:E345)=0,MIN($Y$7:Y344)-1,SUBTOTAL(3,$E$8:E345))),"")</f>
        <v/>
      </c>
      <c r="Z345" s="17"/>
      <c r="AA345" s="10"/>
      <c r="AB345" s="10"/>
      <c r="AC345" s="10"/>
      <c r="AD345" s="10"/>
      <c r="AE345" s="10"/>
      <c r="AF345" s="10"/>
      <c r="AG345" s="10"/>
      <c r="AH345" s="10"/>
      <c r="AI345" s="10"/>
      <c r="AJ345" s="10"/>
      <c r="AK345" s="10"/>
      <c r="AL345" s="10"/>
      <c r="AM345" s="10"/>
      <c r="AN345" s="10"/>
    </row>
    <row r="346" spans="2:40" hidden="1" x14ac:dyDescent="0.35">
      <c r="B346" s="15"/>
      <c r="C346" s="127" t="str">
        <f>IFERROR(IF(LEN(INDEX(Database!C$9:C$501,ROW(Calc!A346)-ROW(Calc!$B$7)))=0,"",INDEX(Database!C$9:C$501,ROW(Calc!A346)-ROW(Calc!$B$7))),"")</f>
        <v/>
      </c>
      <c r="D346" s="70" t="str">
        <f>IFERROR(IF(LEN(INDEX(Database!D$9:D$501,ROW(Calc!B346)-ROW(Calc!$B$7)))=0,"",INDEX(Database!D$9:D$501,ROW(Calc!B346)-ROW(Calc!$B$7))),"")</f>
        <v/>
      </c>
      <c r="E346" s="124" t="str">
        <f>IFERROR(IF(LEN(INDEX(Database!G$9:G$501,ROW(Calc!D346)-ROW(Calc!$B$7)))=0,$AD$3,INDEX(Database!G$9:G$501,ROW(Calc!D346)-ROW(Calc!$B$7))),"")</f>
        <v>Not Set</v>
      </c>
      <c r="F346" s="124" t="str">
        <f>IFERROR(IF(LEN(INDEX(Database!F$9:F$501,ROW(Calc!E346)-ROW(Calc!$B$7)))=0,$AD$3,INDEX(Database!F$9:F$501,ROW(Calc!E346)-ROW(Calc!$B$7))),"")</f>
        <v>Not Set</v>
      </c>
      <c r="G346" s="128" t="str">
        <f>IFERROR(IF(LEN(INDEX(Database!H$9:H$501,ROW(Calc!F346)-ROW(Calc!$B$7)))=0,$AD$3,INDEX(Database!H$9:H$501,ROW(Calc!F346)-ROW(Calc!$B$7))),"")</f>
        <v>Not Set</v>
      </c>
      <c r="H346" s="128" t="str">
        <f>IFERROR(IF(LEN(INDEX(Database!I$9:I$501,ROW(Calc!G346)-ROW(Calc!$B$7)))=0,$AD$3,INDEX(Database!I$9:I$501,ROW(Calc!G346)-ROW(Calc!$B$7))),"")</f>
        <v>Not Set</v>
      </c>
      <c r="I346" s="128" t="str">
        <f>IFERROR(IF(LEN(INDEX(Database!J$9:J$501,ROW(Calc!H346)-ROW(Calc!$B$7)))=0,$AD$3,INDEX(Database!J$9:J$501,ROW(Calc!H346)-ROW(Calc!$B$7))),"")</f>
        <v>Not Set</v>
      </c>
      <c r="J346" s="128" t="str">
        <f t="shared" si="50"/>
        <v>Not Set</v>
      </c>
      <c r="K346" s="124" t="str">
        <f>IFERROR(IF(LEN(INDEX(Database!E$9:E$501,ROW(Calc!I346)-ROW(Calc!$B$7)))=0,"",INDEX(Database!E$9:E$501,ROW(Calc!I346)-ROW(Calc!$B$7))),"")</f>
        <v/>
      </c>
      <c r="L346" s="129" t="str">
        <f>IFERROR(IF(LEN(INDEX(Database!K$9:K$501,ROW(Calc!K346)-ROW(Calc!$B$7)))=0,$AD$3,INDEX(Database!K$9:K$501,ROW(Calc!K346)-ROW(Calc!$B$7))),"")</f>
        <v>Not Set</v>
      </c>
      <c r="M346" s="130" t="str">
        <f>IFERROR(IF(LEN(INDEX(Database!L$9:L$501,ROW(Calc!L346)-ROW(Calc!$B$7)))=0,$AD$3,INDEX(Database!L$9:L$501,ROW(Calc!L346)-ROW(Calc!$B$7))),"")</f>
        <v>Not Set</v>
      </c>
      <c r="N346" s="131" t="str">
        <f>IFERROR(IF(LEN(INDEX(Database!M$9:M$501,ROW(Calc!M346)-ROW(Calc!$B$7)))=0,"",INDEX(Database!M$9:M$501,ROW(Calc!M346)-ROW(Calc!$B$7))),"")</f>
        <v/>
      </c>
      <c r="O346" s="132" t="str">
        <f t="shared" si="54"/>
        <v/>
      </c>
      <c r="P346" s="125" t="str">
        <f t="shared" si="51"/>
        <v>Not Set</v>
      </c>
      <c r="Q346" s="125" t="str">
        <f t="shared" si="52"/>
        <v>Not Set</v>
      </c>
      <c r="R346" s="125" t="str">
        <f>IFERROR(IF(G346=$AD$3,$AD$3,INDEX(Kanban_Helper!$C$317:$C$328,MATCH(MONTH(G346),Kanban_Helper!$B$317:$B$328,0))&amp;" - "&amp;YEAR(G346)),"$AD$3")</f>
        <v>Not Set</v>
      </c>
      <c r="S346" s="125" t="str">
        <f>IFERROR(IF(I346=$AD$3,$AD$3,INDEX(Kanban_Helper!$C$317:$C$328,MATCH(MONTH(I346),Kanban_Helper!$B$317:$B$328,0))&amp;" - "&amp;YEAR(I346)),$AD$3)</f>
        <v>Not Set</v>
      </c>
      <c r="T346" s="125" t="str">
        <f t="shared" ca="1" si="55"/>
        <v/>
      </c>
      <c r="U346" s="125" t="str">
        <f t="shared" ca="1" si="56"/>
        <v/>
      </c>
      <c r="V346" s="125" t="str">
        <f t="shared" si="53"/>
        <v>Not Set</v>
      </c>
      <c r="W346" s="126" t="str">
        <f t="shared" si="57"/>
        <v/>
      </c>
      <c r="X346" s="126" t="str">
        <f t="shared" si="58"/>
        <v/>
      </c>
      <c r="Y346" s="125" t="str">
        <f>IFERROR(IF(LEN(D346)=0,"",IF(SUBTOTAL(3,E346:E346)=0,MIN($Y$7:Y345)-1,SUBTOTAL(3,$E$8:E346))),"")</f>
        <v/>
      </c>
      <c r="Z346" s="17"/>
      <c r="AA346" s="10"/>
      <c r="AB346" s="10"/>
      <c r="AC346" s="10"/>
      <c r="AD346" s="10"/>
      <c r="AE346" s="10"/>
      <c r="AF346" s="10"/>
      <c r="AG346" s="10"/>
      <c r="AH346" s="10"/>
      <c r="AI346" s="10"/>
      <c r="AJ346" s="10"/>
      <c r="AK346" s="10"/>
      <c r="AL346" s="10"/>
      <c r="AM346" s="10"/>
      <c r="AN346" s="10"/>
    </row>
    <row r="347" spans="2:40" hidden="1" x14ac:dyDescent="0.35">
      <c r="B347" s="15"/>
      <c r="C347" s="127" t="str">
        <f>IFERROR(IF(LEN(INDEX(Database!C$9:C$501,ROW(Calc!A347)-ROW(Calc!$B$7)))=0,"",INDEX(Database!C$9:C$501,ROW(Calc!A347)-ROW(Calc!$B$7))),"")</f>
        <v/>
      </c>
      <c r="D347" s="70" t="str">
        <f>IFERROR(IF(LEN(INDEX(Database!D$9:D$501,ROW(Calc!B347)-ROW(Calc!$B$7)))=0,"",INDEX(Database!D$9:D$501,ROW(Calc!B347)-ROW(Calc!$B$7))),"")</f>
        <v/>
      </c>
      <c r="E347" s="124" t="str">
        <f>IFERROR(IF(LEN(INDEX(Database!G$9:G$501,ROW(Calc!D347)-ROW(Calc!$B$7)))=0,$AD$3,INDEX(Database!G$9:G$501,ROW(Calc!D347)-ROW(Calc!$B$7))),"")</f>
        <v>Not Set</v>
      </c>
      <c r="F347" s="124" t="str">
        <f>IFERROR(IF(LEN(INDEX(Database!F$9:F$501,ROW(Calc!E347)-ROW(Calc!$B$7)))=0,$AD$3,INDEX(Database!F$9:F$501,ROW(Calc!E347)-ROW(Calc!$B$7))),"")</f>
        <v>Not Set</v>
      </c>
      <c r="G347" s="128" t="str">
        <f>IFERROR(IF(LEN(INDEX(Database!H$9:H$501,ROW(Calc!F347)-ROW(Calc!$B$7)))=0,$AD$3,INDEX(Database!H$9:H$501,ROW(Calc!F347)-ROW(Calc!$B$7))),"")</f>
        <v>Not Set</v>
      </c>
      <c r="H347" s="128" t="str">
        <f>IFERROR(IF(LEN(INDEX(Database!I$9:I$501,ROW(Calc!G347)-ROW(Calc!$B$7)))=0,$AD$3,INDEX(Database!I$9:I$501,ROW(Calc!G347)-ROW(Calc!$B$7))),"")</f>
        <v>Not Set</v>
      </c>
      <c r="I347" s="128" t="str">
        <f>IFERROR(IF(LEN(INDEX(Database!J$9:J$501,ROW(Calc!H347)-ROW(Calc!$B$7)))=0,$AD$3,INDEX(Database!J$9:J$501,ROW(Calc!H347)-ROW(Calc!$B$7))),"")</f>
        <v>Not Set</v>
      </c>
      <c r="J347" s="128" t="str">
        <f t="shared" si="50"/>
        <v>Not Set</v>
      </c>
      <c r="K347" s="124" t="str">
        <f>IFERROR(IF(LEN(INDEX(Database!E$9:E$501,ROW(Calc!I347)-ROW(Calc!$B$7)))=0,"",INDEX(Database!E$9:E$501,ROW(Calc!I347)-ROW(Calc!$B$7))),"")</f>
        <v/>
      </c>
      <c r="L347" s="129" t="str">
        <f>IFERROR(IF(LEN(INDEX(Database!K$9:K$501,ROW(Calc!K347)-ROW(Calc!$B$7)))=0,$AD$3,INDEX(Database!K$9:K$501,ROW(Calc!K347)-ROW(Calc!$B$7))),"")</f>
        <v>Not Set</v>
      </c>
      <c r="M347" s="130" t="str">
        <f>IFERROR(IF(LEN(INDEX(Database!L$9:L$501,ROW(Calc!L347)-ROW(Calc!$B$7)))=0,$AD$3,INDEX(Database!L$9:L$501,ROW(Calc!L347)-ROW(Calc!$B$7))),"")</f>
        <v>Not Set</v>
      </c>
      <c r="N347" s="131" t="str">
        <f>IFERROR(IF(LEN(INDEX(Database!M$9:M$501,ROW(Calc!M347)-ROW(Calc!$B$7)))=0,"",INDEX(Database!M$9:M$501,ROW(Calc!M347)-ROW(Calc!$B$7))),"")</f>
        <v/>
      </c>
      <c r="O347" s="132" t="str">
        <f t="shared" si="54"/>
        <v/>
      </c>
      <c r="P347" s="125" t="str">
        <f t="shared" si="51"/>
        <v>Not Set</v>
      </c>
      <c r="Q347" s="125" t="str">
        <f t="shared" si="52"/>
        <v>Not Set</v>
      </c>
      <c r="R347" s="125" t="str">
        <f>IFERROR(IF(G347=$AD$3,$AD$3,INDEX(Kanban_Helper!$C$317:$C$328,MATCH(MONTH(G347),Kanban_Helper!$B$317:$B$328,0))&amp;" - "&amp;YEAR(G347)),"$AD$3")</f>
        <v>Not Set</v>
      </c>
      <c r="S347" s="125" t="str">
        <f>IFERROR(IF(I347=$AD$3,$AD$3,INDEX(Kanban_Helper!$C$317:$C$328,MATCH(MONTH(I347),Kanban_Helper!$B$317:$B$328,0))&amp;" - "&amp;YEAR(I347)),$AD$3)</f>
        <v>Not Set</v>
      </c>
      <c r="T347" s="125" t="str">
        <f t="shared" ca="1" si="55"/>
        <v/>
      </c>
      <c r="U347" s="125" t="str">
        <f t="shared" ca="1" si="56"/>
        <v/>
      </c>
      <c r="V347" s="125" t="str">
        <f t="shared" si="53"/>
        <v>Not Set</v>
      </c>
      <c r="W347" s="126" t="str">
        <f t="shared" si="57"/>
        <v/>
      </c>
      <c r="X347" s="126" t="str">
        <f t="shared" si="58"/>
        <v/>
      </c>
      <c r="Y347" s="125" t="str">
        <f>IFERROR(IF(LEN(D347)=0,"",IF(SUBTOTAL(3,E347:E347)=0,MIN($Y$7:Y346)-1,SUBTOTAL(3,$E$8:E347))),"")</f>
        <v/>
      </c>
      <c r="Z347" s="17"/>
      <c r="AA347" s="10"/>
      <c r="AB347" s="10"/>
      <c r="AC347" s="10"/>
      <c r="AD347" s="10"/>
      <c r="AE347" s="10"/>
      <c r="AF347" s="10"/>
      <c r="AG347" s="10"/>
      <c r="AH347" s="10"/>
      <c r="AI347" s="10"/>
      <c r="AJ347" s="10"/>
      <c r="AK347" s="10"/>
      <c r="AL347" s="10"/>
      <c r="AM347" s="10"/>
      <c r="AN347" s="10"/>
    </row>
    <row r="348" spans="2:40" hidden="1" x14ac:dyDescent="0.35">
      <c r="B348" s="15"/>
      <c r="C348" s="127" t="str">
        <f>IFERROR(IF(LEN(INDEX(Database!C$9:C$501,ROW(Calc!A348)-ROW(Calc!$B$7)))=0,"",INDEX(Database!C$9:C$501,ROW(Calc!A348)-ROW(Calc!$B$7))),"")</f>
        <v/>
      </c>
      <c r="D348" s="70" t="str">
        <f>IFERROR(IF(LEN(INDEX(Database!D$9:D$501,ROW(Calc!B348)-ROW(Calc!$B$7)))=0,"",INDEX(Database!D$9:D$501,ROW(Calc!B348)-ROW(Calc!$B$7))),"")</f>
        <v/>
      </c>
      <c r="E348" s="124" t="str">
        <f>IFERROR(IF(LEN(INDEX(Database!G$9:G$501,ROW(Calc!D348)-ROW(Calc!$B$7)))=0,$AD$3,INDEX(Database!G$9:G$501,ROW(Calc!D348)-ROW(Calc!$B$7))),"")</f>
        <v>Not Set</v>
      </c>
      <c r="F348" s="124" t="str">
        <f>IFERROR(IF(LEN(INDEX(Database!F$9:F$501,ROW(Calc!E348)-ROW(Calc!$B$7)))=0,$AD$3,INDEX(Database!F$9:F$501,ROW(Calc!E348)-ROW(Calc!$B$7))),"")</f>
        <v>Not Set</v>
      </c>
      <c r="G348" s="128" t="str">
        <f>IFERROR(IF(LEN(INDEX(Database!H$9:H$501,ROW(Calc!F348)-ROW(Calc!$B$7)))=0,$AD$3,INDEX(Database!H$9:H$501,ROW(Calc!F348)-ROW(Calc!$B$7))),"")</f>
        <v>Not Set</v>
      </c>
      <c r="H348" s="128" t="str">
        <f>IFERROR(IF(LEN(INDEX(Database!I$9:I$501,ROW(Calc!G348)-ROW(Calc!$B$7)))=0,$AD$3,INDEX(Database!I$9:I$501,ROW(Calc!G348)-ROW(Calc!$B$7))),"")</f>
        <v>Not Set</v>
      </c>
      <c r="I348" s="128" t="str">
        <f>IFERROR(IF(LEN(INDEX(Database!J$9:J$501,ROW(Calc!H348)-ROW(Calc!$B$7)))=0,$AD$3,INDEX(Database!J$9:J$501,ROW(Calc!H348)-ROW(Calc!$B$7))),"")</f>
        <v>Not Set</v>
      </c>
      <c r="J348" s="128" t="str">
        <f t="shared" si="50"/>
        <v>Not Set</v>
      </c>
      <c r="K348" s="124" t="str">
        <f>IFERROR(IF(LEN(INDEX(Database!E$9:E$501,ROW(Calc!I348)-ROW(Calc!$B$7)))=0,"",INDEX(Database!E$9:E$501,ROW(Calc!I348)-ROW(Calc!$B$7))),"")</f>
        <v/>
      </c>
      <c r="L348" s="129" t="str">
        <f>IFERROR(IF(LEN(INDEX(Database!K$9:K$501,ROW(Calc!K348)-ROW(Calc!$B$7)))=0,$AD$3,INDEX(Database!K$9:K$501,ROW(Calc!K348)-ROW(Calc!$B$7))),"")</f>
        <v>Not Set</v>
      </c>
      <c r="M348" s="130" t="str">
        <f>IFERROR(IF(LEN(INDEX(Database!L$9:L$501,ROW(Calc!L348)-ROW(Calc!$B$7)))=0,$AD$3,INDEX(Database!L$9:L$501,ROW(Calc!L348)-ROW(Calc!$B$7))),"")</f>
        <v>Not Set</v>
      </c>
      <c r="N348" s="131" t="str">
        <f>IFERROR(IF(LEN(INDEX(Database!M$9:M$501,ROW(Calc!M348)-ROW(Calc!$B$7)))=0,"",INDEX(Database!M$9:M$501,ROW(Calc!M348)-ROW(Calc!$B$7))),"")</f>
        <v/>
      </c>
      <c r="O348" s="132" t="str">
        <f t="shared" si="54"/>
        <v/>
      </c>
      <c r="P348" s="125" t="str">
        <f t="shared" si="51"/>
        <v>Not Set</v>
      </c>
      <c r="Q348" s="125" t="str">
        <f t="shared" si="52"/>
        <v>Not Set</v>
      </c>
      <c r="R348" s="125" t="str">
        <f>IFERROR(IF(G348=$AD$3,$AD$3,INDEX(Kanban_Helper!$C$317:$C$328,MATCH(MONTH(G348),Kanban_Helper!$B$317:$B$328,0))&amp;" - "&amp;YEAR(G348)),"$AD$3")</f>
        <v>Not Set</v>
      </c>
      <c r="S348" s="125" t="str">
        <f>IFERROR(IF(I348=$AD$3,$AD$3,INDEX(Kanban_Helper!$C$317:$C$328,MATCH(MONTH(I348),Kanban_Helper!$B$317:$B$328,0))&amp;" - "&amp;YEAR(I348)),$AD$3)</f>
        <v>Not Set</v>
      </c>
      <c r="T348" s="125" t="str">
        <f t="shared" ca="1" si="55"/>
        <v/>
      </c>
      <c r="U348" s="125" t="str">
        <f t="shared" ca="1" si="56"/>
        <v/>
      </c>
      <c r="V348" s="125" t="str">
        <f t="shared" si="53"/>
        <v>Not Set</v>
      </c>
      <c r="W348" s="126" t="str">
        <f t="shared" si="57"/>
        <v/>
      </c>
      <c r="X348" s="126" t="str">
        <f t="shared" si="58"/>
        <v/>
      </c>
      <c r="Y348" s="125" t="str">
        <f>IFERROR(IF(LEN(D348)=0,"",IF(SUBTOTAL(3,E348:E348)=0,MIN($Y$7:Y347)-1,SUBTOTAL(3,$E$8:E348))),"")</f>
        <v/>
      </c>
      <c r="Z348" s="17"/>
      <c r="AA348" s="10"/>
      <c r="AB348" s="10"/>
      <c r="AC348" s="10"/>
      <c r="AD348" s="10"/>
      <c r="AE348" s="10"/>
      <c r="AF348" s="10"/>
      <c r="AG348" s="10"/>
      <c r="AH348" s="10"/>
      <c r="AI348" s="10"/>
      <c r="AJ348" s="10"/>
      <c r="AK348" s="10"/>
      <c r="AL348" s="10"/>
      <c r="AM348" s="10"/>
      <c r="AN348" s="10"/>
    </row>
    <row r="349" spans="2:40" hidden="1" x14ac:dyDescent="0.35">
      <c r="B349" s="15"/>
      <c r="C349" s="127" t="str">
        <f>IFERROR(IF(LEN(INDEX(Database!C$9:C$501,ROW(Calc!A349)-ROW(Calc!$B$7)))=0,"",INDEX(Database!C$9:C$501,ROW(Calc!A349)-ROW(Calc!$B$7))),"")</f>
        <v/>
      </c>
      <c r="D349" s="70" t="str">
        <f>IFERROR(IF(LEN(INDEX(Database!D$9:D$501,ROW(Calc!B349)-ROW(Calc!$B$7)))=0,"",INDEX(Database!D$9:D$501,ROW(Calc!B349)-ROW(Calc!$B$7))),"")</f>
        <v/>
      </c>
      <c r="E349" s="124" t="str">
        <f>IFERROR(IF(LEN(INDEX(Database!G$9:G$501,ROW(Calc!D349)-ROW(Calc!$B$7)))=0,$AD$3,INDEX(Database!G$9:G$501,ROW(Calc!D349)-ROW(Calc!$B$7))),"")</f>
        <v>Not Set</v>
      </c>
      <c r="F349" s="124" t="str">
        <f>IFERROR(IF(LEN(INDEX(Database!F$9:F$501,ROW(Calc!E349)-ROW(Calc!$B$7)))=0,$AD$3,INDEX(Database!F$9:F$501,ROW(Calc!E349)-ROW(Calc!$B$7))),"")</f>
        <v>Not Set</v>
      </c>
      <c r="G349" s="128" t="str">
        <f>IFERROR(IF(LEN(INDEX(Database!H$9:H$501,ROW(Calc!F349)-ROW(Calc!$B$7)))=0,$AD$3,INDEX(Database!H$9:H$501,ROW(Calc!F349)-ROW(Calc!$B$7))),"")</f>
        <v>Not Set</v>
      </c>
      <c r="H349" s="128" t="str">
        <f>IFERROR(IF(LEN(INDEX(Database!I$9:I$501,ROW(Calc!G349)-ROW(Calc!$B$7)))=0,$AD$3,INDEX(Database!I$9:I$501,ROW(Calc!G349)-ROW(Calc!$B$7))),"")</f>
        <v>Not Set</v>
      </c>
      <c r="I349" s="128" t="str">
        <f>IFERROR(IF(LEN(INDEX(Database!J$9:J$501,ROW(Calc!H349)-ROW(Calc!$B$7)))=0,$AD$3,INDEX(Database!J$9:J$501,ROW(Calc!H349)-ROW(Calc!$B$7))),"")</f>
        <v>Not Set</v>
      </c>
      <c r="J349" s="128" t="str">
        <f t="shared" si="50"/>
        <v>Not Set</v>
      </c>
      <c r="K349" s="124" t="str">
        <f>IFERROR(IF(LEN(INDEX(Database!E$9:E$501,ROW(Calc!I349)-ROW(Calc!$B$7)))=0,"",INDEX(Database!E$9:E$501,ROW(Calc!I349)-ROW(Calc!$B$7))),"")</f>
        <v/>
      </c>
      <c r="L349" s="129" t="str">
        <f>IFERROR(IF(LEN(INDEX(Database!K$9:K$501,ROW(Calc!K349)-ROW(Calc!$B$7)))=0,$AD$3,INDEX(Database!K$9:K$501,ROW(Calc!K349)-ROW(Calc!$B$7))),"")</f>
        <v>Not Set</v>
      </c>
      <c r="M349" s="130" t="str">
        <f>IFERROR(IF(LEN(INDEX(Database!L$9:L$501,ROW(Calc!L349)-ROW(Calc!$B$7)))=0,$AD$3,INDEX(Database!L$9:L$501,ROW(Calc!L349)-ROW(Calc!$B$7))),"")</f>
        <v>Not Set</v>
      </c>
      <c r="N349" s="131" t="str">
        <f>IFERROR(IF(LEN(INDEX(Database!M$9:M$501,ROW(Calc!M349)-ROW(Calc!$B$7)))=0,"",INDEX(Database!M$9:M$501,ROW(Calc!M349)-ROW(Calc!$B$7))),"")</f>
        <v/>
      </c>
      <c r="O349" s="132" t="str">
        <f t="shared" si="54"/>
        <v/>
      </c>
      <c r="P349" s="125" t="str">
        <f t="shared" si="51"/>
        <v>Not Set</v>
      </c>
      <c r="Q349" s="125" t="str">
        <f t="shared" si="52"/>
        <v>Not Set</v>
      </c>
      <c r="R349" s="125" t="str">
        <f>IFERROR(IF(G349=$AD$3,$AD$3,INDEX(Kanban_Helper!$C$317:$C$328,MATCH(MONTH(G349),Kanban_Helper!$B$317:$B$328,0))&amp;" - "&amp;YEAR(G349)),"$AD$3")</f>
        <v>Not Set</v>
      </c>
      <c r="S349" s="125" t="str">
        <f>IFERROR(IF(I349=$AD$3,$AD$3,INDEX(Kanban_Helper!$C$317:$C$328,MATCH(MONTH(I349),Kanban_Helper!$B$317:$B$328,0))&amp;" - "&amp;YEAR(I349)),$AD$3)</f>
        <v>Not Set</v>
      </c>
      <c r="T349" s="125" t="str">
        <f t="shared" ca="1" si="55"/>
        <v/>
      </c>
      <c r="U349" s="125" t="str">
        <f t="shared" ca="1" si="56"/>
        <v/>
      </c>
      <c r="V349" s="125" t="str">
        <f t="shared" si="53"/>
        <v>Not Set</v>
      </c>
      <c r="W349" s="126" t="str">
        <f t="shared" si="57"/>
        <v/>
      </c>
      <c r="X349" s="126" t="str">
        <f t="shared" si="58"/>
        <v/>
      </c>
      <c r="Y349" s="125" t="str">
        <f>IFERROR(IF(LEN(D349)=0,"",IF(SUBTOTAL(3,E349:E349)=0,MIN($Y$7:Y348)-1,SUBTOTAL(3,$E$8:E349))),"")</f>
        <v/>
      </c>
      <c r="Z349" s="17"/>
      <c r="AA349" s="10"/>
      <c r="AB349" s="10"/>
      <c r="AC349" s="10"/>
      <c r="AD349" s="10"/>
      <c r="AE349" s="10"/>
      <c r="AF349" s="10"/>
      <c r="AG349" s="10"/>
      <c r="AH349" s="10"/>
      <c r="AI349" s="10"/>
      <c r="AJ349" s="10"/>
      <c r="AK349" s="10"/>
      <c r="AL349" s="10"/>
      <c r="AM349" s="10"/>
      <c r="AN349" s="10"/>
    </row>
    <row r="350" spans="2:40" hidden="1" x14ac:dyDescent="0.35">
      <c r="B350" s="15"/>
      <c r="C350" s="127" t="str">
        <f>IFERROR(IF(LEN(INDEX(Database!C$9:C$501,ROW(Calc!A350)-ROW(Calc!$B$7)))=0,"",INDEX(Database!C$9:C$501,ROW(Calc!A350)-ROW(Calc!$B$7))),"")</f>
        <v/>
      </c>
      <c r="D350" s="70" t="str">
        <f>IFERROR(IF(LEN(INDEX(Database!D$9:D$501,ROW(Calc!B350)-ROW(Calc!$B$7)))=0,"",INDEX(Database!D$9:D$501,ROW(Calc!B350)-ROW(Calc!$B$7))),"")</f>
        <v/>
      </c>
      <c r="E350" s="124" t="str">
        <f>IFERROR(IF(LEN(INDEX(Database!G$9:G$501,ROW(Calc!D350)-ROW(Calc!$B$7)))=0,$AD$3,INDEX(Database!G$9:G$501,ROW(Calc!D350)-ROW(Calc!$B$7))),"")</f>
        <v>Not Set</v>
      </c>
      <c r="F350" s="124" t="str">
        <f>IFERROR(IF(LEN(INDEX(Database!F$9:F$501,ROW(Calc!E350)-ROW(Calc!$B$7)))=0,$AD$3,INDEX(Database!F$9:F$501,ROW(Calc!E350)-ROW(Calc!$B$7))),"")</f>
        <v>Not Set</v>
      </c>
      <c r="G350" s="128" t="str">
        <f>IFERROR(IF(LEN(INDEX(Database!H$9:H$501,ROW(Calc!F350)-ROW(Calc!$B$7)))=0,$AD$3,INDEX(Database!H$9:H$501,ROW(Calc!F350)-ROW(Calc!$B$7))),"")</f>
        <v>Not Set</v>
      </c>
      <c r="H350" s="128" t="str">
        <f>IFERROR(IF(LEN(INDEX(Database!I$9:I$501,ROW(Calc!G350)-ROW(Calc!$B$7)))=0,$AD$3,INDEX(Database!I$9:I$501,ROW(Calc!G350)-ROW(Calc!$B$7))),"")</f>
        <v>Not Set</v>
      </c>
      <c r="I350" s="128" t="str">
        <f>IFERROR(IF(LEN(INDEX(Database!J$9:J$501,ROW(Calc!H350)-ROW(Calc!$B$7)))=0,$AD$3,INDEX(Database!J$9:J$501,ROW(Calc!H350)-ROW(Calc!$B$7))),"")</f>
        <v>Not Set</v>
      </c>
      <c r="J350" s="128" t="str">
        <f t="shared" si="50"/>
        <v>Not Set</v>
      </c>
      <c r="K350" s="124" t="str">
        <f>IFERROR(IF(LEN(INDEX(Database!E$9:E$501,ROW(Calc!I350)-ROW(Calc!$B$7)))=0,"",INDEX(Database!E$9:E$501,ROW(Calc!I350)-ROW(Calc!$B$7))),"")</f>
        <v/>
      </c>
      <c r="L350" s="129" t="str">
        <f>IFERROR(IF(LEN(INDEX(Database!K$9:K$501,ROW(Calc!K350)-ROW(Calc!$B$7)))=0,$AD$3,INDEX(Database!K$9:K$501,ROW(Calc!K350)-ROW(Calc!$B$7))),"")</f>
        <v>Not Set</v>
      </c>
      <c r="M350" s="130" t="str">
        <f>IFERROR(IF(LEN(INDEX(Database!L$9:L$501,ROW(Calc!L350)-ROW(Calc!$B$7)))=0,$AD$3,INDEX(Database!L$9:L$501,ROW(Calc!L350)-ROW(Calc!$B$7))),"")</f>
        <v>Not Set</v>
      </c>
      <c r="N350" s="131" t="str">
        <f>IFERROR(IF(LEN(INDEX(Database!M$9:M$501,ROW(Calc!M350)-ROW(Calc!$B$7)))=0,"",INDEX(Database!M$9:M$501,ROW(Calc!M350)-ROW(Calc!$B$7))),"")</f>
        <v/>
      </c>
      <c r="O350" s="132" t="str">
        <f t="shared" si="54"/>
        <v/>
      </c>
      <c r="P350" s="125" t="str">
        <f t="shared" si="51"/>
        <v>Not Set</v>
      </c>
      <c r="Q350" s="125" t="str">
        <f t="shared" si="52"/>
        <v>Not Set</v>
      </c>
      <c r="R350" s="125" t="str">
        <f>IFERROR(IF(G350=$AD$3,$AD$3,INDEX(Kanban_Helper!$C$317:$C$328,MATCH(MONTH(G350),Kanban_Helper!$B$317:$B$328,0))&amp;" - "&amp;YEAR(G350)),"$AD$3")</f>
        <v>Not Set</v>
      </c>
      <c r="S350" s="125" t="str">
        <f>IFERROR(IF(I350=$AD$3,$AD$3,INDEX(Kanban_Helper!$C$317:$C$328,MATCH(MONTH(I350),Kanban_Helper!$B$317:$B$328,0))&amp;" - "&amp;YEAR(I350)),$AD$3)</f>
        <v>Not Set</v>
      </c>
      <c r="T350" s="125" t="str">
        <f t="shared" ca="1" si="55"/>
        <v/>
      </c>
      <c r="U350" s="125" t="str">
        <f t="shared" ca="1" si="56"/>
        <v/>
      </c>
      <c r="V350" s="125" t="str">
        <f t="shared" si="53"/>
        <v>Not Set</v>
      </c>
      <c r="W350" s="126" t="str">
        <f t="shared" si="57"/>
        <v/>
      </c>
      <c r="X350" s="126" t="str">
        <f t="shared" si="58"/>
        <v/>
      </c>
      <c r="Y350" s="125" t="str">
        <f>IFERROR(IF(LEN(D350)=0,"",IF(SUBTOTAL(3,E350:E350)=0,MIN($Y$7:Y349)-1,SUBTOTAL(3,$E$8:E350))),"")</f>
        <v/>
      </c>
      <c r="Z350" s="17"/>
      <c r="AA350" s="10"/>
      <c r="AB350" s="10"/>
      <c r="AC350" s="10"/>
      <c r="AD350" s="10"/>
      <c r="AE350" s="10"/>
      <c r="AF350" s="10"/>
      <c r="AG350" s="10"/>
      <c r="AH350" s="10"/>
      <c r="AI350" s="10"/>
      <c r="AJ350" s="10"/>
      <c r="AK350" s="10"/>
      <c r="AL350" s="10"/>
      <c r="AM350" s="10"/>
      <c r="AN350" s="10"/>
    </row>
    <row r="351" spans="2:40" hidden="1" x14ac:dyDescent="0.35">
      <c r="B351" s="15"/>
      <c r="C351" s="127" t="str">
        <f>IFERROR(IF(LEN(INDEX(Database!C$9:C$501,ROW(Calc!A351)-ROW(Calc!$B$7)))=0,"",INDEX(Database!C$9:C$501,ROW(Calc!A351)-ROW(Calc!$B$7))),"")</f>
        <v/>
      </c>
      <c r="D351" s="70" t="str">
        <f>IFERROR(IF(LEN(INDEX(Database!D$9:D$501,ROW(Calc!B351)-ROW(Calc!$B$7)))=0,"",INDEX(Database!D$9:D$501,ROW(Calc!B351)-ROW(Calc!$B$7))),"")</f>
        <v/>
      </c>
      <c r="E351" s="124" t="str">
        <f>IFERROR(IF(LEN(INDEX(Database!G$9:G$501,ROW(Calc!D351)-ROW(Calc!$B$7)))=0,$AD$3,INDEX(Database!G$9:G$501,ROW(Calc!D351)-ROW(Calc!$B$7))),"")</f>
        <v>Not Set</v>
      </c>
      <c r="F351" s="124" t="str">
        <f>IFERROR(IF(LEN(INDEX(Database!F$9:F$501,ROW(Calc!E351)-ROW(Calc!$B$7)))=0,$AD$3,INDEX(Database!F$9:F$501,ROW(Calc!E351)-ROW(Calc!$B$7))),"")</f>
        <v>Not Set</v>
      </c>
      <c r="G351" s="128" t="str">
        <f>IFERROR(IF(LEN(INDEX(Database!H$9:H$501,ROW(Calc!F351)-ROW(Calc!$B$7)))=0,$AD$3,INDEX(Database!H$9:H$501,ROW(Calc!F351)-ROW(Calc!$B$7))),"")</f>
        <v>Not Set</v>
      </c>
      <c r="H351" s="128" t="str">
        <f>IFERROR(IF(LEN(INDEX(Database!I$9:I$501,ROW(Calc!G351)-ROW(Calc!$B$7)))=0,$AD$3,INDEX(Database!I$9:I$501,ROW(Calc!G351)-ROW(Calc!$B$7))),"")</f>
        <v>Not Set</v>
      </c>
      <c r="I351" s="128" t="str">
        <f>IFERROR(IF(LEN(INDEX(Database!J$9:J$501,ROW(Calc!H351)-ROW(Calc!$B$7)))=0,$AD$3,INDEX(Database!J$9:J$501,ROW(Calc!H351)-ROW(Calc!$B$7))),"")</f>
        <v>Not Set</v>
      </c>
      <c r="J351" s="128" t="str">
        <f t="shared" si="50"/>
        <v>Not Set</v>
      </c>
      <c r="K351" s="124" t="str">
        <f>IFERROR(IF(LEN(INDEX(Database!E$9:E$501,ROW(Calc!I351)-ROW(Calc!$B$7)))=0,"",INDEX(Database!E$9:E$501,ROW(Calc!I351)-ROW(Calc!$B$7))),"")</f>
        <v/>
      </c>
      <c r="L351" s="129" t="str">
        <f>IFERROR(IF(LEN(INDEX(Database!K$9:K$501,ROW(Calc!K351)-ROW(Calc!$B$7)))=0,$AD$3,INDEX(Database!K$9:K$501,ROW(Calc!K351)-ROW(Calc!$B$7))),"")</f>
        <v>Not Set</v>
      </c>
      <c r="M351" s="130" t="str">
        <f>IFERROR(IF(LEN(INDEX(Database!L$9:L$501,ROW(Calc!L351)-ROW(Calc!$B$7)))=0,$AD$3,INDEX(Database!L$9:L$501,ROW(Calc!L351)-ROW(Calc!$B$7))),"")</f>
        <v>Not Set</v>
      </c>
      <c r="N351" s="131" t="str">
        <f>IFERROR(IF(LEN(INDEX(Database!M$9:M$501,ROW(Calc!M351)-ROW(Calc!$B$7)))=0,"",INDEX(Database!M$9:M$501,ROW(Calc!M351)-ROW(Calc!$B$7))),"")</f>
        <v/>
      </c>
      <c r="O351" s="132" t="str">
        <f t="shared" si="54"/>
        <v/>
      </c>
      <c r="P351" s="125" t="str">
        <f t="shared" si="51"/>
        <v>Not Set</v>
      </c>
      <c r="Q351" s="125" t="str">
        <f t="shared" si="52"/>
        <v>Not Set</v>
      </c>
      <c r="R351" s="125" t="str">
        <f>IFERROR(IF(G351=$AD$3,$AD$3,INDEX(Kanban_Helper!$C$317:$C$328,MATCH(MONTH(G351),Kanban_Helper!$B$317:$B$328,0))&amp;" - "&amp;YEAR(G351)),"$AD$3")</f>
        <v>Not Set</v>
      </c>
      <c r="S351" s="125" t="str">
        <f>IFERROR(IF(I351=$AD$3,$AD$3,INDEX(Kanban_Helper!$C$317:$C$328,MATCH(MONTH(I351),Kanban_Helper!$B$317:$B$328,0))&amp;" - "&amp;YEAR(I351)),$AD$3)</f>
        <v>Not Set</v>
      </c>
      <c r="T351" s="125" t="str">
        <f t="shared" ca="1" si="55"/>
        <v/>
      </c>
      <c r="U351" s="125" t="str">
        <f t="shared" ca="1" si="56"/>
        <v/>
      </c>
      <c r="V351" s="125" t="str">
        <f t="shared" si="53"/>
        <v>Not Set</v>
      </c>
      <c r="W351" s="126" t="str">
        <f t="shared" si="57"/>
        <v/>
      </c>
      <c r="X351" s="126" t="str">
        <f t="shared" si="58"/>
        <v/>
      </c>
      <c r="Y351" s="125" t="str">
        <f>IFERROR(IF(LEN(D351)=0,"",IF(SUBTOTAL(3,E351:E351)=0,MIN($Y$7:Y350)-1,SUBTOTAL(3,$E$8:E351))),"")</f>
        <v/>
      </c>
      <c r="Z351" s="17"/>
      <c r="AA351" s="10"/>
      <c r="AB351" s="10"/>
      <c r="AC351" s="10"/>
      <c r="AD351" s="10"/>
      <c r="AE351" s="10"/>
      <c r="AF351" s="10"/>
      <c r="AG351" s="10"/>
      <c r="AH351" s="10"/>
      <c r="AI351" s="10"/>
      <c r="AJ351" s="10"/>
      <c r="AK351" s="10"/>
      <c r="AL351" s="10"/>
      <c r="AM351" s="10"/>
      <c r="AN351" s="10"/>
    </row>
    <row r="352" spans="2:40" hidden="1" x14ac:dyDescent="0.35">
      <c r="B352" s="15"/>
      <c r="C352" s="127" t="str">
        <f>IFERROR(IF(LEN(INDEX(Database!C$9:C$501,ROW(Calc!A352)-ROW(Calc!$B$7)))=0,"",INDEX(Database!C$9:C$501,ROW(Calc!A352)-ROW(Calc!$B$7))),"")</f>
        <v/>
      </c>
      <c r="D352" s="70" t="str">
        <f>IFERROR(IF(LEN(INDEX(Database!D$9:D$501,ROW(Calc!B352)-ROW(Calc!$B$7)))=0,"",INDEX(Database!D$9:D$501,ROW(Calc!B352)-ROW(Calc!$B$7))),"")</f>
        <v/>
      </c>
      <c r="E352" s="124" t="str">
        <f>IFERROR(IF(LEN(INDEX(Database!G$9:G$501,ROW(Calc!D352)-ROW(Calc!$B$7)))=0,$AD$3,INDEX(Database!G$9:G$501,ROW(Calc!D352)-ROW(Calc!$B$7))),"")</f>
        <v>Not Set</v>
      </c>
      <c r="F352" s="124" t="str">
        <f>IFERROR(IF(LEN(INDEX(Database!F$9:F$501,ROW(Calc!E352)-ROW(Calc!$B$7)))=0,$AD$3,INDEX(Database!F$9:F$501,ROW(Calc!E352)-ROW(Calc!$B$7))),"")</f>
        <v>Not Set</v>
      </c>
      <c r="G352" s="128" t="str">
        <f>IFERROR(IF(LEN(INDEX(Database!H$9:H$501,ROW(Calc!F352)-ROW(Calc!$B$7)))=0,$AD$3,INDEX(Database!H$9:H$501,ROW(Calc!F352)-ROW(Calc!$B$7))),"")</f>
        <v>Not Set</v>
      </c>
      <c r="H352" s="128" t="str">
        <f>IFERROR(IF(LEN(INDEX(Database!I$9:I$501,ROW(Calc!G352)-ROW(Calc!$B$7)))=0,$AD$3,INDEX(Database!I$9:I$501,ROW(Calc!G352)-ROW(Calc!$B$7))),"")</f>
        <v>Not Set</v>
      </c>
      <c r="I352" s="128" t="str">
        <f>IFERROR(IF(LEN(INDEX(Database!J$9:J$501,ROW(Calc!H352)-ROW(Calc!$B$7)))=0,$AD$3,INDEX(Database!J$9:J$501,ROW(Calc!H352)-ROW(Calc!$B$7))),"")</f>
        <v>Not Set</v>
      </c>
      <c r="J352" s="128" t="str">
        <f t="shared" si="50"/>
        <v>Not Set</v>
      </c>
      <c r="K352" s="124" t="str">
        <f>IFERROR(IF(LEN(INDEX(Database!E$9:E$501,ROW(Calc!I352)-ROW(Calc!$B$7)))=0,"",INDEX(Database!E$9:E$501,ROW(Calc!I352)-ROW(Calc!$B$7))),"")</f>
        <v/>
      </c>
      <c r="L352" s="129" t="str">
        <f>IFERROR(IF(LEN(INDEX(Database!K$9:K$501,ROW(Calc!K352)-ROW(Calc!$B$7)))=0,$AD$3,INDEX(Database!K$9:K$501,ROW(Calc!K352)-ROW(Calc!$B$7))),"")</f>
        <v>Not Set</v>
      </c>
      <c r="M352" s="130" t="str">
        <f>IFERROR(IF(LEN(INDEX(Database!L$9:L$501,ROW(Calc!L352)-ROW(Calc!$B$7)))=0,$AD$3,INDEX(Database!L$9:L$501,ROW(Calc!L352)-ROW(Calc!$B$7))),"")</f>
        <v>Not Set</v>
      </c>
      <c r="N352" s="131" t="str">
        <f>IFERROR(IF(LEN(INDEX(Database!M$9:M$501,ROW(Calc!M352)-ROW(Calc!$B$7)))=0,"",INDEX(Database!M$9:M$501,ROW(Calc!M352)-ROW(Calc!$B$7))),"")</f>
        <v/>
      </c>
      <c r="O352" s="132" t="str">
        <f t="shared" si="54"/>
        <v/>
      </c>
      <c r="P352" s="125" t="str">
        <f t="shared" si="51"/>
        <v>Not Set</v>
      </c>
      <c r="Q352" s="125" t="str">
        <f t="shared" si="52"/>
        <v>Not Set</v>
      </c>
      <c r="R352" s="125" t="str">
        <f>IFERROR(IF(G352=$AD$3,$AD$3,INDEX(Kanban_Helper!$C$317:$C$328,MATCH(MONTH(G352),Kanban_Helper!$B$317:$B$328,0))&amp;" - "&amp;YEAR(G352)),"$AD$3")</f>
        <v>Not Set</v>
      </c>
      <c r="S352" s="125" t="str">
        <f>IFERROR(IF(I352=$AD$3,$AD$3,INDEX(Kanban_Helper!$C$317:$C$328,MATCH(MONTH(I352),Kanban_Helper!$B$317:$B$328,0))&amp;" - "&amp;YEAR(I352)),$AD$3)</f>
        <v>Not Set</v>
      </c>
      <c r="T352" s="125" t="str">
        <f t="shared" ca="1" si="55"/>
        <v/>
      </c>
      <c r="U352" s="125" t="str">
        <f t="shared" ca="1" si="56"/>
        <v/>
      </c>
      <c r="V352" s="125" t="str">
        <f t="shared" si="53"/>
        <v>Not Set</v>
      </c>
      <c r="W352" s="126" t="str">
        <f t="shared" si="57"/>
        <v/>
      </c>
      <c r="X352" s="126" t="str">
        <f t="shared" si="58"/>
        <v/>
      </c>
      <c r="Y352" s="125" t="str">
        <f>IFERROR(IF(LEN(D352)=0,"",IF(SUBTOTAL(3,E352:E352)=0,MIN($Y$7:Y351)-1,SUBTOTAL(3,$E$8:E352))),"")</f>
        <v/>
      </c>
      <c r="Z352" s="17"/>
      <c r="AA352" s="10"/>
      <c r="AB352" s="10"/>
      <c r="AC352" s="10"/>
      <c r="AD352" s="10"/>
      <c r="AE352" s="10"/>
      <c r="AF352" s="10"/>
      <c r="AG352" s="10"/>
      <c r="AH352" s="10"/>
      <c r="AI352" s="10"/>
      <c r="AJ352" s="10"/>
      <c r="AK352" s="10"/>
      <c r="AL352" s="10"/>
      <c r="AM352" s="10"/>
      <c r="AN352" s="10"/>
    </row>
    <row r="353" spans="2:40" hidden="1" x14ac:dyDescent="0.35">
      <c r="B353" s="15"/>
      <c r="C353" s="127" t="str">
        <f>IFERROR(IF(LEN(INDEX(Database!C$9:C$501,ROW(Calc!A353)-ROW(Calc!$B$7)))=0,"",INDEX(Database!C$9:C$501,ROW(Calc!A353)-ROW(Calc!$B$7))),"")</f>
        <v/>
      </c>
      <c r="D353" s="70" t="str">
        <f>IFERROR(IF(LEN(INDEX(Database!D$9:D$501,ROW(Calc!B353)-ROW(Calc!$B$7)))=0,"",INDEX(Database!D$9:D$501,ROW(Calc!B353)-ROW(Calc!$B$7))),"")</f>
        <v/>
      </c>
      <c r="E353" s="124" t="str">
        <f>IFERROR(IF(LEN(INDEX(Database!G$9:G$501,ROW(Calc!D353)-ROW(Calc!$B$7)))=0,$AD$3,INDEX(Database!G$9:G$501,ROW(Calc!D353)-ROW(Calc!$B$7))),"")</f>
        <v>Not Set</v>
      </c>
      <c r="F353" s="124" t="str">
        <f>IFERROR(IF(LEN(INDEX(Database!F$9:F$501,ROW(Calc!E353)-ROW(Calc!$B$7)))=0,$AD$3,INDEX(Database!F$9:F$501,ROW(Calc!E353)-ROW(Calc!$B$7))),"")</f>
        <v>Not Set</v>
      </c>
      <c r="G353" s="128" t="str">
        <f>IFERROR(IF(LEN(INDEX(Database!H$9:H$501,ROW(Calc!F353)-ROW(Calc!$B$7)))=0,$AD$3,INDEX(Database!H$9:H$501,ROW(Calc!F353)-ROW(Calc!$B$7))),"")</f>
        <v>Not Set</v>
      </c>
      <c r="H353" s="128" t="str">
        <f>IFERROR(IF(LEN(INDEX(Database!I$9:I$501,ROW(Calc!G353)-ROW(Calc!$B$7)))=0,$AD$3,INDEX(Database!I$9:I$501,ROW(Calc!G353)-ROW(Calc!$B$7))),"")</f>
        <v>Not Set</v>
      </c>
      <c r="I353" s="128" t="str">
        <f>IFERROR(IF(LEN(INDEX(Database!J$9:J$501,ROW(Calc!H353)-ROW(Calc!$B$7)))=0,$AD$3,INDEX(Database!J$9:J$501,ROW(Calc!H353)-ROW(Calc!$B$7))),"")</f>
        <v>Not Set</v>
      </c>
      <c r="J353" s="128" t="str">
        <f t="shared" si="50"/>
        <v>Not Set</v>
      </c>
      <c r="K353" s="124" t="str">
        <f>IFERROR(IF(LEN(INDEX(Database!E$9:E$501,ROW(Calc!I353)-ROW(Calc!$B$7)))=0,"",INDEX(Database!E$9:E$501,ROW(Calc!I353)-ROW(Calc!$B$7))),"")</f>
        <v/>
      </c>
      <c r="L353" s="129" t="str">
        <f>IFERROR(IF(LEN(INDEX(Database!K$9:K$501,ROW(Calc!K353)-ROW(Calc!$B$7)))=0,$AD$3,INDEX(Database!K$9:K$501,ROW(Calc!K353)-ROW(Calc!$B$7))),"")</f>
        <v>Not Set</v>
      </c>
      <c r="M353" s="130" t="str">
        <f>IFERROR(IF(LEN(INDEX(Database!L$9:L$501,ROW(Calc!L353)-ROW(Calc!$B$7)))=0,$AD$3,INDEX(Database!L$9:L$501,ROW(Calc!L353)-ROW(Calc!$B$7))),"")</f>
        <v>Not Set</v>
      </c>
      <c r="N353" s="131" t="str">
        <f>IFERROR(IF(LEN(INDEX(Database!M$9:M$501,ROW(Calc!M353)-ROW(Calc!$B$7)))=0,"",INDEX(Database!M$9:M$501,ROW(Calc!M353)-ROW(Calc!$B$7))),"")</f>
        <v/>
      </c>
      <c r="O353" s="132" t="str">
        <f t="shared" si="54"/>
        <v/>
      </c>
      <c r="P353" s="125" t="str">
        <f t="shared" si="51"/>
        <v>Not Set</v>
      </c>
      <c r="Q353" s="125" t="str">
        <f t="shared" si="52"/>
        <v>Not Set</v>
      </c>
      <c r="R353" s="125" t="str">
        <f>IFERROR(IF(G353=$AD$3,$AD$3,INDEX(Kanban_Helper!$C$317:$C$328,MATCH(MONTH(G353),Kanban_Helper!$B$317:$B$328,0))&amp;" - "&amp;YEAR(G353)),"$AD$3")</f>
        <v>Not Set</v>
      </c>
      <c r="S353" s="125" t="str">
        <f>IFERROR(IF(I353=$AD$3,$AD$3,INDEX(Kanban_Helper!$C$317:$C$328,MATCH(MONTH(I353),Kanban_Helper!$B$317:$B$328,0))&amp;" - "&amp;YEAR(I353)),$AD$3)</f>
        <v>Not Set</v>
      </c>
      <c r="T353" s="125" t="str">
        <f t="shared" ca="1" si="55"/>
        <v/>
      </c>
      <c r="U353" s="125" t="str">
        <f t="shared" ca="1" si="56"/>
        <v/>
      </c>
      <c r="V353" s="125" t="str">
        <f t="shared" si="53"/>
        <v>Not Set</v>
      </c>
      <c r="W353" s="126" t="str">
        <f t="shared" si="57"/>
        <v/>
      </c>
      <c r="X353" s="126" t="str">
        <f t="shared" si="58"/>
        <v/>
      </c>
      <c r="Y353" s="125" t="str">
        <f>IFERROR(IF(LEN(D353)=0,"",IF(SUBTOTAL(3,E353:E353)=0,MIN($Y$7:Y352)-1,SUBTOTAL(3,$E$8:E353))),"")</f>
        <v/>
      </c>
      <c r="Z353" s="17"/>
      <c r="AA353" s="10"/>
      <c r="AB353" s="10"/>
      <c r="AC353" s="10"/>
      <c r="AD353" s="10"/>
      <c r="AE353" s="10"/>
      <c r="AF353" s="10"/>
      <c r="AG353" s="10"/>
      <c r="AH353" s="10"/>
      <c r="AI353" s="10"/>
      <c r="AJ353" s="10"/>
      <c r="AK353" s="10"/>
      <c r="AL353" s="10"/>
      <c r="AM353" s="10"/>
      <c r="AN353" s="10"/>
    </row>
    <row r="354" spans="2:40" hidden="1" x14ac:dyDescent="0.35">
      <c r="B354" s="15"/>
      <c r="C354" s="127" t="str">
        <f>IFERROR(IF(LEN(INDEX(Database!C$9:C$501,ROW(Calc!A354)-ROW(Calc!$B$7)))=0,"",INDEX(Database!C$9:C$501,ROW(Calc!A354)-ROW(Calc!$B$7))),"")</f>
        <v/>
      </c>
      <c r="D354" s="70" t="str">
        <f>IFERROR(IF(LEN(INDEX(Database!D$9:D$501,ROW(Calc!B354)-ROW(Calc!$B$7)))=0,"",INDEX(Database!D$9:D$501,ROW(Calc!B354)-ROW(Calc!$B$7))),"")</f>
        <v/>
      </c>
      <c r="E354" s="124" t="str">
        <f>IFERROR(IF(LEN(INDEX(Database!G$9:G$501,ROW(Calc!D354)-ROW(Calc!$B$7)))=0,$AD$3,INDEX(Database!G$9:G$501,ROW(Calc!D354)-ROW(Calc!$B$7))),"")</f>
        <v>Not Set</v>
      </c>
      <c r="F354" s="124" t="str">
        <f>IFERROR(IF(LEN(INDEX(Database!F$9:F$501,ROW(Calc!E354)-ROW(Calc!$B$7)))=0,$AD$3,INDEX(Database!F$9:F$501,ROW(Calc!E354)-ROW(Calc!$B$7))),"")</f>
        <v>Not Set</v>
      </c>
      <c r="G354" s="128" t="str">
        <f>IFERROR(IF(LEN(INDEX(Database!H$9:H$501,ROW(Calc!F354)-ROW(Calc!$B$7)))=0,$AD$3,INDEX(Database!H$9:H$501,ROW(Calc!F354)-ROW(Calc!$B$7))),"")</f>
        <v>Not Set</v>
      </c>
      <c r="H354" s="128" t="str">
        <f>IFERROR(IF(LEN(INDEX(Database!I$9:I$501,ROW(Calc!G354)-ROW(Calc!$B$7)))=0,$AD$3,INDEX(Database!I$9:I$501,ROW(Calc!G354)-ROW(Calc!$B$7))),"")</f>
        <v>Not Set</v>
      </c>
      <c r="I354" s="128" t="str">
        <f>IFERROR(IF(LEN(INDEX(Database!J$9:J$501,ROW(Calc!H354)-ROW(Calc!$B$7)))=0,$AD$3,INDEX(Database!J$9:J$501,ROW(Calc!H354)-ROW(Calc!$B$7))),"")</f>
        <v>Not Set</v>
      </c>
      <c r="J354" s="128" t="str">
        <f t="shared" si="50"/>
        <v>Not Set</v>
      </c>
      <c r="K354" s="124" t="str">
        <f>IFERROR(IF(LEN(INDEX(Database!E$9:E$501,ROW(Calc!I354)-ROW(Calc!$B$7)))=0,"",INDEX(Database!E$9:E$501,ROW(Calc!I354)-ROW(Calc!$B$7))),"")</f>
        <v/>
      </c>
      <c r="L354" s="129" t="str">
        <f>IFERROR(IF(LEN(INDEX(Database!K$9:K$501,ROW(Calc!K354)-ROW(Calc!$B$7)))=0,$AD$3,INDEX(Database!K$9:K$501,ROW(Calc!K354)-ROW(Calc!$B$7))),"")</f>
        <v>Not Set</v>
      </c>
      <c r="M354" s="130" t="str">
        <f>IFERROR(IF(LEN(INDEX(Database!L$9:L$501,ROW(Calc!L354)-ROW(Calc!$B$7)))=0,$AD$3,INDEX(Database!L$9:L$501,ROW(Calc!L354)-ROW(Calc!$B$7))),"")</f>
        <v>Not Set</v>
      </c>
      <c r="N354" s="131" t="str">
        <f>IFERROR(IF(LEN(INDEX(Database!M$9:M$501,ROW(Calc!M354)-ROW(Calc!$B$7)))=0,"",INDEX(Database!M$9:M$501,ROW(Calc!M354)-ROW(Calc!$B$7))),"")</f>
        <v/>
      </c>
      <c r="O354" s="132" t="str">
        <f t="shared" si="54"/>
        <v/>
      </c>
      <c r="P354" s="125" t="str">
        <f t="shared" si="51"/>
        <v>Not Set</v>
      </c>
      <c r="Q354" s="125" t="str">
        <f t="shared" si="52"/>
        <v>Not Set</v>
      </c>
      <c r="R354" s="125" t="str">
        <f>IFERROR(IF(G354=$AD$3,$AD$3,INDEX(Kanban_Helper!$C$317:$C$328,MATCH(MONTH(G354),Kanban_Helper!$B$317:$B$328,0))&amp;" - "&amp;YEAR(G354)),"$AD$3")</f>
        <v>Not Set</v>
      </c>
      <c r="S354" s="125" t="str">
        <f>IFERROR(IF(I354=$AD$3,$AD$3,INDEX(Kanban_Helper!$C$317:$C$328,MATCH(MONTH(I354),Kanban_Helper!$B$317:$B$328,0))&amp;" - "&amp;YEAR(I354)),$AD$3)</f>
        <v>Not Set</v>
      </c>
      <c r="T354" s="125" t="str">
        <f t="shared" ca="1" si="55"/>
        <v/>
      </c>
      <c r="U354" s="125" t="str">
        <f t="shared" ca="1" si="56"/>
        <v/>
      </c>
      <c r="V354" s="125" t="str">
        <f t="shared" si="53"/>
        <v>Not Set</v>
      </c>
      <c r="W354" s="126" t="str">
        <f t="shared" si="57"/>
        <v/>
      </c>
      <c r="X354" s="126" t="str">
        <f t="shared" si="58"/>
        <v/>
      </c>
      <c r="Y354" s="125" t="str">
        <f>IFERROR(IF(LEN(D354)=0,"",IF(SUBTOTAL(3,E354:E354)=0,MIN($Y$7:Y353)-1,SUBTOTAL(3,$E$8:E354))),"")</f>
        <v/>
      </c>
      <c r="Z354" s="17"/>
      <c r="AA354" s="10"/>
      <c r="AB354" s="10"/>
      <c r="AC354" s="10"/>
      <c r="AD354" s="10"/>
      <c r="AE354" s="10"/>
      <c r="AF354" s="10"/>
      <c r="AG354" s="10"/>
      <c r="AH354" s="10"/>
      <c r="AI354" s="10"/>
      <c r="AJ354" s="10"/>
      <c r="AK354" s="10"/>
      <c r="AL354" s="10"/>
      <c r="AM354" s="10"/>
      <c r="AN354" s="10"/>
    </row>
    <row r="355" spans="2:40" hidden="1" x14ac:dyDescent="0.35">
      <c r="B355" s="15"/>
      <c r="C355" s="127" t="str">
        <f>IFERROR(IF(LEN(INDEX(Database!C$9:C$501,ROW(Calc!A355)-ROW(Calc!$B$7)))=0,"",INDEX(Database!C$9:C$501,ROW(Calc!A355)-ROW(Calc!$B$7))),"")</f>
        <v/>
      </c>
      <c r="D355" s="70" t="str">
        <f>IFERROR(IF(LEN(INDEX(Database!D$9:D$501,ROW(Calc!B355)-ROW(Calc!$B$7)))=0,"",INDEX(Database!D$9:D$501,ROW(Calc!B355)-ROW(Calc!$B$7))),"")</f>
        <v/>
      </c>
      <c r="E355" s="124" t="str">
        <f>IFERROR(IF(LEN(INDEX(Database!G$9:G$501,ROW(Calc!D355)-ROW(Calc!$B$7)))=0,$AD$3,INDEX(Database!G$9:G$501,ROW(Calc!D355)-ROW(Calc!$B$7))),"")</f>
        <v>Not Set</v>
      </c>
      <c r="F355" s="124" t="str">
        <f>IFERROR(IF(LEN(INDEX(Database!F$9:F$501,ROW(Calc!E355)-ROW(Calc!$B$7)))=0,$AD$3,INDEX(Database!F$9:F$501,ROW(Calc!E355)-ROW(Calc!$B$7))),"")</f>
        <v>Not Set</v>
      </c>
      <c r="G355" s="128" t="str">
        <f>IFERROR(IF(LEN(INDEX(Database!H$9:H$501,ROW(Calc!F355)-ROW(Calc!$B$7)))=0,$AD$3,INDEX(Database!H$9:H$501,ROW(Calc!F355)-ROW(Calc!$B$7))),"")</f>
        <v>Not Set</v>
      </c>
      <c r="H355" s="128" t="str">
        <f>IFERROR(IF(LEN(INDEX(Database!I$9:I$501,ROW(Calc!G355)-ROW(Calc!$B$7)))=0,$AD$3,INDEX(Database!I$9:I$501,ROW(Calc!G355)-ROW(Calc!$B$7))),"")</f>
        <v>Not Set</v>
      </c>
      <c r="I355" s="128" t="str">
        <f>IFERROR(IF(LEN(INDEX(Database!J$9:J$501,ROW(Calc!H355)-ROW(Calc!$B$7)))=0,$AD$3,INDEX(Database!J$9:J$501,ROW(Calc!H355)-ROW(Calc!$B$7))),"")</f>
        <v>Not Set</v>
      </c>
      <c r="J355" s="128" t="str">
        <f t="shared" si="50"/>
        <v>Not Set</v>
      </c>
      <c r="K355" s="124" t="str">
        <f>IFERROR(IF(LEN(INDEX(Database!E$9:E$501,ROW(Calc!I355)-ROW(Calc!$B$7)))=0,"",INDEX(Database!E$9:E$501,ROW(Calc!I355)-ROW(Calc!$B$7))),"")</f>
        <v/>
      </c>
      <c r="L355" s="129" t="str">
        <f>IFERROR(IF(LEN(INDEX(Database!K$9:K$501,ROW(Calc!K355)-ROW(Calc!$B$7)))=0,$AD$3,INDEX(Database!K$9:K$501,ROW(Calc!K355)-ROW(Calc!$B$7))),"")</f>
        <v>Not Set</v>
      </c>
      <c r="M355" s="130" t="str">
        <f>IFERROR(IF(LEN(INDEX(Database!L$9:L$501,ROW(Calc!L355)-ROW(Calc!$B$7)))=0,$AD$3,INDEX(Database!L$9:L$501,ROW(Calc!L355)-ROW(Calc!$B$7))),"")</f>
        <v>Not Set</v>
      </c>
      <c r="N355" s="131" t="str">
        <f>IFERROR(IF(LEN(INDEX(Database!M$9:M$501,ROW(Calc!M355)-ROW(Calc!$B$7)))=0,"",INDEX(Database!M$9:M$501,ROW(Calc!M355)-ROW(Calc!$B$7))),"")</f>
        <v/>
      </c>
      <c r="O355" s="132" t="str">
        <f t="shared" si="54"/>
        <v/>
      </c>
      <c r="P355" s="125" t="str">
        <f t="shared" si="51"/>
        <v>Not Set</v>
      </c>
      <c r="Q355" s="125" t="str">
        <f t="shared" si="52"/>
        <v>Not Set</v>
      </c>
      <c r="R355" s="125" t="str">
        <f>IFERROR(IF(G355=$AD$3,$AD$3,INDEX(Kanban_Helper!$C$317:$C$328,MATCH(MONTH(G355),Kanban_Helper!$B$317:$B$328,0))&amp;" - "&amp;YEAR(G355)),"$AD$3")</f>
        <v>Not Set</v>
      </c>
      <c r="S355" s="125" t="str">
        <f>IFERROR(IF(I355=$AD$3,$AD$3,INDEX(Kanban_Helper!$C$317:$C$328,MATCH(MONTH(I355),Kanban_Helper!$B$317:$B$328,0))&amp;" - "&amp;YEAR(I355)),$AD$3)</f>
        <v>Not Set</v>
      </c>
      <c r="T355" s="125" t="str">
        <f t="shared" ca="1" si="55"/>
        <v/>
      </c>
      <c r="U355" s="125" t="str">
        <f t="shared" ca="1" si="56"/>
        <v/>
      </c>
      <c r="V355" s="125" t="str">
        <f t="shared" si="53"/>
        <v>Not Set</v>
      </c>
      <c r="W355" s="126" t="str">
        <f t="shared" si="57"/>
        <v/>
      </c>
      <c r="X355" s="126" t="str">
        <f t="shared" si="58"/>
        <v/>
      </c>
      <c r="Y355" s="125" t="str">
        <f>IFERROR(IF(LEN(D355)=0,"",IF(SUBTOTAL(3,E355:E355)=0,MIN($Y$7:Y354)-1,SUBTOTAL(3,$E$8:E355))),"")</f>
        <v/>
      </c>
      <c r="Z355" s="17"/>
      <c r="AA355" s="10"/>
      <c r="AB355" s="10"/>
      <c r="AC355" s="10"/>
      <c r="AD355" s="10"/>
      <c r="AE355" s="10"/>
      <c r="AF355" s="10"/>
      <c r="AG355" s="10"/>
      <c r="AH355" s="10"/>
      <c r="AI355" s="10"/>
      <c r="AJ355" s="10"/>
      <c r="AK355" s="10"/>
      <c r="AL355" s="10"/>
      <c r="AM355" s="10"/>
      <c r="AN355" s="10"/>
    </row>
    <row r="356" spans="2:40" hidden="1" x14ac:dyDescent="0.35">
      <c r="B356" s="15"/>
      <c r="C356" s="127" t="str">
        <f>IFERROR(IF(LEN(INDEX(Database!C$9:C$501,ROW(Calc!A356)-ROW(Calc!$B$7)))=0,"",INDEX(Database!C$9:C$501,ROW(Calc!A356)-ROW(Calc!$B$7))),"")</f>
        <v/>
      </c>
      <c r="D356" s="70" t="str">
        <f>IFERROR(IF(LEN(INDEX(Database!D$9:D$501,ROW(Calc!B356)-ROW(Calc!$B$7)))=0,"",INDEX(Database!D$9:D$501,ROW(Calc!B356)-ROW(Calc!$B$7))),"")</f>
        <v/>
      </c>
      <c r="E356" s="124" t="str">
        <f>IFERROR(IF(LEN(INDEX(Database!G$9:G$501,ROW(Calc!D356)-ROW(Calc!$B$7)))=0,$AD$3,INDEX(Database!G$9:G$501,ROW(Calc!D356)-ROW(Calc!$B$7))),"")</f>
        <v>Not Set</v>
      </c>
      <c r="F356" s="124" t="str">
        <f>IFERROR(IF(LEN(INDEX(Database!F$9:F$501,ROW(Calc!E356)-ROW(Calc!$B$7)))=0,$AD$3,INDEX(Database!F$9:F$501,ROW(Calc!E356)-ROW(Calc!$B$7))),"")</f>
        <v>Not Set</v>
      </c>
      <c r="G356" s="128" t="str">
        <f>IFERROR(IF(LEN(INDEX(Database!H$9:H$501,ROW(Calc!F356)-ROW(Calc!$B$7)))=0,$AD$3,INDEX(Database!H$9:H$501,ROW(Calc!F356)-ROW(Calc!$B$7))),"")</f>
        <v>Not Set</v>
      </c>
      <c r="H356" s="128" t="str">
        <f>IFERROR(IF(LEN(INDEX(Database!I$9:I$501,ROW(Calc!G356)-ROW(Calc!$B$7)))=0,$AD$3,INDEX(Database!I$9:I$501,ROW(Calc!G356)-ROW(Calc!$B$7))),"")</f>
        <v>Not Set</v>
      </c>
      <c r="I356" s="128" t="str">
        <f>IFERROR(IF(LEN(INDEX(Database!J$9:J$501,ROW(Calc!H356)-ROW(Calc!$B$7)))=0,$AD$3,INDEX(Database!J$9:J$501,ROW(Calc!H356)-ROW(Calc!$B$7))),"")</f>
        <v>Not Set</v>
      </c>
      <c r="J356" s="128" t="str">
        <f t="shared" si="50"/>
        <v>Not Set</v>
      </c>
      <c r="K356" s="124" t="str">
        <f>IFERROR(IF(LEN(INDEX(Database!E$9:E$501,ROW(Calc!I356)-ROW(Calc!$B$7)))=0,"",INDEX(Database!E$9:E$501,ROW(Calc!I356)-ROW(Calc!$B$7))),"")</f>
        <v/>
      </c>
      <c r="L356" s="129" t="str">
        <f>IFERROR(IF(LEN(INDEX(Database!K$9:K$501,ROW(Calc!K356)-ROW(Calc!$B$7)))=0,$AD$3,INDEX(Database!K$9:K$501,ROW(Calc!K356)-ROW(Calc!$B$7))),"")</f>
        <v>Not Set</v>
      </c>
      <c r="M356" s="130" t="str">
        <f>IFERROR(IF(LEN(INDEX(Database!L$9:L$501,ROW(Calc!L356)-ROW(Calc!$B$7)))=0,$AD$3,INDEX(Database!L$9:L$501,ROW(Calc!L356)-ROW(Calc!$B$7))),"")</f>
        <v>Not Set</v>
      </c>
      <c r="N356" s="131" t="str">
        <f>IFERROR(IF(LEN(INDEX(Database!M$9:M$501,ROW(Calc!M356)-ROW(Calc!$B$7)))=0,"",INDEX(Database!M$9:M$501,ROW(Calc!M356)-ROW(Calc!$B$7))),"")</f>
        <v/>
      </c>
      <c r="O356" s="132" t="str">
        <f t="shared" si="54"/>
        <v/>
      </c>
      <c r="P356" s="125" t="str">
        <f t="shared" si="51"/>
        <v>Not Set</v>
      </c>
      <c r="Q356" s="125" t="str">
        <f t="shared" si="52"/>
        <v>Not Set</v>
      </c>
      <c r="R356" s="125" t="str">
        <f>IFERROR(IF(G356=$AD$3,$AD$3,INDEX(Kanban_Helper!$C$317:$C$328,MATCH(MONTH(G356),Kanban_Helper!$B$317:$B$328,0))&amp;" - "&amp;YEAR(G356)),"$AD$3")</f>
        <v>Not Set</v>
      </c>
      <c r="S356" s="125" t="str">
        <f>IFERROR(IF(I356=$AD$3,$AD$3,INDEX(Kanban_Helper!$C$317:$C$328,MATCH(MONTH(I356),Kanban_Helper!$B$317:$B$328,0))&amp;" - "&amp;YEAR(I356)),$AD$3)</f>
        <v>Not Set</v>
      </c>
      <c r="T356" s="125" t="str">
        <f t="shared" ca="1" si="55"/>
        <v/>
      </c>
      <c r="U356" s="125" t="str">
        <f t="shared" ca="1" si="56"/>
        <v/>
      </c>
      <c r="V356" s="125" t="str">
        <f t="shared" si="53"/>
        <v>Not Set</v>
      </c>
      <c r="W356" s="126" t="str">
        <f t="shared" si="57"/>
        <v/>
      </c>
      <c r="X356" s="126" t="str">
        <f t="shared" si="58"/>
        <v/>
      </c>
      <c r="Y356" s="125" t="str">
        <f>IFERROR(IF(LEN(D356)=0,"",IF(SUBTOTAL(3,E356:E356)=0,MIN($Y$7:Y355)-1,SUBTOTAL(3,$E$8:E356))),"")</f>
        <v/>
      </c>
      <c r="Z356" s="17"/>
      <c r="AA356" s="10"/>
      <c r="AB356" s="10"/>
      <c r="AC356" s="10"/>
      <c r="AD356" s="10"/>
      <c r="AE356" s="10"/>
      <c r="AF356" s="10"/>
      <c r="AG356" s="10"/>
      <c r="AH356" s="10"/>
      <c r="AI356" s="10"/>
      <c r="AJ356" s="10"/>
      <c r="AK356" s="10"/>
      <c r="AL356" s="10"/>
      <c r="AM356" s="10"/>
      <c r="AN356" s="10"/>
    </row>
    <row r="357" spans="2:40" hidden="1" x14ac:dyDescent="0.35">
      <c r="B357" s="15"/>
      <c r="C357" s="127" t="str">
        <f>IFERROR(IF(LEN(INDEX(Database!C$9:C$501,ROW(Calc!A357)-ROW(Calc!$B$7)))=0,"",INDEX(Database!C$9:C$501,ROW(Calc!A357)-ROW(Calc!$B$7))),"")</f>
        <v/>
      </c>
      <c r="D357" s="70" t="str">
        <f>IFERROR(IF(LEN(INDEX(Database!D$9:D$501,ROW(Calc!B357)-ROW(Calc!$B$7)))=0,"",INDEX(Database!D$9:D$501,ROW(Calc!B357)-ROW(Calc!$B$7))),"")</f>
        <v/>
      </c>
      <c r="E357" s="124" t="str">
        <f>IFERROR(IF(LEN(INDEX(Database!G$9:G$501,ROW(Calc!D357)-ROW(Calc!$B$7)))=0,$AD$3,INDEX(Database!G$9:G$501,ROW(Calc!D357)-ROW(Calc!$B$7))),"")</f>
        <v>Not Set</v>
      </c>
      <c r="F357" s="124" t="str">
        <f>IFERROR(IF(LEN(INDEX(Database!F$9:F$501,ROW(Calc!E357)-ROW(Calc!$B$7)))=0,$AD$3,INDEX(Database!F$9:F$501,ROW(Calc!E357)-ROW(Calc!$B$7))),"")</f>
        <v>Not Set</v>
      </c>
      <c r="G357" s="128" t="str">
        <f>IFERROR(IF(LEN(INDEX(Database!H$9:H$501,ROW(Calc!F357)-ROW(Calc!$B$7)))=0,$AD$3,INDEX(Database!H$9:H$501,ROW(Calc!F357)-ROW(Calc!$B$7))),"")</f>
        <v>Not Set</v>
      </c>
      <c r="H357" s="128" t="str">
        <f>IFERROR(IF(LEN(INDEX(Database!I$9:I$501,ROW(Calc!G357)-ROW(Calc!$B$7)))=0,$AD$3,INDEX(Database!I$9:I$501,ROW(Calc!G357)-ROW(Calc!$B$7))),"")</f>
        <v>Not Set</v>
      </c>
      <c r="I357" s="128" t="str">
        <f>IFERROR(IF(LEN(INDEX(Database!J$9:J$501,ROW(Calc!H357)-ROW(Calc!$B$7)))=0,$AD$3,INDEX(Database!J$9:J$501,ROW(Calc!H357)-ROW(Calc!$B$7))),"")</f>
        <v>Not Set</v>
      </c>
      <c r="J357" s="128" t="str">
        <f t="shared" si="50"/>
        <v>Not Set</v>
      </c>
      <c r="K357" s="124" t="str">
        <f>IFERROR(IF(LEN(INDEX(Database!E$9:E$501,ROW(Calc!I357)-ROW(Calc!$B$7)))=0,"",INDEX(Database!E$9:E$501,ROW(Calc!I357)-ROW(Calc!$B$7))),"")</f>
        <v/>
      </c>
      <c r="L357" s="129" t="str">
        <f>IFERROR(IF(LEN(INDEX(Database!K$9:K$501,ROW(Calc!K357)-ROW(Calc!$B$7)))=0,$AD$3,INDEX(Database!K$9:K$501,ROW(Calc!K357)-ROW(Calc!$B$7))),"")</f>
        <v>Not Set</v>
      </c>
      <c r="M357" s="130" t="str">
        <f>IFERROR(IF(LEN(INDEX(Database!L$9:L$501,ROW(Calc!L357)-ROW(Calc!$B$7)))=0,$AD$3,INDEX(Database!L$9:L$501,ROW(Calc!L357)-ROW(Calc!$B$7))),"")</f>
        <v>Not Set</v>
      </c>
      <c r="N357" s="131" t="str">
        <f>IFERROR(IF(LEN(INDEX(Database!M$9:M$501,ROW(Calc!M357)-ROW(Calc!$B$7)))=0,"",INDEX(Database!M$9:M$501,ROW(Calc!M357)-ROW(Calc!$B$7))),"")</f>
        <v/>
      </c>
      <c r="O357" s="132" t="str">
        <f t="shared" si="54"/>
        <v/>
      </c>
      <c r="P357" s="125" t="str">
        <f t="shared" si="51"/>
        <v>Not Set</v>
      </c>
      <c r="Q357" s="125" t="str">
        <f t="shared" si="52"/>
        <v>Not Set</v>
      </c>
      <c r="R357" s="125" t="str">
        <f>IFERROR(IF(G357=$AD$3,$AD$3,INDEX(Kanban_Helper!$C$317:$C$328,MATCH(MONTH(G357),Kanban_Helper!$B$317:$B$328,0))&amp;" - "&amp;YEAR(G357)),"$AD$3")</f>
        <v>Not Set</v>
      </c>
      <c r="S357" s="125" t="str">
        <f>IFERROR(IF(I357=$AD$3,$AD$3,INDEX(Kanban_Helper!$C$317:$C$328,MATCH(MONTH(I357),Kanban_Helper!$B$317:$B$328,0))&amp;" - "&amp;YEAR(I357)),$AD$3)</f>
        <v>Not Set</v>
      </c>
      <c r="T357" s="125" t="str">
        <f t="shared" ca="1" si="55"/>
        <v/>
      </c>
      <c r="U357" s="125" t="str">
        <f t="shared" ca="1" si="56"/>
        <v/>
      </c>
      <c r="V357" s="125" t="str">
        <f t="shared" si="53"/>
        <v>Not Set</v>
      </c>
      <c r="W357" s="126" t="str">
        <f t="shared" si="57"/>
        <v/>
      </c>
      <c r="X357" s="126" t="str">
        <f t="shared" si="58"/>
        <v/>
      </c>
      <c r="Y357" s="125" t="str">
        <f>IFERROR(IF(LEN(D357)=0,"",IF(SUBTOTAL(3,E357:E357)=0,MIN($Y$7:Y356)-1,SUBTOTAL(3,$E$8:E357))),"")</f>
        <v/>
      </c>
      <c r="Z357" s="17"/>
      <c r="AA357" s="10"/>
      <c r="AB357" s="10"/>
      <c r="AC357" s="10"/>
      <c r="AD357" s="10"/>
      <c r="AE357" s="10"/>
      <c r="AF357" s="10"/>
      <c r="AG357" s="10"/>
      <c r="AH357" s="10"/>
      <c r="AI357" s="10"/>
      <c r="AJ357" s="10"/>
      <c r="AK357" s="10"/>
      <c r="AL357" s="10"/>
      <c r="AM357" s="10"/>
      <c r="AN357" s="10"/>
    </row>
    <row r="358" spans="2:40" hidden="1" x14ac:dyDescent="0.35">
      <c r="B358" s="15"/>
      <c r="C358" s="127" t="str">
        <f>IFERROR(IF(LEN(INDEX(Database!C$9:C$501,ROW(Calc!A358)-ROW(Calc!$B$7)))=0,"",INDEX(Database!C$9:C$501,ROW(Calc!A358)-ROW(Calc!$B$7))),"")</f>
        <v/>
      </c>
      <c r="D358" s="70" t="str">
        <f>IFERROR(IF(LEN(INDEX(Database!D$9:D$501,ROW(Calc!B358)-ROW(Calc!$B$7)))=0,"",INDEX(Database!D$9:D$501,ROW(Calc!B358)-ROW(Calc!$B$7))),"")</f>
        <v/>
      </c>
      <c r="E358" s="124" t="str">
        <f>IFERROR(IF(LEN(INDEX(Database!G$9:G$501,ROW(Calc!D358)-ROW(Calc!$B$7)))=0,$AD$3,INDEX(Database!G$9:G$501,ROW(Calc!D358)-ROW(Calc!$B$7))),"")</f>
        <v>Not Set</v>
      </c>
      <c r="F358" s="124" t="str">
        <f>IFERROR(IF(LEN(INDEX(Database!F$9:F$501,ROW(Calc!E358)-ROW(Calc!$B$7)))=0,$AD$3,INDEX(Database!F$9:F$501,ROW(Calc!E358)-ROW(Calc!$B$7))),"")</f>
        <v>Not Set</v>
      </c>
      <c r="G358" s="128" t="str">
        <f>IFERROR(IF(LEN(INDEX(Database!H$9:H$501,ROW(Calc!F358)-ROW(Calc!$B$7)))=0,$AD$3,INDEX(Database!H$9:H$501,ROW(Calc!F358)-ROW(Calc!$B$7))),"")</f>
        <v>Not Set</v>
      </c>
      <c r="H358" s="128" t="str">
        <f>IFERROR(IF(LEN(INDEX(Database!I$9:I$501,ROW(Calc!G358)-ROW(Calc!$B$7)))=0,$AD$3,INDEX(Database!I$9:I$501,ROW(Calc!G358)-ROW(Calc!$B$7))),"")</f>
        <v>Not Set</v>
      </c>
      <c r="I358" s="128" t="str">
        <f>IFERROR(IF(LEN(INDEX(Database!J$9:J$501,ROW(Calc!H358)-ROW(Calc!$B$7)))=0,$AD$3,INDEX(Database!J$9:J$501,ROW(Calc!H358)-ROW(Calc!$B$7))),"")</f>
        <v>Not Set</v>
      </c>
      <c r="J358" s="128" t="str">
        <f t="shared" si="50"/>
        <v>Not Set</v>
      </c>
      <c r="K358" s="124" t="str">
        <f>IFERROR(IF(LEN(INDEX(Database!E$9:E$501,ROW(Calc!I358)-ROW(Calc!$B$7)))=0,"",INDEX(Database!E$9:E$501,ROW(Calc!I358)-ROW(Calc!$B$7))),"")</f>
        <v/>
      </c>
      <c r="L358" s="129" t="str">
        <f>IFERROR(IF(LEN(INDEX(Database!K$9:K$501,ROW(Calc!K358)-ROW(Calc!$B$7)))=0,$AD$3,INDEX(Database!K$9:K$501,ROW(Calc!K358)-ROW(Calc!$B$7))),"")</f>
        <v>Not Set</v>
      </c>
      <c r="M358" s="130" t="str">
        <f>IFERROR(IF(LEN(INDEX(Database!L$9:L$501,ROW(Calc!L358)-ROW(Calc!$B$7)))=0,$AD$3,INDEX(Database!L$9:L$501,ROW(Calc!L358)-ROW(Calc!$B$7))),"")</f>
        <v>Not Set</v>
      </c>
      <c r="N358" s="131" t="str">
        <f>IFERROR(IF(LEN(INDEX(Database!M$9:M$501,ROW(Calc!M358)-ROW(Calc!$B$7)))=0,"",INDEX(Database!M$9:M$501,ROW(Calc!M358)-ROW(Calc!$B$7))),"")</f>
        <v/>
      </c>
      <c r="O358" s="132" t="str">
        <f t="shared" si="54"/>
        <v/>
      </c>
      <c r="P358" s="125" t="str">
        <f t="shared" si="51"/>
        <v>Not Set</v>
      </c>
      <c r="Q358" s="125" t="str">
        <f t="shared" si="52"/>
        <v>Not Set</v>
      </c>
      <c r="R358" s="125" t="str">
        <f>IFERROR(IF(G358=$AD$3,$AD$3,INDEX(Kanban_Helper!$C$317:$C$328,MATCH(MONTH(G358),Kanban_Helper!$B$317:$B$328,0))&amp;" - "&amp;YEAR(G358)),"$AD$3")</f>
        <v>Not Set</v>
      </c>
      <c r="S358" s="125" t="str">
        <f>IFERROR(IF(I358=$AD$3,$AD$3,INDEX(Kanban_Helper!$C$317:$C$328,MATCH(MONTH(I358),Kanban_Helper!$B$317:$B$328,0))&amp;" - "&amp;YEAR(I358)),$AD$3)</f>
        <v>Not Set</v>
      </c>
      <c r="T358" s="125" t="str">
        <f t="shared" ca="1" si="55"/>
        <v/>
      </c>
      <c r="U358" s="125" t="str">
        <f t="shared" ca="1" si="56"/>
        <v/>
      </c>
      <c r="V358" s="125" t="str">
        <f t="shared" si="53"/>
        <v>Not Set</v>
      </c>
      <c r="W358" s="126" t="str">
        <f t="shared" si="57"/>
        <v/>
      </c>
      <c r="X358" s="126" t="str">
        <f t="shared" si="58"/>
        <v/>
      </c>
      <c r="Y358" s="125" t="str">
        <f>IFERROR(IF(LEN(D358)=0,"",IF(SUBTOTAL(3,E358:E358)=0,MIN($Y$7:Y357)-1,SUBTOTAL(3,$E$8:E358))),"")</f>
        <v/>
      </c>
      <c r="Z358" s="17"/>
      <c r="AA358" s="10"/>
      <c r="AB358" s="10"/>
      <c r="AC358" s="10"/>
      <c r="AD358" s="10"/>
      <c r="AE358" s="10"/>
      <c r="AF358" s="10"/>
      <c r="AG358" s="10"/>
      <c r="AH358" s="10"/>
      <c r="AI358" s="10"/>
      <c r="AJ358" s="10"/>
      <c r="AK358" s="10"/>
      <c r="AL358" s="10"/>
      <c r="AM358" s="10"/>
      <c r="AN358" s="10"/>
    </row>
    <row r="359" spans="2:40" hidden="1" x14ac:dyDescent="0.35">
      <c r="B359" s="15"/>
      <c r="C359" s="127" t="str">
        <f>IFERROR(IF(LEN(INDEX(Database!C$9:C$501,ROW(Calc!A359)-ROW(Calc!$B$7)))=0,"",INDEX(Database!C$9:C$501,ROW(Calc!A359)-ROW(Calc!$B$7))),"")</f>
        <v/>
      </c>
      <c r="D359" s="70" t="str">
        <f>IFERROR(IF(LEN(INDEX(Database!D$9:D$501,ROW(Calc!B359)-ROW(Calc!$B$7)))=0,"",INDEX(Database!D$9:D$501,ROW(Calc!B359)-ROW(Calc!$B$7))),"")</f>
        <v/>
      </c>
      <c r="E359" s="124" t="str">
        <f>IFERROR(IF(LEN(INDEX(Database!G$9:G$501,ROW(Calc!D359)-ROW(Calc!$B$7)))=0,$AD$3,INDEX(Database!G$9:G$501,ROW(Calc!D359)-ROW(Calc!$B$7))),"")</f>
        <v>Not Set</v>
      </c>
      <c r="F359" s="124" t="str">
        <f>IFERROR(IF(LEN(INDEX(Database!F$9:F$501,ROW(Calc!E359)-ROW(Calc!$B$7)))=0,$AD$3,INDEX(Database!F$9:F$501,ROW(Calc!E359)-ROW(Calc!$B$7))),"")</f>
        <v>Not Set</v>
      </c>
      <c r="G359" s="128" t="str">
        <f>IFERROR(IF(LEN(INDEX(Database!H$9:H$501,ROW(Calc!F359)-ROW(Calc!$B$7)))=0,$AD$3,INDEX(Database!H$9:H$501,ROW(Calc!F359)-ROW(Calc!$B$7))),"")</f>
        <v>Not Set</v>
      </c>
      <c r="H359" s="128" t="str">
        <f>IFERROR(IF(LEN(INDEX(Database!I$9:I$501,ROW(Calc!G359)-ROW(Calc!$B$7)))=0,$AD$3,INDEX(Database!I$9:I$501,ROW(Calc!G359)-ROW(Calc!$B$7))),"")</f>
        <v>Not Set</v>
      </c>
      <c r="I359" s="128" t="str">
        <f>IFERROR(IF(LEN(INDEX(Database!J$9:J$501,ROW(Calc!H359)-ROW(Calc!$B$7)))=0,$AD$3,INDEX(Database!J$9:J$501,ROW(Calc!H359)-ROW(Calc!$B$7))),"")</f>
        <v>Not Set</v>
      </c>
      <c r="J359" s="128" t="str">
        <f t="shared" si="50"/>
        <v>Not Set</v>
      </c>
      <c r="K359" s="124" t="str">
        <f>IFERROR(IF(LEN(INDEX(Database!E$9:E$501,ROW(Calc!I359)-ROW(Calc!$B$7)))=0,"",INDEX(Database!E$9:E$501,ROW(Calc!I359)-ROW(Calc!$B$7))),"")</f>
        <v/>
      </c>
      <c r="L359" s="129" t="str">
        <f>IFERROR(IF(LEN(INDEX(Database!K$9:K$501,ROW(Calc!K359)-ROW(Calc!$B$7)))=0,$AD$3,INDEX(Database!K$9:K$501,ROW(Calc!K359)-ROW(Calc!$B$7))),"")</f>
        <v>Not Set</v>
      </c>
      <c r="M359" s="130" t="str">
        <f>IFERROR(IF(LEN(INDEX(Database!L$9:L$501,ROW(Calc!L359)-ROW(Calc!$B$7)))=0,$AD$3,INDEX(Database!L$9:L$501,ROW(Calc!L359)-ROW(Calc!$B$7))),"")</f>
        <v>Not Set</v>
      </c>
      <c r="N359" s="131" t="str">
        <f>IFERROR(IF(LEN(INDEX(Database!M$9:M$501,ROW(Calc!M359)-ROW(Calc!$B$7)))=0,"",INDEX(Database!M$9:M$501,ROW(Calc!M359)-ROW(Calc!$B$7))),"")</f>
        <v/>
      </c>
      <c r="O359" s="132" t="str">
        <f t="shared" si="54"/>
        <v/>
      </c>
      <c r="P359" s="125" t="str">
        <f t="shared" si="51"/>
        <v>Not Set</v>
      </c>
      <c r="Q359" s="125" t="str">
        <f t="shared" si="52"/>
        <v>Not Set</v>
      </c>
      <c r="R359" s="125" t="str">
        <f>IFERROR(IF(G359=$AD$3,$AD$3,INDEX(Kanban_Helper!$C$317:$C$328,MATCH(MONTH(G359),Kanban_Helper!$B$317:$B$328,0))&amp;" - "&amp;YEAR(G359)),"$AD$3")</f>
        <v>Not Set</v>
      </c>
      <c r="S359" s="125" t="str">
        <f>IFERROR(IF(I359=$AD$3,$AD$3,INDEX(Kanban_Helper!$C$317:$C$328,MATCH(MONTH(I359),Kanban_Helper!$B$317:$B$328,0))&amp;" - "&amp;YEAR(I359)),$AD$3)</f>
        <v>Not Set</v>
      </c>
      <c r="T359" s="125" t="str">
        <f t="shared" ca="1" si="55"/>
        <v/>
      </c>
      <c r="U359" s="125" t="str">
        <f t="shared" ca="1" si="56"/>
        <v/>
      </c>
      <c r="V359" s="125" t="str">
        <f t="shared" si="53"/>
        <v>Not Set</v>
      </c>
      <c r="W359" s="126" t="str">
        <f t="shared" si="57"/>
        <v/>
      </c>
      <c r="X359" s="126" t="str">
        <f t="shared" si="58"/>
        <v/>
      </c>
      <c r="Y359" s="125" t="str">
        <f>IFERROR(IF(LEN(D359)=0,"",IF(SUBTOTAL(3,E359:E359)=0,MIN($Y$7:Y358)-1,SUBTOTAL(3,$E$8:E359))),"")</f>
        <v/>
      </c>
      <c r="Z359" s="17"/>
      <c r="AA359" s="10"/>
      <c r="AB359" s="10"/>
      <c r="AC359" s="10"/>
      <c r="AD359" s="10"/>
      <c r="AE359" s="10"/>
      <c r="AF359" s="10"/>
      <c r="AG359" s="10"/>
      <c r="AH359" s="10"/>
      <c r="AI359" s="10"/>
      <c r="AJ359" s="10"/>
      <c r="AK359" s="10"/>
      <c r="AL359" s="10"/>
      <c r="AM359" s="10"/>
      <c r="AN359" s="10"/>
    </row>
    <row r="360" spans="2:40" hidden="1" x14ac:dyDescent="0.35">
      <c r="B360" s="15"/>
      <c r="C360" s="127" t="str">
        <f>IFERROR(IF(LEN(INDEX(Database!C$9:C$501,ROW(Calc!A360)-ROW(Calc!$B$7)))=0,"",INDEX(Database!C$9:C$501,ROW(Calc!A360)-ROW(Calc!$B$7))),"")</f>
        <v/>
      </c>
      <c r="D360" s="70" t="str">
        <f>IFERROR(IF(LEN(INDEX(Database!D$9:D$501,ROW(Calc!B360)-ROW(Calc!$B$7)))=0,"",INDEX(Database!D$9:D$501,ROW(Calc!B360)-ROW(Calc!$B$7))),"")</f>
        <v/>
      </c>
      <c r="E360" s="124" t="str">
        <f>IFERROR(IF(LEN(INDEX(Database!G$9:G$501,ROW(Calc!D360)-ROW(Calc!$B$7)))=0,$AD$3,INDEX(Database!G$9:G$501,ROW(Calc!D360)-ROW(Calc!$B$7))),"")</f>
        <v>Not Set</v>
      </c>
      <c r="F360" s="124" t="str">
        <f>IFERROR(IF(LEN(INDEX(Database!F$9:F$501,ROW(Calc!E360)-ROW(Calc!$B$7)))=0,$AD$3,INDEX(Database!F$9:F$501,ROW(Calc!E360)-ROW(Calc!$B$7))),"")</f>
        <v>Not Set</v>
      </c>
      <c r="G360" s="128" t="str">
        <f>IFERROR(IF(LEN(INDEX(Database!H$9:H$501,ROW(Calc!F360)-ROW(Calc!$B$7)))=0,$AD$3,INDEX(Database!H$9:H$501,ROW(Calc!F360)-ROW(Calc!$B$7))),"")</f>
        <v>Not Set</v>
      </c>
      <c r="H360" s="128" t="str">
        <f>IFERROR(IF(LEN(INDEX(Database!I$9:I$501,ROW(Calc!G360)-ROW(Calc!$B$7)))=0,$AD$3,INDEX(Database!I$9:I$501,ROW(Calc!G360)-ROW(Calc!$B$7))),"")</f>
        <v>Not Set</v>
      </c>
      <c r="I360" s="128" t="str">
        <f>IFERROR(IF(LEN(INDEX(Database!J$9:J$501,ROW(Calc!H360)-ROW(Calc!$B$7)))=0,$AD$3,INDEX(Database!J$9:J$501,ROW(Calc!H360)-ROW(Calc!$B$7))),"")</f>
        <v>Not Set</v>
      </c>
      <c r="J360" s="128" t="str">
        <f t="shared" si="50"/>
        <v>Not Set</v>
      </c>
      <c r="K360" s="124" t="str">
        <f>IFERROR(IF(LEN(INDEX(Database!E$9:E$501,ROW(Calc!I360)-ROW(Calc!$B$7)))=0,"",INDEX(Database!E$9:E$501,ROW(Calc!I360)-ROW(Calc!$B$7))),"")</f>
        <v/>
      </c>
      <c r="L360" s="129" t="str">
        <f>IFERROR(IF(LEN(INDEX(Database!K$9:K$501,ROW(Calc!K360)-ROW(Calc!$B$7)))=0,$AD$3,INDEX(Database!K$9:K$501,ROW(Calc!K360)-ROW(Calc!$B$7))),"")</f>
        <v>Not Set</v>
      </c>
      <c r="M360" s="130" t="str">
        <f>IFERROR(IF(LEN(INDEX(Database!L$9:L$501,ROW(Calc!L360)-ROW(Calc!$B$7)))=0,$AD$3,INDEX(Database!L$9:L$501,ROW(Calc!L360)-ROW(Calc!$B$7))),"")</f>
        <v>Not Set</v>
      </c>
      <c r="N360" s="131" t="str">
        <f>IFERROR(IF(LEN(INDEX(Database!M$9:M$501,ROW(Calc!M360)-ROW(Calc!$B$7)))=0,"",INDEX(Database!M$9:M$501,ROW(Calc!M360)-ROW(Calc!$B$7))),"")</f>
        <v/>
      </c>
      <c r="O360" s="132" t="str">
        <f t="shared" si="54"/>
        <v/>
      </c>
      <c r="P360" s="125" t="str">
        <f t="shared" si="51"/>
        <v>Not Set</v>
      </c>
      <c r="Q360" s="125" t="str">
        <f t="shared" si="52"/>
        <v>Not Set</v>
      </c>
      <c r="R360" s="125" t="str">
        <f>IFERROR(IF(G360=$AD$3,$AD$3,INDEX(Kanban_Helper!$C$317:$C$328,MATCH(MONTH(G360),Kanban_Helper!$B$317:$B$328,0))&amp;" - "&amp;YEAR(G360)),"$AD$3")</f>
        <v>Not Set</v>
      </c>
      <c r="S360" s="125" t="str">
        <f>IFERROR(IF(I360=$AD$3,$AD$3,INDEX(Kanban_Helper!$C$317:$C$328,MATCH(MONTH(I360),Kanban_Helper!$B$317:$B$328,0))&amp;" - "&amp;YEAR(I360)),$AD$3)</f>
        <v>Not Set</v>
      </c>
      <c r="T360" s="125" t="str">
        <f t="shared" ca="1" si="55"/>
        <v/>
      </c>
      <c r="U360" s="125" t="str">
        <f t="shared" ca="1" si="56"/>
        <v/>
      </c>
      <c r="V360" s="125" t="str">
        <f t="shared" si="53"/>
        <v>Not Set</v>
      </c>
      <c r="W360" s="126" t="str">
        <f t="shared" si="57"/>
        <v/>
      </c>
      <c r="X360" s="126" t="str">
        <f t="shared" si="58"/>
        <v/>
      </c>
      <c r="Y360" s="125" t="str">
        <f>IFERROR(IF(LEN(D360)=0,"",IF(SUBTOTAL(3,E360:E360)=0,MIN($Y$7:Y359)-1,SUBTOTAL(3,$E$8:E360))),"")</f>
        <v/>
      </c>
      <c r="Z360" s="17"/>
      <c r="AA360" s="10"/>
      <c r="AB360" s="10"/>
      <c r="AC360" s="10"/>
      <c r="AD360" s="10"/>
      <c r="AE360" s="10"/>
      <c r="AF360" s="10"/>
      <c r="AG360" s="10"/>
      <c r="AH360" s="10"/>
      <c r="AI360" s="10"/>
      <c r="AJ360" s="10"/>
      <c r="AK360" s="10"/>
      <c r="AL360" s="10"/>
      <c r="AM360" s="10"/>
      <c r="AN360" s="10"/>
    </row>
    <row r="361" spans="2:40" hidden="1" x14ac:dyDescent="0.35">
      <c r="B361" s="15"/>
      <c r="C361" s="127" t="str">
        <f>IFERROR(IF(LEN(INDEX(Database!C$9:C$501,ROW(Calc!A361)-ROW(Calc!$B$7)))=0,"",INDEX(Database!C$9:C$501,ROW(Calc!A361)-ROW(Calc!$B$7))),"")</f>
        <v/>
      </c>
      <c r="D361" s="70" t="str">
        <f>IFERROR(IF(LEN(INDEX(Database!D$9:D$501,ROW(Calc!B361)-ROW(Calc!$B$7)))=0,"",INDEX(Database!D$9:D$501,ROW(Calc!B361)-ROW(Calc!$B$7))),"")</f>
        <v/>
      </c>
      <c r="E361" s="124" t="str">
        <f>IFERROR(IF(LEN(INDEX(Database!G$9:G$501,ROW(Calc!D361)-ROW(Calc!$B$7)))=0,$AD$3,INDEX(Database!G$9:G$501,ROW(Calc!D361)-ROW(Calc!$B$7))),"")</f>
        <v>Not Set</v>
      </c>
      <c r="F361" s="124" t="str">
        <f>IFERROR(IF(LEN(INDEX(Database!F$9:F$501,ROW(Calc!E361)-ROW(Calc!$B$7)))=0,$AD$3,INDEX(Database!F$9:F$501,ROW(Calc!E361)-ROW(Calc!$B$7))),"")</f>
        <v>Not Set</v>
      </c>
      <c r="G361" s="128" t="str">
        <f>IFERROR(IF(LEN(INDEX(Database!H$9:H$501,ROW(Calc!F361)-ROW(Calc!$B$7)))=0,$AD$3,INDEX(Database!H$9:H$501,ROW(Calc!F361)-ROW(Calc!$B$7))),"")</f>
        <v>Not Set</v>
      </c>
      <c r="H361" s="128" t="str">
        <f>IFERROR(IF(LEN(INDEX(Database!I$9:I$501,ROW(Calc!G361)-ROW(Calc!$B$7)))=0,$AD$3,INDEX(Database!I$9:I$501,ROW(Calc!G361)-ROW(Calc!$B$7))),"")</f>
        <v>Not Set</v>
      </c>
      <c r="I361" s="128" t="str">
        <f>IFERROR(IF(LEN(INDEX(Database!J$9:J$501,ROW(Calc!H361)-ROW(Calc!$B$7)))=0,$AD$3,INDEX(Database!J$9:J$501,ROW(Calc!H361)-ROW(Calc!$B$7))),"")</f>
        <v>Not Set</v>
      </c>
      <c r="J361" s="128" t="str">
        <f t="shared" si="50"/>
        <v>Not Set</v>
      </c>
      <c r="K361" s="124" t="str">
        <f>IFERROR(IF(LEN(INDEX(Database!E$9:E$501,ROW(Calc!I361)-ROW(Calc!$B$7)))=0,"",INDEX(Database!E$9:E$501,ROW(Calc!I361)-ROW(Calc!$B$7))),"")</f>
        <v/>
      </c>
      <c r="L361" s="129" t="str">
        <f>IFERROR(IF(LEN(INDEX(Database!K$9:K$501,ROW(Calc!K361)-ROW(Calc!$B$7)))=0,$AD$3,INDEX(Database!K$9:K$501,ROW(Calc!K361)-ROW(Calc!$B$7))),"")</f>
        <v>Not Set</v>
      </c>
      <c r="M361" s="130" t="str">
        <f>IFERROR(IF(LEN(INDEX(Database!L$9:L$501,ROW(Calc!L361)-ROW(Calc!$B$7)))=0,$AD$3,INDEX(Database!L$9:L$501,ROW(Calc!L361)-ROW(Calc!$B$7))),"")</f>
        <v>Not Set</v>
      </c>
      <c r="N361" s="131" t="str">
        <f>IFERROR(IF(LEN(INDEX(Database!M$9:M$501,ROW(Calc!M361)-ROW(Calc!$B$7)))=0,"",INDEX(Database!M$9:M$501,ROW(Calc!M361)-ROW(Calc!$B$7))),"")</f>
        <v/>
      </c>
      <c r="O361" s="132" t="str">
        <f t="shared" si="54"/>
        <v/>
      </c>
      <c r="P361" s="125" t="str">
        <f t="shared" si="51"/>
        <v>Not Set</v>
      </c>
      <c r="Q361" s="125" t="str">
        <f t="shared" si="52"/>
        <v>Not Set</v>
      </c>
      <c r="R361" s="125" t="str">
        <f>IFERROR(IF(G361=$AD$3,$AD$3,INDEX(Kanban_Helper!$C$317:$C$328,MATCH(MONTH(G361),Kanban_Helper!$B$317:$B$328,0))&amp;" - "&amp;YEAR(G361)),"$AD$3")</f>
        <v>Not Set</v>
      </c>
      <c r="S361" s="125" t="str">
        <f>IFERROR(IF(I361=$AD$3,$AD$3,INDEX(Kanban_Helper!$C$317:$C$328,MATCH(MONTH(I361),Kanban_Helper!$B$317:$B$328,0))&amp;" - "&amp;YEAR(I361)),$AD$3)</f>
        <v>Not Set</v>
      </c>
      <c r="T361" s="125" t="str">
        <f t="shared" ca="1" si="55"/>
        <v/>
      </c>
      <c r="U361" s="125" t="str">
        <f t="shared" ca="1" si="56"/>
        <v/>
      </c>
      <c r="V361" s="125" t="str">
        <f t="shared" si="53"/>
        <v>Not Set</v>
      </c>
      <c r="W361" s="126" t="str">
        <f t="shared" si="57"/>
        <v/>
      </c>
      <c r="X361" s="126" t="str">
        <f t="shared" si="58"/>
        <v/>
      </c>
      <c r="Y361" s="125" t="str">
        <f>IFERROR(IF(LEN(D361)=0,"",IF(SUBTOTAL(3,E361:E361)=0,MIN($Y$7:Y360)-1,SUBTOTAL(3,$E$8:E361))),"")</f>
        <v/>
      </c>
      <c r="Z361" s="17"/>
      <c r="AA361" s="10"/>
      <c r="AB361" s="10"/>
      <c r="AC361" s="10"/>
      <c r="AD361" s="10"/>
      <c r="AE361" s="10"/>
      <c r="AF361" s="10"/>
      <c r="AG361" s="10"/>
      <c r="AH361" s="10"/>
      <c r="AI361" s="10"/>
      <c r="AJ361" s="10"/>
      <c r="AK361" s="10"/>
      <c r="AL361" s="10"/>
      <c r="AM361" s="10"/>
      <c r="AN361" s="10"/>
    </row>
    <row r="362" spans="2:40" hidden="1" x14ac:dyDescent="0.35">
      <c r="B362" s="15"/>
      <c r="C362" s="127" t="str">
        <f>IFERROR(IF(LEN(INDEX(Database!C$9:C$501,ROW(Calc!A362)-ROW(Calc!$B$7)))=0,"",INDEX(Database!C$9:C$501,ROW(Calc!A362)-ROW(Calc!$B$7))),"")</f>
        <v/>
      </c>
      <c r="D362" s="70" t="str">
        <f>IFERROR(IF(LEN(INDEX(Database!D$9:D$501,ROW(Calc!B362)-ROW(Calc!$B$7)))=0,"",INDEX(Database!D$9:D$501,ROW(Calc!B362)-ROW(Calc!$B$7))),"")</f>
        <v/>
      </c>
      <c r="E362" s="124" t="str">
        <f>IFERROR(IF(LEN(INDEX(Database!G$9:G$501,ROW(Calc!D362)-ROW(Calc!$B$7)))=0,$AD$3,INDEX(Database!G$9:G$501,ROW(Calc!D362)-ROW(Calc!$B$7))),"")</f>
        <v>Not Set</v>
      </c>
      <c r="F362" s="124" t="str">
        <f>IFERROR(IF(LEN(INDEX(Database!F$9:F$501,ROW(Calc!E362)-ROW(Calc!$B$7)))=0,$AD$3,INDEX(Database!F$9:F$501,ROW(Calc!E362)-ROW(Calc!$B$7))),"")</f>
        <v>Not Set</v>
      </c>
      <c r="G362" s="128" t="str">
        <f>IFERROR(IF(LEN(INDEX(Database!H$9:H$501,ROW(Calc!F362)-ROW(Calc!$B$7)))=0,$AD$3,INDEX(Database!H$9:H$501,ROW(Calc!F362)-ROW(Calc!$B$7))),"")</f>
        <v>Not Set</v>
      </c>
      <c r="H362" s="128" t="str">
        <f>IFERROR(IF(LEN(INDEX(Database!I$9:I$501,ROW(Calc!G362)-ROW(Calc!$B$7)))=0,$AD$3,INDEX(Database!I$9:I$501,ROW(Calc!G362)-ROW(Calc!$B$7))),"")</f>
        <v>Not Set</v>
      </c>
      <c r="I362" s="128" t="str">
        <f>IFERROR(IF(LEN(INDEX(Database!J$9:J$501,ROW(Calc!H362)-ROW(Calc!$B$7)))=0,$AD$3,INDEX(Database!J$9:J$501,ROW(Calc!H362)-ROW(Calc!$B$7))),"")</f>
        <v>Not Set</v>
      </c>
      <c r="J362" s="128" t="str">
        <f t="shared" si="50"/>
        <v>Not Set</v>
      </c>
      <c r="K362" s="124" t="str">
        <f>IFERROR(IF(LEN(INDEX(Database!E$9:E$501,ROW(Calc!I362)-ROW(Calc!$B$7)))=0,"",INDEX(Database!E$9:E$501,ROW(Calc!I362)-ROW(Calc!$B$7))),"")</f>
        <v/>
      </c>
      <c r="L362" s="129" t="str">
        <f>IFERROR(IF(LEN(INDEX(Database!K$9:K$501,ROW(Calc!K362)-ROW(Calc!$B$7)))=0,$AD$3,INDEX(Database!K$9:K$501,ROW(Calc!K362)-ROW(Calc!$B$7))),"")</f>
        <v>Not Set</v>
      </c>
      <c r="M362" s="130" t="str">
        <f>IFERROR(IF(LEN(INDEX(Database!L$9:L$501,ROW(Calc!L362)-ROW(Calc!$B$7)))=0,$AD$3,INDEX(Database!L$9:L$501,ROW(Calc!L362)-ROW(Calc!$B$7))),"")</f>
        <v>Not Set</v>
      </c>
      <c r="N362" s="131" t="str">
        <f>IFERROR(IF(LEN(INDEX(Database!M$9:M$501,ROW(Calc!M362)-ROW(Calc!$B$7)))=0,"",INDEX(Database!M$9:M$501,ROW(Calc!M362)-ROW(Calc!$B$7))),"")</f>
        <v/>
      </c>
      <c r="O362" s="132" t="str">
        <f t="shared" si="54"/>
        <v/>
      </c>
      <c r="P362" s="125" t="str">
        <f t="shared" si="51"/>
        <v>Not Set</v>
      </c>
      <c r="Q362" s="125" t="str">
        <f t="shared" si="52"/>
        <v>Not Set</v>
      </c>
      <c r="R362" s="125" t="str">
        <f>IFERROR(IF(G362=$AD$3,$AD$3,INDEX(Kanban_Helper!$C$317:$C$328,MATCH(MONTH(G362),Kanban_Helper!$B$317:$B$328,0))&amp;" - "&amp;YEAR(G362)),"$AD$3")</f>
        <v>Not Set</v>
      </c>
      <c r="S362" s="125" t="str">
        <f>IFERROR(IF(I362=$AD$3,$AD$3,INDEX(Kanban_Helper!$C$317:$C$328,MATCH(MONTH(I362),Kanban_Helper!$B$317:$B$328,0))&amp;" - "&amp;YEAR(I362)),$AD$3)</f>
        <v>Not Set</v>
      </c>
      <c r="T362" s="125" t="str">
        <f t="shared" ca="1" si="55"/>
        <v/>
      </c>
      <c r="U362" s="125" t="str">
        <f t="shared" ca="1" si="56"/>
        <v/>
      </c>
      <c r="V362" s="125" t="str">
        <f t="shared" si="53"/>
        <v>Not Set</v>
      </c>
      <c r="W362" s="126" t="str">
        <f t="shared" si="57"/>
        <v/>
      </c>
      <c r="X362" s="126" t="str">
        <f t="shared" si="58"/>
        <v/>
      </c>
      <c r="Y362" s="125" t="str">
        <f>IFERROR(IF(LEN(D362)=0,"",IF(SUBTOTAL(3,E362:E362)=0,MIN($Y$7:Y361)-1,SUBTOTAL(3,$E$8:E362))),"")</f>
        <v/>
      </c>
      <c r="Z362" s="17"/>
      <c r="AA362" s="10"/>
      <c r="AB362" s="10"/>
      <c r="AC362" s="10"/>
      <c r="AD362" s="10"/>
      <c r="AE362" s="10"/>
      <c r="AF362" s="10"/>
      <c r="AG362" s="10"/>
      <c r="AH362" s="10"/>
      <c r="AI362" s="10"/>
      <c r="AJ362" s="10"/>
      <c r="AK362" s="10"/>
      <c r="AL362" s="10"/>
      <c r="AM362" s="10"/>
      <c r="AN362" s="10"/>
    </row>
    <row r="363" spans="2:40" hidden="1" x14ac:dyDescent="0.35">
      <c r="B363" s="15"/>
      <c r="C363" s="127" t="str">
        <f>IFERROR(IF(LEN(INDEX(Database!C$9:C$501,ROW(Calc!A363)-ROW(Calc!$B$7)))=0,"",INDEX(Database!C$9:C$501,ROW(Calc!A363)-ROW(Calc!$B$7))),"")</f>
        <v/>
      </c>
      <c r="D363" s="70" t="str">
        <f>IFERROR(IF(LEN(INDEX(Database!D$9:D$501,ROW(Calc!B363)-ROW(Calc!$B$7)))=0,"",INDEX(Database!D$9:D$501,ROW(Calc!B363)-ROW(Calc!$B$7))),"")</f>
        <v/>
      </c>
      <c r="E363" s="124" t="str">
        <f>IFERROR(IF(LEN(INDEX(Database!G$9:G$501,ROW(Calc!D363)-ROW(Calc!$B$7)))=0,$AD$3,INDEX(Database!G$9:G$501,ROW(Calc!D363)-ROW(Calc!$B$7))),"")</f>
        <v>Not Set</v>
      </c>
      <c r="F363" s="124" t="str">
        <f>IFERROR(IF(LEN(INDEX(Database!F$9:F$501,ROW(Calc!E363)-ROW(Calc!$B$7)))=0,$AD$3,INDEX(Database!F$9:F$501,ROW(Calc!E363)-ROW(Calc!$B$7))),"")</f>
        <v>Not Set</v>
      </c>
      <c r="G363" s="128" t="str">
        <f>IFERROR(IF(LEN(INDEX(Database!H$9:H$501,ROW(Calc!F363)-ROW(Calc!$B$7)))=0,$AD$3,INDEX(Database!H$9:H$501,ROW(Calc!F363)-ROW(Calc!$B$7))),"")</f>
        <v>Not Set</v>
      </c>
      <c r="H363" s="128" t="str">
        <f>IFERROR(IF(LEN(INDEX(Database!I$9:I$501,ROW(Calc!G363)-ROW(Calc!$B$7)))=0,$AD$3,INDEX(Database!I$9:I$501,ROW(Calc!G363)-ROW(Calc!$B$7))),"")</f>
        <v>Not Set</v>
      </c>
      <c r="I363" s="128" t="str">
        <f>IFERROR(IF(LEN(INDEX(Database!J$9:J$501,ROW(Calc!H363)-ROW(Calc!$B$7)))=0,$AD$3,INDEX(Database!J$9:J$501,ROW(Calc!H363)-ROW(Calc!$B$7))),"")</f>
        <v>Not Set</v>
      </c>
      <c r="J363" s="128" t="str">
        <f t="shared" si="50"/>
        <v>Not Set</v>
      </c>
      <c r="K363" s="124" t="str">
        <f>IFERROR(IF(LEN(INDEX(Database!E$9:E$501,ROW(Calc!I363)-ROW(Calc!$B$7)))=0,"",INDEX(Database!E$9:E$501,ROW(Calc!I363)-ROW(Calc!$B$7))),"")</f>
        <v/>
      </c>
      <c r="L363" s="129" t="str">
        <f>IFERROR(IF(LEN(INDEX(Database!K$9:K$501,ROW(Calc!K363)-ROW(Calc!$B$7)))=0,$AD$3,INDEX(Database!K$9:K$501,ROW(Calc!K363)-ROW(Calc!$B$7))),"")</f>
        <v>Not Set</v>
      </c>
      <c r="M363" s="130" t="str">
        <f>IFERROR(IF(LEN(INDEX(Database!L$9:L$501,ROW(Calc!L363)-ROW(Calc!$B$7)))=0,$AD$3,INDEX(Database!L$9:L$501,ROW(Calc!L363)-ROW(Calc!$B$7))),"")</f>
        <v>Not Set</v>
      </c>
      <c r="N363" s="131" t="str">
        <f>IFERROR(IF(LEN(INDEX(Database!M$9:M$501,ROW(Calc!M363)-ROW(Calc!$B$7)))=0,"",INDEX(Database!M$9:M$501,ROW(Calc!M363)-ROW(Calc!$B$7))),"")</f>
        <v/>
      </c>
      <c r="O363" s="132" t="str">
        <f t="shared" si="54"/>
        <v/>
      </c>
      <c r="P363" s="125" t="str">
        <f t="shared" si="51"/>
        <v>Not Set</v>
      </c>
      <c r="Q363" s="125" t="str">
        <f t="shared" si="52"/>
        <v>Not Set</v>
      </c>
      <c r="R363" s="125" t="str">
        <f>IFERROR(IF(G363=$AD$3,$AD$3,INDEX(Kanban_Helper!$C$317:$C$328,MATCH(MONTH(G363),Kanban_Helper!$B$317:$B$328,0))&amp;" - "&amp;YEAR(G363)),"$AD$3")</f>
        <v>Not Set</v>
      </c>
      <c r="S363" s="125" t="str">
        <f>IFERROR(IF(I363=$AD$3,$AD$3,INDEX(Kanban_Helper!$C$317:$C$328,MATCH(MONTH(I363),Kanban_Helper!$B$317:$B$328,0))&amp;" - "&amp;YEAR(I363)),$AD$3)</f>
        <v>Not Set</v>
      </c>
      <c r="T363" s="125" t="str">
        <f t="shared" ca="1" si="55"/>
        <v/>
      </c>
      <c r="U363" s="125" t="str">
        <f t="shared" ca="1" si="56"/>
        <v/>
      </c>
      <c r="V363" s="125" t="str">
        <f t="shared" si="53"/>
        <v>Not Set</v>
      </c>
      <c r="W363" s="126" t="str">
        <f t="shared" si="57"/>
        <v/>
      </c>
      <c r="X363" s="126" t="str">
        <f t="shared" si="58"/>
        <v/>
      </c>
      <c r="Y363" s="125" t="str">
        <f>IFERROR(IF(LEN(D363)=0,"",IF(SUBTOTAL(3,E363:E363)=0,MIN($Y$7:Y362)-1,SUBTOTAL(3,$E$8:E363))),"")</f>
        <v/>
      </c>
      <c r="Z363" s="17"/>
      <c r="AA363" s="10"/>
      <c r="AB363" s="10"/>
      <c r="AC363" s="10"/>
      <c r="AD363" s="10"/>
      <c r="AE363" s="10"/>
      <c r="AF363" s="10"/>
      <c r="AG363" s="10"/>
      <c r="AH363" s="10"/>
      <c r="AI363" s="10"/>
      <c r="AJ363" s="10"/>
      <c r="AK363" s="10"/>
      <c r="AL363" s="10"/>
      <c r="AM363" s="10"/>
      <c r="AN363" s="10"/>
    </row>
    <row r="364" spans="2:40" hidden="1" x14ac:dyDescent="0.35">
      <c r="B364" s="15"/>
      <c r="C364" s="127" t="str">
        <f>IFERROR(IF(LEN(INDEX(Database!C$9:C$501,ROW(Calc!A364)-ROW(Calc!$B$7)))=0,"",INDEX(Database!C$9:C$501,ROW(Calc!A364)-ROW(Calc!$B$7))),"")</f>
        <v/>
      </c>
      <c r="D364" s="70" t="str">
        <f>IFERROR(IF(LEN(INDEX(Database!D$9:D$501,ROW(Calc!B364)-ROW(Calc!$B$7)))=0,"",INDEX(Database!D$9:D$501,ROW(Calc!B364)-ROW(Calc!$B$7))),"")</f>
        <v/>
      </c>
      <c r="E364" s="124" t="str">
        <f>IFERROR(IF(LEN(INDEX(Database!G$9:G$501,ROW(Calc!D364)-ROW(Calc!$B$7)))=0,$AD$3,INDEX(Database!G$9:G$501,ROW(Calc!D364)-ROW(Calc!$B$7))),"")</f>
        <v>Not Set</v>
      </c>
      <c r="F364" s="124" t="str">
        <f>IFERROR(IF(LEN(INDEX(Database!F$9:F$501,ROW(Calc!E364)-ROW(Calc!$B$7)))=0,$AD$3,INDEX(Database!F$9:F$501,ROW(Calc!E364)-ROW(Calc!$B$7))),"")</f>
        <v>Not Set</v>
      </c>
      <c r="G364" s="128" t="str">
        <f>IFERROR(IF(LEN(INDEX(Database!H$9:H$501,ROW(Calc!F364)-ROW(Calc!$B$7)))=0,$AD$3,INDEX(Database!H$9:H$501,ROW(Calc!F364)-ROW(Calc!$B$7))),"")</f>
        <v>Not Set</v>
      </c>
      <c r="H364" s="128" t="str">
        <f>IFERROR(IF(LEN(INDEX(Database!I$9:I$501,ROW(Calc!G364)-ROW(Calc!$B$7)))=0,$AD$3,INDEX(Database!I$9:I$501,ROW(Calc!G364)-ROW(Calc!$B$7))),"")</f>
        <v>Not Set</v>
      </c>
      <c r="I364" s="128" t="str">
        <f>IFERROR(IF(LEN(INDEX(Database!J$9:J$501,ROW(Calc!H364)-ROW(Calc!$B$7)))=0,$AD$3,INDEX(Database!J$9:J$501,ROW(Calc!H364)-ROW(Calc!$B$7))),"")</f>
        <v>Not Set</v>
      </c>
      <c r="J364" s="128" t="str">
        <f t="shared" si="50"/>
        <v>Not Set</v>
      </c>
      <c r="K364" s="124" t="str">
        <f>IFERROR(IF(LEN(INDEX(Database!E$9:E$501,ROW(Calc!I364)-ROW(Calc!$B$7)))=0,"",INDEX(Database!E$9:E$501,ROW(Calc!I364)-ROW(Calc!$B$7))),"")</f>
        <v/>
      </c>
      <c r="L364" s="129" t="str">
        <f>IFERROR(IF(LEN(INDEX(Database!K$9:K$501,ROW(Calc!K364)-ROW(Calc!$B$7)))=0,$AD$3,INDEX(Database!K$9:K$501,ROW(Calc!K364)-ROW(Calc!$B$7))),"")</f>
        <v>Not Set</v>
      </c>
      <c r="M364" s="130" t="str">
        <f>IFERROR(IF(LEN(INDEX(Database!L$9:L$501,ROW(Calc!L364)-ROW(Calc!$B$7)))=0,$AD$3,INDEX(Database!L$9:L$501,ROW(Calc!L364)-ROW(Calc!$B$7))),"")</f>
        <v>Not Set</v>
      </c>
      <c r="N364" s="131" t="str">
        <f>IFERROR(IF(LEN(INDEX(Database!M$9:M$501,ROW(Calc!M364)-ROW(Calc!$B$7)))=0,"",INDEX(Database!M$9:M$501,ROW(Calc!M364)-ROW(Calc!$B$7))),"")</f>
        <v/>
      </c>
      <c r="O364" s="132" t="str">
        <f t="shared" si="54"/>
        <v/>
      </c>
      <c r="P364" s="125" t="str">
        <f t="shared" si="51"/>
        <v>Not Set</v>
      </c>
      <c r="Q364" s="125" t="str">
        <f t="shared" si="52"/>
        <v>Not Set</v>
      </c>
      <c r="R364" s="125" t="str">
        <f>IFERROR(IF(G364=$AD$3,$AD$3,INDEX(Kanban_Helper!$C$317:$C$328,MATCH(MONTH(G364),Kanban_Helper!$B$317:$B$328,0))&amp;" - "&amp;YEAR(G364)),"$AD$3")</f>
        <v>Not Set</v>
      </c>
      <c r="S364" s="125" t="str">
        <f>IFERROR(IF(I364=$AD$3,$AD$3,INDEX(Kanban_Helper!$C$317:$C$328,MATCH(MONTH(I364),Kanban_Helper!$B$317:$B$328,0))&amp;" - "&amp;YEAR(I364)),$AD$3)</f>
        <v>Not Set</v>
      </c>
      <c r="T364" s="125" t="str">
        <f t="shared" ca="1" si="55"/>
        <v/>
      </c>
      <c r="U364" s="125" t="str">
        <f t="shared" ca="1" si="56"/>
        <v/>
      </c>
      <c r="V364" s="125" t="str">
        <f t="shared" si="53"/>
        <v>Not Set</v>
      </c>
      <c r="W364" s="126" t="str">
        <f t="shared" si="57"/>
        <v/>
      </c>
      <c r="X364" s="126" t="str">
        <f t="shared" si="58"/>
        <v/>
      </c>
      <c r="Y364" s="125" t="str">
        <f>IFERROR(IF(LEN(D364)=0,"",IF(SUBTOTAL(3,E364:E364)=0,MIN($Y$7:Y363)-1,SUBTOTAL(3,$E$8:E364))),"")</f>
        <v/>
      </c>
      <c r="Z364" s="17"/>
      <c r="AA364" s="10"/>
      <c r="AB364" s="10"/>
      <c r="AC364" s="10"/>
      <c r="AD364" s="10"/>
      <c r="AE364" s="10"/>
      <c r="AF364" s="10"/>
      <c r="AG364" s="10"/>
      <c r="AH364" s="10"/>
      <c r="AI364" s="10"/>
      <c r="AJ364" s="10"/>
      <c r="AK364" s="10"/>
      <c r="AL364" s="10"/>
      <c r="AM364" s="10"/>
      <c r="AN364" s="10"/>
    </row>
    <row r="365" spans="2:40" hidden="1" x14ac:dyDescent="0.35">
      <c r="B365" s="15"/>
      <c r="C365" s="127" t="str">
        <f>IFERROR(IF(LEN(INDEX(Database!C$9:C$501,ROW(Calc!A365)-ROW(Calc!$B$7)))=0,"",INDEX(Database!C$9:C$501,ROW(Calc!A365)-ROW(Calc!$B$7))),"")</f>
        <v/>
      </c>
      <c r="D365" s="70" t="str">
        <f>IFERROR(IF(LEN(INDEX(Database!D$9:D$501,ROW(Calc!B365)-ROW(Calc!$B$7)))=0,"",INDEX(Database!D$9:D$501,ROW(Calc!B365)-ROW(Calc!$B$7))),"")</f>
        <v/>
      </c>
      <c r="E365" s="124" t="str">
        <f>IFERROR(IF(LEN(INDEX(Database!G$9:G$501,ROW(Calc!D365)-ROW(Calc!$B$7)))=0,$AD$3,INDEX(Database!G$9:G$501,ROW(Calc!D365)-ROW(Calc!$B$7))),"")</f>
        <v>Not Set</v>
      </c>
      <c r="F365" s="124" t="str">
        <f>IFERROR(IF(LEN(INDEX(Database!F$9:F$501,ROW(Calc!E365)-ROW(Calc!$B$7)))=0,$AD$3,INDEX(Database!F$9:F$501,ROW(Calc!E365)-ROW(Calc!$B$7))),"")</f>
        <v>Not Set</v>
      </c>
      <c r="G365" s="128" t="str">
        <f>IFERROR(IF(LEN(INDEX(Database!H$9:H$501,ROW(Calc!F365)-ROW(Calc!$B$7)))=0,$AD$3,INDEX(Database!H$9:H$501,ROW(Calc!F365)-ROW(Calc!$B$7))),"")</f>
        <v>Not Set</v>
      </c>
      <c r="H365" s="128" t="str">
        <f>IFERROR(IF(LEN(INDEX(Database!I$9:I$501,ROW(Calc!G365)-ROW(Calc!$B$7)))=0,$AD$3,INDEX(Database!I$9:I$501,ROW(Calc!G365)-ROW(Calc!$B$7))),"")</f>
        <v>Not Set</v>
      </c>
      <c r="I365" s="128" t="str">
        <f>IFERROR(IF(LEN(INDEX(Database!J$9:J$501,ROW(Calc!H365)-ROW(Calc!$B$7)))=0,$AD$3,INDEX(Database!J$9:J$501,ROW(Calc!H365)-ROW(Calc!$B$7))),"")</f>
        <v>Not Set</v>
      </c>
      <c r="J365" s="128" t="str">
        <f t="shared" si="50"/>
        <v>Not Set</v>
      </c>
      <c r="K365" s="124" t="str">
        <f>IFERROR(IF(LEN(INDEX(Database!E$9:E$501,ROW(Calc!I365)-ROW(Calc!$B$7)))=0,"",INDEX(Database!E$9:E$501,ROW(Calc!I365)-ROW(Calc!$B$7))),"")</f>
        <v/>
      </c>
      <c r="L365" s="129" t="str">
        <f>IFERROR(IF(LEN(INDEX(Database!K$9:K$501,ROW(Calc!K365)-ROW(Calc!$B$7)))=0,$AD$3,INDEX(Database!K$9:K$501,ROW(Calc!K365)-ROW(Calc!$B$7))),"")</f>
        <v>Not Set</v>
      </c>
      <c r="M365" s="130" t="str">
        <f>IFERROR(IF(LEN(INDEX(Database!L$9:L$501,ROW(Calc!L365)-ROW(Calc!$B$7)))=0,$AD$3,INDEX(Database!L$9:L$501,ROW(Calc!L365)-ROW(Calc!$B$7))),"")</f>
        <v>Not Set</v>
      </c>
      <c r="N365" s="131" t="str">
        <f>IFERROR(IF(LEN(INDEX(Database!M$9:M$501,ROW(Calc!M365)-ROW(Calc!$B$7)))=0,"",INDEX(Database!M$9:M$501,ROW(Calc!M365)-ROW(Calc!$B$7))),"")</f>
        <v/>
      </c>
      <c r="O365" s="132" t="str">
        <f t="shared" si="54"/>
        <v/>
      </c>
      <c r="P365" s="125" t="str">
        <f t="shared" si="51"/>
        <v>Not Set</v>
      </c>
      <c r="Q365" s="125" t="str">
        <f t="shared" si="52"/>
        <v>Not Set</v>
      </c>
      <c r="R365" s="125" t="str">
        <f>IFERROR(IF(G365=$AD$3,$AD$3,INDEX(Kanban_Helper!$C$317:$C$328,MATCH(MONTH(G365),Kanban_Helper!$B$317:$B$328,0))&amp;" - "&amp;YEAR(G365)),"$AD$3")</f>
        <v>Not Set</v>
      </c>
      <c r="S365" s="125" t="str">
        <f>IFERROR(IF(I365=$AD$3,$AD$3,INDEX(Kanban_Helper!$C$317:$C$328,MATCH(MONTH(I365),Kanban_Helper!$B$317:$B$328,0))&amp;" - "&amp;YEAR(I365)),$AD$3)</f>
        <v>Not Set</v>
      </c>
      <c r="T365" s="125" t="str">
        <f t="shared" ca="1" si="55"/>
        <v/>
      </c>
      <c r="U365" s="125" t="str">
        <f t="shared" ca="1" si="56"/>
        <v/>
      </c>
      <c r="V365" s="125" t="str">
        <f t="shared" si="53"/>
        <v>Not Set</v>
      </c>
      <c r="W365" s="126" t="str">
        <f t="shared" si="57"/>
        <v/>
      </c>
      <c r="X365" s="126" t="str">
        <f t="shared" si="58"/>
        <v/>
      </c>
      <c r="Y365" s="125" t="str">
        <f>IFERROR(IF(LEN(D365)=0,"",IF(SUBTOTAL(3,E365:E365)=0,MIN($Y$7:Y364)-1,SUBTOTAL(3,$E$8:E365))),"")</f>
        <v/>
      </c>
      <c r="Z365" s="17"/>
      <c r="AA365" s="10"/>
      <c r="AB365" s="10"/>
      <c r="AC365" s="10"/>
      <c r="AD365" s="10"/>
      <c r="AE365" s="10"/>
      <c r="AF365" s="10"/>
      <c r="AG365" s="10"/>
      <c r="AH365" s="10"/>
      <c r="AI365" s="10"/>
      <c r="AJ365" s="10"/>
      <c r="AK365" s="10"/>
      <c r="AL365" s="10"/>
      <c r="AM365" s="10"/>
      <c r="AN365" s="10"/>
    </row>
    <row r="366" spans="2:40" hidden="1" x14ac:dyDescent="0.35">
      <c r="B366" s="15"/>
      <c r="C366" s="127" t="str">
        <f>IFERROR(IF(LEN(INDEX(Database!C$9:C$501,ROW(Calc!A366)-ROW(Calc!$B$7)))=0,"",INDEX(Database!C$9:C$501,ROW(Calc!A366)-ROW(Calc!$B$7))),"")</f>
        <v/>
      </c>
      <c r="D366" s="70" t="str">
        <f>IFERROR(IF(LEN(INDEX(Database!D$9:D$501,ROW(Calc!B366)-ROW(Calc!$B$7)))=0,"",INDEX(Database!D$9:D$501,ROW(Calc!B366)-ROW(Calc!$B$7))),"")</f>
        <v/>
      </c>
      <c r="E366" s="124" t="str">
        <f>IFERROR(IF(LEN(INDEX(Database!G$9:G$501,ROW(Calc!D366)-ROW(Calc!$B$7)))=0,$AD$3,INDEX(Database!G$9:G$501,ROW(Calc!D366)-ROW(Calc!$B$7))),"")</f>
        <v>Not Set</v>
      </c>
      <c r="F366" s="124" t="str">
        <f>IFERROR(IF(LEN(INDEX(Database!F$9:F$501,ROW(Calc!E366)-ROW(Calc!$B$7)))=0,$AD$3,INDEX(Database!F$9:F$501,ROW(Calc!E366)-ROW(Calc!$B$7))),"")</f>
        <v>Not Set</v>
      </c>
      <c r="G366" s="128" t="str">
        <f>IFERROR(IF(LEN(INDEX(Database!H$9:H$501,ROW(Calc!F366)-ROW(Calc!$B$7)))=0,$AD$3,INDEX(Database!H$9:H$501,ROW(Calc!F366)-ROW(Calc!$B$7))),"")</f>
        <v>Not Set</v>
      </c>
      <c r="H366" s="128" t="str">
        <f>IFERROR(IF(LEN(INDEX(Database!I$9:I$501,ROW(Calc!G366)-ROW(Calc!$B$7)))=0,$AD$3,INDEX(Database!I$9:I$501,ROW(Calc!G366)-ROW(Calc!$B$7))),"")</f>
        <v>Not Set</v>
      </c>
      <c r="I366" s="128" t="str">
        <f>IFERROR(IF(LEN(INDEX(Database!J$9:J$501,ROW(Calc!H366)-ROW(Calc!$B$7)))=0,$AD$3,INDEX(Database!J$9:J$501,ROW(Calc!H366)-ROW(Calc!$B$7))),"")</f>
        <v>Not Set</v>
      </c>
      <c r="J366" s="128" t="str">
        <f t="shared" si="50"/>
        <v>Not Set</v>
      </c>
      <c r="K366" s="124" t="str">
        <f>IFERROR(IF(LEN(INDEX(Database!E$9:E$501,ROW(Calc!I366)-ROW(Calc!$B$7)))=0,"",INDEX(Database!E$9:E$501,ROW(Calc!I366)-ROW(Calc!$B$7))),"")</f>
        <v/>
      </c>
      <c r="L366" s="129" t="str">
        <f>IFERROR(IF(LEN(INDEX(Database!K$9:K$501,ROW(Calc!K366)-ROW(Calc!$B$7)))=0,$AD$3,INDEX(Database!K$9:K$501,ROW(Calc!K366)-ROW(Calc!$B$7))),"")</f>
        <v>Not Set</v>
      </c>
      <c r="M366" s="130" t="str">
        <f>IFERROR(IF(LEN(INDEX(Database!L$9:L$501,ROW(Calc!L366)-ROW(Calc!$B$7)))=0,$AD$3,INDEX(Database!L$9:L$501,ROW(Calc!L366)-ROW(Calc!$B$7))),"")</f>
        <v>Not Set</v>
      </c>
      <c r="N366" s="131" t="str">
        <f>IFERROR(IF(LEN(INDEX(Database!M$9:M$501,ROW(Calc!M366)-ROW(Calc!$B$7)))=0,"",INDEX(Database!M$9:M$501,ROW(Calc!M366)-ROW(Calc!$B$7))),"")</f>
        <v/>
      </c>
      <c r="O366" s="132" t="str">
        <f t="shared" si="54"/>
        <v/>
      </c>
      <c r="P366" s="125" t="str">
        <f t="shared" si="51"/>
        <v>Not Set</v>
      </c>
      <c r="Q366" s="125" t="str">
        <f t="shared" si="52"/>
        <v>Not Set</v>
      </c>
      <c r="R366" s="125" t="str">
        <f>IFERROR(IF(G366=$AD$3,$AD$3,INDEX(Kanban_Helper!$C$317:$C$328,MATCH(MONTH(G366),Kanban_Helper!$B$317:$B$328,0))&amp;" - "&amp;YEAR(G366)),"$AD$3")</f>
        <v>Not Set</v>
      </c>
      <c r="S366" s="125" t="str">
        <f>IFERROR(IF(I366=$AD$3,$AD$3,INDEX(Kanban_Helper!$C$317:$C$328,MATCH(MONTH(I366),Kanban_Helper!$B$317:$B$328,0))&amp;" - "&amp;YEAR(I366)),$AD$3)</f>
        <v>Not Set</v>
      </c>
      <c r="T366" s="125" t="str">
        <f t="shared" ca="1" si="55"/>
        <v/>
      </c>
      <c r="U366" s="125" t="str">
        <f t="shared" ca="1" si="56"/>
        <v/>
      </c>
      <c r="V366" s="125" t="str">
        <f t="shared" si="53"/>
        <v>Not Set</v>
      </c>
      <c r="W366" s="126" t="str">
        <f t="shared" si="57"/>
        <v/>
      </c>
      <c r="X366" s="126" t="str">
        <f t="shared" si="58"/>
        <v/>
      </c>
      <c r="Y366" s="125" t="str">
        <f>IFERROR(IF(LEN(D366)=0,"",IF(SUBTOTAL(3,E366:E366)=0,MIN($Y$7:Y365)-1,SUBTOTAL(3,$E$8:E366))),"")</f>
        <v/>
      </c>
      <c r="Z366" s="17"/>
      <c r="AA366" s="10"/>
      <c r="AB366" s="10"/>
      <c r="AC366" s="10"/>
      <c r="AD366" s="10"/>
      <c r="AE366" s="10"/>
      <c r="AF366" s="10"/>
      <c r="AG366" s="10"/>
      <c r="AH366" s="10"/>
      <c r="AI366" s="10"/>
      <c r="AJ366" s="10"/>
      <c r="AK366" s="10"/>
      <c r="AL366" s="10"/>
      <c r="AM366" s="10"/>
      <c r="AN366" s="10"/>
    </row>
    <row r="367" spans="2:40" hidden="1" x14ac:dyDescent="0.35">
      <c r="B367" s="15"/>
      <c r="C367" s="127" t="str">
        <f>IFERROR(IF(LEN(INDEX(Database!C$9:C$501,ROW(Calc!A367)-ROW(Calc!$B$7)))=0,"",INDEX(Database!C$9:C$501,ROW(Calc!A367)-ROW(Calc!$B$7))),"")</f>
        <v/>
      </c>
      <c r="D367" s="70" t="str">
        <f>IFERROR(IF(LEN(INDEX(Database!D$9:D$501,ROW(Calc!B367)-ROW(Calc!$B$7)))=0,"",INDEX(Database!D$9:D$501,ROW(Calc!B367)-ROW(Calc!$B$7))),"")</f>
        <v/>
      </c>
      <c r="E367" s="124" t="str">
        <f>IFERROR(IF(LEN(INDEX(Database!G$9:G$501,ROW(Calc!D367)-ROW(Calc!$B$7)))=0,$AD$3,INDEX(Database!G$9:G$501,ROW(Calc!D367)-ROW(Calc!$B$7))),"")</f>
        <v>Not Set</v>
      </c>
      <c r="F367" s="124" t="str">
        <f>IFERROR(IF(LEN(INDEX(Database!F$9:F$501,ROW(Calc!E367)-ROW(Calc!$B$7)))=0,$AD$3,INDEX(Database!F$9:F$501,ROW(Calc!E367)-ROW(Calc!$B$7))),"")</f>
        <v>Not Set</v>
      </c>
      <c r="G367" s="128" t="str">
        <f>IFERROR(IF(LEN(INDEX(Database!H$9:H$501,ROW(Calc!F367)-ROW(Calc!$B$7)))=0,$AD$3,INDEX(Database!H$9:H$501,ROW(Calc!F367)-ROW(Calc!$B$7))),"")</f>
        <v>Not Set</v>
      </c>
      <c r="H367" s="128" t="str">
        <f>IFERROR(IF(LEN(INDEX(Database!I$9:I$501,ROW(Calc!G367)-ROW(Calc!$B$7)))=0,$AD$3,INDEX(Database!I$9:I$501,ROW(Calc!G367)-ROW(Calc!$B$7))),"")</f>
        <v>Not Set</v>
      </c>
      <c r="I367" s="128" t="str">
        <f>IFERROR(IF(LEN(INDEX(Database!J$9:J$501,ROW(Calc!H367)-ROW(Calc!$B$7)))=0,$AD$3,INDEX(Database!J$9:J$501,ROW(Calc!H367)-ROW(Calc!$B$7))),"")</f>
        <v>Not Set</v>
      </c>
      <c r="J367" s="128" t="str">
        <f t="shared" si="50"/>
        <v>Not Set</v>
      </c>
      <c r="K367" s="124" t="str">
        <f>IFERROR(IF(LEN(INDEX(Database!E$9:E$501,ROW(Calc!I367)-ROW(Calc!$B$7)))=0,"",INDEX(Database!E$9:E$501,ROW(Calc!I367)-ROW(Calc!$B$7))),"")</f>
        <v/>
      </c>
      <c r="L367" s="129" t="str">
        <f>IFERROR(IF(LEN(INDEX(Database!K$9:K$501,ROW(Calc!K367)-ROW(Calc!$B$7)))=0,$AD$3,INDEX(Database!K$9:K$501,ROW(Calc!K367)-ROW(Calc!$B$7))),"")</f>
        <v>Not Set</v>
      </c>
      <c r="M367" s="130" t="str">
        <f>IFERROR(IF(LEN(INDEX(Database!L$9:L$501,ROW(Calc!L367)-ROW(Calc!$B$7)))=0,$AD$3,INDEX(Database!L$9:L$501,ROW(Calc!L367)-ROW(Calc!$B$7))),"")</f>
        <v>Not Set</v>
      </c>
      <c r="N367" s="131" t="str">
        <f>IFERROR(IF(LEN(INDEX(Database!M$9:M$501,ROW(Calc!M367)-ROW(Calc!$B$7)))=0,"",INDEX(Database!M$9:M$501,ROW(Calc!M367)-ROW(Calc!$B$7))),"")</f>
        <v/>
      </c>
      <c r="O367" s="132" t="str">
        <f t="shared" si="54"/>
        <v/>
      </c>
      <c r="P367" s="125" t="str">
        <f t="shared" si="51"/>
        <v>Not Set</v>
      </c>
      <c r="Q367" s="125" t="str">
        <f t="shared" si="52"/>
        <v>Not Set</v>
      </c>
      <c r="R367" s="125" t="str">
        <f>IFERROR(IF(G367=$AD$3,$AD$3,INDEX(Kanban_Helper!$C$317:$C$328,MATCH(MONTH(G367),Kanban_Helper!$B$317:$B$328,0))&amp;" - "&amp;YEAR(G367)),"$AD$3")</f>
        <v>Not Set</v>
      </c>
      <c r="S367" s="125" t="str">
        <f>IFERROR(IF(I367=$AD$3,$AD$3,INDEX(Kanban_Helper!$C$317:$C$328,MATCH(MONTH(I367),Kanban_Helper!$B$317:$B$328,0))&amp;" - "&amp;YEAR(I367)),$AD$3)</f>
        <v>Not Set</v>
      </c>
      <c r="T367" s="125" t="str">
        <f t="shared" ca="1" si="55"/>
        <v/>
      </c>
      <c r="U367" s="125" t="str">
        <f t="shared" ca="1" si="56"/>
        <v/>
      </c>
      <c r="V367" s="125" t="str">
        <f t="shared" si="53"/>
        <v>Not Set</v>
      </c>
      <c r="W367" s="126" t="str">
        <f t="shared" si="57"/>
        <v/>
      </c>
      <c r="X367" s="126" t="str">
        <f t="shared" si="58"/>
        <v/>
      </c>
      <c r="Y367" s="125" t="str">
        <f>IFERROR(IF(LEN(D367)=0,"",IF(SUBTOTAL(3,E367:E367)=0,MIN($Y$7:Y366)-1,SUBTOTAL(3,$E$8:E367))),"")</f>
        <v/>
      </c>
      <c r="Z367" s="17"/>
      <c r="AA367" s="10"/>
      <c r="AB367" s="10"/>
      <c r="AC367" s="10"/>
      <c r="AD367" s="10"/>
      <c r="AE367" s="10"/>
      <c r="AF367" s="10"/>
      <c r="AG367" s="10"/>
      <c r="AH367" s="10"/>
      <c r="AI367" s="10"/>
      <c r="AJ367" s="10"/>
      <c r="AK367" s="10"/>
      <c r="AL367" s="10"/>
      <c r="AM367" s="10"/>
      <c r="AN367" s="10"/>
    </row>
    <row r="368" spans="2:40" hidden="1" x14ac:dyDescent="0.35">
      <c r="B368" s="15"/>
      <c r="C368" s="127" t="str">
        <f>IFERROR(IF(LEN(INDEX(Database!C$9:C$501,ROW(Calc!A368)-ROW(Calc!$B$7)))=0,"",INDEX(Database!C$9:C$501,ROW(Calc!A368)-ROW(Calc!$B$7))),"")</f>
        <v/>
      </c>
      <c r="D368" s="70" t="str">
        <f>IFERROR(IF(LEN(INDEX(Database!D$9:D$501,ROW(Calc!B368)-ROW(Calc!$B$7)))=0,"",INDEX(Database!D$9:D$501,ROW(Calc!B368)-ROW(Calc!$B$7))),"")</f>
        <v/>
      </c>
      <c r="E368" s="124" t="str">
        <f>IFERROR(IF(LEN(INDEX(Database!G$9:G$501,ROW(Calc!D368)-ROW(Calc!$B$7)))=0,$AD$3,INDEX(Database!G$9:G$501,ROW(Calc!D368)-ROW(Calc!$B$7))),"")</f>
        <v>Not Set</v>
      </c>
      <c r="F368" s="124" t="str">
        <f>IFERROR(IF(LEN(INDEX(Database!F$9:F$501,ROW(Calc!E368)-ROW(Calc!$B$7)))=0,$AD$3,INDEX(Database!F$9:F$501,ROW(Calc!E368)-ROW(Calc!$B$7))),"")</f>
        <v>Not Set</v>
      </c>
      <c r="G368" s="128" t="str">
        <f>IFERROR(IF(LEN(INDEX(Database!H$9:H$501,ROW(Calc!F368)-ROW(Calc!$B$7)))=0,$AD$3,INDEX(Database!H$9:H$501,ROW(Calc!F368)-ROW(Calc!$B$7))),"")</f>
        <v>Not Set</v>
      </c>
      <c r="H368" s="128" t="str">
        <f>IFERROR(IF(LEN(INDEX(Database!I$9:I$501,ROW(Calc!G368)-ROW(Calc!$B$7)))=0,$AD$3,INDEX(Database!I$9:I$501,ROW(Calc!G368)-ROW(Calc!$B$7))),"")</f>
        <v>Not Set</v>
      </c>
      <c r="I368" s="128" t="str">
        <f>IFERROR(IF(LEN(INDEX(Database!J$9:J$501,ROW(Calc!H368)-ROW(Calc!$B$7)))=0,$AD$3,INDEX(Database!J$9:J$501,ROW(Calc!H368)-ROW(Calc!$B$7))),"")</f>
        <v>Not Set</v>
      </c>
      <c r="J368" s="128" t="str">
        <f t="shared" si="50"/>
        <v>Not Set</v>
      </c>
      <c r="K368" s="124" t="str">
        <f>IFERROR(IF(LEN(INDEX(Database!E$9:E$501,ROW(Calc!I368)-ROW(Calc!$B$7)))=0,"",INDEX(Database!E$9:E$501,ROW(Calc!I368)-ROW(Calc!$B$7))),"")</f>
        <v/>
      </c>
      <c r="L368" s="129" t="str">
        <f>IFERROR(IF(LEN(INDEX(Database!K$9:K$501,ROW(Calc!K368)-ROW(Calc!$B$7)))=0,$AD$3,INDEX(Database!K$9:K$501,ROW(Calc!K368)-ROW(Calc!$B$7))),"")</f>
        <v>Not Set</v>
      </c>
      <c r="M368" s="130" t="str">
        <f>IFERROR(IF(LEN(INDEX(Database!L$9:L$501,ROW(Calc!L368)-ROW(Calc!$B$7)))=0,$AD$3,INDEX(Database!L$9:L$501,ROW(Calc!L368)-ROW(Calc!$B$7))),"")</f>
        <v>Not Set</v>
      </c>
      <c r="N368" s="131" t="str">
        <f>IFERROR(IF(LEN(INDEX(Database!M$9:M$501,ROW(Calc!M368)-ROW(Calc!$B$7)))=0,"",INDEX(Database!M$9:M$501,ROW(Calc!M368)-ROW(Calc!$B$7))),"")</f>
        <v/>
      </c>
      <c r="O368" s="132" t="str">
        <f t="shared" si="54"/>
        <v/>
      </c>
      <c r="P368" s="125" t="str">
        <f t="shared" si="51"/>
        <v>Not Set</v>
      </c>
      <c r="Q368" s="125" t="str">
        <f t="shared" si="52"/>
        <v>Not Set</v>
      </c>
      <c r="R368" s="125" t="str">
        <f>IFERROR(IF(G368=$AD$3,$AD$3,INDEX(Kanban_Helper!$C$317:$C$328,MATCH(MONTH(G368),Kanban_Helper!$B$317:$B$328,0))&amp;" - "&amp;YEAR(G368)),"$AD$3")</f>
        <v>Not Set</v>
      </c>
      <c r="S368" s="125" t="str">
        <f>IFERROR(IF(I368=$AD$3,$AD$3,INDEX(Kanban_Helper!$C$317:$C$328,MATCH(MONTH(I368),Kanban_Helper!$B$317:$B$328,0))&amp;" - "&amp;YEAR(I368)),$AD$3)</f>
        <v>Not Set</v>
      </c>
      <c r="T368" s="125" t="str">
        <f t="shared" ca="1" si="55"/>
        <v/>
      </c>
      <c r="U368" s="125" t="str">
        <f t="shared" ca="1" si="56"/>
        <v/>
      </c>
      <c r="V368" s="125" t="str">
        <f t="shared" si="53"/>
        <v>Not Set</v>
      </c>
      <c r="W368" s="126" t="str">
        <f t="shared" si="57"/>
        <v/>
      </c>
      <c r="X368" s="126" t="str">
        <f t="shared" si="58"/>
        <v/>
      </c>
      <c r="Y368" s="125" t="str">
        <f>IFERROR(IF(LEN(D368)=0,"",IF(SUBTOTAL(3,E368:E368)=0,MIN($Y$7:Y367)-1,SUBTOTAL(3,$E$8:E368))),"")</f>
        <v/>
      </c>
      <c r="Z368" s="17"/>
      <c r="AA368" s="10"/>
      <c r="AB368" s="10"/>
      <c r="AC368" s="10"/>
      <c r="AD368" s="10"/>
      <c r="AE368" s="10"/>
      <c r="AF368" s="10"/>
      <c r="AG368" s="10"/>
      <c r="AH368" s="10"/>
      <c r="AI368" s="10"/>
      <c r="AJ368" s="10"/>
      <c r="AK368" s="10"/>
      <c r="AL368" s="10"/>
      <c r="AM368" s="10"/>
      <c r="AN368" s="10"/>
    </row>
    <row r="369" spans="2:40" hidden="1" x14ac:dyDescent="0.35">
      <c r="B369" s="15"/>
      <c r="C369" s="127" t="str">
        <f>IFERROR(IF(LEN(INDEX(Database!C$9:C$501,ROW(Calc!A369)-ROW(Calc!$B$7)))=0,"",INDEX(Database!C$9:C$501,ROW(Calc!A369)-ROW(Calc!$B$7))),"")</f>
        <v/>
      </c>
      <c r="D369" s="70" t="str">
        <f>IFERROR(IF(LEN(INDEX(Database!D$9:D$501,ROW(Calc!B369)-ROW(Calc!$B$7)))=0,"",INDEX(Database!D$9:D$501,ROW(Calc!B369)-ROW(Calc!$B$7))),"")</f>
        <v/>
      </c>
      <c r="E369" s="124" t="str">
        <f>IFERROR(IF(LEN(INDEX(Database!G$9:G$501,ROW(Calc!D369)-ROW(Calc!$B$7)))=0,$AD$3,INDEX(Database!G$9:G$501,ROW(Calc!D369)-ROW(Calc!$B$7))),"")</f>
        <v>Not Set</v>
      </c>
      <c r="F369" s="124" t="str">
        <f>IFERROR(IF(LEN(INDEX(Database!F$9:F$501,ROW(Calc!E369)-ROW(Calc!$B$7)))=0,$AD$3,INDEX(Database!F$9:F$501,ROW(Calc!E369)-ROW(Calc!$B$7))),"")</f>
        <v>Not Set</v>
      </c>
      <c r="G369" s="128" t="str">
        <f>IFERROR(IF(LEN(INDEX(Database!H$9:H$501,ROW(Calc!F369)-ROW(Calc!$B$7)))=0,$AD$3,INDEX(Database!H$9:H$501,ROW(Calc!F369)-ROW(Calc!$B$7))),"")</f>
        <v>Not Set</v>
      </c>
      <c r="H369" s="128" t="str">
        <f>IFERROR(IF(LEN(INDEX(Database!I$9:I$501,ROW(Calc!G369)-ROW(Calc!$B$7)))=0,$AD$3,INDEX(Database!I$9:I$501,ROW(Calc!G369)-ROW(Calc!$B$7))),"")</f>
        <v>Not Set</v>
      </c>
      <c r="I369" s="128" t="str">
        <f>IFERROR(IF(LEN(INDEX(Database!J$9:J$501,ROW(Calc!H369)-ROW(Calc!$B$7)))=0,$AD$3,INDEX(Database!J$9:J$501,ROW(Calc!H369)-ROW(Calc!$B$7))),"")</f>
        <v>Not Set</v>
      </c>
      <c r="J369" s="128" t="str">
        <f t="shared" si="50"/>
        <v>Not Set</v>
      </c>
      <c r="K369" s="124" t="str">
        <f>IFERROR(IF(LEN(INDEX(Database!E$9:E$501,ROW(Calc!I369)-ROW(Calc!$B$7)))=0,"",INDEX(Database!E$9:E$501,ROW(Calc!I369)-ROW(Calc!$B$7))),"")</f>
        <v/>
      </c>
      <c r="L369" s="129" t="str">
        <f>IFERROR(IF(LEN(INDEX(Database!K$9:K$501,ROW(Calc!K369)-ROW(Calc!$B$7)))=0,$AD$3,INDEX(Database!K$9:K$501,ROW(Calc!K369)-ROW(Calc!$B$7))),"")</f>
        <v>Not Set</v>
      </c>
      <c r="M369" s="130" t="str">
        <f>IFERROR(IF(LEN(INDEX(Database!L$9:L$501,ROW(Calc!L369)-ROW(Calc!$B$7)))=0,$AD$3,INDEX(Database!L$9:L$501,ROW(Calc!L369)-ROW(Calc!$B$7))),"")</f>
        <v>Not Set</v>
      </c>
      <c r="N369" s="131" t="str">
        <f>IFERROR(IF(LEN(INDEX(Database!M$9:M$501,ROW(Calc!M369)-ROW(Calc!$B$7)))=0,"",INDEX(Database!M$9:M$501,ROW(Calc!M369)-ROW(Calc!$B$7))),"")</f>
        <v/>
      </c>
      <c r="O369" s="132" t="str">
        <f t="shared" si="54"/>
        <v/>
      </c>
      <c r="P369" s="125" t="str">
        <f t="shared" si="51"/>
        <v>Not Set</v>
      </c>
      <c r="Q369" s="125" t="str">
        <f t="shared" si="52"/>
        <v>Not Set</v>
      </c>
      <c r="R369" s="125" t="str">
        <f>IFERROR(IF(G369=$AD$3,$AD$3,INDEX(Kanban_Helper!$C$317:$C$328,MATCH(MONTH(G369),Kanban_Helper!$B$317:$B$328,0))&amp;" - "&amp;YEAR(G369)),"$AD$3")</f>
        <v>Not Set</v>
      </c>
      <c r="S369" s="125" t="str">
        <f>IFERROR(IF(I369=$AD$3,$AD$3,INDEX(Kanban_Helper!$C$317:$C$328,MATCH(MONTH(I369),Kanban_Helper!$B$317:$B$328,0))&amp;" - "&amp;YEAR(I369)),$AD$3)</f>
        <v>Not Set</v>
      </c>
      <c r="T369" s="125" t="str">
        <f t="shared" ca="1" si="55"/>
        <v/>
      </c>
      <c r="U369" s="125" t="str">
        <f t="shared" ca="1" si="56"/>
        <v/>
      </c>
      <c r="V369" s="125" t="str">
        <f t="shared" si="53"/>
        <v>Not Set</v>
      </c>
      <c r="W369" s="126" t="str">
        <f t="shared" si="57"/>
        <v/>
      </c>
      <c r="X369" s="126" t="str">
        <f t="shared" si="58"/>
        <v/>
      </c>
      <c r="Y369" s="125" t="str">
        <f>IFERROR(IF(LEN(D369)=0,"",IF(SUBTOTAL(3,E369:E369)=0,MIN($Y$7:Y368)-1,SUBTOTAL(3,$E$8:E369))),"")</f>
        <v/>
      </c>
      <c r="Z369" s="17"/>
      <c r="AA369" s="10"/>
      <c r="AB369" s="10"/>
      <c r="AC369" s="10"/>
      <c r="AD369" s="10"/>
      <c r="AE369" s="10"/>
      <c r="AF369" s="10"/>
      <c r="AG369" s="10"/>
      <c r="AH369" s="10"/>
      <c r="AI369" s="10"/>
      <c r="AJ369" s="10"/>
      <c r="AK369" s="10"/>
      <c r="AL369" s="10"/>
      <c r="AM369" s="10"/>
      <c r="AN369" s="10"/>
    </row>
    <row r="370" spans="2:40" hidden="1" x14ac:dyDescent="0.35">
      <c r="B370" s="15"/>
      <c r="C370" s="127" t="str">
        <f>IFERROR(IF(LEN(INDEX(Database!C$9:C$501,ROW(Calc!A370)-ROW(Calc!$B$7)))=0,"",INDEX(Database!C$9:C$501,ROW(Calc!A370)-ROW(Calc!$B$7))),"")</f>
        <v/>
      </c>
      <c r="D370" s="70" t="str">
        <f>IFERROR(IF(LEN(INDEX(Database!D$9:D$501,ROW(Calc!B370)-ROW(Calc!$B$7)))=0,"",INDEX(Database!D$9:D$501,ROW(Calc!B370)-ROW(Calc!$B$7))),"")</f>
        <v/>
      </c>
      <c r="E370" s="124" t="str">
        <f>IFERROR(IF(LEN(INDEX(Database!G$9:G$501,ROW(Calc!D370)-ROW(Calc!$B$7)))=0,$AD$3,INDEX(Database!G$9:G$501,ROW(Calc!D370)-ROW(Calc!$B$7))),"")</f>
        <v>Not Set</v>
      </c>
      <c r="F370" s="124" t="str">
        <f>IFERROR(IF(LEN(INDEX(Database!F$9:F$501,ROW(Calc!E370)-ROW(Calc!$B$7)))=0,$AD$3,INDEX(Database!F$9:F$501,ROW(Calc!E370)-ROW(Calc!$B$7))),"")</f>
        <v>Not Set</v>
      </c>
      <c r="G370" s="128" t="str">
        <f>IFERROR(IF(LEN(INDEX(Database!H$9:H$501,ROW(Calc!F370)-ROW(Calc!$B$7)))=0,$AD$3,INDEX(Database!H$9:H$501,ROW(Calc!F370)-ROW(Calc!$B$7))),"")</f>
        <v>Not Set</v>
      </c>
      <c r="H370" s="128" t="str">
        <f>IFERROR(IF(LEN(INDEX(Database!I$9:I$501,ROW(Calc!G370)-ROW(Calc!$B$7)))=0,$AD$3,INDEX(Database!I$9:I$501,ROW(Calc!G370)-ROW(Calc!$B$7))),"")</f>
        <v>Not Set</v>
      </c>
      <c r="I370" s="128" t="str">
        <f>IFERROR(IF(LEN(INDEX(Database!J$9:J$501,ROW(Calc!H370)-ROW(Calc!$B$7)))=0,$AD$3,INDEX(Database!J$9:J$501,ROW(Calc!H370)-ROW(Calc!$B$7))),"")</f>
        <v>Not Set</v>
      </c>
      <c r="J370" s="128" t="str">
        <f t="shared" si="50"/>
        <v>Not Set</v>
      </c>
      <c r="K370" s="124" t="str">
        <f>IFERROR(IF(LEN(INDEX(Database!E$9:E$501,ROW(Calc!I370)-ROW(Calc!$B$7)))=0,"",INDEX(Database!E$9:E$501,ROW(Calc!I370)-ROW(Calc!$B$7))),"")</f>
        <v/>
      </c>
      <c r="L370" s="129" t="str">
        <f>IFERROR(IF(LEN(INDEX(Database!K$9:K$501,ROW(Calc!K370)-ROW(Calc!$B$7)))=0,$AD$3,INDEX(Database!K$9:K$501,ROW(Calc!K370)-ROW(Calc!$B$7))),"")</f>
        <v>Not Set</v>
      </c>
      <c r="M370" s="130" t="str">
        <f>IFERROR(IF(LEN(INDEX(Database!L$9:L$501,ROW(Calc!L370)-ROW(Calc!$B$7)))=0,$AD$3,INDEX(Database!L$9:L$501,ROW(Calc!L370)-ROW(Calc!$B$7))),"")</f>
        <v>Not Set</v>
      </c>
      <c r="N370" s="131" t="str">
        <f>IFERROR(IF(LEN(INDEX(Database!M$9:M$501,ROW(Calc!M370)-ROW(Calc!$B$7)))=0,"",INDEX(Database!M$9:M$501,ROW(Calc!M370)-ROW(Calc!$B$7))),"")</f>
        <v/>
      </c>
      <c r="O370" s="132" t="str">
        <f t="shared" si="54"/>
        <v/>
      </c>
      <c r="P370" s="125" t="str">
        <f t="shared" si="51"/>
        <v>Not Set</v>
      </c>
      <c r="Q370" s="125" t="str">
        <f t="shared" si="52"/>
        <v>Not Set</v>
      </c>
      <c r="R370" s="125" t="str">
        <f>IFERROR(IF(G370=$AD$3,$AD$3,INDEX(Kanban_Helper!$C$317:$C$328,MATCH(MONTH(G370),Kanban_Helper!$B$317:$B$328,0))&amp;" - "&amp;YEAR(G370)),"$AD$3")</f>
        <v>Not Set</v>
      </c>
      <c r="S370" s="125" t="str">
        <f>IFERROR(IF(I370=$AD$3,$AD$3,INDEX(Kanban_Helper!$C$317:$C$328,MATCH(MONTH(I370),Kanban_Helper!$B$317:$B$328,0))&amp;" - "&amp;YEAR(I370)),$AD$3)</f>
        <v>Not Set</v>
      </c>
      <c r="T370" s="125" t="str">
        <f t="shared" ca="1" si="55"/>
        <v/>
      </c>
      <c r="U370" s="125" t="str">
        <f t="shared" ca="1" si="56"/>
        <v/>
      </c>
      <c r="V370" s="125" t="str">
        <f t="shared" si="53"/>
        <v>Not Set</v>
      </c>
      <c r="W370" s="126" t="str">
        <f t="shared" si="57"/>
        <v/>
      </c>
      <c r="X370" s="126" t="str">
        <f t="shared" si="58"/>
        <v/>
      </c>
      <c r="Y370" s="125" t="str">
        <f>IFERROR(IF(LEN(D370)=0,"",IF(SUBTOTAL(3,E370:E370)=0,MIN($Y$7:Y369)-1,SUBTOTAL(3,$E$8:E370))),"")</f>
        <v/>
      </c>
      <c r="Z370" s="17"/>
      <c r="AA370" s="10"/>
      <c r="AB370" s="10"/>
      <c r="AC370" s="10"/>
      <c r="AD370" s="10"/>
      <c r="AE370" s="10"/>
      <c r="AF370" s="10"/>
      <c r="AG370" s="10"/>
      <c r="AH370" s="10"/>
      <c r="AI370" s="10"/>
      <c r="AJ370" s="10"/>
      <c r="AK370" s="10"/>
      <c r="AL370" s="10"/>
      <c r="AM370" s="10"/>
      <c r="AN370" s="10"/>
    </row>
    <row r="371" spans="2:40" hidden="1" x14ac:dyDescent="0.35">
      <c r="B371" s="15"/>
      <c r="C371" s="127" t="str">
        <f>IFERROR(IF(LEN(INDEX(Database!C$9:C$501,ROW(Calc!A371)-ROW(Calc!$B$7)))=0,"",INDEX(Database!C$9:C$501,ROW(Calc!A371)-ROW(Calc!$B$7))),"")</f>
        <v/>
      </c>
      <c r="D371" s="70" t="str">
        <f>IFERROR(IF(LEN(INDEX(Database!D$9:D$501,ROW(Calc!B371)-ROW(Calc!$B$7)))=0,"",INDEX(Database!D$9:D$501,ROW(Calc!B371)-ROW(Calc!$B$7))),"")</f>
        <v/>
      </c>
      <c r="E371" s="124" t="str">
        <f>IFERROR(IF(LEN(INDEX(Database!G$9:G$501,ROW(Calc!D371)-ROW(Calc!$B$7)))=0,$AD$3,INDEX(Database!G$9:G$501,ROW(Calc!D371)-ROW(Calc!$B$7))),"")</f>
        <v>Not Set</v>
      </c>
      <c r="F371" s="124" t="str">
        <f>IFERROR(IF(LEN(INDEX(Database!F$9:F$501,ROW(Calc!E371)-ROW(Calc!$B$7)))=0,$AD$3,INDEX(Database!F$9:F$501,ROW(Calc!E371)-ROW(Calc!$B$7))),"")</f>
        <v>Not Set</v>
      </c>
      <c r="G371" s="128" t="str">
        <f>IFERROR(IF(LEN(INDEX(Database!H$9:H$501,ROW(Calc!F371)-ROW(Calc!$B$7)))=0,$AD$3,INDEX(Database!H$9:H$501,ROW(Calc!F371)-ROW(Calc!$B$7))),"")</f>
        <v>Not Set</v>
      </c>
      <c r="H371" s="128" t="str">
        <f>IFERROR(IF(LEN(INDEX(Database!I$9:I$501,ROW(Calc!G371)-ROW(Calc!$B$7)))=0,$AD$3,INDEX(Database!I$9:I$501,ROW(Calc!G371)-ROW(Calc!$B$7))),"")</f>
        <v>Not Set</v>
      </c>
      <c r="I371" s="128" t="str">
        <f>IFERROR(IF(LEN(INDEX(Database!J$9:J$501,ROW(Calc!H371)-ROW(Calc!$B$7)))=0,$AD$3,INDEX(Database!J$9:J$501,ROW(Calc!H371)-ROW(Calc!$B$7))),"")</f>
        <v>Not Set</v>
      </c>
      <c r="J371" s="128" t="str">
        <f t="shared" si="50"/>
        <v>Not Set</v>
      </c>
      <c r="K371" s="124" t="str">
        <f>IFERROR(IF(LEN(INDEX(Database!E$9:E$501,ROW(Calc!I371)-ROW(Calc!$B$7)))=0,"",INDEX(Database!E$9:E$501,ROW(Calc!I371)-ROW(Calc!$B$7))),"")</f>
        <v/>
      </c>
      <c r="L371" s="129" t="str">
        <f>IFERROR(IF(LEN(INDEX(Database!K$9:K$501,ROW(Calc!K371)-ROW(Calc!$B$7)))=0,$AD$3,INDEX(Database!K$9:K$501,ROW(Calc!K371)-ROW(Calc!$B$7))),"")</f>
        <v>Not Set</v>
      </c>
      <c r="M371" s="130" t="str">
        <f>IFERROR(IF(LEN(INDEX(Database!L$9:L$501,ROW(Calc!L371)-ROW(Calc!$B$7)))=0,$AD$3,INDEX(Database!L$9:L$501,ROW(Calc!L371)-ROW(Calc!$B$7))),"")</f>
        <v>Not Set</v>
      </c>
      <c r="N371" s="131" t="str">
        <f>IFERROR(IF(LEN(INDEX(Database!M$9:M$501,ROW(Calc!M371)-ROW(Calc!$B$7)))=0,"",INDEX(Database!M$9:M$501,ROW(Calc!M371)-ROW(Calc!$B$7))),"")</f>
        <v/>
      </c>
      <c r="O371" s="132" t="str">
        <f t="shared" si="54"/>
        <v/>
      </c>
      <c r="P371" s="125" t="str">
        <f t="shared" si="51"/>
        <v>Not Set</v>
      </c>
      <c r="Q371" s="125" t="str">
        <f t="shared" si="52"/>
        <v>Not Set</v>
      </c>
      <c r="R371" s="125" t="str">
        <f>IFERROR(IF(G371=$AD$3,$AD$3,INDEX(Kanban_Helper!$C$317:$C$328,MATCH(MONTH(G371),Kanban_Helper!$B$317:$B$328,0))&amp;" - "&amp;YEAR(G371)),"$AD$3")</f>
        <v>Not Set</v>
      </c>
      <c r="S371" s="125" t="str">
        <f>IFERROR(IF(I371=$AD$3,$AD$3,INDEX(Kanban_Helper!$C$317:$C$328,MATCH(MONTH(I371),Kanban_Helper!$B$317:$B$328,0))&amp;" - "&amp;YEAR(I371)),$AD$3)</f>
        <v>Not Set</v>
      </c>
      <c r="T371" s="125" t="str">
        <f t="shared" ca="1" si="55"/>
        <v/>
      </c>
      <c r="U371" s="125" t="str">
        <f t="shared" ca="1" si="56"/>
        <v/>
      </c>
      <c r="V371" s="125" t="str">
        <f t="shared" si="53"/>
        <v>Not Set</v>
      </c>
      <c r="W371" s="126" t="str">
        <f t="shared" si="57"/>
        <v/>
      </c>
      <c r="X371" s="126" t="str">
        <f t="shared" si="58"/>
        <v/>
      </c>
      <c r="Y371" s="125" t="str">
        <f>IFERROR(IF(LEN(D371)=0,"",IF(SUBTOTAL(3,E371:E371)=0,MIN($Y$7:Y370)-1,SUBTOTAL(3,$E$8:E371))),"")</f>
        <v/>
      </c>
      <c r="Z371" s="17"/>
      <c r="AA371" s="10"/>
      <c r="AB371" s="10"/>
      <c r="AC371" s="10"/>
      <c r="AD371" s="10"/>
      <c r="AE371" s="10"/>
      <c r="AF371" s="10"/>
      <c r="AG371" s="10"/>
      <c r="AH371" s="10"/>
      <c r="AI371" s="10"/>
      <c r="AJ371" s="10"/>
      <c r="AK371" s="10"/>
      <c r="AL371" s="10"/>
      <c r="AM371" s="10"/>
      <c r="AN371" s="10"/>
    </row>
    <row r="372" spans="2:40" hidden="1" x14ac:dyDescent="0.35">
      <c r="B372" s="15"/>
      <c r="C372" s="127" t="str">
        <f>IFERROR(IF(LEN(INDEX(Database!C$9:C$501,ROW(Calc!A372)-ROW(Calc!$B$7)))=0,"",INDEX(Database!C$9:C$501,ROW(Calc!A372)-ROW(Calc!$B$7))),"")</f>
        <v/>
      </c>
      <c r="D372" s="70" t="str">
        <f>IFERROR(IF(LEN(INDEX(Database!D$9:D$501,ROW(Calc!B372)-ROW(Calc!$B$7)))=0,"",INDEX(Database!D$9:D$501,ROW(Calc!B372)-ROW(Calc!$B$7))),"")</f>
        <v/>
      </c>
      <c r="E372" s="124" t="str">
        <f>IFERROR(IF(LEN(INDEX(Database!G$9:G$501,ROW(Calc!D372)-ROW(Calc!$B$7)))=0,$AD$3,INDEX(Database!G$9:G$501,ROW(Calc!D372)-ROW(Calc!$B$7))),"")</f>
        <v>Not Set</v>
      </c>
      <c r="F372" s="124" t="str">
        <f>IFERROR(IF(LEN(INDEX(Database!F$9:F$501,ROW(Calc!E372)-ROW(Calc!$B$7)))=0,$AD$3,INDEX(Database!F$9:F$501,ROW(Calc!E372)-ROW(Calc!$B$7))),"")</f>
        <v>Not Set</v>
      </c>
      <c r="G372" s="128" t="str">
        <f>IFERROR(IF(LEN(INDEX(Database!H$9:H$501,ROW(Calc!F372)-ROW(Calc!$B$7)))=0,$AD$3,INDEX(Database!H$9:H$501,ROW(Calc!F372)-ROW(Calc!$B$7))),"")</f>
        <v>Not Set</v>
      </c>
      <c r="H372" s="128" t="str">
        <f>IFERROR(IF(LEN(INDEX(Database!I$9:I$501,ROW(Calc!G372)-ROW(Calc!$B$7)))=0,$AD$3,INDEX(Database!I$9:I$501,ROW(Calc!G372)-ROW(Calc!$B$7))),"")</f>
        <v>Not Set</v>
      </c>
      <c r="I372" s="128" t="str">
        <f>IFERROR(IF(LEN(INDEX(Database!J$9:J$501,ROW(Calc!H372)-ROW(Calc!$B$7)))=0,$AD$3,INDEX(Database!J$9:J$501,ROW(Calc!H372)-ROW(Calc!$B$7))),"")</f>
        <v>Not Set</v>
      </c>
      <c r="J372" s="128" t="str">
        <f t="shared" si="50"/>
        <v>Not Set</v>
      </c>
      <c r="K372" s="124" t="str">
        <f>IFERROR(IF(LEN(INDEX(Database!E$9:E$501,ROW(Calc!I372)-ROW(Calc!$B$7)))=0,"",INDEX(Database!E$9:E$501,ROW(Calc!I372)-ROW(Calc!$B$7))),"")</f>
        <v/>
      </c>
      <c r="L372" s="129" t="str">
        <f>IFERROR(IF(LEN(INDEX(Database!K$9:K$501,ROW(Calc!K372)-ROW(Calc!$B$7)))=0,$AD$3,INDEX(Database!K$9:K$501,ROW(Calc!K372)-ROW(Calc!$B$7))),"")</f>
        <v>Not Set</v>
      </c>
      <c r="M372" s="130" t="str">
        <f>IFERROR(IF(LEN(INDEX(Database!L$9:L$501,ROW(Calc!L372)-ROW(Calc!$B$7)))=0,$AD$3,INDEX(Database!L$9:L$501,ROW(Calc!L372)-ROW(Calc!$B$7))),"")</f>
        <v>Not Set</v>
      </c>
      <c r="N372" s="131" t="str">
        <f>IFERROR(IF(LEN(INDEX(Database!M$9:M$501,ROW(Calc!M372)-ROW(Calc!$B$7)))=0,"",INDEX(Database!M$9:M$501,ROW(Calc!M372)-ROW(Calc!$B$7))),"")</f>
        <v/>
      </c>
      <c r="O372" s="132" t="str">
        <f t="shared" si="54"/>
        <v/>
      </c>
      <c r="P372" s="125" t="str">
        <f t="shared" si="51"/>
        <v>Not Set</v>
      </c>
      <c r="Q372" s="125" t="str">
        <f t="shared" si="52"/>
        <v>Not Set</v>
      </c>
      <c r="R372" s="125" t="str">
        <f>IFERROR(IF(G372=$AD$3,$AD$3,INDEX(Kanban_Helper!$C$317:$C$328,MATCH(MONTH(G372),Kanban_Helper!$B$317:$B$328,0))&amp;" - "&amp;YEAR(G372)),"$AD$3")</f>
        <v>Not Set</v>
      </c>
      <c r="S372" s="125" t="str">
        <f>IFERROR(IF(I372=$AD$3,$AD$3,INDEX(Kanban_Helper!$C$317:$C$328,MATCH(MONTH(I372),Kanban_Helper!$B$317:$B$328,0))&amp;" - "&amp;YEAR(I372)),$AD$3)</f>
        <v>Not Set</v>
      </c>
      <c r="T372" s="125" t="str">
        <f t="shared" ca="1" si="55"/>
        <v/>
      </c>
      <c r="U372" s="125" t="str">
        <f t="shared" ca="1" si="56"/>
        <v/>
      </c>
      <c r="V372" s="125" t="str">
        <f t="shared" si="53"/>
        <v>Not Set</v>
      </c>
      <c r="W372" s="126" t="str">
        <f t="shared" si="57"/>
        <v/>
      </c>
      <c r="X372" s="126" t="str">
        <f t="shared" si="58"/>
        <v/>
      </c>
      <c r="Y372" s="125" t="str">
        <f>IFERROR(IF(LEN(D372)=0,"",IF(SUBTOTAL(3,E372:E372)=0,MIN($Y$7:Y371)-1,SUBTOTAL(3,$E$8:E372))),"")</f>
        <v/>
      </c>
      <c r="Z372" s="17"/>
      <c r="AA372" s="10"/>
      <c r="AB372" s="10"/>
      <c r="AC372" s="10"/>
      <c r="AD372" s="10"/>
      <c r="AE372" s="10"/>
      <c r="AF372" s="10"/>
      <c r="AG372" s="10"/>
      <c r="AH372" s="10"/>
      <c r="AI372" s="10"/>
      <c r="AJ372" s="10"/>
      <c r="AK372" s="10"/>
      <c r="AL372" s="10"/>
      <c r="AM372" s="10"/>
      <c r="AN372" s="10"/>
    </row>
    <row r="373" spans="2:40" hidden="1" x14ac:dyDescent="0.35">
      <c r="B373" s="15"/>
      <c r="C373" s="127" t="str">
        <f>IFERROR(IF(LEN(INDEX(Database!C$9:C$501,ROW(Calc!A373)-ROW(Calc!$B$7)))=0,"",INDEX(Database!C$9:C$501,ROW(Calc!A373)-ROW(Calc!$B$7))),"")</f>
        <v/>
      </c>
      <c r="D373" s="70" t="str">
        <f>IFERROR(IF(LEN(INDEX(Database!D$9:D$501,ROW(Calc!B373)-ROW(Calc!$B$7)))=0,"",INDEX(Database!D$9:D$501,ROW(Calc!B373)-ROW(Calc!$B$7))),"")</f>
        <v/>
      </c>
      <c r="E373" s="124" t="str">
        <f>IFERROR(IF(LEN(INDEX(Database!G$9:G$501,ROW(Calc!D373)-ROW(Calc!$B$7)))=0,$AD$3,INDEX(Database!G$9:G$501,ROW(Calc!D373)-ROW(Calc!$B$7))),"")</f>
        <v>Not Set</v>
      </c>
      <c r="F373" s="124" t="str">
        <f>IFERROR(IF(LEN(INDEX(Database!F$9:F$501,ROW(Calc!E373)-ROW(Calc!$B$7)))=0,$AD$3,INDEX(Database!F$9:F$501,ROW(Calc!E373)-ROW(Calc!$B$7))),"")</f>
        <v>Not Set</v>
      </c>
      <c r="G373" s="128" t="str">
        <f>IFERROR(IF(LEN(INDEX(Database!H$9:H$501,ROW(Calc!F373)-ROW(Calc!$B$7)))=0,$AD$3,INDEX(Database!H$9:H$501,ROW(Calc!F373)-ROW(Calc!$B$7))),"")</f>
        <v>Not Set</v>
      </c>
      <c r="H373" s="128" t="str">
        <f>IFERROR(IF(LEN(INDEX(Database!I$9:I$501,ROW(Calc!G373)-ROW(Calc!$B$7)))=0,$AD$3,INDEX(Database!I$9:I$501,ROW(Calc!G373)-ROW(Calc!$B$7))),"")</f>
        <v>Not Set</v>
      </c>
      <c r="I373" s="128" t="str">
        <f>IFERROR(IF(LEN(INDEX(Database!J$9:J$501,ROW(Calc!H373)-ROW(Calc!$B$7)))=0,$AD$3,INDEX(Database!J$9:J$501,ROW(Calc!H373)-ROW(Calc!$B$7))),"")</f>
        <v>Not Set</v>
      </c>
      <c r="J373" s="128" t="str">
        <f t="shared" si="50"/>
        <v>Not Set</v>
      </c>
      <c r="K373" s="124" t="str">
        <f>IFERROR(IF(LEN(INDEX(Database!E$9:E$501,ROW(Calc!I373)-ROW(Calc!$B$7)))=0,"",INDEX(Database!E$9:E$501,ROW(Calc!I373)-ROW(Calc!$B$7))),"")</f>
        <v/>
      </c>
      <c r="L373" s="129" t="str">
        <f>IFERROR(IF(LEN(INDEX(Database!K$9:K$501,ROW(Calc!K373)-ROW(Calc!$B$7)))=0,$AD$3,INDEX(Database!K$9:K$501,ROW(Calc!K373)-ROW(Calc!$B$7))),"")</f>
        <v>Not Set</v>
      </c>
      <c r="M373" s="130" t="str">
        <f>IFERROR(IF(LEN(INDEX(Database!L$9:L$501,ROW(Calc!L373)-ROW(Calc!$B$7)))=0,$AD$3,INDEX(Database!L$9:L$501,ROW(Calc!L373)-ROW(Calc!$B$7))),"")</f>
        <v>Not Set</v>
      </c>
      <c r="N373" s="131" t="str">
        <f>IFERROR(IF(LEN(INDEX(Database!M$9:M$501,ROW(Calc!M373)-ROW(Calc!$B$7)))=0,"",INDEX(Database!M$9:M$501,ROW(Calc!M373)-ROW(Calc!$B$7))),"")</f>
        <v/>
      </c>
      <c r="O373" s="132" t="str">
        <f t="shared" si="54"/>
        <v/>
      </c>
      <c r="P373" s="125" t="str">
        <f t="shared" si="51"/>
        <v>Not Set</v>
      </c>
      <c r="Q373" s="125" t="str">
        <f t="shared" si="52"/>
        <v>Not Set</v>
      </c>
      <c r="R373" s="125" t="str">
        <f>IFERROR(IF(G373=$AD$3,$AD$3,INDEX(Kanban_Helper!$C$317:$C$328,MATCH(MONTH(G373),Kanban_Helper!$B$317:$B$328,0))&amp;" - "&amp;YEAR(G373)),"$AD$3")</f>
        <v>Not Set</v>
      </c>
      <c r="S373" s="125" t="str">
        <f>IFERROR(IF(I373=$AD$3,$AD$3,INDEX(Kanban_Helper!$C$317:$C$328,MATCH(MONTH(I373),Kanban_Helper!$B$317:$B$328,0))&amp;" - "&amp;YEAR(I373)),$AD$3)</f>
        <v>Not Set</v>
      </c>
      <c r="T373" s="125" t="str">
        <f t="shared" ca="1" si="55"/>
        <v/>
      </c>
      <c r="U373" s="125" t="str">
        <f t="shared" ca="1" si="56"/>
        <v/>
      </c>
      <c r="V373" s="125" t="str">
        <f t="shared" si="53"/>
        <v>Not Set</v>
      </c>
      <c r="W373" s="126" t="str">
        <f t="shared" si="57"/>
        <v/>
      </c>
      <c r="X373" s="126" t="str">
        <f t="shared" si="58"/>
        <v/>
      </c>
      <c r="Y373" s="125" t="str">
        <f>IFERROR(IF(LEN(D373)=0,"",IF(SUBTOTAL(3,E373:E373)=0,MIN($Y$7:Y372)-1,SUBTOTAL(3,$E$8:E373))),"")</f>
        <v/>
      </c>
      <c r="Z373" s="17"/>
      <c r="AA373" s="10"/>
      <c r="AB373" s="10"/>
      <c r="AC373" s="10"/>
      <c r="AD373" s="10"/>
      <c r="AE373" s="10"/>
      <c r="AF373" s="10"/>
      <c r="AG373" s="10"/>
      <c r="AH373" s="10"/>
      <c r="AI373" s="10"/>
      <c r="AJ373" s="10"/>
      <c r="AK373" s="10"/>
      <c r="AL373" s="10"/>
      <c r="AM373" s="10"/>
      <c r="AN373" s="10"/>
    </row>
    <row r="374" spans="2:40" hidden="1" x14ac:dyDescent="0.35">
      <c r="B374" s="15"/>
      <c r="C374" s="127" t="str">
        <f>IFERROR(IF(LEN(INDEX(Database!C$9:C$501,ROW(Calc!A374)-ROW(Calc!$B$7)))=0,"",INDEX(Database!C$9:C$501,ROW(Calc!A374)-ROW(Calc!$B$7))),"")</f>
        <v/>
      </c>
      <c r="D374" s="70" t="str">
        <f>IFERROR(IF(LEN(INDEX(Database!D$9:D$501,ROW(Calc!B374)-ROW(Calc!$B$7)))=0,"",INDEX(Database!D$9:D$501,ROW(Calc!B374)-ROW(Calc!$B$7))),"")</f>
        <v/>
      </c>
      <c r="E374" s="124" t="str">
        <f>IFERROR(IF(LEN(INDEX(Database!G$9:G$501,ROW(Calc!D374)-ROW(Calc!$B$7)))=0,$AD$3,INDEX(Database!G$9:G$501,ROW(Calc!D374)-ROW(Calc!$B$7))),"")</f>
        <v>Not Set</v>
      </c>
      <c r="F374" s="124" t="str">
        <f>IFERROR(IF(LEN(INDEX(Database!F$9:F$501,ROW(Calc!E374)-ROW(Calc!$B$7)))=0,$AD$3,INDEX(Database!F$9:F$501,ROW(Calc!E374)-ROW(Calc!$B$7))),"")</f>
        <v>Not Set</v>
      </c>
      <c r="G374" s="128" t="str">
        <f>IFERROR(IF(LEN(INDEX(Database!H$9:H$501,ROW(Calc!F374)-ROW(Calc!$B$7)))=0,$AD$3,INDEX(Database!H$9:H$501,ROW(Calc!F374)-ROW(Calc!$B$7))),"")</f>
        <v>Not Set</v>
      </c>
      <c r="H374" s="128" t="str">
        <f>IFERROR(IF(LEN(INDEX(Database!I$9:I$501,ROW(Calc!G374)-ROW(Calc!$B$7)))=0,$AD$3,INDEX(Database!I$9:I$501,ROW(Calc!G374)-ROW(Calc!$B$7))),"")</f>
        <v>Not Set</v>
      </c>
      <c r="I374" s="128" t="str">
        <f>IFERROR(IF(LEN(INDEX(Database!J$9:J$501,ROW(Calc!H374)-ROW(Calc!$B$7)))=0,$AD$3,INDEX(Database!J$9:J$501,ROW(Calc!H374)-ROW(Calc!$B$7))),"")</f>
        <v>Not Set</v>
      </c>
      <c r="J374" s="128" t="str">
        <f t="shared" si="50"/>
        <v>Not Set</v>
      </c>
      <c r="K374" s="124" t="str">
        <f>IFERROR(IF(LEN(INDEX(Database!E$9:E$501,ROW(Calc!I374)-ROW(Calc!$B$7)))=0,"",INDEX(Database!E$9:E$501,ROW(Calc!I374)-ROW(Calc!$B$7))),"")</f>
        <v/>
      </c>
      <c r="L374" s="129" t="str">
        <f>IFERROR(IF(LEN(INDEX(Database!K$9:K$501,ROW(Calc!K374)-ROW(Calc!$B$7)))=0,$AD$3,INDEX(Database!K$9:K$501,ROW(Calc!K374)-ROW(Calc!$B$7))),"")</f>
        <v>Not Set</v>
      </c>
      <c r="M374" s="130" t="str">
        <f>IFERROR(IF(LEN(INDEX(Database!L$9:L$501,ROW(Calc!L374)-ROW(Calc!$B$7)))=0,$AD$3,INDEX(Database!L$9:L$501,ROW(Calc!L374)-ROW(Calc!$B$7))),"")</f>
        <v>Not Set</v>
      </c>
      <c r="N374" s="131" t="str">
        <f>IFERROR(IF(LEN(INDEX(Database!M$9:M$501,ROW(Calc!M374)-ROW(Calc!$B$7)))=0,"",INDEX(Database!M$9:M$501,ROW(Calc!M374)-ROW(Calc!$B$7))),"")</f>
        <v/>
      </c>
      <c r="O374" s="132" t="str">
        <f t="shared" si="54"/>
        <v/>
      </c>
      <c r="P374" s="125" t="str">
        <f t="shared" si="51"/>
        <v>Not Set</v>
      </c>
      <c r="Q374" s="125" t="str">
        <f t="shared" si="52"/>
        <v>Not Set</v>
      </c>
      <c r="R374" s="125" t="str">
        <f>IFERROR(IF(G374=$AD$3,$AD$3,INDEX(Kanban_Helper!$C$317:$C$328,MATCH(MONTH(G374),Kanban_Helper!$B$317:$B$328,0))&amp;" - "&amp;YEAR(G374)),"$AD$3")</f>
        <v>Not Set</v>
      </c>
      <c r="S374" s="125" t="str">
        <f>IFERROR(IF(I374=$AD$3,$AD$3,INDEX(Kanban_Helper!$C$317:$C$328,MATCH(MONTH(I374),Kanban_Helper!$B$317:$B$328,0))&amp;" - "&amp;YEAR(I374)),$AD$3)</f>
        <v>Not Set</v>
      </c>
      <c r="T374" s="125" t="str">
        <f t="shared" ca="1" si="55"/>
        <v/>
      </c>
      <c r="U374" s="125" t="str">
        <f t="shared" ca="1" si="56"/>
        <v/>
      </c>
      <c r="V374" s="125" t="str">
        <f t="shared" si="53"/>
        <v>Not Set</v>
      </c>
      <c r="W374" s="126" t="str">
        <f t="shared" si="57"/>
        <v/>
      </c>
      <c r="X374" s="126" t="str">
        <f t="shared" si="58"/>
        <v/>
      </c>
      <c r="Y374" s="125" t="str">
        <f>IFERROR(IF(LEN(D374)=0,"",IF(SUBTOTAL(3,E374:E374)=0,MIN($Y$7:Y373)-1,SUBTOTAL(3,$E$8:E374))),"")</f>
        <v/>
      </c>
      <c r="Z374" s="17"/>
      <c r="AA374" s="10"/>
      <c r="AB374" s="10"/>
      <c r="AC374" s="10"/>
      <c r="AD374" s="10"/>
      <c r="AE374" s="10"/>
      <c r="AF374" s="10"/>
      <c r="AG374" s="10"/>
      <c r="AH374" s="10"/>
      <c r="AI374" s="10"/>
      <c r="AJ374" s="10"/>
      <c r="AK374" s="10"/>
      <c r="AL374" s="10"/>
      <c r="AM374" s="10"/>
      <c r="AN374" s="10"/>
    </row>
    <row r="375" spans="2:40" hidden="1" x14ac:dyDescent="0.35">
      <c r="B375" s="15"/>
      <c r="C375" s="127" t="str">
        <f>IFERROR(IF(LEN(INDEX(Database!C$9:C$501,ROW(Calc!A375)-ROW(Calc!$B$7)))=0,"",INDEX(Database!C$9:C$501,ROW(Calc!A375)-ROW(Calc!$B$7))),"")</f>
        <v/>
      </c>
      <c r="D375" s="70" t="str">
        <f>IFERROR(IF(LEN(INDEX(Database!D$9:D$501,ROW(Calc!B375)-ROW(Calc!$B$7)))=0,"",INDEX(Database!D$9:D$501,ROW(Calc!B375)-ROW(Calc!$B$7))),"")</f>
        <v/>
      </c>
      <c r="E375" s="124" t="str">
        <f>IFERROR(IF(LEN(INDEX(Database!G$9:G$501,ROW(Calc!D375)-ROW(Calc!$B$7)))=0,$AD$3,INDEX(Database!G$9:G$501,ROW(Calc!D375)-ROW(Calc!$B$7))),"")</f>
        <v>Not Set</v>
      </c>
      <c r="F375" s="124" t="str">
        <f>IFERROR(IF(LEN(INDEX(Database!F$9:F$501,ROW(Calc!E375)-ROW(Calc!$B$7)))=0,$AD$3,INDEX(Database!F$9:F$501,ROW(Calc!E375)-ROW(Calc!$B$7))),"")</f>
        <v>Not Set</v>
      </c>
      <c r="G375" s="128" t="str">
        <f>IFERROR(IF(LEN(INDEX(Database!H$9:H$501,ROW(Calc!F375)-ROW(Calc!$B$7)))=0,$AD$3,INDEX(Database!H$9:H$501,ROW(Calc!F375)-ROW(Calc!$B$7))),"")</f>
        <v>Not Set</v>
      </c>
      <c r="H375" s="128" t="str">
        <f>IFERROR(IF(LEN(INDEX(Database!I$9:I$501,ROW(Calc!G375)-ROW(Calc!$B$7)))=0,$AD$3,INDEX(Database!I$9:I$501,ROW(Calc!G375)-ROW(Calc!$B$7))),"")</f>
        <v>Not Set</v>
      </c>
      <c r="I375" s="128" t="str">
        <f>IFERROR(IF(LEN(INDEX(Database!J$9:J$501,ROW(Calc!H375)-ROW(Calc!$B$7)))=0,$AD$3,INDEX(Database!J$9:J$501,ROW(Calc!H375)-ROW(Calc!$B$7))),"")</f>
        <v>Not Set</v>
      </c>
      <c r="J375" s="128" t="str">
        <f t="shared" si="50"/>
        <v>Not Set</v>
      </c>
      <c r="K375" s="124" t="str">
        <f>IFERROR(IF(LEN(INDEX(Database!E$9:E$501,ROW(Calc!I375)-ROW(Calc!$B$7)))=0,"",INDEX(Database!E$9:E$501,ROW(Calc!I375)-ROW(Calc!$B$7))),"")</f>
        <v/>
      </c>
      <c r="L375" s="129" t="str">
        <f>IFERROR(IF(LEN(INDEX(Database!K$9:K$501,ROW(Calc!K375)-ROW(Calc!$B$7)))=0,$AD$3,INDEX(Database!K$9:K$501,ROW(Calc!K375)-ROW(Calc!$B$7))),"")</f>
        <v>Not Set</v>
      </c>
      <c r="M375" s="130" t="str">
        <f>IFERROR(IF(LEN(INDEX(Database!L$9:L$501,ROW(Calc!L375)-ROW(Calc!$B$7)))=0,$AD$3,INDEX(Database!L$9:L$501,ROW(Calc!L375)-ROW(Calc!$B$7))),"")</f>
        <v>Not Set</v>
      </c>
      <c r="N375" s="131" t="str">
        <f>IFERROR(IF(LEN(INDEX(Database!M$9:M$501,ROW(Calc!M375)-ROW(Calc!$B$7)))=0,"",INDEX(Database!M$9:M$501,ROW(Calc!M375)-ROW(Calc!$B$7))),"")</f>
        <v/>
      </c>
      <c r="O375" s="132" t="str">
        <f t="shared" si="54"/>
        <v/>
      </c>
      <c r="P375" s="125" t="str">
        <f t="shared" si="51"/>
        <v>Not Set</v>
      </c>
      <c r="Q375" s="125" t="str">
        <f t="shared" si="52"/>
        <v>Not Set</v>
      </c>
      <c r="R375" s="125" t="str">
        <f>IFERROR(IF(G375=$AD$3,$AD$3,INDEX(Kanban_Helper!$C$317:$C$328,MATCH(MONTH(G375),Kanban_Helper!$B$317:$B$328,0))&amp;" - "&amp;YEAR(G375)),"$AD$3")</f>
        <v>Not Set</v>
      </c>
      <c r="S375" s="125" t="str">
        <f>IFERROR(IF(I375=$AD$3,$AD$3,INDEX(Kanban_Helper!$C$317:$C$328,MATCH(MONTH(I375),Kanban_Helper!$B$317:$B$328,0))&amp;" - "&amp;YEAR(I375)),$AD$3)</f>
        <v>Not Set</v>
      </c>
      <c r="T375" s="125" t="str">
        <f t="shared" ca="1" si="55"/>
        <v/>
      </c>
      <c r="U375" s="125" t="str">
        <f t="shared" ca="1" si="56"/>
        <v/>
      </c>
      <c r="V375" s="125" t="str">
        <f t="shared" si="53"/>
        <v>Not Set</v>
      </c>
      <c r="W375" s="126" t="str">
        <f t="shared" si="57"/>
        <v/>
      </c>
      <c r="X375" s="126" t="str">
        <f t="shared" si="58"/>
        <v/>
      </c>
      <c r="Y375" s="125" t="str">
        <f>IFERROR(IF(LEN(D375)=0,"",IF(SUBTOTAL(3,E375:E375)=0,MIN($Y$7:Y374)-1,SUBTOTAL(3,$E$8:E375))),"")</f>
        <v/>
      </c>
      <c r="Z375" s="17"/>
      <c r="AA375" s="10"/>
      <c r="AB375" s="10"/>
      <c r="AC375" s="10"/>
      <c r="AD375" s="10"/>
      <c r="AE375" s="10"/>
      <c r="AF375" s="10"/>
      <c r="AG375" s="10"/>
      <c r="AH375" s="10"/>
      <c r="AI375" s="10"/>
      <c r="AJ375" s="10"/>
      <c r="AK375" s="10"/>
      <c r="AL375" s="10"/>
      <c r="AM375" s="10"/>
      <c r="AN375" s="10"/>
    </row>
    <row r="376" spans="2:40" hidden="1" x14ac:dyDescent="0.35">
      <c r="B376" s="15"/>
      <c r="C376" s="127" t="str">
        <f>IFERROR(IF(LEN(INDEX(Database!C$9:C$501,ROW(Calc!A376)-ROW(Calc!$B$7)))=0,"",INDEX(Database!C$9:C$501,ROW(Calc!A376)-ROW(Calc!$B$7))),"")</f>
        <v/>
      </c>
      <c r="D376" s="70" t="str">
        <f>IFERROR(IF(LEN(INDEX(Database!D$9:D$501,ROW(Calc!B376)-ROW(Calc!$B$7)))=0,"",INDEX(Database!D$9:D$501,ROW(Calc!B376)-ROW(Calc!$B$7))),"")</f>
        <v/>
      </c>
      <c r="E376" s="124" t="str">
        <f>IFERROR(IF(LEN(INDEX(Database!G$9:G$501,ROW(Calc!D376)-ROW(Calc!$B$7)))=0,$AD$3,INDEX(Database!G$9:G$501,ROW(Calc!D376)-ROW(Calc!$B$7))),"")</f>
        <v>Not Set</v>
      </c>
      <c r="F376" s="124" t="str">
        <f>IFERROR(IF(LEN(INDEX(Database!F$9:F$501,ROW(Calc!E376)-ROW(Calc!$B$7)))=0,$AD$3,INDEX(Database!F$9:F$501,ROW(Calc!E376)-ROW(Calc!$B$7))),"")</f>
        <v>Not Set</v>
      </c>
      <c r="G376" s="128" t="str">
        <f>IFERROR(IF(LEN(INDEX(Database!H$9:H$501,ROW(Calc!F376)-ROW(Calc!$B$7)))=0,$AD$3,INDEX(Database!H$9:H$501,ROW(Calc!F376)-ROW(Calc!$B$7))),"")</f>
        <v>Not Set</v>
      </c>
      <c r="H376" s="128" t="str">
        <f>IFERROR(IF(LEN(INDEX(Database!I$9:I$501,ROW(Calc!G376)-ROW(Calc!$B$7)))=0,$AD$3,INDEX(Database!I$9:I$501,ROW(Calc!G376)-ROW(Calc!$B$7))),"")</f>
        <v>Not Set</v>
      </c>
      <c r="I376" s="128" t="str">
        <f>IFERROR(IF(LEN(INDEX(Database!J$9:J$501,ROW(Calc!H376)-ROW(Calc!$B$7)))=0,$AD$3,INDEX(Database!J$9:J$501,ROW(Calc!H376)-ROW(Calc!$B$7))),"")</f>
        <v>Not Set</v>
      </c>
      <c r="J376" s="128" t="str">
        <f t="shared" si="50"/>
        <v>Not Set</v>
      </c>
      <c r="K376" s="124" t="str">
        <f>IFERROR(IF(LEN(INDEX(Database!E$9:E$501,ROW(Calc!I376)-ROW(Calc!$B$7)))=0,"",INDEX(Database!E$9:E$501,ROW(Calc!I376)-ROW(Calc!$B$7))),"")</f>
        <v/>
      </c>
      <c r="L376" s="129" t="str">
        <f>IFERROR(IF(LEN(INDEX(Database!K$9:K$501,ROW(Calc!K376)-ROW(Calc!$B$7)))=0,$AD$3,INDEX(Database!K$9:K$501,ROW(Calc!K376)-ROW(Calc!$B$7))),"")</f>
        <v>Not Set</v>
      </c>
      <c r="M376" s="130" t="str">
        <f>IFERROR(IF(LEN(INDEX(Database!L$9:L$501,ROW(Calc!L376)-ROW(Calc!$B$7)))=0,$AD$3,INDEX(Database!L$9:L$501,ROW(Calc!L376)-ROW(Calc!$B$7))),"")</f>
        <v>Not Set</v>
      </c>
      <c r="N376" s="131" t="str">
        <f>IFERROR(IF(LEN(INDEX(Database!M$9:M$501,ROW(Calc!M376)-ROW(Calc!$B$7)))=0,"",INDEX(Database!M$9:M$501,ROW(Calc!M376)-ROW(Calc!$B$7))),"")</f>
        <v/>
      </c>
      <c r="O376" s="132" t="str">
        <f t="shared" si="54"/>
        <v/>
      </c>
      <c r="P376" s="125" t="str">
        <f t="shared" si="51"/>
        <v>Not Set</v>
      </c>
      <c r="Q376" s="125" t="str">
        <f t="shared" si="52"/>
        <v>Not Set</v>
      </c>
      <c r="R376" s="125" t="str">
        <f>IFERROR(IF(G376=$AD$3,$AD$3,INDEX(Kanban_Helper!$C$317:$C$328,MATCH(MONTH(G376),Kanban_Helper!$B$317:$B$328,0))&amp;" - "&amp;YEAR(G376)),"$AD$3")</f>
        <v>Not Set</v>
      </c>
      <c r="S376" s="125" t="str">
        <f>IFERROR(IF(I376=$AD$3,$AD$3,INDEX(Kanban_Helper!$C$317:$C$328,MATCH(MONTH(I376),Kanban_Helper!$B$317:$B$328,0))&amp;" - "&amp;YEAR(I376)),$AD$3)</f>
        <v>Not Set</v>
      </c>
      <c r="T376" s="125" t="str">
        <f t="shared" ca="1" si="55"/>
        <v/>
      </c>
      <c r="U376" s="125" t="str">
        <f t="shared" ca="1" si="56"/>
        <v/>
      </c>
      <c r="V376" s="125" t="str">
        <f t="shared" si="53"/>
        <v>Not Set</v>
      </c>
      <c r="W376" s="126" t="str">
        <f t="shared" si="57"/>
        <v/>
      </c>
      <c r="X376" s="126" t="str">
        <f t="shared" si="58"/>
        <v/>
      </c>
      <c r="Y376" s="125" t="str">
        <f>IFERROR(IF(LEN(D376)=0,"",IF(SUBTOTAL(3,E376:E376)=0,MIN($Y$7:Y375)-1,SUBTOTAL(3,$E$8:E376))),"")</f>
        <v/>
      </c>
      <c r="Z376" s="17"/>
      <c r="AA376" s="10"/>
      <c r="AB376" s="10"/>
      <c r="AC376" s="10"/>
      <c r="AD376" s="10"/>
      <c r="AE376" s="10"/>
      <c r="AF376" s="10"/>
      <c r="AG376" s="10"/>
      <c r="AH376" s="10"/>
      <c r="AI376" s="10"/>
      <c r="AJ376" s="10"/>
      <c r="AK376" s="10"/>
      <c r="AL376" s="10"/>
      <c r="AM376" s="10"/>
      <c r="AN376" s="10"/>
    </row>
    <row r="377" spans="2:40" hidden="1" x14ac:dyDescent="0.35">
      <c r="B377" s="15"/>
      <c r="C377" s="127" t="str">
        <f>IFERROR(IF(LEN(INDEX(Database!C$9:C$501,ROW(Calc!A377)-ROW(Calc!$B$7)))=0,"",INDEX(Database!C$9:C$501,ROW(Calc!A377)-ROW(Calc!$B$7))),"")</f>
        <v/>
      </c>
      <c r="D377" s="70" t="str">
        <f>IFERROR(IF(LEN(INDEX(Database!D$9:D$501,ROW(Calc!B377)-ROW(Calc!$B$7)))=0,"",INDEX(Database!D$9:D$501,ROW(Calc!B377)-ROW(Calc!$B$7))),"")</f>
        <v/>
      </c>
      <c r="E377" s="124" t="str">
        <f>IFERROR(IF(LEN(INDEX(Database!G$9:G$501,ROW(Calc!D377)-ROW(Calc!$B$7)))=0,$AD$3,INDEX(Database!G$9:G$501,ROW(Calc!D377)-ROW(Calc!$B$7))),"")</f>
        <v>Not Set</v>
      </c>
      <c r="F377" s="124" t="str">
        <f>IFERROR(IF(LEN(INDEX(Database!F$9:F$501,ROW(Calc!E377)-ROW(Calc!$B$7)))=0,$AD$3,INDEX(Database!F$9:F$501,ROW(Calc!E377)-ROW(Calc!$B$7))),"")</f>
        <v>Not Set</v>
      </c>
      <c r="G377" s="128" t="str">
        <f>IFERROR(IF(LEN(INDEX(Database!H$9:H$501,ROW(Calc!F377)-ROW(Calc!$B$7)))=0,$AD$3,INDEX(Database!H$9:H$501,ROW(Calc!F377)-ROW(Calc!$B$7))),"")</f>
        <v>Not Set</v>
      </c>
      <c r="H377" s="128" t="str">
        <f>IFERROR(IF(LEN(INDEX(Database!I$9:I$501,ROW(Calc!G377)-ROW(Calc!$B$7)))=0,$AD$3,INDEX(Database!I$9:I$501,ROW(Calc!G377)-ROW(Calc!$B$7))),"")</f>
        <v>Not Set</v>
      </c>
      <c r="I377" s="128" t="str">
        <f>IFERROR(IF(LEN(INDEX(Database!J$9:J$501,ROW(Calc!H377)-ROW(Calc!$B$7)))=0,$AD$3,INDEX(Database!J$9:J$501,ROW(Calc!H377)-ROW(Calc!$B$7))),"")</f>
        <v>Not Set</v>
      </c>
      <c r="J377" s="128" t="str">
        <f t="shared" si="50"/>
        <v>Not Set</v>
      </c>
      <c r="K377" s="124" t="str">
        <f>IFERROR(IF(LEN(INDEX(Database!E$9:E$501,ROW(Calc!I377)-ROW(Calc!$B$7)))=0,"",INDEX(Database!E$9:E$501,ROW(Calc!I377)-ROW(Calc!$B$7))),"")</f>
        <v/>
      </c>
      <c r="L377" s="129" t="str">
        <f>IFERROR(IF(LEN(INDEX(Database!K$9:K$501,ROW(Calc!K377)-ROW(Calc!$B$7)))=0,$AD$3,INDEX(Database!K$9:K$501,ROW(Calc!K377)-ROW(Calc!$B$7))),"")</f>
        <v>Not Set</v>
      </c>
      <c r="M377" s="130" t="str">
        <f>IFERROR(IF(LEN(INDEX(Database!L$9:L$501,ROW(Calc!L377)-ROW(Calc!$B$7)))=0,$AD$3,INDEX(Database!L$9:L$501,ROW(Calc!L377)-ROW(Calc!$B$7))),"")</f>
        <v>Not Set</v>
      </c>
      <c r="N377" s="131" t="str">
        <f>IFERROR(IF(LEN(INDEX(Database!M$9:M$501,ROW(Calc!M377)-ROW(Calc!$B$7)))=0,"",INDEX(Database!M$9:M$501,ROW(Calc!M377)-ROW(Calc!$B$7))),"")</f>
        <v/>
      </c>
      <c r="O377" s="132" t="str">
        <f t="shared" si="54"/>
        <v/>
      </c>
      <c r="P377" s="125" t="str">
        <f t="shared" si="51"/>
        <v>Not Set</v>
      </c>
      <c r="Q377" s="125" t="str">
        <f t="shared" si="52"/>
        <v>Not Set</v>
      </c>
      <c r="R377" s="125" t="str">
        <f>IFERROR(IF(G377=$AD$3,$AD$3,INDEX(Kanban_Helper!$C$317:$C$328,MATCH(MONTH(G377),Kanban_Helper!$B$317:$B$328,0))&amp;" - "&amp;YEAR(G377)),"$AD$3")</f>
        <v>Not Set</v>
      </c>
      <c r="S377" s="125" t="str">
        <f>IFERROR(IF(I377=$AD$3,$AD$3,INDEX(Kanban_Helper!$C$317:$C$328,MATCH(MONTH(I377),Kanban_Helper!$B$317:$B$328,0))&amp;" - "&amp;YEAR(I377)),$AD$3)</f>
        <v>Not Set</v>
      </c>
      <c r="T377" s="125" t="str">
        <f t="shared" ca="1" si="55"/>
        <v/>
      </c>
      <c r="U377" s="125" t="str">
        <f t="shared" ca="1" si="56"/>
        <v/>
      </c>
      <c r="V377" s="125" t="str">
        <f t="shared" si="53"/>
        <v>Not Set</v>
      </c>
      <c r="W377" s="126" t="str">
        <f t="shared" si="57"/>
        <v/>
      </c>
      <c r="X377" s="126" t="str">
        <f t="shared" si="58"/>
        <v/>
      </c>
      <c r="Y377" s="125" t="str">
        <f>IFERROR(IF(LEN(D377)=0,"",IF(SUBTOTAL(3,E377:E377)=0,MIN($Y$7:Y376)-1,SUBTOTAL(3,$E$8:E377))),"")</f>
        <v/>
      </c>
      <c r="Z377" s="17"/>
      <c r="AA377" s="10"/>
      <c r="AB377" s="10"/>
      <c r="AC377" s="10"/>
      <c r="AD377" s="10"/>
      <c r="AE377" s="10"/>
      <c r="AF377" s="10"/>
      <c r="AG377" s="10"/>
      <c r="AH377" s="10"/>
      <c r="AI377" s="10"/>
      <c r="AJ377" s="10"/>
      <c r="AK377" s="10"/>
      <c r="AL377" s="10"/>
      <c r="AM377" s="10"/>
      <c r="AN377" s="10"/>
    </row>
    <row r="378" spans="2:40" hidden="1" x14ac:dyDescent="0.35">
      <c r="B378" s="15"/>
      <c r="C378" s="127" t="str">
        <f>IFERROR(IF(LEN(INDEX(Database!C$9:C$501,ROW(Calc!A378)-ROW(Calc!$B$7)))=0,"",INDEX(Database!C$9:C$501,ROW(Calc!A378)-ROW(Calc!$B$7))),"")</f>
        <v/>
      </c>
      <c r="D378" s="70" t="str">
        <f>IFERROR(IF(LEN(INDEX(Database!D$9:D$501,ROW(Calc!B378)-ROW(Calc!$B$7)))=0,"",INDEX(Database!D$9:D$501,ROW(Calc!B378)-ROW(Calc!$B$7))),"")</f>
        <v/>
      </c>
      <c r="E378" s="124" t="str">
        <f>IFERROR(IF(LEN(INDEX(Database!G$9:G$501,ROW(Calc!D378)-ROW(Calc!$B$7)))=0,$AD$3,INDEX(Database!G$9:G$501,ROW(Calc!D378)-ROW(Calc!$B$7))),"")</f>
        <v>Not Set</v>
      </c>
      <c r="F378" s="124" t="str">
        <f>IFERROR(IF(LEN(INDEX(Database!F$9:F$501,ROW(Calc!E378)-ROW(Calc!$B$7)))=0,$AD$3,INDEX(Database!F$9:F$501,ROW(Calc!E378)-ROW(Calc!$B$7))),"")</f>
        <v>Not Set</v>
      </c>
      <c r="G378" s="128" t="str">
        <f>IFERROR(IF(LEN(INDEX(Database!H$9:H$501,ROW(Calc!F378)-ROW(Calc!$B$7)))=0,$AD$3,INDEX(Database!H$9:H$501,ROW(Calc!F378)-ROW(Calc!$B$7))),"")</f>
        <v>Not Set</v>
      </c>
      <c r="H378" s="128" t="str">
        <f>IFERROR(IF(LEN(INDEX(Database!I$9:I$501,ROW(Calc!G378)-ROW(Calc!$B$7)))=0,$AD$3,INDEX(Database!I$9:I$501,ROW(Calc!G378)-ROW(Calc!$B$7))),"")</f>
        <v>Not Set</v>
      </c>
      <c r="I378" s="128" t="str">
        <f>IFERROR(IF(LEN(INDEX(Database!J$9:J$501,ROW(Calc!H378)-ROW(Calc!$B$7)))=0,$AD$3,INDEX(Database!J$9:J$501,ROW(Calc!H378)-ROW(Calc!$B$7))),"")</f>
        <v>Not Set</v>
      </c>
      <c r="J378" s="128" t="str">
        <f t="shared" si="50"/>
        <v>Not Set</v>
      </c>
      <c r="K378" s="124" t="str">
        <f>IFERROR(IF(LEN(INDEX(Database!E$9:E$501,ROW(Calc!I378)-ROW(Calc!$B$7)))=0,"",INDEX(Database!E$9:E$501,ROW(Calc!I378)-ROW(Calc!$B$7))),"")</f>
        <v/>
      </c>
      <c r="L378" s="129" t="str">
        <f>IFERROR(IF(LEN(INDEX(Database!K$9:K$501,ROW(Calc!K378)-ROW(Calc!$B$7)))=0,$AD$3,INDEX(Database!K$9:K$501,ROW(Calc!K378)-ROW(Calc!$B$7))),"")</f>
        <v>Not Set</v>
      </c>
      <c r="M378" s="130" t="str">
        <f>IFERROR(IF(LEN(INDEX(Database!L$9:L$501,ROW(Calc!L378)-ROW(Calc!$B$7)))=0,$AD$3,INDEX(Database!L$9:L$501,ROW(Calc!L378)-ROW(Calc!$B$7))),"")</f>
        <v>Not Set</v>
      </c>
      <c r="N378" s="131" t="str">
        <f>IFERROR(IF(LEN(INDEX(Database!M$9:M$501,ROW(Calc!M378)-ROW(Calc!$B$7)))=0,"",INDEX(Database!M$9:M$501,ROW(Calc!M378)-ROW(Calc!$B$7))),"")</f>
        <v/>
      </c>
      <c r="O378" s="132" t="str">
        <f t="shared" si="54"/>
        <v/>
      </c>
      <c r="P378" s="125" t="str">
        <f t="shared" si="51"/>
        <v>Not Set</v>
      </c>
      <c r="Q378" s="125" t="str">
        <f t="shared" si="52"/>
        <v>Not Set</v>
      </c>
      <c r="R378" s="125" t="str">
        <f>IFERROR(IF(G378=$AD$3,$AD$3,INDEX(Kanban_Helper!$C$317:$C$328,MATCH(MONTH(G378),Kanban_Helper!$B$317:$B$328,0))&amp;" - "&amp;YEAR(G378)),"$AD$3")</f>
        <v>Not Set</v>
      </c>
      <c r="S378" s="125" t="str">
        <f>IFERROR(IF(I378=$AD$3,$AD$3,INDEX(Kanban_Helper!$C$317:$C$328,MATCH(MONTH(I378),Kanban_Helper!$B$317:$B$328,0))&amp;" - "&amp;YEAR(I378)),$AD$3)</f>
        <v>Not Set</v>
      </c>
      <c r="T378" s="125" t="str">
        <f t="shared" ca="1" si="55"/>
        <v/>
      </c>
      <c r="U378" s="125" t="str">
        <f t="shared" ca="1" si="56"/>
        <v/>
      </c>
      <c r="V378" s="125" t="str">
        <f t="shared" si="53"/>
        <v>Not Set</v>
      </c>
      <c r="W378" s="126" t="str">
        <f t="shared" si="57"/>
        <v/>
      </c>
      <c r="X378" s="126" t="str">
        <f t="shared" si="58"/>
        <v/>
      </c>
      <c r="Y378" s="125" t="str">
        <f>IFERROR(IF(LEN(D378)=0,"",IF(SUBTOTAL(3,E378:E378)=0,MIN($Y$7:Y377)-1,SUBTOTAL(3,$E$8:E378))),"")</f>
        <v/>
      </c>
      <c r="Z378" s="17"/>
      <c r="AA378" s="10"/>
      <c r="AB378" s="10"/>
      <c r="AC378" s="10"/>
      <c r="AD378" s="10"/>
      <c r="AE378" s="10"/>
      <c r="AF378" s="10"/>
      <c r="AG378" s="10"/>
      <c r="AH378" s="10"/>
      <c r="AI378" s="10"/>
      <c r="AJ378" s="10"/>
      <c r="AK378" s="10"/>
      <c r="AL378" s="10"/>
      <c r="AM378" s="10"/>
      <c r="AN378" s="10"/>
    </row>
    <row r="379" spans="2:40" hidden="1" x14ac:dyDescent="0.35">
      <c r="B379" s="15"/>
      <c r="C379" s="127" t="str">
        <f>IFERROR(IF(LEN(INDEX(Database!C$9:C$501,ROW(Calc!A379)-ROW(Calc!$B$7)))=0,"",INDEX(Database!C$9:C$501,ROW(Calc!A379)-ROW(Calc!$B$7))),"")</f>
        <v/>
      </c>
      <c r="D379" s="70" t="str">
        <f>IFERROR(IF(LEN(INDEX(Database!D$9:D$501,ROW(Calc!B379)-ROW(Calc!$B$7)))=0,"",INDEX(Database!D$9:D$501,ROW(Calc!B379)-ROW(Calc!$B$7))),"")</f>
        <v/>
      </c>
      <c r="E379" s="124" t="str">
        <f>IFERROR(IF(LEN(INDEX(Database!G$9:G$501,ROW(Calc!D379)-ROW(Calc!$B$7)))=0,$AD$3,INDEX(Database!G$9:G$501,ROW(Calc!D379)-ROW(Calc!$B$7))),"")</f>
        <v>Not Set</v>
      </c>
      <c r="F379" s="124" t="str">
        <f>IFERROR(IF(LEN(INDEX(Database!F$9:F$501,ROW(Calc!E379)-ROW(Calc!$B$7)))=0,$AD$3,INDEX(Database!F$9:F$501,ROW(Calc!E379)-ROW(Calc!$B$7))),"")</f>
        <v>Not Set</v>
      </c>
      <c r="G379" s="128" t="str">
        <f>IFERROR(IF(LEN(INDEX(Database!H$9:H$501,ROW(Calc!F379)-ROW(Calc!$B$7)))=0,$AD$3,INDEX(Database!H$9:H$501,ROW(Calc!F379)-ROW(Calc!$B$7))),"")</f>
        <v>Not Set</v>
      </c>
      <c r="H379" s="128" t="str">
        <f>IFERROR(IF(LEN(INDEX(Database!I$9:I$501,ROW(Calc!G379)-ROW(Calc!$B$7)))=0,$AD$3,INDEX(Database!I$9:I$501,ROW(Calc!G379)-ROW(Calc!$B$7))),"")</f>
        <v>Not Set</v>
      </c>
      <c r="I379" s="128" t="str">
        <f>IFERROR(IF(LEN(INDEX(Database!J$9:J$501,ROW(Calc!H379)-ROW(Calc!$B$7)))=0,$AD$3,INDEX(Database!J$9:J$501,ROW(Calc!H379)-ROW(Calc!$B$7))),"")</f>
        <v>Not Set</v>
      </c>
      <c r="J379" s="128" t="str">
        <f t="shared" si="50"/>
        <v>Not Set</v>
      </c>
      <c r="K379" s="124" t="str">
        <f>IFERROR(IF(LEN(INDEX(Database!E$9:E$501,ROW(Calc!I379)-ROW(Calc!$B$7)))=0,"",INDEX(Database!E$9:E$501,ROW(Calc!I379)-ROW(Calc!$B$7))),"")</f>
        <v/>
      </c>
      <c r="L379" s="129" t="str">
        <f>IFERROR(IF(LEN(INDEX(Database!K$9:K$501,ROW(Calc!K379)-ROW(Calc!$B$7)))=0,$AD$3,INDEX(Database!K$9:K$501,ROW(Calc!K379)-ROW(Calc!$B$7))),"")</f>
        <v>Not Set</v>
      </c>
      <c r="M379" s="130" t="str">
        <f>IFERROR(IF(LEN(INDEX(Database!L$9:L$501,ROW(Calc!L379)-ROW(Calc!$B$7)))=0,$AD$3,INDEX(Database!L$9:L$501,ROW(Calc!L379)-ROW(Calc!$B$7))),"")</f>
        <v>Not Set</v>
      </c>
      <c r="N379" s="131" t="str">
        <f>IFERROR(IF(LEN(INDEX(Database!M$9:M$501,ROW(Calc!M379)-ROW(Calc!$B$7)))=0,"",INDEX(Database!M$9:M$501,ROW(Calc!M379)-ROW(Calc!$B$7))),"")</f>
        <v/>
      </c>
      <c r="O379" s="132" t="str">
        <f t="shared" si="54"/>
        <v/>
      </c>
      <c r="P379" s="125" t="str">
        <f t="shared" si="51"/>
        <v>Not Set</v>
      </c>
      <c r="Q379" s="125" t="str">
        <f t="shared" si="52"/>
        <v>Not Set</v>
      </c>
      <c r="R379" s="125" t="str">
        <f>IFERROR(IF(G379=$AD$3,$AD$3,INDEX(Kanban_Helper!$C$317:$C$328,MATCH(MONTH(G379),Kanban_Helper!$B$317:$B$328,0))&amp;" - "&amp;YEAR(G379)),"$AD$3")</f>
        <v>Not Set</v>
      </c>
      <c r="S379" s="125" t="str">
        <f>IFERROR(IF(I379=$AD$3,$AD$3,INDEX(Kanban_Helper!$C$317:$C$328,MATCH(MONTH(I379),Kanban_Helper!$B$317:$B$328,0))&amp;" - "&amp;YEAR(I379)),$AD$3)</f>
        <v>Not Set</v>
      </c>
      <c r="T379" s="125" t="str">
        <f t="shared" ca="1" si="55"/>
        <v/>
      </c>
      <c r="U379" s="125" t="str">
        <f t="shared" ca="1" si="56"/>
        <v/>
      </c>
      <c r="V379" s="125" t="str">
        <f t="shared" si="53"/>
        <v>Not Set</v>
      </c>
      <c r="W379" s="126" t="str">
        <f t="shared" si="57"/>
        <v/>
      </c>
      <c r="X379" s="126" t="str">
        <f t="shared" si="58"/>
        <v/>
      </c>
      <c r="Y379" s="125" t="str">
        <f>IFERROR(IF(LEN(D379)=0,"",IF(SUBTOTAL(3,E379:E379)=0,MIN($Y$7:Y378)-1,SUBTOTAL(3,$E$8:E379))),"")</f>
        <v/>
      </c>
      <c r="Z379" s="17"/>
      <c r="AA379" s="10"/>
      <c r="AB379" s="10"/>
      <c r="AC379" s="10"/>
      <c r="AD379" s="10"/>
      <c r="AE379" s="10"/>
      <c r="AF379" s="10"/>
      <c r="AG379" s="10"/>
      <c r="AH379" s="10"/>
      <c r="AI379" s="10"/>
      <c r="AJ379" s="10"/>
      <c r="AK379" s="10"/>
      <c r="AL379" s="10"/>
      <c r="AM379" s="10"/>
      <c r="AN379" s="10"/>
    </row>
    <row r="380" spans="2:40" hidden="1" x14ac:dyDescent="0.35">
      <c r="B380" s="15"/>
      <c r="C380" s="127" t="str">
        <f>IFERROR(IF(LEN(INDEX(Database!C$9:C$501,ROW(Calc!A380)-ROW(Calc!$B$7)))=0,"",INDEX(Database!C$9:C$501,ROW(Calc!A380)-ROW(Calc!$B$7))),"")</f>
        <v/>
      </c>
      <c r="D380" s="70" t="str">
        <f>IFERROR(IF(LEN(INDEX(Database!D$9:D$501,ROW(Calc!B380)-ROW(Calc!$B$7)))=0,"",INDEX(Database!D$9:D$501,ROW(Calc!B380)-ROW(Calc!$B$7))),"")</f>
        <v/>
      </c>
      <c r="E380" s="124" t="str">
        <f>IFERROR(IF(LEN(INDEX(Database!G$9:G$501,ROW(Calc!D380)-ROW(Calc!$B$7)))=0,$AD$3,INDEX(Database!G$9:G$501,ROW(Calc!D380)-ROW(Calc!$B$7))),"")</f>
        <v>Not Set</v>
      </c>
      <c r="F380" s="124" t="str">
        <f>IFERROR(IF(LEN(INDEX(Database!F$9:F$501,ROW(Calc!E380)-ROW(Calc!$B$7)))=0,$AD$3,INDEX(Database!F$9:F$501,ROW(Calc!E380)-ROW(Calc!$B$7))),"")</f>
        <v>Not Set</v>
      </c>
      <c r="G380" s="128" t="str">
        <f>IFERROR(IF(LEN(INDEX(Database!H$9:H$501,ROW(Calc!F380)-ROW(Calc!$B$7)))=0,$AD$3,INDEX(Database!H$9:H$501,ROW(Calc!F380)-ROW(Calc!$B$7))),"")</f>
        <v>Not Set</v>
      </c>
      <c r="H380" s="128" t="str">
        <f>IFERROR(IF(LEN(INDEX(Database!I$9:I$501,ROW(Calc!G380)-ROW(Calc!$B$7)))=0,$AD$3,INDEX(Database!I$9:I$501,ROW(Calc!G380)-ROW(Calc!$B$7))),"")</f>
        <v>Not Set</v>
      </c>
      <c r="I380" s="128" t="str">
        <f>IFERROR(IF(LEN(INDEX(Database!J$9:J$501,ROW(Calc!H380)-ROW(Calc!$B$7)))=0,$AD$3,INDEX(Database!J$9:J$501,ROW(Calc!H380)-ROW(Calc!$B$7))),"")</f>
        <v>Not Set</v>
      </c>
      <c r="J380" s="128" t="str">
        <f t="shared" si="50"/>
        <v>Not Set</v>
      </c>
      <c r="K380" s="124" t="str">
        <f>IFERROR(IF(LEN(INDEX(Database!E$9:E$501,ROW(Calc!I380)-ROW(Calc!$B$7)))=0,"",INDEX(Database!E$9:E$501,ROW(Calc!I380)-ROW(Calc!$B$7))),"")</f>
        <v/>
      </c>
      <c r="L380" s="129" t="str">
        <f>IFERROR(IF(LEN(INDEX(Database!K$9:K$501,ROW(Calc!K380)-ROW(Calc!$B$7)))=0,$AD$3,INDEX(Database!K$9:K$501,ROW(Calc!K380)-ROW(Calc!$B$7))),"")</f>
        <v>Not Set</v>
      </c>
      <c r="M380" s="130" t="str">
        <f>IFERROR(IF(LEN(INDEX(Database!L$9:L$501,ROW(Calc!L380)-ROW(Calc!$B$7)))=0,$AD$3,INDEX(Database!L$9:L$501,ROW(Calc!L380)-ROW(Calc!$B$7))),"")</f>
        <v>Not Set</v>
      </c>
      <c r="N380" s="131" t="str">
        <f>IFERROR(IF(LEN(INDEX(Database!M$9:M$501,ROW(Calc!M380)-ROW(Calc!$B$7)))=0,"",INDEX(Database!M$9:M$501,ROW(Calc!M380)-ROW(Calc!$B$7))),"")</f>
        <v/>
      </c>
      <c r="O380" s="132" t="str">
        <f t="shared" si="54"/>
        <v/>
      </c>
      <c r="P380" s="125" t="str">
        <f t="shared" si="51"/>
        <v>Not Set</v>
      </c>
      <c r="Q380" s="125" t="str">
        <f t="shared" si="52"/>
        <v>Not Set</v>
      </c>
      <c r="R380" s="125" t="str">
        <f>IFERROR(IF(G380=$AD$3,$AD$3,INDEX(Kanban_Helper!$C$317:$C$328,MATCH(MONTH(G380),Kanban_Helper!$B$317:$B$328,0))&amp;" - "&amp;YEAR(G380)),"$AD$3")</f>
        <v>Not Set</v>
      </c>
      <c r="S380" s="125" t="str">
        <f>IFERROR(IF(I380=$AD$3,$AD$3,INDEX(Kanban_Helper!$C$317:$C$328,MATCH(MONTH(I380),Kanban_Helper!$B$317:$B$328,0))&amp;" - "&amp;YEAR(I380)),$AD$3)</f>
        <v>Not Set</v>
      </c>
      <c r="T380" s="125" t="str">
        <f t="shared" ca="1" si="55"/>
        <v/>
      </c>
      <c r="U380" s="125" t="str">
        <f t="shared" ca="1" si="56"/>
        <v/>
      </c>
      <c r="V380" s="125" t="str">
        <f t="shared" si="53"/>
        <v>Not Set</v>
      </c>
      <c r="W380" s="126" t="str">
        <f t="shared" si="57"/>
        <v/>
      </c>
      <c r="X380" s="126" t="str">
        <f t="shared" si="58"/>
        <v/>
      </c>
      <c r="Y380" s="125" t="str">
        <f>IFERROR(IF(LEN(D380)=0,"",IF(SUBTOTAL(3,E380:E380)=0,MIN($Y$7:Y379)-1,SUBTOTAL(3,$E$8:E380))),"")</f>
        <v/>
      </c>
      <c r="Z380" s="17"/>
      <c r="AA380" s="10"/>
      <c r="AB380" s="10"/>
      <c r="AC380" s="10"/>
      <c r="AD380" s="10"/>
      <c r="AE380" s="10"/>
      <c r="AF380" s="10"/>
      <c r="AG380" s="10"/>
      <c r="AH380" s="10"/>
      <c r="AI380" s="10"/>
      <c r="AJ380" s="10"/>
      <c r="AK380" s="10"/>
      <c r="AL380" s="10"/>
      <c r="AM380" s="10"/>
      <c r="AN380" s="10"/>
    </row>
    <row r="381" spans="2:40" hidden="1" x14ac:dyDescent="0.35">
      <c r="B381" s="15"/>
      <c r="C381" s="127" t="str">
        <f>IFERROR(IF(LEN(INDEX(Database!C$9:C$501,ROW(Calc!A381)-ROW(Calc!$B$7)))=0,"",INDEX(Database!C$9:C$501,ROW(Calc!A381)-ROW(Calc!$B$7))),"")</f>
        <v/>
      </c>
      <c r="D381" s="70" t="str">
        <f>IFERROR(IF(LEN(INDEX(Database!D$9:D$501,ROW(Calc!B381)-ROW(Calc!$B$7)))=0,"",INDEX(Database!D$9:D$501,ROW(Calc!B381)-ROW(Calc!$B$7))),"")</f>
        <v/>
      </c>
      <c r="E381" s="124" t="str">
        <f>IFERROR(IF(LEN(INDEX(Database!G$9:G$501,ROW(Calc!D381)-ROW(Calc!$B$7)))=0,$AD$3,INDEX(Database!G$9:G$501,ROW(Calc!D381)-ROW(Calc!$B$7))),"")</f>
        <v>Not Set</v>
      </c>
      <c r="F381" s="124" t="str">
        <f>IFERROR(IF(LEN(INDEX(Database!F$9:F$501,ROW(Calc!E381)-ROW(Calc!$B$7)))=0,$AD$3,INDEX(Database!F$9:F$501,ROW(Calc!E381)-ROW(Calc!$B$7))),"")</f>
        <v>Not Set</v>
      </c>
      <c r="G381" s="128" t="str">
        <f>IFERROR(IF(LEN(INDEX(Database!H$9:H$501,ROW(Calc!F381)-ROW(Calc!$B$7)))=0,$AD$3,INDEX(Database!H$9:H$501,ROW(Calc!F381)-ROW(Calc!$B$7))),"")</f>
        <v>Not Set</v>
      </c>
      <c r="H381" s="128" t="str">
        <f>IFERROR(IF(LEN(INDEX(Database!I$9:I$501,ROW(Calc!G381)-ROW(Calc!$B$7)))=0,$AD$3,INDEX(Database!I$9:I$501,ROW(Calc!G381)-ROW(Calc!$B$7))),"")</f>
        <v>Not Set</v>
      </c>
      <c r="I381" s="128" t="str">
        <f>IFERROR(IF(LEN(INDEX(Database!J$9:J$501,ROW(Calc!H381)-ROW(Calc!$B$7)))=0,$AD$3,INDEX(Database!J$9:J$501,ROW(Calc!H381)-ROW(Calc!$B$7))),"")</f>
        <v>Not Set</v>
      </c>
      <c r="J381" s="128" t="str">
        <f t="shared" si="50"/>
        <v>Not Set</v>
      </c>
      <c r="K381" s="124" t="str">
        <f>IFERROR(IF(LEN(INDEX(Database!E$9:E$501,ROW(Calc!I381)-ROW(Calc!$B$7)))=0,"",INDEX(Database!E$9:E$501,ROW(Calc!I381)-ROW(Calc!$B$7))),"")</f>
        <v/>
      </c>
      <c r="L381" s="129" t="str">
        <f>IFERROR(IF(LEN(INDEX(Database!K$9:K$501,ROW(Calc!K381)-ROW(Calc!$B$7)))=0,$AD$3,INDEX(Database!K$9:K$501,ROW(Calc!K381)-ROW(Calc!$B$7))),"")</f>
        <v>Not Set</v>
      </c>
      <c r="M381" s="130" t="str">
        <f>IFERROR(IF(LEN(INDEX(Database!L$9:L$501,ROW(Calc!L381)-ROW(Calc!$B$7)))=0,$AD$3,INDEX(Database!L$9:L$501,ROW(Calc!L381)-ROW(Calc!$B$7))),"")</f>
        <v>Not Set</v>
      </c>
      <c r="N381" s="131" t="str">
        <f>IFERROR(IF(LEN(INDEX(Database!M$9:M$501,ROW(Calc!M381)-ROW(Calc!$B$7)))=0,"",INDEX(Database!M$9:M$501,ROW(Calc!M381)-ROW(Calc!$B$7))),"")</f>
        <v/>
      </c>
      <c r="O381" s="132" t="str">
        <f t="shared" si="54"/>
        <v/>
      </c>
      <c r="P381" s="125" t="str">
        <f t="shared" si="51"/>
        <v>Not Set</v>
      </c>
      <c r="Q381" s="125" t="str">
        <f t="shared" si="52"/>
        <v>Not Set</v>
      </c>
      <c r="R381" s="125" t="str">
        <f>IFERROR(IF(G381=$AD$3,$AD$3,INDEX(Kanban_Helper!$C$317:$C$328,MATCH(MONTH(G381),Kanban_Helper!$B$317:$B$328,0))&amp;" - "&amp;YEAR(G381)),"$AD$3")</f>
        <v>Not Set</v>
      </c>
      <c r="S381" s="125" t="str">
        <f>IFERROR(IF(I381=$AD$3,$AD$3,INDEX(Kanban_Helper!$C$317:$C$328,MATCH(MONTH(I381),Kanban_Helper!$B$317:$B$328,0))&amp;" - "&amp;YEAR(I381)),$AD$3)</f>
        <v>Not Set</v>
      </c>
      <c r="T381" s="125" t="str">
        <f t="shared" ca="1" si="55"/>
        <v/>
      </c>
      <c r="U381" s="125" t="str">
        <f t="shared" ca="1" si="56"/>
        <v/>
      </c>
      <c r="V381" s="125" t="str">
        <f t="shared" si="53"/>
        <v>Not Set</v>
      </c>
      <c r="W381" s="126" t="str">
        <f t="shared" si="57"/>
        <v/>
      </c>
      <c r="X381" s="126" t="str">
        <f t="shared" si="58"/>
        <v/>
      </c>
      <c r="Y381" s="125" t="str">
        <f>IFERROR(IF(LEN(D381)=0,"",IF(SUBTOTAL(3,E381:E381)=0,MIN($Y$7:Y380)-1,SUBTOTAL(3,$E$8:E381))),"")</f>
        <v/>
      </c>
      <c r="Z381" s="17"/>
      <c r="AA381" s="10"/>
      <c r="AB381" s="10"/>
      <c r="AC381" s="10"/>
      <c r="AD381" s="10"/>
      <c r="AE381" s="10"/>
      <c r="AF381" s="10"/>
      <c r="AG381" s="10"/>
      <c r="AH381" s="10"/>
      <c r="AI381" s="10"/>
      <c r="AJ381" s="10"/>
      <c r="AK381" s="10"/>
      <c r="AL381" s="10"/>
      <c r="AM381" s="10"/>
      <c r="AN381" s="10"/>
    </row>
    <row r="382" spans="2:40" hidden="1" x14ac:dyDescent="0.35">
      <c r="B382" s="15"/>
      <c r="C382" s="127" t="str">
        <f>IFERROR(IF(LEN(INDEX(Database!C$9:C$501,ROW(Calc!A382)-ROW(Calc!$B$7)))=0,"",INDEX(Database!C$9:C$501,ROW(Calc!A382)-ROW(Calc!$B$7))),"")</f>
        <v/>
      </c>
      <c r="D382" s="70" t="str">
        <f>IFERROR(IF(LEN(INDEX(Database!D$9:D$501,ROW(Calc!B382)-ROW(Calc!$B$7)))=0,"",INDEX(Database!D$9:D$501,ROW(Calc!B382)-ROW(Calc!$B$7))),"")</f>
        <v/>
      </c>
      <c r="E382" s="124" t="str">
        <f>IFERROR(IF(LEN(INDEX(Database!G$9:G$501,ROW(Calc!D382)-ROW(Calc!$B$7)))=0,$AD$3,INDEX(Database!G$9:G$501,ROW(Calc!D382)-ROW(Calc!$B$7))),"")</f>
        <v>Not Set</v>
      </c>
      <c r="F382" s="124" t="str">
        <f>IFERROR(IF(LEN(INDEX(Database!F$9:F$501,ROW(Calc!E382)-ROW(Calc!$B$7)))=0,$AD$3,INDEX(Database!F$9:F$501,ROW(Calc!E382)-ROW(Calc!$B$7))),"")</f>
        <v>Not Set</v>
      </c>
      <c r="G382" s="128" t="str">
        <f>IFERROR(IF(LEN(INDEX(Database!H$9:H$501,ROW(Calc!F382)-ROW(Calc!$B$7)))=0,$AD$3,INDEX(Database!H$9:H$501,ROW(Calc!F382)-ROW(Calc!$B$7))),"")</f>
        <v>Not Set</v>
      </c>
      <c r="H382" s="128" t="str">
        <f>IFERROR(IF(LEN(INDEX(Database!I$9:I$501,ROW(Calc!G382)-ROW(Calc!$B$7)))=0,$AD$3,INDEX(Database!I$9:I$501,ROW(Calc!G382)-ROW(Calc!$B$7))),"")</f>
        <v>Not Set</v>
      </c>
      <c r="I382" s="128" t="str">
        <f>IFERROR(IF(LEN(INDEX(Database!J$9:J$501,ROW(Calc!H382)-ROW(Calc!$B$7)))=0,$AD$3,INDEX(Database!J$9:J$501,ROW(Calc!H382)-ROW(Calc!$B$7))),"")</f>
        <v>Not Set</v>
      </c>
      <c r="J382" s="128" t="str">
        <f t="shared" si="50"/>
        <v>Not Set</v>
      </c>
      <c r="K382" s="124" t="str">
        <f>IFERROR(IF(LEN(INDEX(Database!E$9:E$501,ROW(Calc!I382)-ROW(Calc!$B$7)))=0,"",INDEX(Database!E$9:E$501,ROW(Calc!I382)-ROW(Calc!$B$7))),"")</f>
        <v/>
      </c>
      <c r="L382" s="129" t="str">
        <f>IFERROR(IF(LEN(INDEX(Database!K$9:K$501,ROW(Calc!K382)-ROW(Calc!$B$7)))=0,$AD$3,INDEX(Database!K$9:K$501,ROW(Calc!K382)-ROW(Calc!$B$7))),"")</f>
        <v>Not Set</v>
      </c>
      <c r="M382" s="130" t="str">
        <f>IFERROR(IF(LEN(INDEX(Database!L$9:L$501,ROW(Calc!L382)-ROW(Calc!$B$7)))=0,$AD$3,INDEX(Database!L$9:L$501,ROW(Calc!L382)-ROW(Calc!$B$7))),"")</f>
        <v>Not Set</v>
      </c>
      <c r="N382" s="131" t="str">
        <f>IFERROR(IF(LEN(INDEX(Database!M$9:M$501,ROW(Calc!M382)-ROW(Calc!$B$7)))=0,"",INDEX(Database!M$9:M$501,ROW(Calc!M382)-ROW(Calc!$B$7))),"")</f>
        <v/>
      </c>
      <c r="O382" s="132" t="str">
        <f t="shared" si="54"/>
        <v/>
      </c>
      <c r="P382" s="125" t="str">
        <f t="shared" si="51"/>
        <v>Not Set</v>
      </c>
      <c r="Q382" s="125" t="str">
        <f t="shared" si="52"/>
        <v>Not Set</v>
      </c>
      <c r="R382" s="125" t="str">
        <f>IFERROR(IF(G382=$AD$3,$AD$3,INDEX(Kanban_Helper!$C$317:$C$328,MATCH(MONTH(G382),Kanban_Helper!$B$317:$B$328,0))&amp;" - "&amp;YEAR(G382)),"$AD$3")</f>
        <v>Not Set</v>
      </c>
      <c r="S382" s="125" t="str">
        <f>IFERROR(IF(I382=$AD$3,$AD$3,INDEX(Kanban_Helper!$C$317:$C$328,MATCH(MONTH(I382),Kanban_Helper!$B$317:$B$328,0))&amp;" - "&amp;YEAR(I382)),$AD$3)</f>
        <v>Not Set</v>
      </c>
      <c r="T382" s="125" t="str">
        <f t="shared" ca="1" si="55"/>
        <v/>
      </c>
      <c r="U382" s="125" t="str">
        <f t="shared" ca="1" si="56"/>
        <v/>
      </c>
      <c r="V382" s="125" t="str">
        <f t="shared" si="53"/>
        <v>Not Set</v>
      </c>
      <c r="W382" s="126" t="str">
        <f t="shared" si="57"/>
        <v/>
      </c>
      <c r="X382" s="126" t="str">
        <f t="shared" si="58"/>
        <v/>
      </c>
      <c r="Y382" s="125" t="str">
        <f>IFERROR(IF(LEN(D382)=0,"",IF(SUBTOTAL(3,E382:E382)=0,MIN($Y$7:Y381)-1,SUBTOTAL(3,$E$8:E382))),"")</f>
        <v/>
      </c>
      <c r="Z382" s="17"/>
      <c r="AA382" s="10"/>
      <c r="AB382" s="10"/>
      <c r="AC382" s="10"/>
      <c r="AD382" s="10"/>
      <c r="AE382" s="10"/>
      <c r="AF382" s="10"/>
      <c r="AG382" s="10"/>
      <c r="AH382" s="10"/>
      <c r="AI382" s="10"/>
      <c r="AJ382" s="10"/>
      <c r="AK382" s="10"/>
      <c r="AL382" s="10"/>
      <c r="AM382" s="10"/>
      <c r="AN382" s="10"/>
    </row>
    <row r="383" spans="2:40" hidden="1" x14ac:dyDescent="0.35">
      <c r="B383" s="15"/>
      <c r="C383" s="127" t="str">
        <f>IFERROR(IF(LEN(INDEX(Database!C$9:C$501,ROW(Calc!A383)-ROW(Calc!$B$7)))=0,"",INDEX(Database!C$9:C$501,ROW(Calc!A383)-ROW(Calc!$B$7))),"")</f>
        <v/>
      </c>
      <c r="D383" s="70" t="str">
        <f>IFERROR(IF(LEN(INDEX(Database!D$9:D$501,ROW(Calc!B383)-ROW(Calc!$B$7)))=0,"",INDEX(Database!D$9:D$501,ROW(Calc!B383)-ROW(Calc!$B$7))),"")</f>
        <v/>
      </c>
      <c r="E383" s="124" t="str">
        <f>IFERROR(IF(LEN(INDEX(Database!G$9:G$501,ROW(Calc!D383)-ROW(Calc!$B$7)))=0,$AD$3,INDEX(Database!G$9:G$501,ROW(Calc!D383)-ROW(Calc!$B$7))),"")</f>
        <v>Not Set</v>
      </c>
      <c r="F383" s="124" t="str">
        <f>IFERROR(IF(LEN(INDEX(Database!F$9:F$501,ROW(Calc!E383)-ROW(Calc!$B$7)))=0,$AD$3,INDEX(Database!F$9:F$501,ROW(Calc!E383)-ROW(Calc!$B$7))),"")</f>
        <v>Not Set</v>
      </c>
      <c r="G383" s="128" t="str">
        <f>IFERROR(IF(LEN(INDEX(Database!H$9:H$501,ROW(Calc!F383)-ROW(Calc!$B$7)))=0,$AD$3,INDEX(Database!H$9:H$501,ROW(Calc!F383)-ROW(Calc!$B$7))),"")</f>
        <v>Not Set</v>
      </c>
      <c r="H383" s="128" t="str">
        <f>IFERROR(IF(LEN(INDEX(Database!I$9:I$501,ROW(Calc!G383)-ROW(Calc!$B$7)))=0,$AD$3,INDEX(Database!I$9:I$501,ROW(Calc!G383)-ROW(Calc!$B$7))),"")</f>
        <v>Not Set</v>
      </c>
      <c r="I383" s="128" t="str">
        <f>IFERROR(IF(LEN(INDEX(Database!J$9:J$501,ROW(Calc!H383)-ROW(Calc!$B$7)))=0,$AD$3,INDEX(Database!J$9:J$501,ROW(Calc!H383)-ROW(Calc!$B$7))),"")</f>
        <v>Not Set</v>
      </c>
      <c r="J383" s="128" t="str">
        <f t="shared" si="50"/>
        <v>Not Set</v>
      </c>
      <c r="K383" s="124" t="str">
        <f>IFERROR(IF(LEN(INDEX(Database!E$9:E$501,ROW(Calc!I383)-ROW(Calc!$B$7)))=0,"",INDEX(Database!E$9:E$501,ROW(Calc!I383)-ROW(Calc!$B$7))),"")</f>
        <v/>
      </c>
      <c r="L383" s="129" t="str">
        <f>IFERROR(IF(LEN(INDEX(Database!K$9:K$501,ROW(Calc!K383)-ROW(Calc!$B$7)))=0,$AD$3,INDEX(Database!K$9:K$501,ROW(Calc!K383)-ROW(Calc!$B$7))),"")</f>
        <v>Not Set</v>
      </c>
      <c r="M383" s="130" t="str">
        <f>IFERROR(IF(LEN(INDEX(Database!L$9:L$501,ROW(Calc!L383)-ROW(Calc!$B$7)))=0,$AD$3,INDEX(Database!L$9:L$501,ROW(Calc!L383)-ROW(Calc!$B$7))),"")</f>
        <v>Not Set</v>
      </c>
      <c r="N383" s="131" t="str">
        <f>IFERROR(IF(LEN(INDEX(Database!M$9:M$501,ROW(Calc!M383)-ROW(Calc!$B$7)))=0,"",INDEX(Database!M$9:M$501,ROW(Calc!M383)-ROW(Calc!$B$7))),"")</f>
        <v/>
      </c>
      <c r="O383" s="132" t="str">
        <f t="shared" si="54"/>
        <v/>
      </c>
      <c r="P383" s="125" t="str">
        <f t="shared" si="51"/>
        <v>Not Set</v>
      </c>
      <c r="Q383" s="125" t="str">
        <f t="shared" si="52"/>
        <v>Not Set</v>
      </c>
      <c r="R383" s="125" t="str">
        <f>IFERROR(IF(G383=$AD$3,$AD$3,INDEX(Kanban_Helper!$C$317:$C$328,MATCH(MONTH(G383),Kanban_Helper!$B$317:$B$328,0))&amp;" - "&amp;YEAR(G383)),"$AD$3")</f>
        <v>Not Set</v>
      </c>
      <c r="S383" s="125" t="str">
        <f>IFERROR(IF(I383=$AD$3,$AD$3,INDEX(Kanban_Helper!$C$317:$C$328,MATCH(MONTH(I383),Kanban_Helper!$B$317:$B$328,0))&amp;" - "&amp;YEAR(I383)),$AD$3)</f>
        <v>Not Set</v>
      </c>
      <c r="T383" s="125" t="str">
        <f t="shared" ca="1" si="55"/>
        <v/>
      </c>
      <c r="U383" s="125" t="str">
        <f t="shared" ca="1" si="56"/>
        <v/>
      </c>
      <c r="V383" s="125" t="str">
        <f t="shared" si="53"/>
        <v>Not Set</v>
      </c>
      <c r="W383" s="126" t="str">
        <f t="shared" si="57"/>
        <v/>
      </c>
      <c r="X383" s="126" t="str">
        <f t="shared" si="58"/>
        <v/>
      </c>
      <c r="Y383" s="125" t="str">
        <f>IFERROR(IF(LEN(D383)=0,"",IF(SUBTOTAL(3,E383:E383)=0,MIN($Y$7:Y382)-1,SUBTOTAL(3,$E$8:E383))),"")</f>
        <v/>
      </c>
      <c r="Z383" s="17"/>
      <c r="AA383" s="10"/>
      <c r="AB383" s="10"/>
      <c r="AC383" s="10"/>
      <c r="AD383" s="10"/>
      <c r="AE383" s="10"/>
      <c r="AF383" s="10"/>
      <c r="AG383" s="10"/>
      <c r="AH383" s="10"/>
      <c r="AI383" s="10"/>
      <c r="AJ383" s="10"/>
      <c r="AK383" s="10"/>
      <c r="AL383" s="10"/>
      <c r="AM383" s="10"/>
      <c r="AN383" s="10"/>
    </row>
    <row r="384" spans="2:40" hidden="1" x14ac:dyDescent="0.35">
      <c r="B384" s="15"/>
      <c r="C384" s="127" t="str">
        <f>IFERROR(IF(LEN(INDEX(Database!C$9:C$501,ROW(Calc!A384)-ROW(Calc!$B$7)))=0,"",INDEX(Database!C$9:C$501,ROW(Calc!A384)-ROW(Calc!$B$7))),"")</f>
        <v/>
      </c>
      <c r="D384" s="70" t="str">
        <f>IFERROR(IF(LEN(INDEX(Database!D$9:D$501,ROW(Calc!B384)-ROW(Calc!$B$7)))=0,"",INDEX(Database!D$9:D$501,ROW(Calc!B384)-ROW(Calc!$B$7))),"")</f>
        <v/>
      </c>
      <c r="E384" s="124" t="str">
        <f>IFERROR(IF(LEN(INDEX(Database!G$9:G$501,ROW(Calc!D384)-ROW(Calc!$B$7)))=0,$AD$3,INDEX(Database!G$9:G$501,ROW(Calc!D384)-ROW(Calc!$B$7))),"")</f>
        <v>Not Set</v>
      </c>
      <c r="F384" s="124" t="str">
        <f>IFERROR(IF(LEN(INDEX(Database!F$9:F$501,ROW(Calc!E384)-ROW(Calc!$B$7)))=0,$AD$3,INDEX(Database!F$9:F$501,ROW(Calc!E384)-ROW(Calc!$B$7))),"")</f>
        <v>Not Set</v>
      </c>
      <c r="G384" s="128" t="str">
        <f>IFERROR(IF(LEN(INDEX(Database!H$9:H$501,ROW(Calc!F384)-ROW(Calc!$B$7)))=0,$AD$3,INDEX(Database!H$9:H$501,ROW(Calc!F384)-ROW(Calc!$B$7))),"")</f>
        <v>Not Set</v>
      </c>
      <c r="H384" s="128" t="str">
        <f>IFERROR(IF(LEN(INDEX(Database!I$9:I$501,ROW(Calc!G384)-ROW(Calc!$B$7)))=0,$AD$3,INDEX(Database!I$9:I$501,ROW(Calc!G384)-ROW(Calc!$B$7))),"")</f>
        <v>Not Set</v>
      </c>
      <c r="I384" s="128" t="str">
        <f>IFERROR(IF(LEN(INDEX(Database!J$9:J$501,ROW(Calc!H384)-ROW(Calc!$B$7)))=0,$AD$3,INDEX(Database!J$9:J$501,ROW(Calc!H384)-ROW(Calc!$B$7))),"")</f>
        <v>Not Set</v>
      </c>
      <c r="J384" s="128" t="str">
        <f t="shared" si="50"/>
        <v>Not Set</v>
      </c>
      <c r="K384" s="124" t="str">
        <f>IFERROR(IF(LEN(INDEX(Database!E$9:E$501,ROW(Calc!I384)-ROW(Calc!$B$7)))=0,"",INDEX(Database!E$9:E$501,ROW(Calc!I384)-ROW(Calc!$B$7))),"")</f>
        <v/>
      </c>
      <c r="L384" s="129" t="str">
        <f>IFERROR(IF(LEN(INDEX(Database!K$9:K$501,ROW(Calc!K384)-ROW(Calc!$B$7)))=0,$AD$3,INDEX(Database!K$9:K$501,ROW(Calc!K384)-ROW(Calc!$B$7))),"")</f>
        <v>Not Set</v>
      </c>
      <c r="M384" s="130" t="str">
        <f>IFERROR(IF(LEN(INDEX(Database!L$9:L$501,ROW(Calc!L384)-ROW(Calc!$B$7)))=0,$AD$3,INDEX(Database!L$9:L$501,ROW(Calc!L384)-ROW(Calc!$B$7))),"")</f>
        <v>Not Set</v>
      </c>
      <c r="N384" s="131" t="str">
        <f>IFERROR(IF(LEN(INDEX(Database!M$9:M$501,ROW(Calc!M384)-ROW(Calc!$B$7)))=0,"",INDEX(Database!M$9:M$501,ROW(Calc!M384)-ROW(Calc!$B$7))),"")</f>
        <v/>
      </c>
      <c r="O384" s="132" t="str">
        <f t="shared" si="54"/>
        <v/>
      </c>
      <c r="P384" s="125" t="str">
        <f t="shared" si="51"/>
        <v>Not Set</v>
      </c>
      <c r="Q384" s="125" t="str">
        <f t="shared" si="52"/>
        <v>Not Set</v>
      </c>
      <c r="R384" s="125" t="str">
        <f>IFERROR(IF(G384=$AD$3,$AD$3,INDEX(Kanban_Helper!$C$317:$C$328,MATCH(MONTH(G384),Kanban_Helper!$B$317:$B$328,0))&amp;" - "&amp;YEAR(G384)),"$AD$3")</f>
        <v>Not Set</v>
      </c>
      <c r="S384" s="125" t="str">
        <f>IFERROR(IF(I384=$AD$3,$AD$3,INDEX(Kanban_Helper!$C$317:$C$328,MATCH(MONTH(I384),Kanban_Helper!$B$317:$B$328,0))&amp;" - "&amp;YEAR(I384)),$AD$3)</f>
        <v>Not Set</v>
      </c>
      <c r="T384" s="125" t="str">
        <f t="shared" ca="1" si="55"/>
        <v/>
      </c>
      <c r="U384" s="125" t="str">
        <f t="shared" ca="1" si="56"/>
        <v/>
      </c>
      <c r="V384" s="125" t="str">
        <f t="shared" si="53"/>
        <v>Not Set</v>
      </c>
      <c r="W384" s="126" t="str">
        <f t="shared" si="57"/>
        <v/>
      </c>
      <c r="X384" s="126" t="str">
        <f t="shared" si="58"/>
        <v/>
      </c>
      <c r="Y384" s="125" t="str">
        <f>IFERROR(IF(LEN(D384)=0,"",IF(SUBTOTAL(3,E384:E384)=0,MIN($Y$7:Y383)-1,SUBTOTAL(3,$E$8:E384))),"")</f>
        <v/>
      </c>
      <c r="Z384" s="17"/>
      <c r="AA384" s="10"/>
      <c r="AB384" s="10"/>
      <c r="AC384" s="10"/>
      <c r="AD384" s="10"/>
      <c r="AE384" s="10"/>
      <c r="AF384" s="10"/>
      <c r="AG384" s="10"/>
      <c r="AH384" s="10"/>
      <c r="AI384" s="10"/>
      <c r="AJ384" s="10"/>
      <c r="AK384" s="10"/>
      <c r="AL384" s="10"/>
      <c r="AM384" s="10"/>
      <c r="AN384" s="10"/>
    </row>
    <row r="385" spans="2:40" hidden="1" x14ac:dyDescent="0.35">
      <c r="B385" s="15"/>
      <c r="C385" s="127" t="str">
        <f>IFERROR(IF(LEN(INDEX(Database!C$9:C$501,ROW(Calc!A385)-ROW(Calc!$B$7)))=0,"",INDEX(Database!C$9:C$501,ROW(Calc!A385)-ROW(Calc!$B$7))),"")</f>
        <v/>
      </c>
      <c r="D385" s="70" t="str">
        <f>IFERROR(IF(LEN(INDEX(Database!D$9:D$501,ROW(Calc!B385)-ROW(Calc!$B$7)))=0,"",INDEX(Database!D$9:D$501,ROW(Calc!B385)-ROW(Calc!$B$7))),"")</f>
        <v/>
      </c>
      <c r="E385" s="124" t="str">
        <f>IFERROR(IF(LEN(INDEX(Database!G$9:G$501,ROW(Calc!D385)-ROW(Calc!$B$7)))=0,$AD$3,INDEX(Database!G$9:G$501,ROW(Calc!D385)-ROW(Calc!$B$7))),"")</f>
        <v>Not Set</v>
      </c>
      <c r="F385" s="124" t="str">
        <f>IFERROR(IF(LEN(INDEX(Database!F$9:F$501,ROW(Calc!E385)-ROW(Calc!$B$7)))=0,$AD$3,INDEX(Database!F$9:F$501,ROW(Calc!E385)-ROW(Calc!$B$7))),"")</f>
        <v>Not Set</v>
      </c>
      <c r="G385" s="128" t="str">
        <f>IFERROR(IF(LEN(INDEX(Database!H$9:H$501,ROW(Calc!F385)-ROW(Calc!$B$7)))=0,$AD$3,INDEX(Database!H$9:H$501,ROW(Calc!F385)-ROW(Calc!$B$7))),"")</f>
        <v>Not Set</v>
      </c>
      <c r="H385" s="128" t="str">
        <f>IFERROR(IF(LEN(INDEX(Database!I$9:I$501,ROW(Calc!G385)-ROW(Calc!$B$7)))=0,$AD$3,INDEX(Database!I$9:I$501,ROW(Calc!G385)-ROW(Calc!$B$7))),"")</f>
        <v>Not Set</v>
      </c>
      <c r="I385" s="128" t="str">
        <f>IFERROR(IF(LEN(INDEX(Database!J$9:J$501,ROW(Calc!H385)-ROW(Calc!$B$7)))=0,$AD$3,INDEX(Database!J$9:J$501,ROW(Calc!H385)-ROW(Calc!$B$7))),"")</f>
        <v>Not Set</v>
      </c>
      <c r="J385" s="128" t="str">
        <f t="shared" si="50"/>
        <v>Not Set</v>
      </c>
      <c r="K385" s="124" t="str">
        <f>IFERROR(IF(LEN(INDEX(Database!E$9:E$501,ROW(Calc!I385)-ROW(Calc!$B$7)))=0,"",INDEX(Database!E$9:E$501,ROW(Calc!I385)-ROW(Calc!$B$7))),"")</f>
        <v/>
      </c>
      <c r="L385" s="129" t="str">
        <f>IFERROR(IF(LEN(INDEX(Database!K$9:K$501,ROW(Calc!K385)-ROW(Calc!$B$7)))=0,$AD$3,INDEX(Database!K$9:K$501,ROW(Calc!K385)-ROW(Calc!$B$7))),"")</f>
        <v>Not Set</v>
      </c>
      <c r="M385" s="130" t="str">
        <f>IFERROR(IF(LEN(INDEX(Database!L$9:L$501,ROW(Calc!L385)-ROW(Calc!$B$7)))=0,$AD$3,INDEX(Database!L$9:L$501,ROW(Calc!L385)-ROW(Calc!$B$7))),"")</f>
        <v>Not Set</v>
      </c>
      <c r="N385" s="131" t="str">
        <f>IFERROR(IF(LEN(INDEX(Database!M$9:M$501,ROW(Calc!M385)-ROW(Calc!$B$7)))=0,"",INDEX(Database!M$9:M$501,ROW(Calc!M385)-ROW(Calc!$B$7))),"")</f>
        <v/>
      </c>
      <c r="O385" s="132" t="str">
        <f t="shared" si="54"/>
        <v/>
      </c>
      <c r="P385" s="125" t="str">
        <f t="shared" si="51"/>
        <v>Not Set</v>
      </c>
      <c r="Q385" s="125" t="str">
        <f t="shared" si="52"/>
        <v>Not Set</v>
      </c>
      <c r="R385" s="125" t="str">
        <f>IFERROR(IF(G385=$AD$3,$AD$3,INDEX(Kanban_Helper!$C$317:$C$328,MATCH(MONTH(G385),Kanban_Helper!$B$317:$B$328,0))&amp;" - "&amp;YEAR(G385)),"$AD$3")</f>
        <v>Not Set</v>
      </c>
      <c r="S385" s="125" t="str">
        <f>IFERROR(IF(I385=$AD$3,$AD$3,INDEX(Kanban_Helper!$C$317:$C$328,MATCH(MONTH(I385),Kanban_Helper!$B$317:$B$328,0))&amp;" - "&amp;YEAR(I385)),$AD$3)</f>
        <v>Not Set</v>
      </c>
      <c r="T385" s="125" t="str">
        <f t="shared" ca="1" si="55"/>
        <v/>
      </c>
      <c r="U385" s="125" t="str">
        <f t="shared" ca="1" si="56"/>
        <v/>
      </c>
      <c r="V385" s="125" t="str">
        <f t="shared" si="53"/>
        <v>Not Set</v>
      </c>
      <c r="W385" s="126" t="str">
        <f t="shared" si="57"/>
        <v/>
      </c>
      <c r="X385" s="126" t="str">
        <f t="shared" si="58"/>
        <v/>
      </c>
      <c r="Y385" s="125" t="str">
        <f>IFERROR(IF(LEN(D385)=0,"",IF(SUBTOTAL(3,E385:E385)=0,MIN($Y$7:Y384)-1,SUBTOTAL(3,$E$8:E385))),"")</f>
        <v/>
      </c>
      <c r="Z385" s="17"/>
      <c r="AA385" s="10"/>
      <c r="AB385" s="10"/>
      <c r="AC385" s="10"/>
      <c r="AD385" s="10"/>
      <c r="AE385" s="10"/>
      <c r="AF385" s="10"/>
      <c r="AG385" s="10"/>
      <c r="AH385" s="10"/>
      <c r="AI385" s="10"/>
      <c r="AJ385" s="10"/>
      <c r="AK385" s="10"/>
      <c r="AL385" s="10"/>
      <c r="AM385" s="10"/>
      <c r="AN385" s="10"/>
    </row>
    <row r="386" spans="2:40" hidden="1" x14ac:dyDescent="0.35">
      <c r="B386" s="15"/>
      <c r="C386" s="127" t="str">
        <f>IFERROR(IF(LEN(INDEX(Database!C$9:C$501,ROW(Calc!A386)-ROW(Calc!$B$7)))=0,"",INDEX(Database!C$9:C$501,ROW(Calc!A386)-ROW(Calc!$B$7))),"")</f>
        <v/>
      </c>
      <c r="D386" s="70" t="str">
        <f>IFERROR(IF(LEN(INDEX(Database!D$9:D$501,ROW(Calc!B386)-ROW(Calc!$B$7)))=0,"",INDEX(Database!D$9:D$501,ROW(Calc!B386)-ROW(Calc!$B$7))),"")</f>
        <v/>
      </c>
      <c r="E386" s="124" t="str">
        <f>IFERROR(IF(LEN(INDEX(Database!G$9:G$501,ROW(Calc!D386)-ROW(Calc!$B$7)))=0,$AD$3,INDEX(Database!G$9:G$501,ROW(Calc!D386)-ROW(Calc!$B$7))),"")</f>
        <v>Not Set</v>
      </c>
      <c r="F386" s="124" t="str">
        <f>IFERROR(IF(LEN(INDEX(Database!F$9:F$501,ROW(Calc!E386)-ROW(Calc!$B$7)))=0,$AD$3,INDEX(Database!F$9:F$501,ROW(Calc!E386)-ROW(Calc!$B$7))),"")</f>
        <v>Not Set</v>
      </c>
      <c r="G386" s="128" t="str">
        <f>IFERROR(IF(LEN(INDEX(Database!H$9:H$501,ROW(Calc!F386)-ROW(Calc!$B$7)))=0,$AD$3,INDEX(Database!H$9:H$501,ROW(Calc!F386)-ROW(Calc!$B$7))),"")</f>
        <v>Not Set</v>
      </c>
      <c r="H386" s="128" t="str">
        <f>IFERROR(IF(LEN(INDEX(Database!I$9:I$501,ROW(Calc!G386)-ROW(Calc!$B$7)))=0,$AD$3,INDEX(Database!I$9:I$501,ROW(Calc!G386)-ROW(Calc!$B$7))),"")</f>
        <v>Not Set</v>
      </c>
      <c r="I386" s="128" t="str">
        <f>IFERROR(IF(LEN(INDEX(Database!J$9:J$501,ROW(Calc!H386)-ROW(Calc!$B$7)))=0,$AD$3,INDEX(Database!J$9:J$501,ROW(Calc!H386)-ROW(Calc!$B$7))),"")</f>
        <v>Not Set</v>
      </c>
      <c r="J386" s="128" t="str">
        <f t="shared" si="50"/>
        <v>Not Set</v>
      </c>
      <c r="K386" s="124" t="str">
        <f>IFERROR(IF(LEN(INDEX(Database!E$9:E$501,ROW(Calc!I386)-ROW(Calc!$B$7)))=0,"",INDEX(Database!E$9:E$501,ROW(Calc!I386)-ROW(Calc!$B$7))),"")</f>
        <v/>
      </c>
      <c r="L386" s="129" t="str">
        <f>IFERROR(IF(LEN(INDEX(Database!K$9:K$501,ROW(Calc!K386)-ROW(Calc!$B$7)))=0,$AD$3,INDEX(Database!K$9:K$501,ROW(Calc!K386)-ROW(Calc!$B$7))),"")</f>
        <v>Not Set</v>
      </c>
      <c r="M386" s="130" t="str">
        <f>IFERROR(IF(LEN(INDEX(Database!L$9:L$501,ROW(Calc!L386)-ROW(Calc!$B$7)))=0,$AD$3,INDEX(Database!L$9:L$501,ROW(Calc!L386)-ROW(Calc!$B$7))),"")</f>
        <v>Not Set</v>
      </c>
      <c r="N386" s="131" t="str">
        <f>IFERROR(IF(LEN(INDEX(Database!M$9:M$501,ROW(Calc!M386)-ROW(Calc!$B$7)))=0,"",INDEX(Database!M$9:M$501,ROW(Calc!M386)-ROW(Calc!$B$7))),"")</f>
        <v/>
      </c>
      <c r="O386" s="132" t="str">
        <f t="shared" si="54"/>
        <v/>
      </c>
      <c r="P386" s="125" t="str">
        <f t="shared" si="51"/>
        <v>Not Set</v>
      </c>
      <c r="Q386" s="125" t="str">
        <f t="shared" si="52"/>
        <v>Not Set</v>
      </c>
      <c r="R386" s="125" t="str">
        <f>IFERROR(IF(G386=$AD$3,$AD$3,INDEX(Kanban_Helper!$C$317:$C$328,MATCH(MONTH(G386),Kanban_Helper!$B$317:$B$328,0))&amp;" - "&amp;YEAR(G386)),"$AD$3")</f>
        <v>Not Set</v>
      </c>
      <c r="S386" s="125" t="str">
        <f>IFERROR(IF(I386=$AD$3,$AD$3,INDEX(Kanban_Helper!$C$317:$C$328,MATCH(MONTH(I386),Kanban_Helper!$B$317:$B$328,0))&amp;" - "&amp;YEAR(I386)),$AD$3)</f>
        <v>Not Set</v>
      </c>
      <c r="T386" s="125" t="str">
        <f t="shared" ca="1" si="55"/>
        <v/>
      </c>
      <c r="U386" s="125" t="str">
        <f t="shared" ca="1" si="56"/>
        <v/>
      </c>
      <c r="V386" s="125" t="str">
        <f t="shared" si="53"/>
        <v>Not Set</v>
      </c>
      <c r="W386" s="126" t="str">
        <f t="shared" si="57"/>
        <v/>
      </c>
      <c r="X386" s="126" t="str">
        <f t="shared" si="58"/>
        <v/>
      </c>
      <c r="Y386" s="125" t="str">
        <f>IFERROR(IF(LEN(D386)=0,"",IF(SUBTOTAL(3,E386:E386)=0,MIN($Y$7:Y385)-1,SUBTOTAL(3,$E$8:E386))),"")</f>
        <v/>
      </c>
      <c r="Z386" s="17"/>
      <c r="AA386" s="10"/>
      <c r="AB386" s="10"/>
      <c r="AC386" s="10"/>
      <c r="AD386" s="10"/>
      <c r="AE386" s="10"/>
      <c r="AF386" s="10"/>
      <c r="AG386" s="10"/>
      <c r="AH386" s="10"/>
      <c r="AI386" s="10"/>
      <c r="AJ386" s="10"/>
      <c r="AK386" s="10"/>
      <c r="AL386" s="10"/>
      <c r="AM386" s="10"/>
      <c r="AN386" s="10"/>
    </row>
    <row r="387" spans="2:40" hidden="1" x14ac:dyDescent="0.35">
      <c r="B387" s="15"/>
      <c r="C387" s="127" t="str">
        <f>IFERROR(IF(LEN(INDEX(Database!C$9:C$501,ROW(Calc!A387)-ROW(Calc!$B$7)))=0,"",INDEX(Database!C$9:C$501,ROW(Calc!A387)-ROW(Calc!$B$7))),"")</f>
        <v/>
      </c>
      <c r="D387" s="70" t="str">
        <f>IFERROR(IF(LEN(INDEX(Database!D$9:D$501,ROW(Calc!B387)-ROW(Calc!$B$7)))=0,"",INDEX(Database!D$9:D$501,ROW(Calc!B387)-ROW(Calc!$B$7))),"")</f>
        <v/>
      </c>
      <c r="E387" s="124" t="str">
        <f>IFERROR(IF(LEN(INDEX(Database!G$9:G$501,ROW(Calc!D387)-ROW(Calc!$B$7)))=0,$AD$3,INDEX(Database!G$9:G$501,ROW(Calc!D387)-ROW(Calc!$B$7))),"")</f>
        <v>Not Set</v>
      </c>
      <c r="F387" s="124" t="str">
        <f>IFERROR(IF(LEN(INDEX(Database!F$9:F$501,ROW(Calc!E387)-ROW(Calc!$B$7)))=0,$AD$3,INDEX(Database!F$9:F$501,ROW(Calc!E387)-ROW(Calc!$B$7))),"")</f>
        <v>Not Set</v>
      </c>
      <c r="G387" s="128" t="str">
        <f>IFERROR(IF(LEN(INDEX(Database!H$9:H$501,ROW(Calc!F387)-ROW(Calc!$B$7)))=0,$AD$3,INDEX(Database!H$9:H$501,ROW(Calc!F387)-ROW(Calc!$B$7))),"")</f>
        <v>Not Set</v>
      </c>
      <c r="H387" s="128" t="str">
        <f>IFERROR(IF(LEN(INDEX(Database!I$9:I$501,ROW(Calc!G387)-ROW(Calc!$B$7)))=0,$AD$3,INDEX(Database!I$9:I$501,ROW(Calc!G387)-ROW(Calc!$B$7))),"")</f>
        <v>Not Set</v>
      </c>
      <c r="I387" s="128" t="str">
        <f>IFERROR(IF(LEN(INDEX(Database!J$9:J$501,ROW(Calc!H387)-ROW(Calc!$B$7)))=0,$AD$3,INDEX(Database!J$9:J$501,ROW(Calc!H387)-ROW(Calc!$B$7))),"")</f>
        <v>Not Set</v>
      </c>
      <c r="J387" s="128" t="str">
        <f t="shared" si="50"/>
        <v>Not Set</v>
      </c>
      <c r="K387" s="124" t="str">
        <f>IFERROR(IF(LEN(INDEX(Database!E$9:E$501,ROW(Calc!I387)-ROW(Calc!$B$7)))=0,"",INDEX(Database!E$9:E$501,ROW(Calc!I387)-ROW(Calc!$B$7))),"")</f>
        <v/>
      </c>
      <c r="L387" s="129" t="str">
        <f>IFERROR(IF(LEN(INDEX(Database!K$9:K$501,ROW(Calc!K387)-ROW(Calc!$B$7)))=0,$AD$3,INDEX(Database!K$9:K$501,ROW(Calc!K387)-ROW(Calc!$B$7))),"")</f>
        <v>Not Set</v>
      </c>
      <c r="M387" s="130" t="str">
        <f>IFERROR(IF(LEN(INDEX(Database!L$9:L$501,ROW(Calc!L387)-ROW(Calc!$B$7)))=0,$AD$3,INDEX(Database!L$9:L$501,ROW(Calc!L387)-ROW(Calc!$B$7))),"")</f>
        <v>Not Set</v>
      </c>
      <c r="N387" s="131" t="str">
        <f>IFERROR(IF(LEN(INDEX(Database!M$9:M$501,ROW(Calc!M387)-ROW(Calc!$B$7)))=0,"",INDEX(Database!M$9:M$501,ROW(Calc!M387)-ROW(Calc!$B$7))),"")</f>
        <v/>
      </c>
      <c r="O387" s="132" t="str">
        <f t="shared" si="54"/>
        <v/>
      </c>
      <c r="P387" s="125" t="str">
        <f t="shared" si="51"/>
        <v>Not Set</v>
      </c>
      <c r="Q387" s="125" t="str">
        <f t="shared" si="52"/>
        <v>Not Set</v>
      </c>
      <c r="R387" s="125" t="str">
        <f>IFERROR(IF(G387=$AD$3,$AD$3,INDEX(Kanban_Helper!$C$317:$C$328,MATCH(MONTH(G387),Kanban_Helper!$B$317:$B$328,0))&amp;" - "&amp;YEAR(G387)),"$AD$3")</f>
        <v>Not Set</v>
      </c>
      <c r="S387" s="125" t="str">
        <f>IFERROR(IF(I387=$AD$3,$AD$3,INDEX(Kanban_Helper!$C$317:$C$328,MATCH(MONTH(I387),Kanban_Helper!$B$317:$B$328,0))&amp;" - "&amp;YEAR(I387)),$AD$3)</f>
        <v>Not Set</v>
      </c>
      <c r="T387" s="125" t="str">
        <f t="shared" ca="1" si="55"/>
        <v/>
      </c>
      <c r="U387" s="125" t="str">
        <f t="shared" ca="1" si="56"/>
        <v/>
      </c>
      <c r="V387" s="125" t="str">
        <f t="shared" si="53"/>
        <v>Not Set</v>
      </c>
      <c r="W387" s="126" t="str">
        <f t="shared" si="57"/>
        <v/>
      </c>
      <c r="X387" s="126" t="str">
        <f t="shared" si="58"/>
        <v/>
      </c>
      <c r="Y387" s="125" t="str">
        <f>IFERROR(IF(LEN(D387)=0,"",IF(SUBTOTAL(3,E387:E387)=0,MIN($Y$7:Y386)-1,SUBTOTAL(3,$E$8:E387))),"")</f>
        <v/>
      </c>
      <c r="Z387" s="17"/>
      <c r="AA387" s="10"/>
      <c r="AB387" s="10"/>
      <c r="AC387" s="10"/>
      <c r="AD387" s="10"/>
      <c r="AE387" s="10"/>
      <c r="AF387" s="10"/>
      <c r="AG387" s="10"/>
      <c r="AH387" s="10"/>
      <c r="AI387" s="10"/>
      <c r="AJ387" s="10"/>
      <c r="AK387" s="10"/>
      <c r="AL387" s="10"/>
      <c r="AM387" s="10"/>
      <c r="AN387" s="10"/>
    </row>
    <row r="388" spans="2:40" hidden="1" x14ac:dyDescent="0.35">
      <c r="B388" s="15"/>
      <c r="C388" s="127" t="str">
        <f>IFERROR(IF(LEN(INDEX(Database!C$9:C$501,ROW(Calc!A388)-ROW(Calc!$B$7)))=0,"",INDEX(Database!C$9:C$501,ROW(Calc!A388)-ROW(Calc!$B$7))),"")</f>
        <v/>
      </c>
      <c r="D388" s="70" t="str">
        <f>IFERROR(IF(LEN(INDEX(Database!D$9:D$501,ROW(Calc!B388)-ROW(Calc!$B$7)))=0,"",INDEX(Database!D$9:D$501,ROW(Calc!B388)-ROW(Calc!$B$7))),"")</f>
        <v/>
      </c>
      <c r="E388" s="124" t="str">
        <f>IFERROR(IF(LEN(INDEX(Database!G$9:G$501,ROW(Calc!D388)-ROW(Calc!$B$7)))=0,$AD$3,INDEX(Database!G$9:G$501,ROW(Calc!D388)-ROW(Calc!$B$7))),"")</f>
        <v>Not Set</v>
      </c>
      <c r="F388" s="124" t="str">
        <f>IFERROR(IF(LEN(INDEX(Database!F$9:F$501,ROW(Calc!E388)-ROW(Calc!$B$7)))=0,$AD$3,INDEX(Database!F$9:F$501,ROW(Calc!E388)-ROW(Calc!$B$7))),"")</f>
        <v>Not Set</v>
      </c>
      <c r="G388" s="128" t="str">
        <f>IFERROR(IF(LEN(INDEX(Database!H$9:H$501,ROW(Calc!F388)-ROW(Calc!$B$7)))=0,$AD$3,INDEX(Database!H$9:H$501,ROW(Calc!F388)-ROW(Calc!$B$7))),"")</f>
        <v>Not Set</v>
      </c>
      <c r="H388" s="128" t="str">
        <f>IFERROR(IF(LEN(INDEX(Database!I$9:I$501,ROW(Calc!G388)-ROW(Calc!$B$7)))=0,$AD$3,INDEX(Database!I$9:I$501,ROW(Calc!G388)-ROW(Calc!$B$7))),"")</f>
        <v>Not Set</v>
      </c>
      <c r="I388" s="128" t="str">
        <f>IFERROR(IF(LEN(INDEX(Database!J$9:J$501,ROW(Calc!H388)-ROW(Calc!$B$7)))=0,$AD$3,INDEX(Database!J$9:J$501,ROW(Calc!H388)-ROW(Calc!$B$7))),"")</f>
        <v>Not Set</v>
      </c>
      <c r="J388" s="128" t="str">
        <f t="shared" si="50"/>
        <v>Not Set</v>
      </c>
      <c r="K388" s="124" t="str">
        <f>IFERROR(IF(LEN(INDEX(Database!E$9:E$501,ROW(Calc!I388)-ROW(Calc!$B$7)))=0,"",INDEX(Database!E$9:E$501,ROW(Calc!I388)-ROW(Calc!$B$7))),"")</f>
        <v/>
      </c>
      <c r="L388" s="129" t="str">
        <f>IFERROR(IF(LEN(INDEX(Database!K$9:K$501,ROW(Calc!K388)-ROW(Calc!$B$7)))=0,$AD$3,INDEX(Database!K$9:K$501,ROW(Calc!K388)-ROW(Calc!$B$7))),"")</f>
        <v>Not Set</v>
      </c>
      <c r="M388" s="130" t="str">
        <f>IFERROR(IF(LEN(INDEX(Database!L$9:L$501,ROW(Calc!L388)-ROW(Calc!$B$7)))=0,$AD$3,INDEX(Database!L$9:L$501,ROW(Calc!L388)-ROW(Calc!$B$7))),"")</f>
        <v>Not Set</v>
      </c>
      <c r="N388" s="131" t="str">
        <f>IFERROR(IF(LEN(INDEX(Database!M$9:M$501,ROW(Calc!M388)-ROW(Calc!$B$7)))=0,"",INDEX(Database!M$9:M$501,ROW(Calc!M388)-ROW(Calc!$B$7))),"")</f>
        <v/>
      </c>
      <c r="O388" s="132" t="str">
        <f t="shared" si="54"/>
        <v/>
      </c>
      <c r="P388" s="125" t="str">
        <f t="shared" si="51"/>
        <v>Not Set</v>
      </c>
      <c r="Q388" s="125" t="str">
        <f t="shared" si="52"/>
        <v>Not Set</v>
      </c>
      <c r="R388" s="125" t="str">
        <f>IFERROR(IF(G388=$AD$3,$AD$3,INDEX(Kanban_Helper!$C$317:$C$328,MATCH(MONTH(G388),Kanban_Helper!$B$317:$B$328,0))&amp;" - "&amp;YEAR(G388)),"$AD$3")</f>
        <v>Not Set</v>
      </c>
      <c r="S388" s="125" t="str">
        <f>IFERROR(IF(I388=$AD$3,$AD$3,INDEX(Kanban_Helper!$C$317:$C$328,MATCH(MONTH(I388),Kanban_Helper!$B$317:$B$328,0))&amp;" - "&amp;YEAR(I388)),$AD$3)</f>
        <v>Not Set</v>
      </c>
      <c r="T388" s="125" t="str">
        <f t="shared" ca="1" si="55"/>
        <v/>
      </c>
      <c r="U388" s="125" t="str">
        <f t="shared" ca="1" si="56"/>
        <v/>
      </c>
      <c r="V388" s="125" t="str">
        <f t="shared" si="53"/>
        <v>Not Set</v>
      </c>
      <c r="W388" s="126" t="str">
        <f t="shared" si="57"/>
        <v/>
      </c>
      <c r="X388" s="126" t="str">
        <f t="shared" si="58"/>
        <v/>
      </c>
      <c r="Y388" s="125" t="str">
        <f>IFERROR(IF(LEN(D388)=0,"",IF(SUBTOTAL(3,E388:E388)=0,MIN($Y$7:Y387)-1,SUBTOTAL(3,$E$8:E388))),"")</f>
        <v/>
      </c>
      <c r="Z388" s="17"/>
      <c r="AA388" s="10"/>
      <c r="AB388" s="10"/>
      <c r="AC388" s="10"/>
      <c r="AD388" s="10"/>
      <c r="AE388" s="10"/>
      <c r="AF388" s="10"/>
      <c r="AG388" s="10"/>
      <c r="AH388" s="10"/>
      <c r="AI388" s="10"/>
      <c r="AJ388" s="10"/>
      <c r="AK388" s="10"/>
      <c r="AL388" s="10"/>
      <c r="AM388" s="10"/>
      <c r="AN388" s="10"/>
    </row>
    <row r="389" spans="2:40" hidden="1" x14ac:dyDescent="0.35">
      <c r="B389" s="15"/>
      <c r="C389" s="127" t="str">
        <f>IFERROR(IF(LEN(INDEX(Database!C$9:C$501,ROW(Calc!A389)-ROW(Calc!$B$7)))=0,"",INDEX(Database!C$9:C$501,ROW(Calc!A389)-ROW(Calc!$B$7))),"")</f>
        <v/>
      </c>
      <c r="D389" s="70" t="str">
        <f>IFERROR(IF(LEN(INDEX(Database!D$9:D$501,ROW(Calc!B389)-ROW(Calc!$B$7)))=0,"",INDEX(Database!D$9:D$501,ROW(Calc!B389)-ROW(Calc!$B$7))),"")</f>
        <v/>
      </c>
      <c r="E389" s="124" t="str">
        <f>IFERROR(IF(LEN(INDEX(Database!G$9:G$501,ROW(Calc!D389)-ROW(Calc!$B$7)))=0,$AD$3,INDEX(Database!G$9:G$501,ROW(Calc!D389)-ROW(Calc!$B$7))),"")</f>
        <v>Not Set</v>
      </c>
      <c r="F389" s="124" t="str">
        <f>IFERROR(IF(LEN(INDEX(Database!F$9:F$501,ROW(Calc!E389)-ROW(Calc!$B$7)))=0,$AD$3,INDEX(Database!F$9:F$501,ROW(Calc!E389)-ROW(Calc!$B$7))),"")</f>
        <v>Not Set</v>
      </c>
      <c r="G389" s="128" t="str">
        <f>IFERROR(IF(LEN(INDEX(Database!H$9:H$501,ROW(Calc!F389)-ROW(Calc!$B$7)))=0,$AD$3,INDEX(Database!H$9:H$501,ROW(Calc!F389)-ROW(Calc!$B$7))),"")</f>
        <v>Not Set</v>
      </c>
      <c r="H389" s="128" t="str">
        <f>IFERROR(IF(LEN(INDEX(Database!I$9:I$501,ROW(Calc!G389)-ROW(Calc!$B$7)))=0,$AD$3,INDEX(Database!I$9:I$501,ROW(Calc!G389)-ROW(Calc!$B$7))),"")</f>
        <v>Not Set</v>
      </c>
      <c r="I389" s="128" t="str">
        <f>IFERROR(IF(LEN(INDEX(Database!J$9:J$501,ROW(Calc!H389)-ROW(Calc!$B$7)))=0,$AD$3,INDEX(Database!J$9:J$501,ROW(Calc!H389)-ROW(Calc!$B$7))),"")</f>
        <v>Not Set</v>
      </c>
      <c r="J389" s="128" t="str">
        <f t="shared" si="50"/>
        <v>Not Set</v>
      </c>
      <c r="K389" s="124" t="str">
        <f>IFERROR(IF(LEN(INDEX(Database!E$9:E$501,ROW(Calc!I389)-ROW(Calc!$B$7)))=0,"",INDEX(Database!E$9:E$501,ROW(Calc!I389)-ROW(Calc!$B$7))),"")</f>
        <v/>
      </c>
      <c r="L389" s="129" t="str">
        <f>IFERROR(IF(LEN(INDEX(Database!K$9:K$501,ROW(Calc!K389)-ROW(Calc!$B$7)))=0,$AD$3,INDEX(Database!K$9:K$501,ROW(Calc!K389)-ROW(Calc!$B$7))),"")</f>
        <v>Not Set</v>
      </c>
      <c r="M389" s="130" t="str">
        <f>IFERROR(IF(LEN(INDEX(Database!L$9:L$501,ROW(Calc!L389)-ROW(Calc!$B$7)))=0,$AD$3,INDEX(Database!L$9:L$501,ROW(Calc!L389)-ROW(Calc!$B$7))),"")</f>
        <v>Not Set</v>
      </c>
      <c r="N389" s="131" t="str">
        <f>IFERROR(IF(LEN(INDEX(Database!M$9:M$501,ROW(Calc!M389)-ROW(Calc!$B$7)))=0,"",INDEX(Database!M$9:M$501,ROW(Calc!M389)-ROW(Calc!$B$7))),"")</f>
        <v/>
      </c>
      <c r="O389" s="132" t="str">
        <f t="shared" si="54"/>
        <v/>
      </c>
      <c r="P389" s="125" t="str">
        <f t="shared" si="51"/>
        <v>Not Set</v>
      </c>
      <c r="Q389" s="125" t="str">
        <f t="shared" si="52"/>
        <v>Not Set</v>
      </c>
      <c r="R389" s="125" t="str">
        <f>IFERROR(IF(G389=$AD$3,$AD$3,INDEX(Kanban_Helper!$C$317:$C$328,MATCH(MONTH(G389),Kanban_Helper!$B$317:$B$328,0))&amp;" - "&amp;YEAR(G389)),"$AD$3")</f>
        <v>Not Set</v>
      </c>
      <c r="S389" s="125" t="str">
        <f>IFERROR(IF(I389=$AD$3,$AD$3,INDEX(Kanban_Helper!$C$317:$C$328,MATCH(MONTH(I389),Kanban_Helper!$B$317:$B$328,0))&amp;" - "&amp;YEAR(I389)),$AD$3)</f>
        <v>Not Set</v>
      </c>
      <c r="T389" s="125" t="str">
        <f t="shared" ca="1" si="55"/>
        <v/>
      </c>
      <c r="U389" s="125" t="str">
        <f t="shared" ca="1" si="56"/>
        <v/>
      </c>
      <c r="V389" s="125" t="str">
        <f t="shared" si="53"/>
        <v>Not Set</v>
      </c>
      <c r="W389" s="126" t="str">
        <f t="shared" si="57"/>
        <v/>
      </c>
      <c r="X389" s="126" t="str">
        <f t="shared" si="58"/>
        <v/>
      </c>
      <c r="Y389" s="125" t="str">
        <f>IFERROR(IF(LEN(D389)=0,"",IF(SUBTOTAL(3,E389:E389)=0,MIN($Y$7:Y388)-1,SUBTOTAL(3,$E$8:E389))),"")</f>
        <v/>
      </c>
      <c r="Z389" s="17"/>
      <c r="AA389" s="10"/>
      <c r="AB389" s="10"/>
      <c r="AC389" s="10"/>
      <c r="AD389" s="10"/>
      <c r="AE389" s="10"/>
      <c r="AF389" s="10"/>
      <c r="AG389" s="10"/>
      <c r="AH389" s="10"/>
      <c r="AI389" s="10"/>
      <c r="AJ389" s="10"/>
      <c r="AK389" s="10"/>
      <c r="AL389" s="10"/>
      <c r="AM389" s="10"/>
      <c r="AN389" s="10"/>
    </row>
    <row r="390" spans="2:40" hidden="1" x14ac:dyDescent="0.35">
      <c r="B390" s="15"/>
      <c r="C390" s="127" t="str">
        <f>IFERROR(IF(LEN(INDEX(Database!C$9:C$501,ROW(Calc!A390)-ROW(Calc!$B$7)))=0,"",INDEX(Database!C$9:C$501,ROW(Calc!A390)-ROW(Calc!$B$7))),"")</f>
        <v/>
      </c>
      <c r="D390" s="70" t="str">
        <f>IFERROR(IF(LEN(INDEX(Database!D$9:D$501,ROW(Calc!B390)-ROW(Calc!$B$7)))=0,"",INDEX(Database!D$9:D$501,ROW(Calc!B390)-ROW(Calc!$B$7))),"")</f>
        <v/>
      </c>
      <c r="E390" s="124" t="str">
        <f>IFERROR(IF(LEN(INDEX(Database!G$9:G$501,ROW(Calc!D390)-ROW(Calc!$B$7)))=0,$AD$3,INDEX(Database!G$9:G$501,ROW(Calc!D390)-ROW(Calc!$B$7))),"")</f>
        <v>Not Set</v>
      </c>
      <c r="F390" s="124" t="str">
        <f>IFERROR(IF(LEN(INDEX(Database!F$9:F$501,ROW(Calc!E390)-ROW(Calc!$B$7)))=0,$AD$3,INDEX(Database!F$9:F$501,ROW(Calc!E390)-ROW(Calc!$B$7))),"")</f>
        <v>Not Set</v>
      </c>
      <c r="G390" s="128" t="str">
        <f>IFERROR(IF(LEN(INDEX(Database!H$9:H$501,ROW(Calc!F390)-ROW(Calc!$B$7)))=0,$AD$3,INDEX(Database!H$9:H$501,ROW(Calc!F390)-ROW(Calc!$B$7))),"")</f>
        <v>Not Set</v>
      </c>
      <c r="H390" s="128" t="str">
        <f>IFERROR(IF(LEN(INDEX(Database!I$9:I$501,ROW(Calc!G390)-ROW(Calc!$B$7)))=0,$AD$3,INDEX(Database!I$9:I$501,ROW(Calc!G390)-ROW(Calc!$B$7))),"")</f>
        <v>Not Set</v>
      </c>
      <c r="I390" s="128" t="str">
        <f>IFERROR(IF(LEN(INDEX(Database!J$9:J$501,ROW(Calc!H390)-ROW(Calc!$B$7)))=0,$AD$3,INDEX(Database!J$9:J$501,ROW(Calc!H390)-ROW(Calc!$B$7))),"")</f>
        <v>Not Set</v>
      </c>
      <c r="J390" s="128" t="str">
        <f t="shared" si="50"/>
        <v>Not Set</v>
      </c>
      <c r="K390" s="124" t="str">
        <f>IFERROR(IF(LEN(INDEX(Database!E$9:E$501,ROW(Calc!I390)-ROW(Calc!$B$7)))=0,"",INDEX(Database!E$9:E$501,ROW(Calc!I390)-ROW(Calc!$B$7))),"")</f>
        <v/>
      </c>
      <c r="L390" s="129" t="str">
        <f>IFERROR(IF(LEN(INDEX(Database!K$9:K$501,ROW(Calc!K390)-ROW(Calc!$B$7)))=0,$AD$3,INDEX(Database!K$9:K$501,ROW(Calc!K390)-ROW(Calc!$B$7))),"")</f>
        <v>Not Set</v>
      </c>
      <c r="M390" s="130" t="str">
        <f>IFERROR(IF(LEN(INDEX(Database!L$9:L$501,ROW(Calc!L390)-ROW(Calc!$B$7)))=0,$AD$3,INDEX(Database!L$9:L$501,ROW(Calc!L390)-ROW(Calc!$B$7))),"")</f>
        <v>Not Set</v>
      </c>
      <c r="N390" s="131" t="str">
        <f>IFERROR(IF(LEN(INDEX(Database!M$9:M$501,ROW(Calc!M390)-ROW(Calc!$B$7)))=0,"",INDEX(Database!M$9:M$501,ROW(Calc!M390)-ROW(Calc!$B$7))),"")</f>
        <v/>
      </c>
      <c r="O390" s="132" t="str">
        <f t="shared" si="54"/>
        <v/>
      </c>
      <c r="P390" s="125" t="str">
        <f t="shared" si="51"/>
        <v>Not Set</v>
      </c>
      <c r="Q390" s="125" t="str">
        <f t="shared" si="52"/>
        <v>Not Set</v>
      </c>
      <c r="R390" s="125" t="str">
        <f>IFERROR(IF(G390=$AD$3,$AD$3,INDEX(Kanban_Helper!$C$317:$C$328,MATCH(MONTH(G390),Kanban_Helper!$B$317:$B$328,0))&amp;" - "&amp;YEAR(G390)),"$AD$3")</f>
        <v>Not Set</v>
      </c>
      <c r="S390" s="125" t="str">
        <f>IFERROR(IF(I390=$AD$3,$AD$3,INDEX(Kanban_Helper!$C$317:$C$328,MATCH(MONTH(I390),Kanban_Helper!$B$317:$B$328,0))&amp;" - "&amp;YEAR(I390)),$AD$3)</f>
        <v>Not Set</v>
      </c>
      <c r="T390" s="125" t="str">
        <f t="shared" ca="1" si="55"/>
        <v/>
      </c>
      <c r="U390" s="125" t="str">
        <f t="shared" ca="1" si="56"/>
        <v/>
      </c>
      <c r="V390" s="125" t="str">
        <f t="shared" si="53"/>
        <v>Not Set</v>
      </c>
      <c r="W390" s="126" t="str">
        <f t="shared" si="57"/>
        <v/>
      </c>
      <c r="X390" s="126" t="str">
        <f t="shared" si="58"/>
        <v/>
      </c>
      <c r="Y390" s="125" t="str">
        <f>IFERROR(IF(LEN(D390)=0,"",IF(SUBTOTAL(3,E390:E390)=0,MIN($Y$7:Y389)-1,SUBTOTAL(3,$E$8:E390))),"")</f>
        <v/>
      </c>
      <c r="Z390" s="17"/>
      <c r="AA390" s="10"/>
      <c r="AB390" s="10"/>
      <c r="AC390" s="10"/>
      <c r="AD390" s="10"/>
      <c r="AE390" s="10"/>
      <c r="AF390" s="10"/>
      <c r="AG390" s="10"/>
      <c r="AH390" s="10"/>
      <c r="AI390" s="10"/>
      <c r="AJ390" s="10"/>
      <c r="AK390" s="10"/>
      <c r="AL390" s="10"/>
      <c r="AM390" s="10"/>
      <c r="AN390" s="10"/>
    </row>
    <row r="391" spans="2:40" hidden="1" x14ac:dyDescent="0.35">
      <c r="B391" s="15"/>
      <c r="C391" s="127" t="str">
        <f>IFERROR(IF(LEN(INDEX(Database!C$9:C$501,ROW(Calc!A391)-ROW(Calc!$B$7)))=0,"",INDEX(Database!C$9:C$501,ROW(Calc!A391)-ROW(Calc!$B$7))),"")</f>
        <v/>
      </c>
      <c r="D391" s="70" t="str">
        <f>IFERROR(IF(LEN(INDEX(Database!D$9:D$501,ROW(Calc!B391)-ROW(Calc!$B$7)))=0,"",INDEX(Database!D$9:D$501,ROW(Calc!B391)-ROW(Calc!$B$7))),"")</f>
        <v/>
      </c>
      <c r="E391" s="124" t="str">
        <f>IFERROR(IF(LEN(INDEX(Database!G$9:G$501,ROW(Calc!D391)-ROW(Calc!$B$7)))=0,$AD$3,INDEX(Database!G$9:G$501,ROW(Calc!D391)-ROW(Calc!$B$7))),"")</f>
        <v>Not Set</v>
      </c>
      <c r="F391" s="124" t="str">
        <f>IFERROR(IF(LEN(INDEX(Database!F$9:F$501,ROW(Calc!E391)-ROW(Calc!$B$7)))=0,$AD$3,INDEX(Database!F$9:F$501,ROW(Calc!E391)-ROW(Calc!$B$7))),"")</f>
        <v>Not Set</v>
      </c>
      <c r="G391" s="128" t="str">
        <f>IFERROR(IF(LEN(INDEX(Database!H$9:H$501,ROW(Calc!F391)-ROW(Calc!$B$7)))=0,$AD$3,INDEX(Database!H$9:H$501,ROW(Calc!F391)-ROW(Calc!$B$7))),"")</f>
        <v>Not Set</v>
      </c>
      <c r="H391" s="128" t="str">
        <f>IFERROR(IF(LEN(INDEX(Database!I$9:I$501,ROW(Calc!G391)-ROW(Calc!$B$7)))=0,$AD$3,INDEX(Database!I$9:I$501,ROW(Calc!G391)-ROW(Calc!$B$7))),"")</f>
        <v>Not Set</v>
      </c>
      <c r="I391" s="128" t="str">
        <f>IFERROR(IF(LEN(INDEX(Database!J$9:J$501,ROW(Calc!H391)-ROW(Calc!$B$7)))=0,$AD$3,INDEX(Database!J$9:J$501,ROW(Calc!H391)-ROW(Calc!$B$7))),"")</f>
        <v>Not Set</v>
      </c>
      <c r="J391" s="128" t="str">
        <f t="shared" si="50"/>
        <v>Not Set</v>
      </c>
      <c r="K391" s="124" t="str">
        <f>IFERROR(IF(LEN(INDEX(Database!E$9:E$501,ROW(Calc!I391)-ROW(Calc!$B$7)))=0,"",INDEX(Database!E$9:E$501,ROW(Calc!I391)-ROW(Calc!$B$7))),"")</f>
        <v/>
      </c>
      <c r="L391" s="129" t="str">
        <f>IFERROR(IF(LEN(INDEX(Database!K$9:K$501,ROW(Calc!K391)-ROW(Calc!$B$7)))=0,$AD$3,INDEX(Database!K$9:K$501,ROW(Calc!K391)-ROW(Calc!$B$7))),"")</f>
        <v>Not Set</v>
      </c>
      <c r="M391" s="130" t="str">
        <f>IFERROR(IF(LEN(INDEX(Database!L$9:L$501,ROW(Calc!L391)-ROW(Calc!$B$7)))=0,$AD$3,INDEX(Database!L$9:L$501,ROW(Calc!L391)-ROW(Calc!$B$7))),"")</f>
        <v>Not Set</v>
      </c>
      <c r="N391" s="131" t="str">
        <f>IFERROR(IF(LEN(INDEX(Database!M$9:M$501,ROW(Calc!M391)-ROW(Calc!$B$7)))=0,"",INDEX(Database!M$9:M$501,ROW(Calc!M391)-ROW(Calc!$B$7))),"")</f>
        <v/>
      </c>
      <c r="O391" s="132" t="str">
        <f t="shared" si="54"/>
        <v/>
      </c>
      <c r="P391" s="125" t="str">
        <f t="shared" si="51"/>
        <v>Not Set</v>
      </c>
      <c r="Q391" s="125" t="str">
        <f t="shared" si="52"/>
        <v>Not Set</v>
      </c>
      <c r="R391" s="125" t="str">
        <f>IFERROR(IF(G391=$AD$3,$AD$3,INDEX(Kanban_Helper!$C$317:$C$328,MATCH(MONTH(G391),Kanban_Helper!$B$317:$B$328,0))&amp;" - "&amp;YEAR(G391)),"$AD$3")</f>
        <v>Not Set</v>
      </c>
      <c r="S391" s="125" t="str">
        <f>IFERROR(IF(I391=$AD$3,$AD$3,INDEX(Kanban_Helper!$C$317:$C$328,MATCH(MONTH(I391),Kanban_Helper!$B$317:$B$328,0))&amp;" - "&amp;YEAR(I391)),$AD$3)</f>
        <v>Not Set</v>
      </c>
      <c r="T391" s="125" t="str">
        <f t="shared" ca="1" si="55"/>
        <v/>
      </c>
      <c r="U391" s="125" t="str">
        <f t="shared" ca="1" si="56"/>
        <v/>
      </c>
      <c r="V391" s="125" t="str">
        <f t="shared" si="53"/>
        <v>Not Set</v>
      </c>
      <c r="W391" s="126" t="str">
        <f t="shared" si="57"/>
        <v/>
      </c>
      <c r="X391" s="126" t="str">
        <f t="shared" si="58"/>
        <v/>
      </c>
      <c r="Y391" s="125" t="str">
        <f>IFERROR(IF(LEN(D391)=0,"",IF(SUBTOTAL(3,E391:E391)=0,MIN($Y$7:Y390)-1,SUBTOTAL(3,$E$8:E391))),"")</f>
        <v/>
      </c>
      <c r="Z391" s="17"/>
      <c r="AA391" s="10"/>
      <c r="AB391" s="10"/>
      <c r="AC391" s="10"/>
      <c r="AD391" s="10"/>
      <c r="AE391" s="10"/>
      <c r="AF391" s="10"/>
      <c r="AG391" s="10"/>
      <c r="AH391" s="10"/>
      <c r="AI391" s="10"/>
      <c r="AJ391" s="10"/>
      <c r="AK391" s="10"/>
      <c r="AL391" s="10"/>
      <c r="AM391" s="10"/>
      <c r="AN391" s="10"/>
    </row>
    <row r="392" spans="2:40" hidden="1" x14ac:dyDescent="0.35">
      <c r="B392" s="15"/>
      <c r="C392" s="127" t="str">
        <f>IFERROR(IF(LEN(INDEX(Database!C$9:C$501,ROW(Calc!A392)-ROW(Calc!$B$7)))=0,"",INDEX(Database!C$9:C$501,ROW(Calc!A392)-ROW(Calc!$B$7))),"")</f>
        <v/>
      </c>
      <c r="D392" s="70" t="str">
        <f>IFERROR(IF(LEN(INDEX(Database!D$9:D$501,ROW(Calc!B392)-ROW(Calc!$B$7)))=0,"",INDEX(Database!D$9:D$501,ROW(Calc!B392)-ROW(Calc!$B$7))),"")</f>
        <v/>
      </c>
      <c r="E392" s="124" t="str">
        <f>IFERROR(IF(LEN(INDEX(Database!G$9:G$501,ROW(Calc!D392)-ROW(Calc!$B$7)))=0,$AD$3,INDEX(Database!G$9:G$501,ROW(Calc!D392)-ROW(Calc!$B$7))),"")</f>
        <v>Not Set</v>
      </c>
      <c r="F392" s="124" t="str">
        <f>IFERROR(IF(LEN(INDEX(Database!F$9:F$501,ROW(Calc!E392)-ROW(Calc!$B$7)))=0,$AD$3,INDEX(Database!F$9:F$501,ROW(Calc!E392)-ROW(Calc!$B$7))),"")</f>
        <v>Not Set</v>
      </c>
      <c r="G392" s="128" t="str">
        <f>IFERROR(IF(LEN(INDEX(Database!H$9:H$501,ROW(Calc!F392)-ROW(Calc!$B$7)))=0,$AD$3,INDEX(Database!H$9:H$501,ROW(Calc!F392)-ROW(Calc!$B$7))),"")</f>
        <v>Not Set</v>
      </c>
      <c r="H392" s="128" t="str">
        <f>IFERROR(IF(LEN(INDEX(Database!I$9:I$501,ROW(Calc!G392)-ROW(Calc!$B$7)))=0,$AD$3,INDEX(Database!I$9:I$501,ROW(Calc!G392)-ROW(Calc!$B$7))),"")</f>
        <v>Not Set</v>
      </c>
      <c r="I392" s="128" t="str">
        <f>IFERROR(IF(LEN(INDEX(Database!J$9:J$501,ROW(Calc!H392)-ROW(Calc!$B$7)))=0,$AD$3,INDEX(Database!J$9:J$501,ROW(Calc!H392)-ROW(Calc!$B$7))),"")</f>
        <v>Not Set</v>
      </c>
      <c r="J392" s="128" t="str">
        <f t="shared" ref="J392:J455" si="59">IFERROR(IF(I392=$AD$3,$AD$3,CONCATENATE(DAY(I392),".",MONTH(I392),".",YEAR(I392))),"")</f>
        <v>Not Set</v>
      </c>
      <c r="K392" s="124" t="str">
        <f>IFERROR(IF(LEN(INDEX(Database!E$9:E$501,ROW(Calc!I392)-ROW(Calc!$B$7)))=0,"",INDEX(Database!E$9:E$501,ROW(Calc!I392)-ROW(Calc!$B$7))),"")</f>
        <v/>
      </c>
      <c r="L392" s="129" t="str">
        <f>IFERROR(IF(LEN(INDEX(Database!K$9:K$501,ROW(Calc!K392)-ROW(Calc!$B$7)))=0,$AD$3,INDEX(Database!K$9:K$501,ROW(Calc!K392)-ROW(Calc!$B$7))),"")</f>
        <v>Not Set</v>
      </c>
      <c r="M392" s="130" t="str">
        <f>IFERROR(IF(LEN(INDEX(Database!L$9:L$501,ROW(Calc!L392)-ROW(Calc!$B$7)))=0,$AD$3,INDEX(Database!L$9:L$501,ROW(Calc!L392)-ROW(Calc!$B$7))),"")</f>
        <v>Not Set</v>
      </c>
      <c r="N392" s="131" t="str">
        <f>IFERROR(IF(LEN(INDEX(Database!M$9:M$501,ROW(Calc!M392)-ROW(Calc!$B$7)))=0,"",INDEX(Database!M$9:M$501,ROW(Calc!M392)-ROW(Calc!$B$7))),"")</f>
        <v/>
      </c>
      <c r="O392" s="132" t="str">
        <f t="shared" si="54"/>
        <v/>
      </c>
      <c r="P392" s="125" t="str">
        <f t="shared" ref="P392:P455" si="60">IFERROR(IF(G392=$AD$3,$AD$3,MONTH(G392)),"")</f>
        <v>Not Set</v>
      </c>
      <c r="Q392" s="125" t="str">
        <f t="shared" ref="Q392:Q455" si="61">IFERROR(IF(I392=$AD$3,$AD$3,MONTH(I392)),"")</f>
        <v>Not Set</v>
      </c>
      <c r="R392" s="125" t="str">
        <f>IFERROR(IF(G392=$AD$3,$AD$3,INDEX(Kanban_Helper!$C$317:$C$328,MATCH(MONTH(G392),Kanban_Helper!$B$317:$B$328,0))&amp;" - "&amp;YEAR(G392)),"$AD$3")</f>
        <v>Not Set</v>
      </c>
      <c r="S392" s="125" t="str">
        <f>IFERROR(IF(I392=$AD$3,$AD$3,INDEX(Kanban_Helper!$C$317:$C$328,MATCH(MONTH(I392),Kanban_Helper!$B$317:$B$328,0))&amp;" - "&amp;YEAR(I392)),$AD$3)</f>
        <v>Not Set</v>
      </c>
      <c r="T392" s="125" t="str">
        <f t="shared" ca="1" si="55"/>
        <v/>
      </c>
      <c r="U392" s="125" t="str">
        <f t="shared" ca="1" si="56"/>
        <v/>
      </c>
      <c r="V392" s="125" t="str">
        <f t="shared" ref="V392:V455" si="62">IFERROR(IF(OR(G392=$AD$3,H392=$AD$3),$AD$3,IF(H392&lt;=I392,"No","Yes")),$AD$3)</f>
        <v>Not Set</v>
      </c>
      <c r="W392" s="126" t="str">
        <f t="shared" si="57"/>
        <v/>
      </c>
      <c r="X392" s="126" t="str">
        <f t="shared" si="58"/>
        <v/>
      </c>
      <c r="Y392" s="125" t="str">
        <f>IFERROR(IF(LEN(D392)=0,"",IF(SUBTOTAL(3,E392:E392)=0,MIN($Y$7:Y391)-1,SUBTOTAL(3,$E$8:E392))),"")</f>
        <v/>
      </c>
      <c r="Z392" s="17"/>
      <c r="AA392" s="10"/>
      <c r="AB392" s="10"/>
      <c r="AC392" s="10"/>
      <c r="AD392" s="10"/>
      <c r="AE392" s="10"/>
      <c r="AF392" s="10"/>
      <c r="AG392" s="10"/>
      <c r="AH392" s="10"/>
      <c r="AI392" s="10"/>
      <c r="AJ392" s="10"/>
      <c r="AK392" s="10"/>
      <c r="AL392" s="10"/>
      <c r="AM392" s="10"/>
      <c r="AN392" s="10"/>
    </row>
    <row r="393" spans="2:40" hidden="1" x14ac:dyDescent="0.35">
      <c r="B393" s="15"/>
      <c r="C393" s="127" t="str">
        <f>IFERROR(IF(LEN(INDEX(Database!C$9:C$501,ROW(Calc!A393)-ROW(Calc!$B$7)))=0,"",INDEX(Database!C$9:C$501,ROW(Calc!A393)-ROW(Calc!$B$7))),"")</f>
        <v/>
      </c>
      <c r="D393" s="70" t="str">
        <f>IFERROR(IF(LEN(INDEX(Database!D$9:D$501,ROW(Calc!B393)-ROW(Calc!$B$7)))=0,"",INDEX(Database!D$9:D$501,ROW(Calc!B393)-ROW(Calc!$B$7))),"")</f>
        <v/>
      </c>
      <c r="E393" s="124" t="str">
        <f>IFERROR(IF(LEN(INDEX(Database!G$9:G$501,ROW(Calc!D393)-ROW(Calc!$B$7)))=0,$AD$3,INDEX(Database!G$9:G$501,ROW(Calc!D393)-ROW(Calc!$B$7))),"")</f>
        <v>Not Set</v>
      </c>
      <c r="F393" s="124" t="str">
        <f>IFERROR(IF(LEN(INDEX(Database!F$9:F$501,ROW(Calc!E393)-ROW(Calc!$B$7)))=0,$AD$3,INDEX(Database!F$9:F$501,ROW(Calc!E393)-ROW(Calc!$B$7))),"")</f>
        <v>Not Set</v>
      </c>
      <c r="G393" s="128" t="str">
        <f>IFERROR(IF(LEN(INDEX(Database!H$9:H$501,ROW(Calc!F393)-ROW(Calc!$B$7)))=0,$AD$3,INDEX(Database!H$9:H$501,ROW(Calc!F393)-ROW(Calc!$B$7))),"")</f>
        <v>Not Set</v>
      </c>
      <c r="H393" s="128" t="str">
        <f>IFERROR(IF(LEN(INDEX(Database!I$9:I$501,ROW(Calc!G393)-ROW(Calc!$B$7)))=0,$AD$3,INDEX(Database!I$9:I$501,ROW(Calc!G393)-ROW(Calc!$B$7))),"")</f>
        <v>Not Set</v>
      </c>
      <c r="I393" s="128" t="str">
        <f>IFERROR(IF(LEN(INDEX(Database!J$9:J$501,ROW(Calc!H393)-ROW(Calc!$B$7)))=0,$AD$3,INDEX(Database!J$9:J$501,ROW(Calc!H393)-ROW(Calc!$B$7))),"")</f>
        <v>Not Set</v>
      </c>
      <c r="J393" s="128" t="str">
        <f t="shared" si="59"/>
        <v>Not Set</v>
      </c>
      <c r="K393" s="124" t="str">
        <f>IFERROR(IF(LEN(INDEX(Database!E$9:E$501,ROW(Calc!I393)-ROW(Calc!$B$7)))=0,"",INDEX(Database!E$9:E$501,ROW(Calc!I393)-ROW(Calc!$B$7))),"")</f>
        <v/>
      </c>
      <c r="L393" s="129" t="str">
        <f>IFERROR(IF(LEN(INDEX(Database!K$9:K$501,ROW(Calc!K393)-ROW(Calc!$B$7)))=0,$AD$3,INDEX(Database!K$9:K$501,ROW(Calc!K393)-ROW(Calc!$B$7))),"")</f>
        <v>Not Set</v>
      </c>
      <c r="M393" s="130" t="str">
        <f>IFERROR(IF(LEN(INDEX(Database!L$9:L$501,ROW(Calc!L393)-ROW(Calc!$B$7)))=0,$AD$3,INDEX(Database!L$9:L$501,ROW(Calc!L393)-ROW(Calc!$B$7))),"")</f>
        <v>Not Set</v>
      </c>
      <c r="N393" s="131" t="str">
        <f>IFERROR(IF(LEN(INDEX(Database!M$9:M$501,ROW(Calc!M393)-ROW(Calc!$B$7)))=0,"",INDEX(Database!M$9:M$501,ROW(Calc!M393)-ROW(Calc!$B$7))),"")</f>
        <v/>
      </c>
      <c r="O393" s="132" t="str">
        <f t="shared" ref="O393:O456" si="63">IFERROR(IF(LEN(D393)=0,"",ROW(D393)-ROW($D$7)),"")</f>
        <v/>
      </c>
      <c r="P393" s="125" t="str">
        <f t="shared" si="60"/>
        <v>Not Set</v>
      </c>
      <c r="Q393" s="125" t="str">
        <f t="shared" si="61"/>
        <v>Not Set</v>
      </c>
      <c r="R393" s="125" t="str">
        <f>IFERROR(IF(G393=$AD$3,$AD$3,INDEX(Kanban_Helper!$C$317:$C$328,MATCH(MONTH(G393),Kanban_Helper!$B$317:$B$328,0))&amp;" - "&amp;YEAR(G393)),"$AD$3")</f>
        <v>Not Set</v>
      </c>
      <c r="S393" s="125" t="str">
        <f>IFERROR(IF(I393=$AD$3,$AD$3,INDEX(Kanban_Helper!$C$317:$C$328,MATCH(MONTH(I393),Kanban_Helper!$B$317:$B$328,0))&amp;" - "&amp;YEAR(I393)),$AD$3)</f>
        <v>Not Set</v>
      </c>
      <c r="T393" s="125" t="str">
        <f t="shared" ref="T393:T456" ca="1" si="64">IFERROR(IF(LEN(G393)=0,"",IF(LEN(H393)=0,TODAY()-G393,H393-G393)),"")</f>
        <v/>
      </c>
      <c r="U393" s="125" t="str">
        <f t="shared" ref="U393:U456" ca="1" si="65">IFERROR(IF(LEN(I393)=0,"",IF(LEN(H393)=0,IF(TODAY()&gt;=I393,TODAY()-I393,""),IF(H393&gt;I393,H393-I393,""))),"")</f>
        <v/>
      </c>
      <c r="V393" s="125" t="str">
        <f t="shared" si="62"/>
        <v>Not Set</v>
      </c>
      <c r="W393" s="126" t="str">
        <f t="shared" ref="W393:W456" si="66">IFERROR(IF(OR(LEN(L393)=0,LEN(M393)=0),"",L393*M393),"")</f>
        <v/>
      </c>
      <c r="X393" s="126" t="str">
        <f t="shared" ref="X393:X456" si="67">IFERROR(IF(OR(LEN(W393)=0,LEN(M393)=0),"",M393-W393),"")</f>
        <v/>
      </c>
      <c r="Y393" s="125" t="str">
        <f>IFERROR(IF(LEN(D393)=0,"",IF(SUBTOTAL(3,E393:E393)=0,MIN($Y$7:Y392)-1,SUBTOTAL(3,$E$8:E393))),"")</f>
        <v/>
      </c>
      <c r="Z393" s="17"/>
      <c r="AA393" s="10"/>
      <c r="AB393" s="10"/>
      <c r="AC393" s="10"/>
      <c r="AD393" s="10"/>
      <c r="AE393" s="10"/>
      <c r="AF393" s="10"/>
      <c r="AG393" s="10"/>
      <c r="AH393" s="10"/>
      <c r="AI393" s="10"/>
      <c r="AJ393" s="10"/>
      <c r="AK393" s="10"/>
      <c r="AL393" s="10"/>
      <c r="AM393" s="10"/>
      <c r="AN393" s="10"/>
    </row>
    <row r="394" spans="2:40" hidden="1" x14ac:dyDescent="0.35">
      <c r="B394" s="15"/>
      <c r="C394" s="127" t="str">
        <f>IFERROR(IF(LEN(INDEX(Database!C$9:C$501,ROW(Calc!A394)-ROW(Calc!$B$7)))=0,"",INDEX(Database!C$9:C$501,ROW(Calc!A394)-ROW(Calc!$B$7))),"")</f>
        <v/>
      </c>
      <c r="D394" s="70" t="str">
        <f>IFERROR(IF(LEN(INDEX(Database!D$9:D$501,ROW(Calc!B394)-ROW(Calc!$B$7)))=0,"",INDEX(Database!D$9:D$501,ROW(Calc!B394)-ROW(Calc!$B$7))),"")</f>
        <v/>
      </c>
      <c r="E394" s="124" t="str">
        <f>IFERROR(IF(LEN(INDEX(Database!G$9:G$501,ROW(Calc!D394)-ROW(Calc!$B$7)))=0,$AD$3,INDEX(Database!G$9:G$501,ROW(Calc!D394)-ROW(Calc!$B$7))),"")</f>
        <v>Not Set</v>
      </c>
      <c r="F394" s="124" t="str">
        <f>IFERROR(IF(LEN(INDEX(Database!F$9:F$501,ROW(Calc!E394)-ROW(Calc!$B$7)))=0,$AD$3,INDEX(Database!F$9:F$501,ROW(Calc!E394)-ROW(Calc!$B$7))),"")</f>
        <v>Not Set</v>
      </c>
      <c r="G394" s="128" t="str">
        <f>IFERROR(IF(LEN(INDEX(Database!H$9:H$501,ROW(Calc!F394)-ROW(Calc!$B$7)))=0,$AD$3,INDEX(Database!H$9:H$501,ROW(Calc!F394)-ROW(Calc!$B$7))),"")</f>
        <v>Not Set</v>
      </c>
      <c r="H394" s="128" t="str">
        <f>IFERROR(IF(LEN(INDEX(Database!I$9:I$501,ROW(Calc!G394)-ROW(Calc!$B$7)))=0,$AD$3,INDEX(Database!I$9:I$501,ROW(Calc!G394)-ROW(Calc!$B$7))),"")</f>
        <v>Not Set</v>
      </c>
      <c r="I394" s="128" t="str">
        <f>IFERROR(IF(LEN(INDEX(Database!J$9:J$501,ROW(Calc!H394)-ROW(Calc!$B$7)))=0,$AD$3,INDEX(Database!J$9:J$501,ROW(Calc!H394)-ROW(Calc!$B$7))),"")</f>
        <v>Not Set</v>
      </c>
      <c r="J394" s="128" t="str">
        <f t="shared" si="59"/>
        <v>Not Set</v>
      </c>
      <c r="K394" s="124" t="str">
        <f>IFERROR(IF(LEN(INDEX(Database!E$9:E$501,ROW(Calc!I394)-ROW(Calc!$B$7)))=0,"",INDEX(Database!E$9:E$501,ROW(Calc!I394)-ROW(Calc!$B$7))),"")</f>
        <v/>
      </c>
      <c r="L394" s="129" t="str">
        <f>IFERROR(IF(LEN(INDEX(Database!K$9:K$501,ROW(Calc!K394)-ROW(Calc!$B$7)))=0,$AD$3,INDEX(Database!K$9:K$501,ROW(Calc!K394)-ROW(Calc!$B$7))),"")</f>
        <v>Not Set</v>
      </c>
      <c r="M394" s="130" t="str">
        <f>IFERROR(IF(LEN(INDEX(Database!L$9:L$501,ROW(Calc!L394)-ROW(Calc!$B$7)))=0,$AD$3,INDEX(Database!L$9:L$501,ROW(Calc!L394)-ROW(Calc!$B$7))),"")</f>
        <v>Not Set</v>
      </c>
      <c r="N394" s="131" t="str">
        <f>IFERROR(IF(LEN(INDEX(Database!M$9:M$501,ROW(Calc!M394)-ROW(Calc!$B$7)))=0,"",INDEX(Database!M$9:M$501,ROW(Calc!M394)-ROW(Calc!$B$7))),"")</f>
        <v/>
      </c>
      <c r="O394" s="132" t="str">
        <f t="shared" si="63"/>
        <v/>
      </c>
      <c r="P394" s="125" t="str">
        <f t="shared" si="60"/>
        <v>Not Set</v>
      </c>
      <c r="Q394" s="125" t="str">
        <f t="shared" si="61"/>
        <v>Not Set</v>
      </c>
      <c r="R394" s="125" t="str">
        <f>IFERROR(IF(G394=$AD$3,$AD$3,INDEX(Kanban_Helper!$C$317:$C$328,MATCH(MONTH(G394),Kanban_Helper!$B$317:$B$328,0))&amp;" - "&amp;YEAR(G394)),"$AD$3")</f>
        <v>Not Set</v>
      </c>
      <c r="S394" s="125" t="str">
        <f>IFERROR(IF(I394=$AD$3,$AD$3,INDEX(Kanban_Helper!$C$317:$C$328,MATCH(MONTH(I394),Kanban_Helper!$B$317:$B$328,0))&amp;" - "&amp;YEAR(I394)),$AD$3)</f>
        <v>Not Set</v>
      </c>
      <c r="T394" s="125" t="str">
        <f t="shared" ca="1" si="64"/>
        <v/>
      </c>
      <c r="U394" s="125" t="str">
        <f t="shared" ca="1" si="65"/>
        <v/>
      </c>
      <c r="V394" s="125" t="str">
        <f t="shared" si="62"/>
        <v>Not Set</v>
      </c>
      <c r="W394" s="126" t="str">
        <f t="shared" si="66"/>
        <v/>
      </c>
      <c r="X394" s="126" t="str">
        <f t="shared" si="67"/>
        <v/>
      </c>
      <c r="Y394" s="125" t="str">
        <f>IFERROR(IF(LEN(D394)=0,"",IF(SUBTOTAL(3,E394:E394)=0,MIN($Y$7:Y393)-1,SUBTOTAL(3,$E$8:E394))),"")</f>
        <v/>
      </c>
      <c r="Z394" s="17"/>
      <c r="AA394" s="10"/>
      <c r="AB394" s="10"/>
      <c r="AC394" s="10"/>
      <c r="AD394" s="10"/>
      <c r="AE394" s="10"/>
      <c r="AF394" s="10"/>
      <c r="AG394" s="10"/>
      <c r="AH394" s="10"/>
      <c r="AI394" s="10"/>
      <c r="AJ394" s="10"/>
      <c r="AK394" s="10"/>
      <c r="AL394" s="10"/>
      <c r="AM394" s="10"/>
      <c r="AN394" s="10"/>
    </row>
    <row r="395" spans="2:40" hidden="1" x14ac:dyDescent="0.35">
      <c r="B395" s="15"/>
      <c r="C395" s="127" t="str">
        <f>IFERROR(IF(LEN(INDEX(Database!C$9:C$501,ROW(Calc!A395)-ROW(Calc!$B$7)))=0,"",INDEX(Database!C$9:C$501,ROW(Calc!A395)-ROW(Calc!$B$7))),"")</f>
        <v/>
      </c>
      <c r="D395" s="70" t="str">
        <f>IFERROR(IF(LEN(INDEX(Database!D$9:D$501,ROW(Calc!B395)-ROW(Calc!$B$7)))=0,"",INDEX(Database!D$9:D$501,ROW(Calc!B395)-ROW(Calc!$B$7))),"")</f>
        <v/>
      </c>
      <c r="E395" s="124" t="str">
        <f>IFERROR(IF(LEN(INDEX(Database!G$9:G$501,ROW(Calc!D395)-ROW(Calc!$B$7)))=0,$AD$3,INDEX(Database!G$9:G$501,ROW(Calc!D395)-ROW(Calc!$B$7))),"")</f>
        <v>Not Set</v>
      </c>
      <c r="F395" s="124" t="str">
        <f>IFERROR(IF(LEN(INDEX(Database!F$9:F$501,ROW(Calc!E395)-ROW(Calc!$B$7)))=0,$AD$3,INDEX(Database!F$9:F$501,ROW(Calc!E395)-ROW(Calc!$B$7))),"")</f>
        <v>Not Set</v>
      </c>
      <c r="G395" s="128" t="str">
        <f>IFERROR(IF(LEN(INDEX(Database!H$9:H$501,ROW(Calc!F395)-ROW(Calc!$B$7)))=0,$AD$3,INDEX(Database!H$9:H$501,ROW(Calc!F395)-ROW(Calc!$B$7))),"")</f>
        <v>Not Set</v>
      </c>
      <c r="H395" s="128" t="str">
        <f>IFERROR(IF(LEN(INDEX(Database!I$9:I$501,ROW(Calc!G395)-ROW(Calc!$B$7)))=0,$AD$3,INDEX(Database!I$9:I$501,ROW(Calc!G395)-ROW(Calc!$B$7))),"")</f>
        <v>Not Set</v>
      </c>
      <c r="I395" s="128" t="str">
        <f>IFERROR(IF(LEN(INDEX(Database!J$9:J$501,ROW(Calc!H395)-ROW(Calc!$B$7)))=0,$AD$3,INDEX(Database!J$9:J$501,ROW(Calc!H395)-ROW(Calc!$B$7))),"")</f>
        <v>Not Set</v>
      </c>
      <c r="J395" s="128" t="str">
        <f t="shared" si="59"/>
        <v>Not Set</v>
      </c>
      <c r="K395" s="124" t="str">
        <f>IFERROR(IF(LEN(INDEX(Database!E$9:E$501,ROW(Calc!I395)-ROW(Calc!$B$7)))=0,"",INDEX(Database!E$9:E$501,ROW(Calc!I395)-ROW(Calc!$B$7))),"")</f>
        <v/>
      </c>
      <c r="L395" s="129" t="str">
        <f>IFERROR(IF(LEN(INDEX(Database!K$9:K$501,ROW(Calc!K395)-ROW(Calc!$B$7)))=0,$AD$3,INDEX(Database!K$9:K$501,ROW(Calc!K395)-ROW(Calc!$B$7))),"")</f>
        <v>Not Set</v>
      </c>
      <c r="M395" s="130" t="str">
        <f>IFERROR(IF(LEN(INDEX(Database!L$9:L$501,ROW(Calc!L395)-ROW(Calc!$B$7)))=0,$AD$3,INDEX(Database!L$9:L$501,ROW(Calc!L395)-ROW(Calc!$B$7))),"")</f>
        <v>Not Set</v>
      </c>
      <c r="N395" s="131" t="str">
        <f>IFERROR(IF(LEN(INDEX(Database!M$9:M$501,ROW(Calc!M395)-ROW(Calc!$B$7)))=0,"",INDEX(Database!M$9:M$501,ROW(Calc!M395)-ROW(Calc!$B$7))),"")</f>
        <v/>
      </c>
      <c r="O395" s="132" t="str">
        <f t="shared" si="63"/>
        <v/>
      </c>
      <c r="P395" s="125" t="str">
        <f t="shared" si="60"/>
        <v>Not Set</v>
      </c>
      <c r="Q395" s="125" t="str">
        <f t="shared" si="61"/>
        <v>Not Set</v>
      </c>
      <c r="R395" s="125" t="str">
        <f>IFERROR(IF(G395=$AD$3,$AD$3,INDEX(Kanban_Helper!$C$317:$C$328,MATCH(MONTH(G395),Kanban_Helper!$B$317:$B$328,0))&amp;" - "&amp;YEAR(G395)),"$AD$3")</f>
        <v>Not Set</v>
      </c>
      <c r="S395" s="125" t="str">
        <f>IFERROR(IF(I395=$AD$3,$AD$3,INDEX(Kanban_Helper!$C$317:$C$328,MATCH(MONTH(I395),Kanban_Helper!$B$317:$B$328,0))&amp;" - "&amp;YEAR(I395)),$AD$3)</f>
        <v>Not Set</v>
      </c>
      <c r="T395" s="125" t="str">
        <f t="shared" ca="1" si="64"/>
        <v/>
      </c>
      <c r="U395" s="125" t="str">
        <f t="shared" ca="1" si="65"/>
        <v/>
      </c>
      <c r="V395" s="125" t="str">
        <f t="shared" si="62"/>
        <v>Not Set</v>
      </c>
      <c r="W395" s="126" t="str">
        <f t="shared" si="66"/>
        <v/>
      </c>
      <c r="X395" s="126" t="str">
        <f t="shared" si="67"/>
        <v/>
      </c>
      <c r="Y395" s="125" t="str">
        <f>IFERROR(IF(LEN(D395)=0,"",IF(SUBTOTAL(3,E395:E395)=0,MIN($Y$7:Y394)-1,SUBTOTAL(3,$E$8:E395))),"")</f>
        <v/>
      </c>
      <c r="Z395" s="17"/>
      <c r="AA395" s="10"/>
      <c r="AB395" s="10"/>
      <c r="AC395" s="10"/>
      <c r="AD395" s="10"/>
      <c r="AE395" s="10"/>
      <c r="AF395" s="10"/>
      <c r="AG395" s="10"/>
      <c r="AH395" s="10"/>
      <c r="AI395" s="10"/>
      <c r="AJ395" s="10"/>
      <c r="AK395" s="10"/>
      <c r="AL395" s="10"/>
      <c r="AM395" s="10"/>
      <c r="AN395" s="10"/>
    </row>
    <row r="396" spans="2:40" hidden="1" x14ac:dyDescent="0.35">
      <c r="B396" s="15"/>
      <c r="C396" s="127" t="str">
        <f>IFERROR(IF(LEN(INDEX(Database!C$9:C$501,ROW(Calc!A396)-ROW(Calc!$B$7)))=0,"",INDEX(Database!C$9:C$501,ROW(Calc!A396)-ROW(Calc!$B$7))),"")</f>
        <v/>
      </c>
      <c r="D396" s="70" t="str">
        <f>IFERROR(IF(LEN(INDEX(Database!D$9:D$501,ROW(Calc!B396)-ROW(Calc!$B$7)))=0,"",INDEX(Database!D$9:D$501,ROW(Calc!B396)-ROW(Calc!$B$7))),"")</f>
        <v/>
      </c>
      <c r="E396" s="124" t="str">
        <f>IFERROR(IF(LEN(INDEX(Database!G$9:G$501,ROW(Calc!D396)-ROW(Calc!$B$7)))=0,$AD$3,INDEX(Database!G$9:G$501,ROW(Calc!D396)-ROW(Calc!$B$7))),"")</f>
        <v>Not Set</v>
      </c>
      <c r="F396" s="124" t="str">
        <f>IFERROR(IF(LEN(INDEX(Database!F$9:F$501,ROW(Calc!E396)-ROW(Calc!$B$7)))=0,$AD$3,INDEX(Database!F$9:F$501,ROW(Calc!E396)-ROW(Calc!$B$7))),"")</f>
        <v>Not Set</v>
      </c>
      <c r="G396" s="128" t="str">
        <f>IFERROR(IF(LEN(INDEX(Database!H$9:H$501,ROW(Calc!F396)-ROW(Calc!$B$7)))=0,$AD$3,INDEX(Database!H$9:H$501,ROW(Calc!F396)-ROW(Calc!$B$7))),"")</f>
        <v>Not Set</v>
      </c>
      <c r="H396" s="128" t="str">
        <f>IFERROR(IF(LEN(INDEX(Database!I$9:I$501,ROW(Calc!G396)-ROW(Calc!$B$7)))=0,$AD$3,INDEX(Database!I$9:I$501,ROW(Calc!G396)-ROW(Calc!$B$7))),"")</f>
        <v>Not Set</v>
      </c>
      <c r="I396" s="128" t="str">
        <f>IFERROR(IF(LEN(INDEX(Database!J$9:J$501,ROW(Calc!H396)-ROW(Calc!$B$7)))=0,$AD$3,INDEX(Database!J$9:J$501,ROW(Calc!H396)-ROW(Calc!$B$7))),"")</f>
        <v>Not Set</v>
      </c>
      <c r="J396" s="128" t="str">
        <f t="shared" si="59"/>
        <v>Not Set</v>
      </c>
      <c r="K396" s="124" t="str">
        <f>IFERROR(IF(LEN(INDEX(Database!E$9:E$501,ROW(Calc!I396)-ROW(Calc!$B$7)))=0,"",INDEX(Database!E$9:E$501,ROW(Calc!I396)-ROW(Calc!$B$7))),"")</f>
        <v/>
      </c>
      <c r="L396" s="129" t="str">
        <f>IFERROR(IF(LEN(INDEX(Database!K$9:K$501,ROW(Calc!K396)-ROW(Calc!$B$7)))=0,$AD$3,INDEX(Database!K$9:K$501,ROW(Calc!K396)-ROW(Calc!$B$7))),"")</f>
        <v>Not Set</v>
      </c>
      <c r="M396" s="130" t="str">
        <f>IFERROR(IF(LEN(INDEX(Database!L$9:L$501,ROW(Calc!L396)-ROW(Calc!$B$7)))=0,$AD$3,INDEX(Database!L$9:L$501,ROW(Calc!L396)-ROW(Calc!$B$7))),"")</f>
        <v>Not Set</v>
      </c>
      <c r="N396" s="131" t="str">
        <f>IFERROR(IF(LEN(INDEX(Database!M$9:M$501,ROW(Calc!M396)-ROW(Calc!$B$7)))=0,"",INDEX(Database!M$9:M$501,ROW(Calc!M396)-ROW(Calc!$B$7))),"")</f>
        <v/>
      </c>
      <c r="O396" s="132" t="str">
        <f t="shared" si="63"/>
        <v/>
      </c>
      <c r="P396" s="125" t="str">
        <f t="shared" si="60"/>
        <v>Not Set</v>
      </c>
      <c r="Q396" s="125" t="str">
        <f t="shared" si="61"/>
        <v>Not Set</v>
      </c>
      <c r="R396" s="125" t="str">
        <f>IFERROR(IF(G396=$AD$3,$AD$3,INDEX(Kanban_Helper!$C$317:$C$328,MATCH(MONTH(G396),Kanban_Helper!$B$317:$B$328,0))&amp;" - "&amp;YEAR(G396)),"$AD$3")</f>
        <v>Not Set</v>
      </c>
      <c r="S396" s="125" t="str">
        <f>IFERROR(IF(I396=$AD$3,$AD$3,INDEX(Kanban_Helper!$C$317:$C$328,MATCH(MONTH(I396),Kanban_Helper!$B$317:$B$328,0))&amp;" - "&amp;YEAR(I396)),$AD$3)</f>
        <v>Not Set</v>
      </c>
      <c r="T396" s="125" t="str">
        <f t="shared" ca="1" si="64"/>
        <v/>
      </c>
      <c r="U396" s="125" t="str">
        <f t="shared" ca="1" si="65"/>
        <v/>
      </c>
      <c r="V396" s="125" t="str">
        <f t="shared" si="62"/>
        <v>Not Set</v>
      </c>
      <c r="W396" s="126" t="str">
        <f t="shared" si="66"/>
        <v/>
      </c>
      <c r="X396" s="126" t="str">
        <f t="shared" si="67"/>
        <v/>
      </c>
      <c r="Y396" s="125" t="str">
        <f>IFERROR(IF(LEN(D396)=0,"",IF(SUBTOTAL(3,E396:E396)=0,MIN($Y$7:Y395)-1,SUBTOTAL(3,$E$8:E396))),"")</f>
        <v/>
      </c>
      <c r="Z396" s="17"/>
      <c r="AA396" s="10"/>
      <c r="AB396" s="10"/>
      <c r="AC396" s="10"/>
      <c r="AD396" s="10"/>
      <c r="AE396" s="10"/>
      <c r="AF396" s="10"/>
      <c r="AG396" s="10"/>
      <c r="AH396" s="10"/>
      <c r="AI396" s="10"/>
      <c r="AJ396" s="10"/>
      <c r="AK396" s="10"/>
      <c r="AL396" s="10"/>
      <c r="AM396" s="10"/>
      <c r="AN396" s="10"/>
    </row>
    <row r="397" spans="2:40" hidden="1" x14ac:dyDescent="0.35">
      <c r="B397" s="15"/>
      <c r="C397" s="127" t="str">
        <f>IFERROR(IF(LEN(INDEX(Database!C$9:C$501,ROW(Calc!A397)-ROW(Calc!$B$7)))=0,"",INDEX(Database!C$9:C$501,ROW(Calc!A397)-ROW(Calc!$B$7))),"")</f>
        <v/>
      </c>
      <c r="D397" s="70" t="str">
        <f>IFERROR(IF(LEN(INDEX(Database!D$9:D$501,ROW(Calc!B397)-ROW(Calc!$B$7)))=0,"",INDEX(Database!D$9:D$501,ROW(Calc!B397)-ROW(Calc!$B$7))),"")</f>
        <v/>
      </c>
      <c r="E397" s="124" t="str">
        <f>IFERROR(IF(LEN(INDEX(Database!G$9:G$501,ROW(Calc!D397)-ROW(Calc!$B$7)))=0,$AD$3,INDEX(Database!G$9:G$501,ROW(Calc!D397)-ROW(Calc!$B$7))),"")</f>
        <v>Not Set</v>
      </c>
      <c r="F397" s="124" t="str">
        <f>IFERROR(IF(LEN(INDEX(Database!F$9:F$501,ROW(Calc!E397)-ROW(Calc!$B$7)))=0,$AD$3,INDEX(Database!F$9:F$501,ROW(Calc!E397)-ROW(Calc!$B$7))),"")</f>
        <v>Not Set</v>
      </c>
      <c r="G397" s="128" t="str">
        <f>IFERROR(IF(LEN(INDEX(Database!H$9:H$501,ROW(Calc!F397)-ROW(Calc!$B$7)))=0,$AD$3,INDEX(Database!H$9:H$501,ROW(Calc!F397)-ROW(Calc!$B$7))),"")</f>
        <v>Not Set</v>
      </c>
      <c r="H397" s="128" t="str">
        <f>IFERROR(IF(LEN(INDEX(Database!I$9:I$501,ROW(Calc!G397)-ROW(Calc!$B$7)))=0,$AD$3,INDEX(Database!I$9:I$501,ROW(Calc!G397)-ROW(Calc!$B$7))),"")</f>
        <v>Not Set</v>
      </c>
      <c r="I397" s="128" t="str">
        <f>IFERROR(IF(LEN(INDEX(Database!J$9:J$501,ROW(Calc!H397)-ROW(Calc!$B$7)))=0,$AD$3,INDEX(Database!J$9:J$501,ROW(Calc!H397)-ROW(Calc!$B$7))),"")</f>
        <v>Not Set</v>
      </c>
      <c r="J397" s="128" t="str">
        <f t="shared" si="59"/>
        <v>Not Set</v>
      </c>
      <c r="K397" s="124" t="str">
        <f>IFERROR(IF(LEN(INDEX(Database!E$9:E$501,ROW(Calc!I397)-ROW(Calc!$B$7)))=0,"",INDEX(Database!E$9:E$501,ROW(Calc!I397)-ROW(Calc!$B$7))),"")</f>
        <v/>
      </c>
      <c r="L397" s="129" t="str">
        <f>IFERROR(IF(LEN(INDEX(Database!K$9:K$501,ROW(Calc!K397)-ROW(Calc!$B$7)))=0,$AD$3,INDEX(Database!K$9:K$501,ROW(Calc!K397)-ROW(Calc!$B$7))),"")</f>
        <v>Not Set</v>
      </c>
      <c r="M397" s="130" t="str">
        <f>IFERROR(IF(LEN(INDEX(Database!L$9:L$501,ROW(Calc!L397)-ROW(Calc!$B$7)))=0,$AD$3,INDEX(Database!L$9:L$501,ROW(Calc!L397)-ROW(Calc!$B$7))),"")</f>
        <v>Not Set</v>
      </c>
      <c r="N397" s="131" t="str">
        <f>IFERROR(IF(LEN(INDEX(Database!M$9:M$501,ROW(Calc!M397)-ROW(Calc!$B$7)))=0,"",INDEX(Database!M$9:M$501,ROW(Calc!M397)-ROW(Calc!$B$7))),"")</f>
        <v/>
      </c>
      <c r="O397" s="132" t="str">
        <f t="shared" si="63"/>
        <v/>
      </c>
      <c r="P397" s="125" t="str">
        <f t="shared" si="60"/>
        <v>Not Set</v>
      </c>
      <c r="Q397" s="125" t="str">
        <f t="shared" si="61"/>
        <v>Not Set</v>
      </c>
      <c r="R397" s="125" t="str">
        <f>IFERROR(IF(G397=$AD$3,$AD$3,INDEX(Kanban_Helper!$C$317:$C$328,MATCH(MONTH(G397),Kanban_Helper!$B$317:$B$328,0))&amp;" - "&amp;YEAR(G397)),"$AD$3")</f>
        <v>Not Set</v>
      </c>
      <c r="S397" s="125" t="str">
        <f>IFERROR(IF(I397=$AD$3,$AD$3,INDEX(Kanban_Helper!$C$317:$C$328,MATCH(MONTH(I397),Kanban_Helper!$B$317:$B$328,0))&amp;" - "&amp;YEAR(I397)),$AD$3)</f>
        <v>Not Set</v>
      </c>
      <c r="T397" s="125" t="str">
        <f t="shared" ca="1" si="64"/>
        <v/>
      </c>
      <c r="U397" s="125" t="str">
        <f t="shared" ca="1" si="65"/>
        <v/>
      </c>
      <c r="V397" s="125" t="str">
        <f t="shared" si="62"/>
        <v>Not Set</v>
      </c>
      <c r="W397" s="126" t="str">
        <f t="shared" si="66"/>
        <v/>
      </c>
      <c r="X397" s="126" t="str">
        <f t="shared" si="67"/>
        <v/>
      </c>
      <c r="Y397" s="125" t="str">
        <f>IFERROR(IF(LEN(D397)=0,"",IF(SUBTOTAL(3,E397:E397)=0,MIN($Y$7:Y396)-1,SUBTOTAL(3,$E$8:E397))),"")</f>
        <v/>
      </c>
      <c r="Z397" s="17"/>
      <c r="AA397" s="10"/>
      <c r="AB397" s="10"/>
      <c r="AC397" s="10"/>
      <c r="AD397" s="10"/>
      <c r="AE397" s="10"/>
      <c r="AF397" s="10"/>
      <c r="AG397" s="10"/>
      <c r="AH397" s="10"/>
      <c r="AI397" s="10"/>
      <c r="AJ397" s="10"/>
      <c r="AK397" s="10"/>
      <c r="AL397" s="10"/>
      <c r="AM397" s="10"/>
      <c r="AN397" s="10"/>
    </row>
    <row r="398" spans="2:40" hidden="1" x14ac:dyDescent="0.35">
      <c r="B398" s="15"/>
      <c r="C398" s="127" t="str">
        <f>IFERROR(IF(LEN(INDEX(Database!C$9:C$501,ROW(Calc!A398)-ROW(Calc!$B$7)))=0,"",INDEX(Database!C$9:C$501,ROW(Calc!A398)-ROW(Calc!$B$7))),"")</f>
        <v/>
      </c>
      <c r="D398" s="70" t="str">
        <f>IFERROR(IF(LEN(INDEX(Database!D$9:D$501,ROW(Calc!B398)-ROW(Calc!$B$7)))=0,"",INDEX(Database!D$9:D$501,ROW(Calc!B398)-ROW(Calc!$B$7))),"")</f>
        <v/>
      </c>
      <c r="E398" s="124" t="str">
        <f>IFERROR(IF(LEN(INDEX(Database!G$9:G$501,ROW(Calc!D398)-ROW(Calc!$B$7)))=0,$AD$3,INDEX(Database!G$9:G$501,ROW(Calc!D398)-ROW(Calc!$B$7))),"")</f>
        <v>Not Set</v>
      </c>
      <c r="F398" s="124" t="str">
        <f>IFERROR(IF(LEN(INDEX(Database!F$9:F$501,ROW(Calc!E398)-ROW(Calc!$B$7)))=0,$AD$3,INDEX(Database!F$9:F$501,ROW(Calc!E398)-ROW(Calc!$B$7))),"")</f>
        <v>Not Set</v>
      </c>
      <c r="G398" s="128" t="str">
        <f>IFERROR(IF(LEN(INDEX(Database!H$9:H$501,ROW(Calc!F398)-ROW(Calc!$B$7)))=0,$AD$3,INDEX(Database!H$9:H$501,ROW(Calc!F398)-ROW(Calc!$B$7))),"")</f>
        <v>Not Set</v>
      </c>
      <c r="H398" s="128" t="str">
        <f>IFERROR(IF(LEN(INDEX(Database!I$9:I$501,ROW(Calc!G398)-ROW(Calc!$B$7)))=0,$AD$3,INDEX(Database!I$9:I$501,ROW(Calc!G398)-ROW(Calc!$B$7))),"")</f>
        <v>Not Set</v>
      </c>
      <c r="I398" s="128" t="str">
        <f>IFERROR(IF(LEN(INDEX(Database!J$9:J$501,ROW(Calc!H398)-ROW(Calc!$B$7)))=0,$AD$3,INDEX(Database!J$9:J$501,ROW(Calc!H398)-ROW(Calc!$B$7))),"")</f>
        <v>Not Set</v>
      </c>
      <c r="J398" s="128" t="str">
        <f t="shared" si="59"/>
        <v>Not Set</v>
      </c>
      <c r="K398" s="124" t="str">
        <f>IFERROR(IF(LEN(INDEX(Database!E$9:E$501,ROW(Calc!I398)-ROW(Calc!$B$7)))=0,"",INDEX(Database!E$9:E$501,ROW(Calc!I398)-ROW(Calc!$B$7))),"")</f>
        <v/>
      </c>
      <c r="L398" s="129" t="str">
        <f>IFERROR(IF(LEN(INDEX(Database!K$9:K$501,ROW(Calc!K398)-ROW(Calc!$B$7)))=0,$AD$3,INDEX(Database!K$9:K$501,ROW(Calc!K398)-ROW(Calc!$B$7))),"")</f>
        <v>Not Set</v>
      </c>
      <c r="M398" s="130" t="str">
        <f>IFERROR(IF(LEN(INDEX(Database!L$9:L$501,ROW(Calc!L398)-ROW(Calc!$B$7)))=0,$AD$3,INDEX(Database!L$9:L$501,ROW(Calc!L398)-ROW(Calc!$B$7))),"")</f>
        <v>Not Set</v>
      </c>
      <c r="N398" s="131" t="str">
        <f>IFERROR(IF(LEN(INDEX(Database!M$9:M$501,ROW(Calc!M398)-ROW(Calc!$B$7)))=0,"",INDEX(Database!M$9:M$501,ROW(Calc!M398)-ROW(Calc!$B$7))),"")</f>
        <v/>
      </c>
      <c r="O398" s="132" t="str">
        <f t="shared" si="63"/>
        <v/>
      </c>
      <c r="P398" s="125" t="str">
        <f t="shared" si="60"/>
        <v>Not Set</v>
      </c>
      <c r="Q398" s="125" t="str">
        <f t="shared" si="61"/>
        <v>Not Set</v>
      </c>
      <c r="R398" s="125" t="str">
        <f>IFERROR(IF(G398=$AD$3,$AD$3,INDEX(Kanban_Helper!$C$317:$C$328,MATCH(MONTH(G398),Kanban_Helper!$B$317:$B$328,0))&amp;" - "&amp;YEAR(G398)),"$AD$3")</f>
        <v>Not Set</v>
      </c>
      <c r="S398" s="125" t="str">
        <f>IFERROR(IF(I398=$AD$3,$AD$3,INDEX(Kanban_Helper!$C$317:$C$328,MATCH(MONTH(I398),Kanban_Helper!$B$317:$B$328,0))&amp;" - "&amp;YEAR(I398)),$AD$3)</f>
        <v>Not Set</v>
      </c>
      <c r="T398" s="125" t="str">
        <f t="shared" ca="1" si="64"/>
        <v/>
      </c>
      <c r="U398" s="125" t="str">
        <f t="shared" ca="1" si="65"/>
        <v/>
      </c>
      <c r="V398" s="125" t="str">
        <f t="shared" si="62"/>
        <v>Not Set</v>
      </c>
      <c r="W398" s="126" t="str">
        <f t="shared" si="66"/>
        <v/>
      </c>
      <c r="X398" s="126" t="str">
        <f t="shared" si="67"/>
        <v/>
      </c>
      <c r="Y398" s="125" t="str">
        <f>IFERROR(IF(LEN(D398)=0,"",IF(SUBTOTAL(3,E398:E398)=0,MIN($Y$7:Y397)-1,SUBTOTAL(3,$E$8:E398))),"")</f>
        <v/>
      </c>
      <c r="Z398" s="17"/>
      <c r="AA398" s="10"/>
      <c r="AB398" s="10"/>
      <c r="AC398" s="10"/>
      <c r="AD398" s="10"/>
      <c r="AE398" s="10"/>
      <c r="AF398" s="10"/>
      <c r="AG398" s="10"/>
      <c r="AH398" s="10"/>
      <c r="AI398" s="10"/>
      <c r="AJ398" s="10"/>
      <c r="AK398" s="10"/>
      <c r="AL398" s="10"/>
      <c r="AM398" s="10"/>
      <c r="AN398" s="10"/>
    </row>
    <row r="399" spans="2:40" hidden="1" x14ac:dyDescent="0.35">
      <c r="B399" s="15"/>
      <c r="C399" s="127" t="str">
        <f>IFERROR(IF(LEN(INDEX(Database!C$9:C$501,ROW(Calc!A399)-ROW(Calc!$B$7)))=0,"",INDEX(Database!C$9:C$501,ROW(Calc!A399)-ROW(Calc!$B$7))),"")</f>
        <v/>
      </c>
      <c r="D399" s="70" t="str">
        <f>IFERROR(IF(LEN(INDEX(Database!D$9:D$501,ROW(Calc!B399)-ROW(Calc!$B$7)))=0,"",INDEX(Database!D$9:D$501,ROW(Calc!B399)-ROW(Calc!$B$7))),"")</f>
        <v/>
      </c>
      <c r="E399" s="124" t="str">
        <f>IFERROR(IF(LEN(INDEX(Database!G$9:G$501,ROW(Calc!D399)-ROW(Calc!$B$7)))=0,$AD$3,INDEX(Database!G$9:G$501,ROW(Calc!D399)-ROW(Calc!$B$7))),"")</f>
        <v>Not Set</v>
      </c>
      <c r="F399" s="124" t="str">
        <f>IFERROR(IF(LEN(INDEX(Database!F$9:F$501,ROW(Calc!E399)-ROW(Calc!$B$7)))=0,$AD$3,INDEX(Database!F$9:F$501,ROW(Calc!E399)-ROW(Calc!$B$7))),"")</f>
        <v>Not Set</v>
      </c>
      <c r="G399" s="128" t="str">
        <f>IFERROR(IF(LEN(INDEX(Database!H$9:H$501,ROW(Calc!F399)-ROW(Calc!$B$7)))=0,$AD$3,INDEX(Database!H$9:H$501,ROW(Calc!F399)-ROW(Calc!$B$7))),"")</f>
        <v>Not Set</v>
      </c>
      <c r="H399" s="128" t="str">
        <f>IFERROR(IF(LEN(INDEX(Database!I$9:I$501,ROW(Calc!G399)-ROW(Calc!$B$7)))=0,$AD$3,INDEX(Database!I$9:I$501,ROW(Calc!G399)-ROW(Calc!$B$7))),"")</f>
        <v>Not Set</v>
      </c>
      <c r="I399" s="128" t="str">
        <f>IFERROR(IF(LEN(INDEX(Database!J$9:J$501,ROW(Calc!H399)-ROW(Calc!$B$7)))=0,$AD$3,INDEX(Database!J$9:J$501,ROW(Calc!H399)-ROW(Calc!$B$7))),"")</f>
        <v>Not Set</v>
      </c>
      <c r="J399" s="128" t="str">
        <f t="shared" si="59"/>
        <v>Not Set</v>
      </c>
      <c r="K399" s="124" t="str">
        <f>IFERROR(IF(LEN(INDEX(Database!E$9:E$501,ROW(Calc!I399)-ROW(Calc!$B$7)))=0,"",INDEX(Database!E$9:E$501,ROW(Calc!I399)-ROW(Calc!$B$7))),"")</f>
        <v/>
      </c>
      <c r="L399" s="129" t="str">
        <f>IFERROR(IF(LEN(INDEX(Database!K$9:K$501,ROW(Calc!K399)-ROW(Calc!$B$7)))=0,$AD$3,INDEX(Database!K$9:K$501,ROW(Calc!K399)-ROW(Calc!$B$7))),"")</f>
        <v>Not Set</v>
      </c>
      <c r="M399" s="130" t="str">
        <f>IFERROR(IF(LEN(INDEX(Database!L$9:L$501,ROW(Calc!L399)-ROW(Calc!$B$7)))=0,$AD$3,INDEX(Database!L$9:L$501,ROW(Calc!L399)-ROW(Calc!$B$7))),"")</f>
        <v>Not Set</v>
      </c>
      <c r="N399" s="131" t="str">
        <f>IFERROR(IF(LEN(INDEX(Database!M$9:M$501,ROW(Calc!M399)-ROW(Calc!$B$7)))=0,"",INDEX(Database!M$9:M$501,ROW(Calc!M399)-ROW(Calc!$B$7))),"")</f>
        <v/>
      </c>
      <c r="O399" s="132" t="str">
        <f t="shared" si="63"/>
        <v/>
      </c>
      <c r="P399" s="125" t="str">
        <f t="shared" si="60"/>
        <v>Not Set</v>
      </c>
      <c r="Q399" s="125" t="str">
        <f t="shared" si="61"/>
        <v>Not Set</v>
      </c>
      <c r="R399" s="125" t="str">
        <f>IFERROR(IF(G399=$AD$3,$AD$3,INDEX(Kanban_Helper!$C$317:$C$328,MATCH(MONTH(G399),Kanban_Helper!$B$317:$B$328,0))&amp;" - "&amp;YEAR(G399)),"$AD$3")</f>
        <v>Not Set</v>
      </c>
      <c r="S399" s="125" t="str">
        <f>IFERROR(IF(I399=$AD$3,$AD$3,INDEX(Kanban_Helper!$C$317:$C$328,MATCH(MONTH(I399),Kanban_Helper!$B$317:$B$328,0))&amp;" - "&amp;YEAR(I399)),$AD$3)</f>
        <v>Not Set</v>
      </c>
      <c r="T399" s="125" t="str">
        <f t="shared" ca="1" si="64"/>
        <v/>
      </c>
      <c r="U399" s="125" t="str">
        <f t="shared" ca="1" si="65"/>
        <v/>
      </c>
      <c r="V399" s="125" t="str">
        <f t="shared" si="62"/>
        <v>Not Set</v>
      </c>
      <c r="W399" s="126" t="str">
        <f t="shared" si="66"/>
        <v/>
      </c>
      <c r="X399" s="126" t="str">
        <f t="shared" si="67"/>
        <v/>
      </c>
      <c r="Y399" s="125" t="str">
        <f>IFERROR(IF(LEN(D399)=0,"",IF(SUBTOTAL(3,E399:E399)=0,MIN($Y$7:Y398)-1,SUBTOTAL(3,$E$8:E399))),"")</f>
        <v/>
      </c>
      <c r="Z399" s="17"/>
      <c r="AA399" s="10"/>
      <c r="AB399" s="10"/>
      <c r="AC399" s="10"/>
      <c r="AD399" s="10"/>
      <c r="AE399" s="10"/>
      <c r="AF399" s="10"/>
      <c r="AG399" s="10"/>
      <c r="AH399" s="10"/>
      <c r="AI399" s="10"/>
      <c r="AJ399" s="10"/>
      <c r="AK399" s="10"/>
      <c r="AL399" s="10"/>
      <c r="AM399" s="10"/>
      <c r="AN399" s="10"/>
    </row>
    <row r="400" spans="2:40" hidden="1" x14ac:dyDescent="0.35">
      <c r="B400" s="15"/>
      <c r="C400" s="127" t="str">
        <f>IFERROR(IF(LEN(INDEX(Database!C$9:C$501,ROW(Calc!A400)-ROW(Calc!$B$7)))=0,"",INDEX(Database!C$9:C$501,ROW(Calc!A400)-ROW(Calc!$B$7))),"")</f>
        <v/>
      </c>
      <c r="D400" s="70" t="str">
        <f>IFERROR(IF(LEN(INDEX(Database!D$9:D$501,ROW(Calc!B400)-ROW(Calc!$B$7)))=0,"",INDEX(Database!D$9:D$501,ROW(Calc!B400)-ROW(Calc!$B$7))),"")</f>
        <v/>
      </c>
      <c r="E400" s="124" t="str">
        <f>IFERROR(IF(LEN(INDEX(Database!G$9:G$501,ROW(Calc!D400)-ROW(Calc!$B$7)))=0,$AD$3,INDEX(Database!G$9:G$501,ROW(Calc!D400)-ROW(Calc!$B$7))),"")</f>
        <v>Not Set</v>
      </c>
      <c r="F400" s="124" t="str">
        <f>IFERROR(IF(LEN(INDEX(Database!F$9:F$501,ROW(Calc!E400)-ROW(Calc!$B$7)))=0,$AD$3,INDEX(Database!F$9:F$501,ROW(Calc!E400)-ROW(Calc!$B$7))),"")</f>
        <v>Not Set</v>
      </c>
      <c r="G400" s="128" t="str">
        <f>IFERROR(IF(LEN(INDEX(Database!H$9:H$501,ROW(Calc!F400)-ROW(Calc!$B$7)))=0,$AD$3,INDEX(Database!H$9:H$501,ROW(Calc!F400)-ROW(Calc!$B$7))),"")</f>
        <v>Not Set</v>
      </c>
      <c r="H400" s="128" t="str">
        <f>IFERROR(IF(LEN(INDEX(Database!I$9:I$501,ROW(Calc!G400)-ROW(Calc!$B$7)))=0,$AD$3,INDEX(Database!I$9:I$501,ROW(Calc!G400)-ROW(Calc!$B$7))),"")</f>
        <v>Not Set</v>
      </c>
      <c r="I400" s="128" t="str">
        <f>IFERROR(IF(LEN(INDEX(Database!J$9:J$501,ROW(Calc!H400)-ROW(Calc!$B$7)))=0,$AD$3,INDEX(Database!J$9:J$501,ROW(Calc!H400)-ROW(Calc!$B$7))),"")</f>
        <v>Not Set</v>
      </c>
      <c r="J400" s="128" t="str">
        <f t="shared" si="59"/>
        <v>Not Set</v>
      </c>
      <c r="K400" s="124" t="str">
        <f>IFERROR(IF(LEN(INDEX(Database!E$9:E$501,ROW(Calc!I400)-ROW(Calc!$B$7)))=0,"",INDEX(Database!E$9:E$501,ROW(Calc!I400)-ROW(Calc!$B$7))),"")</f>
        <v/>
      </c>
      <c r="L400" s="129" t="str">
        <f>IFERROR(IF(LEN(INDEX(Database!K$9:K$501,ROW(Calc!K400)-ROW(Calc!$B$7)))=0,$AD$3,INDEX(Database!K$9:K$501,ROW(Calc!K400)-ROW(Calc!$B$7))),"")</f>
        <v>Not Set</v>
      </c>
      <c r="M400" s="130" t="str">
        <f>IFERROR(IF(LEN(INDEX(Database!L$9:L$501,ROW(Calc!L400)-ROW(Calc!$B$7)))=0,$AD$3,INDEX(Database!L$9:L$501,ROW(Calc!L400)-ROW(Calc!$B$7))),"")</f>
        <v>Not Set</v>
      </c>
      <c r="N400" s="131" t="str">
        <f>IFERROR(IF(LEN(INDEX(Database!M$9:M$501,ROW(Calc!M400)-ROW(Calc!$B$7)))=0,"",INDEX(Database!M$9:M$501,ROW(Calc!M400)-ROW(Calc!$B$7))),"")</f>
        <v/>
      </c>
      <c r="O400" s="132" t="str">
        <f t="shared" si="63"/>
        <v/>
      </c>
      <c r="P400" s="125" t="str">
        <f t="shared" si="60"/>
        <v>Not Set</v>
      </c>
      <c r="Q400" s="125" t="str">
        <f t="shared" si="61"/>
        <v>Not Set</v>
      </c>
      <c r="R400" s="125" t="str">
        <f>IFERROR(IF(G400=$AD$3,$AD$3,INDEX(Kanban_Helper!$C$317:$C$328,MATCH(MONTH(G400),Kanban_Helper!$B$317:$B$328,0))&amp;" - "&amp;YEAR(G400)),"$AD$3")</f>
        <v>Not Set</v>
      </c>
      <c r="S400" s="125" t="str">
        <f>IFERROR(IF(I400=$AD$3,$AD$3,INDEX(Kanban_Helper!$C$317:$C$328,MATCH(MONTH(I400),Kanban_Helper!$B$317:$B$328,0))&amp;" - "&amp;YEAR(I400)),$AD$3)</f>
        <v>Not Set</v>
      </c>
      <c r="T400" s="125" t="str">
        <f t="shared" ca="1" si="64"/>
        <v/>
      </c>
      <c r="U400" s="125" t="str">
        <f t="shared" ca="1" si="65"/>
        <v/>
      </c>
      <c r="V400" s="125" t="str">
        <f t="shared" si="62"/>
        <v>Not Set</v>
      </c>
      <c r="W400" s="126" t="str">
        <f t="shared" si="66"/>
        <v/>
      </c>
      <c r="X400" s="126" t="str">
        <f t="shared" si="67"/>
        <v/>
      </c>
      <c r="Y400" s="125" t="str">
        <f>IFERROR(IF(LEN(D400)=0,"",IF(SUBTOTAL(3,E400:E400)=0,MIN($Y$7:Y399)-1,SUBTOTAL(3,$E$8:E400))),"")</f>
        <v/>
      </c>
      <c r="Z400" s="17"/>
      <c r="AA400" s="10"/>
      <c r="AB400" s="10"/>
      <c r="AC400" s="10"/>
      <c r="AD400" s="10"/>
      <c r="AE400" s="10"/>
      <c r="AF400" s="10"/>
      <c r="AG400" s="10"/>
      <c r="AH400" s="10"/>
      <c r="AI400" s="10"/>
      <c r="AJ400" s="10"/>
      <c r="AK400" s="10"/>
      <c r="AL400" s="10"/>
      <c r="AM400" s="10"/>
      <c r="AN400" s="10"/>
    </row>
    <row r="401" spans="2:40" hidden="1" x14ac:dyDescent="0.35">
      <c r="B401" s="15"/>
      <c r="C401" s="127" t="str">
        <f>IFERROR(IF(LEN(INDEX(Database!C$9:C$501,ROW(Calc!A401)-ROW(Calc!$B$7)))=0,"",INDEX(Database!C$9:C$501,ROW(Calc!A401)-ROW(Calc!$B$7))),"")</f>
        <v/>
      </c>
      <c r="D401" s="70" t="str">
        <f>IFERROR(IF(LEN(INDEX(Database!D$9:D$501,ROW(Calc!B401)-ROW(Calc!$B$7)))=0,"",INDEX(Database!D$9:D$501,ROW(Calc!B401)-ROW(Calc!$B$7))),"")</f>
        <v/>
      </c>
      <c r="E401" s="124" t="str">
        <f>IFERROR(IF(LEN(INDEX(Database!G$9:G$501,ROW(Calc!D401)-ROW(Calc!$B$7)))=0,$AD$3,INDEX(Database!G$9:G$501,ROW(Calc!D401)-ROW(Calc!$B$7))),"")</f>
        <v>Not Set</v>
      </c>
      <c r="F401" s="124" t="str">
        <f>IFERROR(IF(LEN(INDEX(Database!F$9:F$501,ROW(Calc!E401)-ROW(Calc!$B$7)))=0,$AD$3,INDEX(Database!F$9:F$501,ROW(Calc!E401)-ROW(Calc!$B$7))),"")</f>
        <v>Not Set</v>
      </c>
      <c r="G401" s="128" t="str">
        <f>IFERROR(IF(LEN(INDEX(Database!H$9:H$501,ROW(Calc!F401)-ROW(Calc!$B$7)))=0,$AD$3,INDEX(Database!H$9:H$501,ROW(Calc!F401)-ROW(Calc!$B$7))),"")</f>
        <v>Not Set</v>
      </c>
      <c r="H401" s="128" t="str">
        <f>IFERROR(IF(LEN(INDEX(Database!I$9:I$501,ROW(Calc!G401)-ROW(Calc!$B$7)))=0,$AD$3,INDEX(Database!I$9:I$501,ROW(Calc!G401)-ROW(Calc!$B$7))),"")</f>
        <v>Not Set</v>
      </c>
      <c r="I401" s="128" t="str">
        <f>IFERROR(IF(LEN(INDEX(Database!J$9:J$501,ROW(Calc!H401)-ROW(Calc!$B$7)))=0,$AD$3,INDEX(Database!J$9:J$501,ROW(Calc!H401)-ROW(Calc!$B$7))),"")</f>
        <v>Not Set</v>
      </c>
      <c r="J401" s="128" t="str">
        <f t="shared" si="59"/>
        <v>Not Set</v>
      </c>
      <c r="K401" s="124" t="str">
        <f>IFERROR(IF(LEN(INDEX(Database!E$9:E$501,ROW(Calc!I401)-ROW(Calc!$B$7)))=0,"",INDEX(Database!E$9:E$501,ROW(Calc!I401)-ROW(Calc!$B$7))),"")</f>
        <v/>
      </c>
      <c r="L401" s="129" t="str">
        <f>IFERROR(IF(LEN(INDEX(Database!K$9:K$501,ROW(Calc!K401)-ROW(Calc!$B$7)))=0,$AD$3,INDEX(Database!K$9:K$501,ROW(Calc!K401)-ROW(Calc!$B$7))),"")</f>
        <v>Not Set</v>
      </c>
      <c r="M401" s="130" t="str">
        <f>IFERROR(IF(LEN(INDEX(Database!L$9:L$501,ROW(Calc!L401)-ROW(Calc!$B$7)))=0,$AD$3,INDEX(Database!L$9:L$501,ROW(Calc!L401)-ROW(Calc!$B$7))),"")</f>
        <v>Not Set</v>
      </c>
      <c r="N401" s="131" t="str">
        <f>IFERROR(IF(LEN(INDEX(Database!M$9:M$501,ROW(Calc!M401)-ROW(Calc!$B$7)))=0,"",INDEX(Database!M$9:M$501,ROW(Calc!M401)-ROW(Calc!$B$7))),"")</f>
        <v/>
      </c>
      <c r="O401" s="132" t="str">
        <f t="shared" si="63"/>
        <v/>
      </c>
      <c r="P401" s="125" t="str">
        <f t="shared" si="60"/>
        <v>Not Set</v>
      </c>
      <c r="Q401" s="125" t="str">
        <f t="shared" si="61"/>
        <v>Not Set</v>
      </c>
      <c r="R401" s="125" t="str">
        <f>IFERROR(IF(G401=$AD$3,$AD$3,INDEX(Kanban_Helper!$C$317:$C$328,MATCH(MONTH(G401),Kanban_Helper!$B$317:$B$328,0))&amp;" - "&amp;YEAR(G401)),"$AD$3")</f>
        <v>Not Set</v>
      </c>
      <c r="S401" s="125" t="str">
        <f>IFERROR(IF(I401=$AD$3,$AD$3,INDEX(Kanban_Helper!$C$317:$C$328,MATCH(MONTH(I401),Kanban_Helper!$B$317:$B$328,0))&amp;" - "&amp;YEAR(I401)),$AD$3)</f>
        <v>Not Set</v>
      </c>
      <c r="T401" s="125" t="str">
        <f t="shared" ca="1" si="64"/>
        <v/>
      </c>
      <c r="U401" s="125" t="str">
        <f t="shared" ca="1" si="65"/>
        <v/>
      </c>
      <c r="V401" s="125" t="str">
        <f t="shared" si="62"/>
        <v>Not Set</v>
      </c>
      <c r="W401" s="126" t="str">
        <f t="shared" si="66"/>
        <v/>
      </c>
      <c r="X401" s="126" t="str">
        <f t="shared" si="67"/>
        <v/>
      </c>
      <c r="Y401" s="125" t="str">
        <f>IFERROR(IF(LEN(D401)=0,"",IF(SUBTOTAL(3,E401:E401)=0,MIN($Y$7:Y400)-1,SUBTOTAL(3,$E$8:E401))),"")</f>
        <v/>
      </c>
      <c r="Z401" s="17"/>
      <c r="AA401" s="10"/>
      <c r="AB401" s="10"/>
      <c r="AC401" s="10"/>
      <c r="AD401" s="10"/>
      <c r="AE401" s="10"/>
      <c r="AF401" s="10"/>
      <c r="AG401" s="10"/>
      <c r="AH401" s="10"/>
      <c r="AI401" s="10"/>
      <c r="AJ401" s="10"/>
      <c r="AK401" s="10"/>
      <c r="AL401" s="10"/>
      <c r="AM401" s="10"/>
      <c r="AN401" s="10"/>
    </row>
    <row r="402" spans="2:40" hidden="1" x14ac:dyDescent="0.35">
      <c r="B402" s="15"/>
      <c r="C402" s="127" t="str">
        <f>IFERROR(IF(LEN(INDEX(Database!C$9:C$501,ROW(Calc!A402)-ROW(Calc!$B$7)))=0,"",INDEX(Database!C$9:C$501,ROW(Calc!A402)-ROW(Calc!$B$7))),"")</f>
        <v/>
      </c>
      <c r="D402" s="70" t="str">
        <f>IFERROR(IF(LEN(INDEX(Database!D$9:D$501,ROW(Calc!B402)-ROW(Calc!$B$7)))=0,"",INDEX(Database!D$9:D$501,ROW(Calc!B402)-ROW(Calc!$B$7))),"")</f>
        <v/>
      </c>
      <c r="E402" s="124" t="str">
        <f>IFERROR(IF(LEN(INDEX(Database!G$9:G$501,ROW(Calc!D402)-ROW(Calc!$B$7)))=0,$AD$3,INDEX(Database!G$9:G$501,ROW(Calc!D402)-ROW(Calc!$B$7))),"")</f>
        <v>Not Set</v>
      </c>
      <c r="F402" s="124" t="str">
        <f>IFERROR(IF(LEN(INDEX(Database!F$9:F$501,ROW(Calc!E402)-ROW(Calc!$B$7)))=0,$AD$3,INDEX(Database!F$9:F$501,ROW(Calc!E402)-ROW(Calc!$B$7))),"")</f>
        <v>Not Set</v>
      </c>
      <c r="G402" s="128" t="str">
        <f>IFERROR(IF(LEN(INDEX(Database!H$9:H$501,ROW(Calc!F402)-ROW(Calc!$B$7)))=0,$AD$3,INDEX(Database!H$9:H$501,ROW(Calc!F402)-ROW(Calc!$B$7))),"")</f>
        <v>Not Set</v>
      </c>
      <c r="H402" s="128" t="str">
        <f>IFERROR(IF(LEN(INDEX(Database!I$9:I$501,ROW(Calc!G402)-ROW(Calc!$B$7)))=0,$AD$3,INDEX(Database!I$9:I$501,ROW(Calc!G402)-ROW(Calc!$B$7))),"")</f>
        <v>Not Set</v>
      </c>
      <c r="I402" s="128" t="str">
        <f>IFERROR(IF(LEN(INDEX(Database!J$9:J$501,ROW(Calc!H402)-ROW(Calc!$B$7)))=0,$AD$3,INDEX(Database!J$9:J$501,ROW(Calc!H402)-ROW(Calc!$B$7))),"")</f>
        <v>Not Set</v>
      </c>
      <c r="J402" s="128" t="str">
        <f t="shared" si="59"/>
        <v>Not Set</v>
      </c>
      <c r="K402" s="124" t="str">
        <f>IFERROR(IF(LEN(INDEX(Database!E$9:E$501,ROW(Calc!I402)-ROW(Calc!$B$7)))=0,"",INDEX(Database!E$9:E$501,ROW(Calc!I402)-ROW(Calc!$B$7))),"")</f>
        <v/>
      </c>
      <c r="L402" s="129" t="str">
        <f>IFERROR(IF(LEN(INDEX(Database!K$9:K$501,ROW(Calc!K402)-ROW(Calc!$B$7)))=0,$AD$3,INDEX(Database!K$9:K$501,ROW(Calc!K402)-ROW(Calc!$B$7))),"")</f>
        <v>Not Set</v>
      </c>
      <c r="M402" s="130" t="str">
        <f>IFERROR(IF(LEN(INDEX(Database!L$9:L$501,ROW(Calc!L402)-ROW(Calc!$B$7)))=0,$AD$3,INDEX(Database!L$9:L$501,ROW(Calc!L402)-ROW(Calc!$B$7))),"")</f>
        <v>Not Set</v>
      </c>
      <c r="N402" s="131" t="str">
        <f>IFERROR(IF(LEN(INDEX(Database!M$9:M$501,ROW(Calc!M402)-ROW(Calc!$B$7)))=0,"",INDEX(Database!M$9:M$501,ROW(Calc!M402)-ROW(Calc!$B$7))),"")</f>
        <v/>
      </c>
      <c r="O402" s="132" t="str">
        <f t="shared" si="63"/>
        <v/>
      </c>
      <c r="P402" s="125" t="str">
        <f t="shared" si="60"/>
        <v>Not Set</v>
      </c>
      <c r="Q402" s="125" t="str">
        <f t="shared" si="61"/>
        <v>Not Set</v>
      </c>
      <c r="R402" s="125" t="str">
        <f>IFERROR(IF(G402=$AD$3,$AD$3,INDEX(Kanban_Helper!$C$317:$C$328,MATCH(MONTH(G402),Kanban_Helper!$B$317:$B$328,0))&amp;" - "&amp;YEAR(G402)),"$AD$3")</f>
        <v>Not Set</v>
      </c>
      <c r="S402" s="125" t="str">
        <f>IFERROR(IF(I402=$AD$3,$AD$3,INDEX(Kanban_Helper!$C$317:$C$328,MATCH(MONTH(I402),Kanban_Helper!$B$317:$B$328,0))&amp;" - "&amp;YEAR(I402)),$AD$3)</f>
        <v>Not Set</v>
      </c>
      <c r="T402" s="125" t="str">
        <f t="shared" ca="1" si="64"/>
        <v/>
      </c>
      <c r="U402" s="125" t="str">
        <f t="shared" ca="1" si="65"/>
        <v/>
      </c>
      <c r="V402" s="125" t="str">
        <f t="shared" si="62"/>
        <v>Not Set</v>
      </c>
      <c r="W402" s="126" t="str">
        <f t="shared" si="66"/>
        <v/>
      </c>
      <c r="X402" s="126" t="str">
        <f t="shared" si="67"/>
        <v/>
      </c>
      <c r="Y402" s="125" t="str">
        <f>IFERROR(IF(LEN(D402)=0,"",IF(SUBTOTAL(3,E402:E402)=0,MIN($Y$7:Y401)-1,SUBTOTAL(3,$E$8:E402))),"")</f>
        <v/>
      </c>
      <c r="Z402" s="17"/>
      <c r="AA402" s="10"/>
      <c r="AB402" s="10"/>
      <c r="AC402" s="10"/>
      <c r="AD402" s="10"/>
      <c r="AE402" s="10"/>
      <c r="AF402" s="10"/>
      <c r="AG402" s="10"/>
      <c r="AH402" s="10"/>
      <c r="AI402" s="10"/>
      <c r="AJ402" s="10"/>
      <c r="AK402" s="10"/>
      <c r="AL402" s="10"/>
      <c r="AM402" s="10"/>
      <c r="AN402" s="10"/>
    </row>
    <row r="403" spans="2:40" hidden="1" x14ac:dyDescent="0.35">
      <c r="B403" s="15"/>
      <c r="C403" s="127" t="str">
        <f>IFERROR(IF(LEN(INDEX(Database!C$9:C$501,ROW(Calc!A403)-ROW(Calc!$B$7)))=0,"",INDEX(Database!C$9:C$501,ROW(Calc!A403)-ROW(Calc!$B$7))),"")</f>
        <v/>
      </c>
      <c r="D403" s="70" t="str">
        <f>IFERROR(IF(LEN(INDEX(Database!D$9:D$501,ROW(Calc!B403)-ROW(Calc!$B$7)))=0,"",INDEX(Database!D$9:D$501,ROW(Calc!B403)-ROW(Calc!$B$7))),"")</f>
        <v/>
      </c>
      <c r="E403" s="124" t="str">
        <f>IFERROR(IF(LEN(INDEX(Database!G$9:G$501,ROW(Calc!D403)-ROW(Calc!$B$7)))=0,$AD$3,INDEX(Database!G$9:G$501,ROW(Calc!D403)-ROW(Calc!$B$7))),"")</f>
        <v>Not Set</v>
      </c>
      <c r="F403" s="124" t="str">
        <f>IFERROR(IF(LEN(INDEX(Database!F$9:F$501,ROW(Calc!E403)-ROW(Calc!$B$7)))=0,$AD$3,INDEX(Database!F$9:F$501,ROW(Calc!E403)-ROW(Calc!$B$7))),"")</f>
        <v>Not Set</v>
      </c>
      <c r="G403" s="128" t="str">
        <f>IFERROR(IF(LEN(INDEX(Database!H$9:H$501,ROW(Calc!F403)-ROW(Calc!$B$7)))=0,$AD$3,INDEX(Database!H$9:H$501,ROW(Calc!F403)-ROW(Calc!$B$7))),"")</f>
        <v>Not Set</v>
      </c>
      <c r="H403" s="128" t="str">
        <f>IFERROR(IF(LEN(INDEX(Database!I$9:I$501,ROW(Calc!G403)-ROW(Calc!$B$7)))=0,$AD$3,INDEX(Database!I$9:I$501,ROW(Calc!G403)-ROW(Calc!$B$7))),"")</f>
        <v>Not Set</v>
      </c>
      <c r="I403" s="128" t="str">
        <f>IFERROR(IF(LEN(INDEX(Database!J$9:J$501,ROW(Calc!H403)-ROW(Calc!$B$7)))=0,$AD$3,INDEX(Database!J$9:J$501,ROW(Calc!H403)-ROW(Calc!$B$7))),"")</f>
        <v>Not Set</v>
      </c>
      <c r="J403" s="128" t="str">
        <f t="shared" si="59"/>
        <v>Not Set</v>
      </c>
      <c r="K403" s="124" t="str">
        <f>IFERROR(IF(LEN(INDEX(Database!E$9:E$501,ROW(Calc!I403)-ROW(Calc!$B$7)))=0,"",INDEX(Database!E$9:E$501,ROW(Calc!I403)-ROW(Calc!$B$7))),"")</f>
        <v/>
      </c>
      <c r="L403" s="129" t="str">
        <f>IFERROR(IF(LEN(INDEX(Database!K$9:K$501,ROW(Calc!K403)-ROW(Calc!$B$7)))=0,$AD$3,INDEX(Database!K$9:K$501,ROW(Calc!K403)-ROW(Calc!$B$7))),"")</f>
        <v>Not Set</v>
      </c>
      <c r="M403" s="130" t="str">
        <f>IFERROR(IF(LEN(INDEX(Database!L$9:L$501,ROW(Calc!L403)-ROW(Calc!$B$7)))=0,$AD$3,INDEX(Database!L$9:L$501,ROW(Calc!L403)-ROW(Calc!$B$7))),"")</f>
        <v>Not Set</v>
      </c>
      <c r="N403" s="131" t="str">
        <f>IFERROR(IF(LEN(INDEX(Database!M$9:M$501,ROW(Calc!M403)-ROW(Calc!$B$7)))=0,"",INDEX(Database!M$9:M$501,ROW(Calc!M403)-ROW(Calc!$B$7))),"")</f>
        <v/>
      </c>
      <c r="O403" s="132" t="str">
        <f t="shared" si="63"/>
        <v/>
      </c>
      <c r="P403" s="125" t="str">
        <f t="shared" si="60"/>
        <v>Not Set</v>
      </c>
      <c r="Q403" s="125" t="str">
        <f t="shared" si="61"/>
        <v>Not Set</v>
      </c>
      <c r="R403" s="125" t="str">
        <f>IFERROR(IF(G403=$AD$3,$AD$3,INDEX(Kanban_Helper!$C$317:$C$328,MATCH(MONTH(G403),Kanban_Helper!$B$317:$B$328,0))&amp;" - "&amp;YEAR(G403)),"$AD$3")</f>
        <v>Not Set</v>
      </c>
      <c r="S403" s="125" t="str">
        <f>IFERROR(IF(I403=$AD$3,$AD$3,INDEX(Kanban_Helper!$C$317:$C$328,MATCH(MONTH(I403),Kanban_Helper!$B$317:$B$328,0))&amp;" - "&amp;YEAR(I403)),$AD$3)</f>
        <v>Not Set</v>
      </c>
      <c r="T403" s="125" t="str">
        <f t="shared" ca="1" si="64"/>
        <v/>
      </c>
      <c r="U403" s="125" t="str">
        <f t="shared" ca="1" si="65"/>
        <v/>
      </c>
      <c r="V403" s="125" t="str">
        <f t="shared" si="62"/>
        <v>Not Set</v>
      </c>
      <c r="W403" s="126" t="str">
        <f t="shared" si="66"/>
        <v/>
      </c>
      <c r="X403" s="126" t="str">
        <f t="shared" si="67"/>
        <v/>
      </c>
      <c r="Y403" s="125" t="str">
        <f>IFERROR(IF(LEN(D403)=0,"",IF(SUBTOTAL(3,E403:E403)=0,MIN($Y$7:Y402)-1,SUBTOTAL(3,$E$8:E403))),"")</f>
        <v/>
      </c>
      <c r="Z403" s="17"/>
      <c r="AA403" s="10"/>
      <c r="AB403" s="10"/>
      <c r="AC403" s="10"/>
      <c r="AD403" s="10"/>
      <c r="AE403" s="10"/>
      <c r="AF403" s="10"/>
      <c r="AG403" s="10"/>
      <c r="AH403" s="10"/>
      <c r="AI403" s="10"/>
      <c r="AJ403" s="10"/>
      <c r="AK403" s="10"/>
      <c r="AL403" s="10"/>
      <c r="AM403" s="10"/>
      <c r="AN403" s="10"/>
    </row>
    <row r="404" spans="2:40" hidden="1" x14ac:dyDescent="0.35">
      <c r="B404" s="15"/>
      <c r="C404" s="127" t="str">
        <f>IFERROR(IF(LEN(INDEX(Database!C$9:C$501,ROW(Calc!A404)-ROW(Calc!$B$7)))=0,"",INDEX(Database!C$9:C$501,ROW(Calc!A404)-ROW(Calc!$B$7))),"")</f>
        <v/>
      </c>
      <c r="D404" s="70" t="str">
        <f>IFERROR(IF(LEN(INDEX(Database!D$9:D$501,ROW(Calc!B404)-ROW(Calc!$B$7)))=0,"",INDEX(Database!D$9:D$501,ROW(Calc!B404)-ROW(Calc!$B$7))),"")</f>
        <v/>
      </c>
      <c r="E404" s="124" t="str">
        <f>IFERROR(IF(LEN(INDEX(Database!G$9:G$501,ROW(Calc!D404)-ROW(Calc!$B$7)))=0,$AD$3,INDEX(Database!G$9:G$501,ROW(Calc!D404)-ROW(Calc!$B$7))),"")</f>
        <v>Not Set</v>
      </c>
      <c r="F404" s="124" t="str">
        <f>IFERROR(IF(LEN(INDEX(Database!F$9:F$501,ROW(Calc!E404)-ROW(Calc!$B$7)))=0,$AD$3,INDEX(Database!F$9:F$501,ROW(Calc!E404)-ROW(Calc!$B$7))),"")</f>
        <v>Not Set</v>
      </c>
      <c r="G404" s="128" t="str">
        <f>IFERROR(IF(LEN(INDEX(Database!H$9:H$501,ROW(Calc!F404)-ROW(Calc!$B$7)))=0,$AD$3,INDEX(Database!H$9:H$501,ROW(Calc!F404)-ROW(Calc!$B$7))),"")</f>
        <v>Not Set</v>
      </c>
      <c r="H404" s="128" t="str">
        <f>IFERROR(IF(LEN(INDEX(Database!I$9:I$501,ROW(Calc!G404)-ROW(Calc!$B$7)))=0,$AD$3,INDEX(Database!I$9:I$501,ROW(Calc!G404)-ROW(Calc!$B$7))),"")</f>
        <v>Not Set</v>
      </c>
      <c r="I404" s="128" t="str">
        <f>IFERROR(IF(LEN(INDEX(Database!J$9:J$501,ROW(Calc!H404)-ROW(Calc!$B$7)))=0,$AD$3,INDEX(Database!J$9:J$501,ROW(Calc!H404)-ROW(Calc!$B$7))),"")</f>
        <v>Not Set</v>
      </c>
      <c r="J404" s="128" t="str">
        <f t="shared" si="59"/>
        <v>Not Set</v>
      </c>
      <c r="K404" s="124" t="str">
        <f>IFERROR(IF(LEN(INDEX(Database!E$9:E$501,ROW(Calc!I404)-ROW(Calc!$B$7)))=0,"",INDEX(Database!E$9:E$501,ROW(Calc!I404)-ROW(Calc!$B$7))),"")</f>
        <v/>
      </c>
      <c r="L404" s="129" t="str">
        <f>IFERROR(IF(LEN(INDEX(Database!K$9:K$501,ROW(Calc!K404)-ROW(Calc!$B$7)))=0,$AD$3,INDEX(Database!K$9:K$501,ROW(Calc!K404)-ROW(Calc!$B$7))),"")</f>
        <v>Not Set</v>
      </c>
      <c r="M404" s="130" t="str">
        <f>IFERROR(IF(LEN(INDEX(Database!L$9:L$501,ROW(Calc!L404)-ROW(Calc!$B$7)))=0,$AD$3,INDEX(Database!L$9:L$501,ROW(Calc!L404)-ROW(Calc!$B$7))),"")</f>
        <v>Not Set</v>
      </c>
      <c r="N404" s="131" t="str">
        <f>IFERROR(IF(LEN(INDEX(Database!M$9:M$501,ROW(Calc!M404)-ROW(Calc!$B$7)))=0,"",INDEX(Database!M$9:M$501,ROW(Calc!M404)-ROW(Calc!$B$7))),"")</f>
        <v/>
      </c>
      <c r="O404" s="132" t="str">
        <f t="shared" si="63"/>
        <v/>
      </c>
      <c r="P404" s="125" t="str">
        <f t="shared" si="60"/>
        <v>Not Set</v>
      </c>
      <c r="Q404" s="125" t="str">
        <f t="shared" si="61"/>
        <v>Not Set</v>
      </c>
      <c r="R404" s="125" t="str">
        <f>IFERROR(IF(G404=$AD$3,$AD$3,INDEX(Kanban_Helper!$C$317:$C$328,MATCH(MONTH(G404),Kanban_Helper!$B$317:$B$328,0))&amp;" - "&amp;YEAR(G404)),"$AD$3")</f>
        <v>Not Set</v>
      </c>
      <c r="S404" s="125" t="str">
        <f>IFERROR(IF(I404=$AD$3,$AD$3,INDEX(Kanban_Helper!$C$317:$C$328,MATCH(MONTH(I404),Kanban_Helper!$B$317:$B$328,0))&amp;" - "&amp;YEAR(I404)),$AD$3)</f>
        <v>Not Set</v>
      </c>
      <c r="T404" s="125" t="str">
        <f t="shared" ca="1" si="64"/>
        <v/>
      </c>
      <c r="U404" s="125" t="str">
        <f t="shared" ca="1" si="65"/>
        <v/>
      </c>
      <c r="V404" s="125" t="str">
        <f t="shared" si="62"/>
        <v>Not Set</v>
      </c>
      <c r="W404" s="126" t="str">
        <f t="shared" si="66"/>
        <v/>
      </c>
      <c r="X404" s="126" t="str">
        <f t="shared" si="67"/>
        <v/>
      </c>
      <c r="Y404" s="125" t="str">
        <f>IFERROR(IF(LEN(D404)=0,"",IF(SUBTOTAL(3,E404:E404)=0,MIN($Y$7:Y403)-1,SUBTOTAL(3,$E$8:E404))),"")</f>
        <v/>
      </c>
      <c r="Z404" s="17"/>
      <c r="AA404" s="10"/>
      <c r="AB404" s="10"/>
      <c r="AC404" s="10"/>
      <c r="AD404" s="10"/>
      <c r="AE404" s="10"/>
      <c r="AF404" s="10"/>
      <c r="AG404" s="10"/>
      <c r="AH404" s="10"/>
      <c r="AI404" s="10"/>
      <c r="AJ404" s="10"/>
      <c r="AK404" s="10"/>
      <c r="AL404" s="10"/>
      <c r="AM404" s="10"/>
      <c r="AN404" s="10"/>
    </row>
    <row r="405" spans="2:40" hidden="1" x14ac:dyDescent="0.35">
      <c r="B405" s="15"/>
      <c r="C405" s="127" t="str">
        <f>IFERROR(IF(LEN(INDEX(Database!C$9:C$501,ROW(Calc!A405)-ROW(Calc!$B$7)))=0,"",INDEX(Database!C$9:C$501,ROW(Calc!A405)-ROW(Calc!$B$7))),"")</f>
        <v/>
      </c>
      <c r="D405" s="70" t="str">
        <f>IFERROR(IF(LEN(INDEX(Database!D$9:D$501,ROW(Calc!B405)-ROW(Calc!$B$7)))=0,"",INDEX(Database!D$9:D$501,ROW(Calc!B405)-ROW(Calc!$B$7))),"")</f>
        <v/>
      </c>
      <c r="E405" s="124" t="str">
        <f>IFERROR(IF(LEN(INDEX(Database!G$9:G$501,ROW(Calc!D405)-ROW(Calc!$B$7)))=0,$AD$3,INDEX(Database!G$9:G$501,ROW(Calc!D405)-ROW(Calc!$B$7))),"")</f>
        <v>Not Set</v>
      </c>
      <c r="F405" s="124" t="str">
        <f>IFERROR(IF(LEN(INDEX(Database!F$9:F$501,ROW(Calc!E405)-ROW(Calc!$B$7)))=0,$AD$3,INDEX(Database!F$9:F$501,ROW(Calc!E405)-ROW(Calc!$B$7))),"")</f>
        <v>Not Set</v>
      </c>
      <c r="G405" s="128" t="str">
        <f>IFERROR(IF(LEN(INDEX(Database!H$9:H$501,ROW(Calc!F405)-ROW(Calc!$B$7)))=0,$AD$3,INDEX(Database!H$9:H$501,ROW(Calc!F405)-ROW(Calc!$B$7))),"")</f>
        <v>Not Set</v>
      </c>
      <c r="H405" s="128" t="str">
        <f>IFERROR(IF(LEN(INDEX(Database!I$9:I$501,ROW(Calc!G405)-ROW(Calc!$B$7)))=0,$AD$3,INDEX(Database!I$9:I$501,ROW(Calc!G405)-ROW(Calc!$B$7))),"")</f>
        <v>Not Set</v>
      </c>
      <c r="I405" s="128" t="str">
        <f>IFERROR(IF(LEN(INDEX(Database!J$9:J$501,ROW(Calc!H405)-ROW(Calc!$B$7)))=0,$AD$3,INDEX(Database!J$9:J$501,ROW(Calc!H405)-ROW(Calc!$B$7))),"")</f>
        <v>Not Set</v>
      </c>
      <c r="J405" s="128" t="str">
        <f t="shared" si="59"/>
        <v>Not Set</v>
      </c>
      <c r="K405" s="124" t="str">
        <f>IFERROR(IF(LEN(INDEX(Database!E$9:E$501,ROW(Calc!I405)-ROW(Calc!$B$7)))=0,"",INDEX(Database!E$9:E$501,ROW(Calc!I405)-ROW(Calc!$B$7))),"")</f>
        <v/>
      </c>
      <c r="L405" s="129" t="str">
        <f>IFERROR(IF(LEN(INDEX(Database!K$9:K$501,ROW(Calc!K405)-ROW(Calc!$B$7)))=0,$AD$3,INDEX(Database!K$9:K$501,ROW(Calc!K405)-ROW(Calc!$B$7))),"")</f>
        <v>Not Set</v>
      </c>
      <c r="M405" s="130" t="str">
        <f>IFERROR(IF(LEN(INDEX(Database!L$9:L$501,ROW(Calc!L405)-ROW(Calc!$B$7)))=0,$AD$3,INDEX(Database!L$9:L$501,ROW(Calc!L405)-ROW(Calc!$B$7))),"")</f>
        <v>Not Set</v>
      </c>
      <c r="N405" s="131" t="str">
        <f>IFERROR(IF(LEN(INDEX(Database!M$9:M$501,ROW(Calc!M405)-ROW(Calc!$B$7)))=0,"",INDEX(Database!M$9:M$501,ROW(Calc!M405)-ROW(Calc!$B$7))),"")</f>
        <v/>
      </c>
      <c r="O405" s="132" t="str">
        <f t="shared" si="63"/>
        <v/>
      </c>
      <c r="P405" s="125" t="str">
        <f t="shared" si="60"/>
        <v>Not Set</v>
      </c>
      <c r="Q405" s="125" t="str">
        <f t="shared" si="61"/>
        <v>Not Set</v>
      </c>
      <c r="R405" s="125" t="str">
        <f>IFERROR(IF(G405=$AD$3,$AD$3,INDEX(Kanban_Helper!$C$317:$C$328,MATCH(MONTH(G405),Kanban_Helper!$B$317:$B$328,0))&amp;" - "&amp;YEAR(G405)),"$AD$3")</f>
        <v>Not Set</v>
      </c>
      <c r="S405" s="125" t="str">
        <f>IFERROR(IF(I405=$AD$3,$AD$3,INDEX(Kanban_Helper!$C$317:$C$328,MATCH(MONTH(I405),Kanban_Helper!$B$317:$B$328,0))&amp;" - "&amp;YEAR(I405)),$AD$3)</f>
        <v>Not Set</v>
      </c>
      <c r="T405" s="125" t="str">
        <f t="shared" ca="1" si="64"/>
        <v/>
      </c>
      <c r="U405" s="125" t="str">
        <f t="shared" ca="1" si="65"/>
        <v/>
      </c>
      <c r="V405" s="125" t="str">
        <f t="shared" si="62"/>
        <v>Not Set</v>
      </c>
      <c r="W405" s="126" t="str">
        <f t="shared" si="66"/>
        <v/>
      </c>
      <c r="X405" s="126" t="str">
        <f t="shared" si="67"/>
        <v/>
      </c>
      <c r="Y405" s="125" t="str">
        <f>IFERROR(IF(LEN(D405)=0,"",IF(SUBTOTAL(3,E405:E405)=0,MIN($Y$7:Y404)-1,SUBTOTAL(3,$E$8:E405))),"")</f>
        <v/>
      </c>
      <c r="Z405" s="17"/>
      <c r="AA405" s="10"/>
      <c r="AB405" s="10"/>
      <c r="AC405" s="10"/>
      <c r="AD405" s="10"/>
      <c r="AE405" s="10"/>
      <c r="AF405" s="10"/>
      <c r="AG405" s="10"/>
      <c r="AH405" s="10"/>
      <c r="AI405" s="10"/>
      <c r="AJ405" s="10"/>
      <c r="AK405" s="10"/>
      <c r="AL405" s="10"/>
      <c r="AM405" s="10"/>
      <c r="AN405" s="10"/>
    </row>
    <row r="406" spans="2:40" hidden="1" x14ac:dyDescent="0.35">
      <c r="B406" s="15"/>
      <c r="C406" s="127" t="str">
        <f>IFERROR(IF(LEN(INDEX(Database!C$9:C$501,ROW(Calc!A406)-ROW(Calc!$B$7)))=0,"",INDEX(Database!C$9:C$501,ROW(Calc!A406)-ROW(Calc!$B$7))),"")</f>
        <v/>
      </c>
      <c r="D406" s="70" t="str">
        <f>IFERROR(IF(LEN(INDEX(Database!D$9:D$501,ROW(Calc!B406)-ROW(Calc!$B$7)))=0,"",INDEX(Database!D$9:D$501,ROW(Calc!B406)-ROW(Calc!$B$7))),"")</f>
        <v/>
      </c>
      <c r="E406" s="124" t="str">
        <f>IFERROR(IF(LEN(INDEX(Database!G$9:G$501,ROW(Calc!D406)-ROW(Calc!$B$7)))=0,$AD$3,INDEX(Database!G$9:G$501,ROW(Calc!D406)-ROW(Calc!$B$7))),"")</f>
        <v>Not Set</v>
      </c>
      <c r="F406" s="124" t="str">
        <f>IFERROR(IF(LEN(INDEX(Database!F$9:F$501,ROW(Calc!E406)-ROW(Calc!$B$7)))=0,$AD$3,INDEX(Database!F$9:F$501,ROW(Calc!E406)-ROW(Calc!$B$7))),"")</f>
        <v>Not Set</v>
      </c>
      <c r="G406" s="128" t="str">
        <f>IFERROR(IF(LEN(INDEX(Database!H$9:H$501,ROW(Calc!F406)-ROW(Calc!$B$7)))=0,$AD$3,INDEX(Database!H$9:H$501,ROW(Calc!F406)-ROW(Calc!$B$7))),"")</f>
        <v>Not Set</v>
      </c>
      <c r="H406" s="128" t="str">
        <f>IFERROR(IF(LEN(INDEX(Database!I$9:I$501,ROW(Calc!G406)-ROW(Calc!$B$7)))=0,$AD$3,INDEX(Database!I$9:I$501,ROW(Calc!G406)-ROW(Calc!$B$7))),"")</f>
        <v>Not Set</v>
      </c>
      <c r="I406" s="128" t="str">
        <f>IFERROR(IF(LEN(INDEX(Database!J$9:J$501,ROW(Calc!H406)-ROW(Calc!$B$7)))=0,$AD$3,INDEX(Database!J$9:J$501,ROW(Calc!H406)-ROW(Calc!$B$7))),"")</f>
        <v>Not Set</v>
      </c>
      <c r="J406" s="128" t="str">
        <f t="shared" si="59"/>
        <v>Not Set</v>
      </c>
      <c r="K406" s="124" t="str">
        <f>IFERROR(IF(LEN(INDEX(Database!E$9:E$501,ROW(Calc!I406)-ROW(Calc!$B$7)))=0,"",INDEX(Database!E$9:E$501,ROW(Calc!I406)-ROW(Calc!$B$7))),"")</f>
        <v/>
      </c>
      <c r="L406" s="129" t="str">
        <f>IFERROR(IF(LEN(INDEX(Database!K$9:K$501,ROW(Calc!K406)-ROW(Calc!$B$7)))=0,$AD$3,INDEX(Database!K$9:K$501,ROW(Calc!K406)-ROW(Calc!$B$7))),"")</f>
        <v>Not Set</v>
      </c>
      <c r="M406" s="130" t="str">
        <f>IFERROR(IF(LEN(INDEX(Database!L$9:L$501,ROW(Calc!L406)-ROW(Calc!$B$7)))=0,$AD$3,INDEX(Database!L$9:L$501,ROW(Calc!L406)-ROW(Calc!$B$7))),"")</f>
        <v>Not Set</v>
      </c>
      <c r="N406" s="131" t="str">
        <f>IFERROR(IF(LEN(INDEX(Database!M$9:M$501,ROW(Calc!M406)-ROW(Calc!$B$7)))=0,"",INDEX(Database!M$9:M$501,ROW(Calc!M406)-ROW(Calc!$B$7))),"")</f>
        <v/>
      </c>
      <c r="O406" s="132" t="str">
        <f t="shared" si="63"/>
        <v/>
      </c>
      <c r="P406" s="125" t="str">
        <f t="shared" si="60"/>
        <v>Not Set</v>
      </c>
      <c r="Q406" s="125" t="str">
        <f t="shared" si="61"/>
        <v>Not Set</v>
      </c>
      <c r="R406" s="125" t="str">
        <f>IFERROR(IF(G406=$AD$3,$AD$3,INDEX(Kanban_Helper!$C$317:$C$328,MATCH(MONTH(G406),Kanban_Helper!$B$317:$B$328,0))&amp;" - "&amp;YEAR(G406)),"$AD$3")</f>
        <v>Not Set</v>
      </c>
      <c r="S406" s="125" t="str">
        <f>IFERROR(IF(I406=$AD$3,$AD$3,INDEX(Kanban_Helper!$C$317:$C$328,MATCH(MONTH(I406),Kanban_Helper!$B$317:$B$328,0))&amp;" - "&amp;YEAR(I406)),$AD$3)</f>
        <v>Not Set</v>
      </c>
      <c r="T406" s="125" t="str">
        <f t="shared" ca="1" si="64"/>
        <v/>
      </c>
      <c r="U406" s="125" t="str">
        <f t="shared" ca="1" si="65"/>
        <v/>
      </c>
      <c r="V406" s="125" t="str">
        <f t="shared" si="62"/>
        <v>Not Set</v>
      </c>
      <c r="W406" s="126" t="str">
        <f t="shared" si="66"/>
        <v/>
      </c>
      <c r="X406" s="126" t="str">
        <f t="shared" si="67"/>
        <v/>
      </c>
      <c r="Y406" s="125" t="str">
        <f>IFERROR(IF(LEN(D406)=0,"",IF(SUBTOTAL(3,E406:E406)=0,MIN($Y$7:Y405)-1,SUBTOTAL(3,$E$8:E406))),"")</f>
        <v/>
      </c>
      <c r="Z406" s="17"/>
      <c r="AA406" s="10"/>
      <c r="AB406" s="10"/>
      <c r="AC406" s="10"/>
      <c r="AD406" s="10"/>
      <c r="AE406" s="10"/>
      <c r="AF406" s="10"/>
      <c r="AG406" s="10"/>
      <c r="AH406" s="10"/>
      <c r="AI406" s="10"/>
      <c r="AJ406" s="10"/>
      <c r="AK406" s="10"/>
      <c r="AL406" s="10"/>
      <c r="AM406" s="10"/>
      <c r="AN406" s="10"/>
    </row>
    <row r="407" spans="2:40" hidden="1" x14ac:dyDescent="0.35">
      <c r="B407" s="15"/>
      <c r="C407" s="127" t="str">
        <f>IFERROR(IF(LEN(INDEX(Database!C$9:C$501,ROW(Calc!A407)-ROW(Calc!$B$7)))=0,"",INDEX(Database!C$9:C$501,ROW(Calc!A407)-ROW(Calc!$B$7))),"")</f>
        <v/>
      </c>
      <c r="D407" s="70" t="str">
        <f>IFERROR(IF(LEN(INDEX(Database!D$9:D$501,ROW(Calc!B407)-ROW(Calc!$B$7)))=0,"",INDEX(Database!D$9:D$501,ROW(Calc!B407)-ROW(Calc!$B$7))),"")</f>
        <v/>
      </c>
      <c r="E407" s="124" t="str">
        <f>IFERROR(IF(LEN(INDEX(Database!G$9:G$501,ROW(Calc!D407)-ROW(Calc!$B$7)))=0,$AD$3,INDEX(Database!G$9:G$501,ROW(Calc!D407)-ROW(Calc!$B$7))),"")</f>
        <v>Not Set</v>
      </c>
      <c r="F407" s="124" t="str">
        <f>IFERROR(IF(LEN(INDEX(Database!F$9:F$501,ROW(Calc!E407)-ROW(Calc!$B$7)))=0,$AD$3,INDEX(Database!F$9:F$501,ROW(Calc!E407)-ROW(Calc!$B$7))),"")</f>
        <v>Not Set</v>
      </c>
      <c r="G407" s="128" t="str">
        <f>IFERROR(IF(LEN(INDEX(Database!H$9:H$501,ROW(Calc!F407)-ROW(Calc!$B$7)))=0,$AD$3,INDEX(Database!H$9:H$501,ROW(Calc!F407)-ROW(Calc!$B$7))),"")</f>
        <v>Not Set</v>
      </c>
      <c r="H407" s="128" t="str">
        <f>IFERROR(IF(LEN(INDEX(Database!I$9:I$501,ROW(Calc!G407)-ROW(Calc!$B$7)))=0,$AD$3,INDEX(Database!I$9:I$501,ROW(Calc!G407)-ROW(Calc!$B$7))),"")</f>
        <v>Not Set</v>
      </c>
      <c r="I407" s="128" t="str">
        <f>IFERROR(IF(LEN(INDEX(Database!J$9:J$501,ROW(Calc!H407)-ROW(Calc!$B$7)))=0,$AD$3,INDEX(Database!J$9:J$501,ROW(Calc!H407)-ROW(Calc!$B$7))),"")</f>
        <v>Not Set</v>
      </c>
      <c r="J407" s="128" t="str">
        <f t="shared" si="59"/>
        <v>Not Set</v>
      </c>
      <c r="K407" s="124" t="str">
        <f>IFERROR(IF(LEN(INDEX(Database!E$9:E$501,ROW(Calc!I407)-ROW(Calc!$B$7)))=0,"",INDEX(Database!E$9:E$501,ROW(Calc!I407)-ROW(Calc!$B$7))),"")</f>
        <v/>
      </c>
      <c r="L407" s="129" t="str">
        <f>IFERROR(IF(LEN(INDEX(Database!K$9:K$501,ROW(Calc!K407)-ROW(Calc!$B$7)))=0,$AD$3,INDEX(Database!K$9:K$501,ROW(Calc!K407)-ROW(Calc!$B$7))),"")</f>
        <v>Not Set</v>
      </c>
      <c r="M407" s="130" t="str">
        <f>IFERROR(IF(LEN(INDEX(Database!L$9:L$501,ROW(Calc!L407)-ROW(Calc!$B$7)))=0,$AD$3,INDEX(Database!L$9:L$501,ROW(Calc!L407)-ROW(Calc!$B$7))),"")</f>
        <v>Not Set</v>
      </c>
      <c r="N407" s="131" t="str">
        <f>IFERROR(IF(LEN(INDEX(Database!M$9:M$501,ROW(Calc!M407)-ROW(Calc!$B$7)))=0,"",INDEX(Database!M$9:M$501,ROW(Calc!M407)-ROW(Calc!$B$7))),"")</f>
        <v/>
      </c>
      <c r="O407" s="132" t="str">
        <f t="shared" si="63"/>
        <v/>
      </c>
      <c r="P407" s="125" t="str">
        <f t="shared" si="60"/>
        <v>Not Set</v>
      </c>
      <c r="Q407" s="125" t="str">
        <f t="shared" si="61"/>
        <v>Not Set</v>
      </c>
      <c r="R407" s="125" t="str">
        <f>IFERROR(IF(G407=$AD$3,$AD$3,INDEX(Kanban_Helper!$C$317:$C$328,MATCH(MONTH(G407),Kanban_Helper!$B$317:$B$328,0))&amp;" - "&amp;YEAR(G407)),"$AD$3")</f>
        <v>Not Set</v>
      </c>
      <c r="S407" s="125" t="str">
        <f>IFERROR(IF(I407=$AD$3,$AD$3,INDEX(Kanban_Helper!$C$317:$C$328,MATCH(MONTH(I407),Kanban_Helper!$B$317:$B$328,0))&amp;" - "&amp;YEAR(I407)),$AD$3)</f>
        <v>Not Set</v>
      </c>
      <c r="T407" s="125" t="str">
        <f t="shared" ca="1" si="64"/>
        <v/>
      </c>
      <c r="U407" s="125" t="str">
        <f t="shared" ca="1" si="65"/>
        <v/>
      </c>
      <c r="V407" s="125" t="str">
        <f t="shared" si="62"/>
        <v>Not Set</v>
      </c>
      <c r="W407" s="126" t="str">
        <f t="shared" si="66"/>
        <v/>
      </c>
      <c r="X407" s="126" t="str">
        <f t="shared" si="67"/>
        <v/>
      </c>
      <c r="Y407" s="125" t="str">
        <f>IFERROR(IF(LEN(D407)=0,"",IF(SUBTOTAL(3,E407:E407)=0,MIN($Y$7:Y406)-1,SUBTOTAL(3,$E$8:E407))),"")</f>
        <v/>
      </c>
      <c r="Z407" s="17"/>
      <c r="AA407" s="10"/>
      <c r="AB407" s="10"/>
      <c r="AC407" s="10"/>
      <c r="AD407" s="10"/>
      <c r="AE407" s="10"/>
      <c r="AF407" s="10"/>
      <c r="AG407" s="10"/>
      <c r="AH407" s="10"/>
      <c r="AI407" s="10"/>
      <c r="AJ407" s="10"/>
      <c r="AK407" s="10"/>
      <c r="AL407" s="10"/>
      <c r="AM407" s="10"/>
      <c r="AN407" s="10"/>
    </row>
    <row r="408" spans="2:40" hidden="1" x14ac:dyDescent="0.35">
      <c r="B408" s="15"/>
      <c r="C408" s="127" t="str">
        <f>IFERROR(IF(LEN(INDEX(Database!C$9:C$501,ROW(Calc!A408)-ROW(Calc!$B$7)))=0,"",INDEX(Database!C$9:C$501,ROW(Calc!A408)-ROW(Calc!$B$7))),"")</f>
        <v/>
      </c>
      <c r="D408" s="70" t="str">
        <f>IFERROR(IF(LEN(INDEX(Database!D$9:D$501,ROW(Calc!B408)-ROW(Calc!$B$7)))=0,"",INDEX(Database!D$9:D$501,ROW(Calc!B408)-ROW(Calc!$B$7))),"")</f>
        <v/>
      </c>
      <c r="E408" s="124" t="str">
        <f>IFERROR(IF(LEN(INDEX(Database!G$9:G$501,ROW(Calc!D408)-ROW(Calc!$B$7)))=0,$AD$3,INDEX(Database!G$9:G$501,ROW(Calc!D408)-ROW(Calc!$B$7))),"")</f>
        <v>Not Set</v>
      </c>
      <c r="F408" s="124" t="str">
        <f>IFERROR(IF(LEN(INDEX(Database!F$9:F$501,ROW(Calc!E408)-ROW(Calc!$B$7)))=0,$AD$3,INDEX(Database!F$9:F$501,ROW(Calc!E408)-ROW(Calc!$B$7))),"")</f>
        <v>Not Set</v>
      </c>
      <c r="G408" s="128" t="str">
        <f>IFERROR(IF(LEN(INDEX(Database!H$9:H$501,ROW(Calc!F408)-ROW(Calc!$B$7)))=0,$AD$3,INDEX(Database!H$9:H$501,ROW(Calc!F408)-ROW(Calc!$B$7))),"")</f>
        <v>Not Set</v>
      </c>
      <c r="H408" s="128" t="str">
        <f>IFERROR(IF(LEN(INDEX(Database!I$9:I$501,ROW(Calc!G408)-ROW(Calc!$B$7)))=0,$AD$3,INDEX(Database!I$9:I$501,ROW(Calc!G408)-ROW(Calc!$B$7))),"")</f>
        <v>Not Set</v>
      </c>
      <c r="I408" s="128" t="str">
        <f>IFERROR(IF(LEN(INDEX(Database!J$9:J$501,ROW(Calc!H408)-ROW(Calc!$B$7)))=0,$AD$3,INDEX(Database!J$9:J$501,ROW(Calc!H408)-ROW(Calc!$B$7))),"")</f>
        <v>Not Set</v>
      </c>
      <c r="J408" s="128" t="str">
        <f t="shared" si="59"/>
        <v>Not Set</v>
      </c>
      <c r="K408" s="124" t="str">
        <f>IFERROR(IF(LEN(INDEX(Database!E$9:E$501,ROW(Calc!I408)-ROW(Calc!$B$7)))=0,"",INDEX(Database!E$9:E$501,ROW(Calc!I408)-ROW(Calc!$B$7))),"")</f>
        <v/>
      </c>
      <c r="L408" s="129" t="str">
        <f>IFERROR(IF(LEN(INDEX(Database!K$9:K$501,ROW(Calc!K408)-ROW(Calc!$B$7)))=0,$AD$3,INDEX(Database!K$9:K$501,ROW(Calc!K408)-ROW(Calc!$B$7))),"")</f>
        <v>Not Set</v>
      </c>
      <c r="M408" s="130" t="str">
        <f>IFERROR(IF(LEN(INDEX(Database!L$9:L$501,ROW(Calc!L408)-ROW(Calc!$B$7)))=0,$AD$3,INDEX(Database!L$9:L$501,ROW(Calc!L408)-ROW(Calc!$B$7))),"")</f>
        <v>Not Set</v>
      </c>
      <c r="N408" s="131" t="str">
        <f>IFERROR(IF(LEN(INDEX(Database!M$9:M$501,ROW(Calc!M408)-ROW(Calc!$B$7)))=0,"",INDEX(Database!M$9:M$501,ROW(Calc!M408)-ROW(Calc!$B$7))),"")</f>
        <v/>
      </c>
      <c r="O408" s="132" t="str">
        <f t="shared" si="63"/>
        <v/>
      </c>
      <c r="P408" s="125" t="str">
        <f t="shared" si="60"/>
        <v>Not Set</v>
      </c>
      <c r="Q408" s="125" t="str">
        <f t="shared" si="61"/>
        <v>Not Set</v>
      </c>
      <c r="R408" s="125" t="str">
        <f>IFERROR(IF(G408=$AD$3,$AD$3,INDEX(Kanban_Helper!$C$317:$C$328,MATCH(MONTH(G408),Kanban_Helper!$B$317:$B$328,0))&amp;" - "&amp;YEAR(G408)),"$AD$3")</f>
        <v>Not Set</v>
      </c>
      <c r="S408" s="125" t="str">
        <f>IFERROR(IF(I408=$AD$3,$AD$3,INDEX(Kanban_Helper!$C$317:$C$328,MATCH(MONTH(I408),Kanban_Helper!$B$317:$B$328,0))&amp;" - "&amp;YEAR(I408)),$AD$3)</f>
        <v>Not Set</v>
      </c>
      <c r="T408" s="125" t="str">
        <f t="shared" ca="1" si="64"/>
        <v/>
      </c>
      <c r="U408" s="125" t="str">
        <f t="shared" ca="1" si="65"/>
        <v/>
      </c>
      <c r="V408" s="125" t="str">
        <f t="shared" si="62"/>
        <v>Not Set</v>
      </c>
      <c r="W408" s="126" t="str">
        <f t="shared" si="66"/>
        <v/>
      </c>
      <c r="X408" s="126" t="str">
        <f t="shared" si="67"/>
        <v/>
      </c>
      <c r="Y408" s="125" t="str">
        <f>IFERROR(IF(LEN(D408)=0,"",IF(SUBTOTAL(3,E408:E408)=0,MIN($Y$7:Y407)-1,SUBTOTAL(3,$E$8:E408))),"")</f>
        <v/>
      </c>
      <c r="Z408" s="17"/>
      <c r="AA408" s="10"/>
      <c r="AB408" s="10"/>
      <c r="AC408" s="10"/>
      <c r="AD408" s="10"/>
      <c r="AE408" s="10"/>
      <c r="AF408" s="10"/>
      <c r="AG408" s="10"/>
      <c r="AH408" s="10"/>
      <c r="AI408" s="10"/>
      <c r="AJ408" s="10"/>
      <c r="AK408" s="10"/>
      <c r="AL408" s="10"/>
      <c r="AM408" s="10"/>
      <c r="AN408" s="10"/>
    </row>
    <row r="409" spans="2:40" hidden="1" x14ac:dyDescent="0.35">
      <c r="B409" s="15"/>
      <c r="C409" s="127" t="str">
        <f>IFERROR(IF(LEN(INDEX(Database!C$9:C$501,ROW(Calc!A409)-ROW(Calc!$B$7)))=0,"",INDEX(Database!C$9:C$501,ROW(Calc!A409)-ROW(Calc!$B$7))),"")</f>
        <v/>
      </c>
      <c r="D409" s="70" t="str">
        <f>IFERROR(IF(LEN(INDEX(Database!D$9:D$501,ROW(Calc!B409)-ROW(Calc!$B$7)))=0,"",INDEX(Database!D$9:D$501,ROW(Calc!B409)-ROW(Calc!$B$7))),"")</f>
        <v/>
      </c>
      <c r="E409" s="124" t="str">
        <f>IFERROR(IF(LEN(INDEX(Database!G$9:G$501,ROW(Calc!D409)-ROW(Calc!$B$7)))=0,$AD$3,INDEX(Database!G$9:G$501,ROW(Calc!D409)-ROW(Calc!$B$7))),"")</f>
        <v>Not Set</v>
      </c>
      <c r="F409" s="124" t="str">
        <f>IFERROR(IF(LEN(INDEX(Database!F$9:F$501,ROW(Calc!E409)-ROW(Calc!$B$7)))=0,$AD$3,INDEX(Database!F$9:F$501,ROW(Calc!E409)-ROW(Calc!$B$7))),"")</f>
        <v>Not Set</v>
      </c>
      <c r="G409" s="128" t="str">
        <f>IFERROR(IF(LEN(INDEX(Database!H$9:H$501,ROW(Calc!F409)-ROW(Calc!$B$7)))=0,$AD$3,INDEX(Database!H$9:H$501,ROW(Calc!F409)-ROW(Calc!$B$7))),"")</f>
        <v>Not Set</v>
      </c>
      <c r="H409" s="128" t="str">
        <f>IFERROR(IF(LEN(INDEX(Database!I$9:I$501,ROW(Calc!G409)-ROW(Calc!$B$7)))=0,$AD$3,INDEX(Database!I$9:I$501,ROW(Calc!G409)-ROW(Calc!$B$7))),"")</f>
        <v>Not Set</v>
      </c>
      <c r="I409" s="128" t="str">
        <f>IFERROR(IF(LEN(INDEX(Database!J$9:J$501,ROW(Calc!H409)-ROW(Calc!$B$7)))=0,$AD$3,INDEX(Database!J$9:J$501,ROW(Calc!H409)-ROW(Calc!$B$7))),"")</f>
        <v>Not Set</v>
      </c>
      <c r="J409" s="128" t="str">
        <f t="shared" si="59"/>
        <v>Not Set</v>
      </c>
      <c r="K409" s="124" t="str">
        <f>IFERROR(IF(LEN(INDEX(Database!E$9:E$501,ROW(Calc!I409)-ROW(Calc!$B$7)))=0,"",INDEX(Database!E$9:E$501,ROW(Calc!I409)-ROW(Calc!$B$7))),"")</f>
        <v/>
      </c>
      <c r="L409" s="129" t="str">
        <f>IFERROR(IF(LEN(INDEX(Database!K$9:K$501,ROW(Calc!K409)-ROW(Calc!$B$7)))=0,$AD$3,INDEX(Database!K$9:K$501,ROW(Calc!K409)-ROW(Calc!$B$7))),"")</f>
        <v>Not Set</v>
      </c>
      <c r="M409" s="130" t="str">
        <f>IFERROR(IF(LEN(INDEX(Database!L$9:L$501,ROW(Calc!L409)-ROW(Calc!$B$7)))=0,$AD$3,INDEX(Database!L$9:L$501,ROW(Calc!L409)-ROW(Calc!$B$7))),"")</f>
        <v>Not Set</v>
      </c>
      <c r="N409" s="131" t="str">
        <f>IFERROR(IF(LEN(INDEX(Database!M$9:M$501,ROW(Calc!M409)-ROW(Calc!$B$7)))=0,"",INDEX(Database!M$9:M$501,ROW(Calc!M409)-ROW(Calc!$B$7))),"")</f>
        <v/>
      </c>
      <c r="O409" s="132" t="str">
        <f t="shared" si="63"/>
        <v/>
      </c>
      <c r="P409" s="125" t="str">
        <f t="shared" si="60"/>
        <v>Not Set</v>
      </c>
      <c r="Q409" s="125" t="str">
        <f t="shared" si="61"/>
        <v>Not Set</v>
      </c>
      <c r="R409" s="125" t="str">
        <f>IFERROR(IF(G409=$AD$3,$AD$3,INDEX(Kanban_Helper!$C$317:$C$328,MATCH(MONTH(G409),Kanban_Helper!$B$317:$B$328,0))&amp;" - "&amp;YEAR(G409)),"$AD$3")</f>
        <v>Not Set</v>
      </c>
      <c r="S409" s="125" t="str">
        <f>IFERROR(IF(I409=$AD$3,$AD$3,INDEX(Kanban_Helper!$C$317:$C$328,MATCH(MONTH(I409),Kanban_Helper!$B$317:$B$328,0))&amp;" - "&amp;YEAR(I409)),$AD$3)</f>
        <v>Not Set</v>
      </c>
      <c r="T409" s="125" t="str">
        <f t="shared" ca="1" si="64"/>
        <v/>
      </c>
      <c r="U409" s="125" t="str">
        <f t="shared" ca="1" si="65"/>
        <v/>
      </c>
      <c r="V409" s="125" t="str">
        <f t="shared" si="62"/>
        <v>Not Set</v>
      </c>
      <c r="W409" s="126" t="str">
        <f t="shared" si="66"/>
        <v/>
      </c>
      <c r="X409" s="126" t="str">
        <f t="shared" si="67"/>
        <v/>
      </c>
      <c r="Y409" s="125" t="str">
        <f>IFERROR(IF(LEN(D409)=0,"",IF(SUBTOTAL(3,E409:E409)=0,MIN($Y$7:Y408)-1,SUBTOTAL(3,$E$8:E409))),"")</f>
        <v/>
      </c>
      <c r="Z409" s="17"/>
      <c r="AA409" s="10"/>
      <c r="AB409" s="10"/>
      <c r="AC409" s="10"/>
      <c r="AD409" s="10"/>
      <c r="AE409" s="10"/>
      <c r="AF409" s="10"/>
      <c r="AG409" s="10"/>
      <c r="AH409" s="10"/>
      <c r="AI409" s="10"/>
      <c r="AJ409" s="10"/>
      <c r="AK409" s="10"/>
      <c r="AL409" s="10"/>
      <c r="AM409" s="10"/>
      <c r="AN409" s="10"/>
    </row>
    <row r="410" spans="2:40" hidden="1" x14ac:dyDescent="0.35">
      <c r="B410" s="15"/>
      <c r="C410" s="127" t="str">
        <f>IFERROR(IF(LEN(INDEX(Database!C$9:C$501,ROW(Calc!A410)-ROW(Calc!$B$7)))=0,"",INDEX(Database!C$9:C$501,ROW(Calc!A410)-ROW(Calc!$B$7))),"")</f>
        <v/>
      </c>
      <c r="D410" s="70" t="str">
        <f>IFERROR(IF(LEN(INDEX(Database!D$9:D$501,ROW(Calc!B410)-ROW(Calc!$B$7)))=0,"",INDEX(Database!D$9:D$501,ROW(Calc!B410)-ROW(Calc!$B$7))),"")</f>
        <v/>
      </c>
      <c r="E410" s="124" t="str">
        <f>IFERROR(IF(LEN(INDEX(Database!G$9:G$501,ROW(Calc!D410)-ROW(Calc!$B$7)))=0,$AD$3,INDEX(Database!G$9:G$501,ROW(Calc!D410)-ROW(Calc!$B$7))),"")</f>
        <v>Not Set</v>
      </c>
      <c r="F410" s="124" t="str">
        <f>IFERROR(IF(LEN(INDEX(Database!F$9:F$501,ROW(Calc!E410)-ROW(Calc!$B$7)))=0,$AD$3,INDEX(Database!F$9:F$501,ROW(Calc!E410)-ROW(Calc!$B$7))),"")</f>
        <v>Not Set</v>
      </c>
      <c r="G410" s="128" t="str">
        <f>IFERROR(IF(LEN(INDEX(Database!H$9:H$501,ROW(Calc!F410)-ROW(Calc!$B$7)))=0,$AD$3,INDEX(Database!H$9:H$501,ROW(Calc!F410)-ROW(Calc!$B$7))),"")</f>
        <v>Not Set</v>
      </c>
      <c r="H410" s="128" t="str">
        <f>IFERROR(IF(LEN(INDEX(Database!I$9:I$501,ROW(Calc!G410)-ROW(Calc!$B$7)))=0,$AD$3,INDEX(Database!I$9:I$501,ROW(Calc!G410)-ROW(Calc!$B$7))),"")</f>
        <v>Not Set</v>
      </c>
      <c r="I410" s="128" t="str">
        <f>IFERROR(IF(LEN(INDEX(Database!J$9:J$501,ROW(Calc!H410)-ROW(Calc!$B$7)))=0,$AD$3,INDEX(Database!J$9:J$501,ROW(Calc!H410)-ROW(Calc!$B$7))),"")</f>
        <v>Not Set</v>
      </c>
      <c r="J410" s="128" t="str">
        <f t="shared" si="59"/>
        <v>Not Set</v>
      </c>
      <c r="K410" s="124" t="str">
        <f>IFERROR(IF(LEN(INDEX(Database!E$9:E$501,ROW(Calc!I410)-ROW(Calc!$B$7)))=0,"",INDEX(Database!E$9:E$501,ROW(Calc!I410)-ROW(Calc!$B$7))),"")</f>
        <v/>
      </c>
      <c r="L410" s="129" t="str">
        <f>IFERROR(IF(LEN(INDEX(Database!K$9:K$501,ROW(Calc!K410)-ROW(Calc!$B$7)))=0,$AD$3,INDEX(Database!K$9:K$501,ROW(Calc!K410)-ROW(Calc!$B$7))),"")</f>
        <v>Not Set</v>
      </c>
      <c r="M410" s="130" t="str">
        <f>IFERROR(IF(LEN(INDEX(Database!L$9:L$501,ROW(Calc!L410)-ROW(Calc!$B$7)))=0,$AD$3,INDEX(Database!L$9:L$501,ROW(Calc!L410)-ROW(Calc!$B$7))),"")</f>
        <v>Not Set</v>
      </c>
      <c r="N410" s="131" t="str">
        <f>IFERROR(IF(LEN(INDEX(Database!M$9:M$501,ROW(Calc!M410)-ROW(Calc!$B$7)))=0,"",INDEX(Database!M$9:M$501,ROW(Calc!M410)-ROW(Calc!$B$7))),"")</f>
        <v/>
      </c>
      <c r="O410" s="132" t="str">
        <f t="shared" si="63"/>
        <v/>
      </c>
      <c r="P410" s="125" t="str">
        <f t="shared" si="60"/>
        <v>Not Set</v>
      </c>
      <c r="Q410" s="125" t="str">
        <f t="shared" si="61"/>
        <v>Not Set</v>
      </c>
      <c r="R410" s="125" t="str">
        <f>IFERROR(IF(G410=$AD$3,$AD$3,INDEX(Kanban_Helper!$C$317:$C$328,MATCH(MONTH(G410),Kanban_Helper!$B$317:$B$328,0))&amp;" - "&amp;YEAR(G410)),"$AD$3")</f>
        <v>Not Set</v>
      </c>
      <c r="S410" s="125" t="str">
        <f>IFERROR(IF(I410=$AD$3,$AD$3,INDEX(Kanban_Helper!$C$317:$C$328,MATCH(MONTH(I410),Kanban_Helper!$B$317:$B$328,0))&amp;" - "&amp;YEAR(I410)),$AD$3)</f>
        <v>Not Set</v>
      </c>
      <c r="T410" s="125" t="str">
        <f t="shared" ca="1" si="64"/>
        <v/>
      </c>
      <c r="U410" s="125" t="str">
        <f t="shared" ca="1" si="65"/>
        <v/>
      </c>
      <c r="V410" s="125" t="str">
        <f t="shared" si="62"/>
        <v>Not Set</v>
      </c>
      <c r="W410" s="126" t="str">
        <f t="shared" si="66"/>
        <v/>
      </c>
      <c r="X410" s="126" t="str">
        <f t="shared" si="67"/>
        <v/>
      </c>
      <c r="Y410" s="125" t="str">
        <f>IFERROR(IF(LEN(D410)=0,"",IF(SUBTOTAL(3,E410:E410)=0,MIN($Y$7:Y409)-1,SUBTOTAL(3,$E$8:E410))),"")</f>
        <v/>
      </c>
      <c r="Z410" s="17"/>
      <c r="AA410" s="10"/>
      <c r="AB410" s="10"/>
      <c r="AC410" s="10"/>
      <c r="AD410" s="10"/>
      <c r="AE410" s="10"/>
      <c r="AF410" s="10"/>
      <c r="AG410" s="10"/>
      <c r="AH410" s="10"/>
      <c r="AI410" s="10"/>
      <c r="AJ410" s="10"/>
      <c r="AK410" s="10"/>
      <c r="AL410" s="10"/>
      <c r="AM410" s="10"/>
      <c r="AN410" s="10"/>
    </row>
    <row r="411" spans="2:40" hidden="1" x14ac:dyDescent="0.35">
      <c r="B411" s="15"/>
      <c r="C411" s="127" t="str">
        <f>IFERROR(IF(LEN(INDEX(Database!C$9:C$501,ROW(Calc!A411)-ROW(Calc!$B$7)))=0,"",INDEX(Database!C$9:C$501,ROW(Calc!A411)-ROW(Calc!$B$7))),"")</f>
        <v/>
      </c>
      <c r="D411" s="70" t="str">
        <f>IFERROR(IF(LEN(INDEX(Database!D$9:D$501,ROW(Calc!B411)-ROW(Calc!$B$7)))=0,"",INDEX(Database!D$9:D$501,ROW(Calc!B411)-ROW(Calc!$B$7))),"")</f>
        <v/>
      </c>
      <c r="E411" s="124" t="str">
        <f>IFERROR(IF(LEN(INDEX(Database!G$9:G$501,ROW(Calc!D411)-ROW(Calc!$B$7)))=0,$AD$3,INDEX(Database!G$9:G$501,ROW(Calc!D411)-ROW(Calc!$B$7))),"")</f>
        <v>Not Set</v>
      </c>
      <c r="F411" s="124" t="str">
        <f>IFERROR(IF(LEN(INDEX(Database!F$9:F$501,ROW(Calc!E411)-ROW(Calc!$B$7)))=0,$AD$3,INDEX(Database!F$9:F$501,ROW(Calc!E411)-ROW(Calc!$B$7))),"")</f>
        <v>Not Set</v>
      </c>
      <c r="G411" s="128" t="str">
        <f>IFERROR(IF(LEN(INDEX(Database!H$9:H$501,ROW(Calc!F411)-ROW(Calc!$B$7)))=0,$AD$3,INDEX(Database!H$9:H$501,ROW(Calc!F411)-ROW(Calc!$B$7))),"")</f>
        <v>Not Set</v>
      </c>
      <c r="H411" s="128" t="str">
        <f>IFERROR(IF(LEN(INDEX(Database!I$9:I$501,ROW(Calc!G411)-ROW(Calc!$B$7)))=0,$AD$3,INDEX(Database!I$9:I$501,ROW(Calc!G411)-ROW(Calc!$B$7))),"")</f>
        <v>Not Set</v>
      </c>
      <c r="I411" s="128" t="str">
        <f>IFERROR(IF(LEN(INDEX(Database!J$9:J$501,ROW(Calc!H411)-ROW(Calc!$B$7)))=0,$AD$3,INDEX(Database!J$9:J$501,ROW(Calc!H411)-ROW(Calc!$B$7))),"")</f>
        <v>Not Set</v>
      </c>
      <c r="J411" s="128" t="str">
        <f t="shared" si="59"/>
        <v>Not Set</v>
      </c>
      <c r="K411" s="124" t="str">
        <f>IFERROR(IF(LEN(INDEX(Database!E$9:E$501,ROW(Calc!I411)-ROW(Calc!$B$7)))=0,"",INDEX(Database!E$9:E$501,ROW(Calc!I411)-ROW(Calc!$B$7))),"")</f>
        <v/>
      </c>
      <c r="L411" s="129" t="str">
        <f>IFERROR(IF(LEN(INDEX(Database!K$9:K$501,ROW(Calc!K411)-ROW(Calc!$B$7)))=0,$AD$3,INDEX(Database!K$9:K$501,ROW(Calc!K411)-ROW(Calc!$B$7))),"")</f>
        <v>Not Set</v>
      </c>
      <c r="M411" s="130" t="str">
        <f>IFERROR(IF(LEN(INDEX(Database!L$9:L$501,ROW(Calc!L411)-ROW(Calc!$B$7)))=0,$AD$3,INDEX(Database!L$9:L$501,ROW(Calc!L411)-ROW(Calc!$B$7))),"")</f>
        <v>Not Set</v>
      </c>
      <c r="N411" s="131" t="str">
        <f>IFERROR(IF(LEN(INDEX(Database!M$9:M$501,ROW(Calc!M411)-ROW(Calc!$B$7)))=0,"",INDEX(Database!M$9:M$501,ROW(Calc!M411)-ROW(Calc!$B$7))),"")</f>
        <v/>
      </c>
      <c r="O411" s="132" t="str">
        <f t="shared" si="63"/>
        <v/>
      </c>
      <c r="P411" s="125" t="str">
        <f t="shared" si="60"/>
        <v>Not Set</v>
      </c>
      <c r="Q411" s="125" t="str">
        <f t="shared" si="61"/>
        <v>Not Set</v>
      </c>
      <c r="R411" s="125" t="str">
        <f>IFERROR(IF(G411=$AD$3,$AD$3,INDEX(Kanban_Helper!$C$317:$C$328,MATCH(MONTH(G411),Kanban_Helper!$B$317:$B$328,0))&amp;" - "&amp;YEAR(G411)),"$AD$3")</f>
        <v>Not Set</v>
      </c>
      <c r="S411" s="125" t="str">
        <f>IFERROR(IF(I411=$AD$3,$AD$3,INDEX(Kanban_Helper!$C$317:$C$328,MATCH(MONTH(I411),Kanban_Helper!$B$317:$B$328,0))&amp;" - "&amp;YEAR(I411)),$AD$3)</f>
        <v>Not Set</v>
      </c>
      <c r="T411" s="125" t="str">
        <f t="shared" ca="1" si="64"/>
        <v/>
      </c>
      <c r="U411" s="125" t="str">
        <f t="shared" ca="1" si="65"/>
        <v/>
      </c>
      <c r="V411" s="125" t="str">
        <f t="shared" si="62"/>
        <v>Not Set</v>
      </c>
      <c r="W411" s="126" t="str">
        <f t="shared" si="66"/>
        <v/>
      </c>
      <c r="X411" s="126" t="str">
        <f t="shared" si="67"/>
        <v/>
      </c>
      <c r="Y411" s="125" t="str">
        <f>IFERROR(IF(LEN(D411)=0,"",IF(SUBTOTAL(3,E411:E411)=0,MIN($Y$7:Y410)-1,SUBTOTAL(3,$E$8:E411))),"")</f>
        <v/>
      </c>
      <c r="Z411" s="17"/>
      <c r="AA411" s="10"/>
      <c r="AB411" s="10"/>
      <c r="AC411" s="10"/>
      <c r="AD411" s="10"/>
      <c r="AE411" s="10"/>
      <c r="AF411" s="10"/>
      <c r="AG411" s="10"/>
      <c r="AH411" s="10"/>
      <c r="AI411" s="10"/>
      <c r="AJ411" s="10"/>
      <c r="AK411" s="10"/>
      <c r="AL411" s="10"/>
      <c r="AM411" s="10"/>
      <c r="AN411" s="10"/>
    </row>
    <row r="412" spans="2:40" hidden="1" x14ac:dyDescent="0.35">
      <c r="B412" s="15"/>
      <c r="C412" s="127" t="str">
        <f>IFERROR(IF(LEN(INDEX(Database!C$9:C$501,ROW(Calc!A412)-ROW(Calc!$B$7)))=0,"",INDEX(Database!C$9:C$501,ROW(Calc!A412)-ROW(Calc!$B$7))),"")</f>
        <v/>
      </c>
      <c r="D412" s="70" t="str">
        <f>IFERROR(IF(LEN(INDEX(Database!D$9:D$501,ROW(Calc!B412)-ROW(Calc!$B$7)))=0,"",INDEX(Database!D$9:D$501,ROW(Calc!B412)-ROW(Calc!$B$7))),"")</f>
        <v/>
      </c>
      <c r="E412" s="124" t="str">
        <f>IFERROR(IF(LEN(INDEX(Database!G$9:G$501,ROW(Calc!D412)-ROW(Calc!$B$7)))=0,$AD$3,INDEX(Database!G$9:G$501,ROW(Calc!D412)-ROW(Calc!$B$7))),"")</f>
        <v>Not Set</v>
      </c>
      <c r="F412" s="124" t="str">
        <f>IFERROR(IF(LEN(INDEX(Database!F$9:F$501,ROW(Calc!E412)-ROW(Calc!$B$7)))=0,$AD$3,INDEX(Database!F$9:F$501,ROW(Calc!E412)-ROW(Calc!$B$7))),"")</f>
        <v>Not Set</v>
      </c>
      <c r="G412" s="128" t="str">
        <f>IFERROR(IF(LEN(INDEX(Database!H$9:H$501,ROW(Calc!F412)-ROW(Calc!$B$7)))=0,$AD$3,INDEX(Database!H$9:H$501,ROW(Calc!F412)-ROW(Calc!$B$7))),"")</f>
        <v>Not Set</v>
      </c>
      <c r="H412" s="128" t="str">
        <f>IFERROR(IF(LEN(INDEX(Database!I$9:I$501,ROW(Calc!G412)-ROW(Calc!$B$7)))=0,$AD$3,INDEX(Database!I$9:I$501,ROW(Calc!G412)-ROW(Calc!$B$7))),"")</f>
        <v>Not Set</v>
      </c>
      <c r="I412" s="128" t="str">
        <f>IFERROR(IF(LEN(INDEX(Database!J$9:J$501,ROW(Calc!H412)-ROW(Calc!$B$7)))=0,$AD$3,INDEX(Database!J$9:J$501,ROW(Calc!H412)-ROW(Calc!$B$7))),"")</f>
        <v>Not Set</v>
      </c>
      <c r="J412" s="128" t="str">
        <f t="shared" si="59"/>
        <v>Not Set</v>
      </c>
      <c r="K412" s="124" t="str">
        <f>IFERROR(IF(LEN(INDEX(Database!E$9:E$501,ROW(Calc!I412)-ROW(Calc!$B$7)))=0,"",INDEX(Database!E$9:E$501,ROW(Calc!I412)-ROW(Calc!$B$7))),"")</f>
        <v/>
      </c>
      <c r="L412" s="129" t="str">
        <f>IFERROR(IF(LEN(INDEX(Database!K$9:K$501,ROW(Calc!K412)-ROW(Calc!$B$7)))=0,$AD$3,INDEX(Database!K$9:K$501,ROW(Calc!K412)-ROW(Calc!$B$7))),"")</f>
        <v>Not Set</v>
      </c>
      <c r="M412" s="130" t="str">
        <f>IFERROR(IF(LEN(INDEX(Database!L$9:L$501,ROW(Calc!L412)-ROW(Calc!$B$7)))=0,$AD$3,INDEX(Database!L$9:L$501,ROW(Calc!L412)-ROW(Calc!$B$7))),"")</f>
        <v>Not Set</v>
      </c>
      <c r="N412" s="131" t="str">
        <f>IFERROR(IF(LEN(INDEX(Database!M$9:M$501,ROW(Calc!M412)-ROW(Calc!$B$7)))=0,"",INDEX(Database!M$9:M$501,ROW(Calc!M412)-ROW(Calc!$B$7))),"")</f>
        <v/>
      </c>
      <c r="O412" s="132" t="str">
        <f t="shared" si="63"/>
        <v/>
      </c>
      <c r="P412" s="125" t="str">
        <f t="shared" si="60"/>
        <v>Not Set</v>
      </c>
      <c r="Q412" s="125" t="str">
        <f t="shared" si="61"/>
        <v>Not Set</v>
      </c>
      <c r="R412" s="125" t="str">
        <f>IFERROR(IF(G412=$AD$3,$AD$3,INDEX(Kanban_Helper!$C$317:$C$328,MATCH(MONTH(G412),Kanban_Helper!$B$317:$B$328,0))&amp;" - "&amp;YEAR(G412)),"$AD$3")</f>
        <v>Not Set</v>
      </c>
      <c r="S412" s="125" t="str">
        <f>IFERROR(IF(I412=$AD$3,$AD$3,INDEX(Kanban_Helper!$C$317:$C$328,MATCH(MONTH(I412),Kanban_Helper!$B$317:$B$328,0))&amp;" - "&amp;YEAR(I412)),$AD$3)</f>
        <v>Not Set</v>
      </c>
      <c r="T412" s="125" t="str">
        <f t="shared" ca="1" si="64"/>
        <v/>
      </c>
      <c r="U412" s="125" t="str">
        <f t="shared" ca="1" si="65"/>
        <v/>
      </c>
      <c r="V412" s="125" t="str">
        <f t="shared" si="62"/>
        <v>Not Set</v>
      </c>
      <c r="W412" s="126" t="str">
        <f t="shared" si="66"/>
        <v/>
      </c>
      <c r="X412" s="126" t="str">
        <f t="shared" si="67"/>
        <v/>
      </c>
      <c r="Y412" s="125" t="str">
        <f>IFERROR(IF(LEN(D412)=0,"",IF(SUBTOTAL(3,E412:E412)=0,MIN($Y$7:Y411)-1,SUBTOTAL(3,$E$8:E412))),"")</f>
        <v/>
      </c>
      <c r="Z412" s="17"/>
      <c r="AA412" s="10"/>
      <c r="AB412" s="10"/>
      <c r="AC412" s="10"/>
      <c r="AD412" s="10"/>
      <c r="AE412" s="10"/>
      <c r="AF412" s="10"/>
      <c r="AG412" s="10"/>
      <c r="AH412" s="10"/>
      <c r="AI412" s="10"/>
      <c r="AJ412" s="10"/>
      <c r="AK412" s="10"/>
      <c r="AL412" s="10"/>
      <c r="AM412" s="10"/>
      <c r="AN412" s="10"/>
    </row>
    <row r="413" spans="2:40" hidden="1" x14ac:dyDescent="0.35">
      <c r="B413" s="15"/>
      <c r="C413" s="127" t="str">
        <f>IFERROR(IF(LEN(INDEX(Database!C$9:C$501,ROW(Calc!A413)-ROW(Calc!$B$7)))=0,"",INDEX(Database!C$9:C$501,ROW(Calc!A413)-ROW(Calc!$B$7))),"")</f>
        <v/>
      </c>
      <c r="D413" s="70" t="str">
        <f>IFERROR(IF(LEN(INDEX(Database!D$9:D$501,ROW(Calc!B413)-ROW(Calc!$B$7)))=0,"",INDEX(Database!D$9:D$501,ROW(Calc!B413)-ROW(Calc!$B$7))),"")</f>
        <v/>
      </c>
      <c r="E413" s="124" t="str">
        <f>IFERROR(IF(LEN(INDEX(Database!G$9:G$501,ROW(Calc!D413)-ROW(Calc!$B$7)))=0,$AD$3,INDEX(Database!G$9:G$501,ROW(Calc!D413)-ROW(Calc!$B$7))),"")</f>
        <v>Not Set</v>
      </c>
      <c r="F413" s="124" t="str">
        <f>IFERROR(IF(LEN(INDEX(Database!F$9:F$501,ROW(Calc!E413)-ROW(Calc!$B$7)))=0,$AD$3,INDEX(Database!F$9:F$501,ROW(Calc!E413)-ROW(Calc!$B$7))),"")</f>
        <v>Not Set</v>
      </c>
      <c r="G413" s="128" t="str">
        <f>IFERROR(IF(LEN(INDEX(Database!H$9:H$501,ROW(Calc!F413)-ROW(Calc!$B$7)))=0,$AD$3,INDEX(Database!H$9:H$501,ROW(Calc!F413)-ROW(Calc!$B$7))),"")</f>
        <v>Not Set</v>
      </c>
      <c r="H413" s="128" t="str">
        <f>IFERROR(IF(LEN(INDEX(Database!I$9:I$501,ROW(Calc!G413)-ROW(Calc!$B$7)))=0,$AD$3,INDEX(Database!I$9:I$501,ROW(Calc!G413)-ROW(Calc!$B$7))),"")</f>
        <v>Not Set</v>
      </c>
      <c r="I413" s="128" t="str">
        <f>IFERROR(IF(LEN(INDEX(Database!J$9:J$501,ROW(Calc!H413)-ROW(Calc!$B$7)))=0,$AD$3,INDEX(Database!J$9:J$501,ROW(Calc!H413)-ROW(Calc!$B$7))),"")</f>
        <v>Not Set</v>
      </c>
      <c r="J413" s="128" t="str">
        <f t="shared" si="59"/>
        <v>Not Set</v>
      </c>
      <c r="K413" s="124" t="str">
        <f>IFERROR(IF(LEN(INDEX(Database!E$9:E$501,ROW(Calc!I413)-ROW(Calc!$B$7)))=0,"",INDEX(Database!E$9:E$501,ROW(Calc!I413)-ROW(Calc!$B$7))),"")</f>
        <v/>
      </c>
      <c r="L413" s="129" t="str">
        <f>IFERROR(IF(LEN(INDEX(Database!K$9:K$501,ROW(Calc!K413)-ROW(Calc!$B$7)))=0,$AD$3,INDEX(Database!K$9:K$501,ROW(Calc!K413)-ROW(Calc!$B$7))),"")</f>
        <v>Not Set</v>
      </c>
      <c r="M413" s="130" t="str">
        <f>IFERROR(IF(LEN(INDEX(Database!L$9:L$501,ROW(Calc!L413)-ROW(Calc!$B$7)))=0,$AD$3,INDEX(Database!L$9:L$501,ROW(Calc!L413)-ROW(Calc!$B$7))),"")</f>
        <v>Not Set</v>
      </c>
      <c r="N413" s="131" t="str">
        <f>IFERROR(IF(LEN(INDEX(Database!M$9:M$501,ROW(Calc!M413)-ROW(Calc!$B$7)))=0,"",INDEX(Database!M$9:M$501,ROW(Calc!M413)-ROW(Calc!$B$7))),"")</f>
        <v/>
      </c>
      <c r="O413" s="132" t="str">
        <f t="shared" si="63"/>
        <v/>
      </c>
      <c r="P413" s="125" t="str">
        <f t="shared" si="60"/>
        <v>Not Set</v>
      </c>
      <c r="Q413" s="125" t="str">
        <f t="shared" si="61"/>
        <v>Not Set</v>
      </c>
      <c r="R413" s="125" t="str">
        <f>IFERROR(IF(G413=$AD$3,$AD$3,INDEX(Kanban_Helper!$C$317:$C$328,MATCH(MONTH(G413),Kanban_Helper!$B$317:$B$328,0))&amp;" - "&amp;YEAR(G413)),"$AD$3")</f>
        <v>Not Set</v>
      </c>
      <c r="S413" s="125" t="str">
        <f>IFERROR(IF(I413=$AD$3,$AD$3,INDEX(Kanban_Helper!$C$317:$C$328,MATCH(MONTH(I413),Kanban_Helper!$B$317:$B$328,0))&amp;" - "&amp;YEAR(I413)),$AD$3)</f>
        <v>Not Set</v>
      </c>
      <c r="T413" s="125" t="str">
        <f t="shared" ca="1" si="64"/>
        <v/>
      </c>
      <c r="U413" s="125" t="str">
        <f t="shared" ca="1" si="65"/>
        <v/>
      </c>
      <c r="V413" s="125" t="str">
        <f t="shared" si="62"/>
        <v>Not Set</v>
      </c>
      <c r="W413" s="126" t="str">
        <f t="shared" si="66"/>
        <v/>
      </c>
      <c r="X413" s="126" t="str">
        <f t="shared" si="67"/>
        <v/>
      </c>
      <c r="Y413" s="125" t="str">
        <f>IFERROR(IF(LEN(D413)=0,"",IF(SUBTOTAL(3,E413:E413)=0,MIN($Y$7:Y412)-1,SUBTOTAL(3,$E$8:E413))),"")</f>
        <v/>
      </c>
      <c r="Z413" s="17"/>
      <c r="AA413" s="10"/>
      <c r="AB413" s="10"/>
      <c r="AC413" s="10"/>
      <c r="AD413" s="10"/>
      <c r="AE413" s="10"/>
      <c r="AF413" s="10"/>
      <c r="AG413" s="10"/>
      <c r="AH413" s="10"/>
      <c r="AI413" s="10"/>
      <c r="AJ413" s="10"/>
      <c r="AK413" s="10"/>
      <c r="AL413" s="10"/>
      <c r="AM413" s="10"/>
      <c r="AN413" s="10"/>
    </row>
    <row r="414" spans="2:40" hidden="1" x14ac:dyDescent="0.35">
      <c r="B414" s="15"/>
      <c r="C414" s="127" t="str">
        <f>IFERROR(IF(LEN(INDEX(Database!C$9:C$501,ROW(Calc!A414)-ROW(Calc!$B$7)))=0,"",INDEX(Database!C$9:C$501,ROW(Calc!A414)-ROW(Calc!$B$7))),"")</f>
        <v/>
      </c>
      <c r="D414" s="70" t="str">
        <f>IFERROR(IF(LEN(INDEX(Database!D$9:D$501,ROW(Calc!B414)-ROW(Calc!$B$7)))=0,"",INDEX(Database!D$9:D$501,ROW(Calc!B414)-ROW(Calc!$B$7))),"")</f>
        <v/>
      </c>
      <c r="E414" s="124" t="str">
        <f>IFERROR(IF(LEN(INDEX(Database!G$9:G$501,ROW(Calc!D414)-ROW(Calc!$B$7)))=0,$AD$3,INDEX(Database!G$9:G$501,ROW(Calc!D414)-ROW(Calc!$B$7))),"")</f>
        <v>Not Set</v>
      </c>
      <c r="F414" s="124" t="str">
        <f>IFERROR(IF(LEN(INDEX(Database!F$9:F$501,ROW(Calc!E414)-ROW(Calc!$B$7)))=0,$AD$3,INDEX(Database!F$9:F$501,ROW(Calc!E414)-ROW(Calc!$B$7))),"")</f>
        <v>Not Set</v>
      </c>
      <c r="G414" s="128" t="str">
        <f>IFERROR(IF(LEN(INDEX(Database!H$9:H$501,ROW(Calc!F414)-ROW(Calc!$B$7)))=0,$AD$3,INDEX(Database!H$9:H$501,ROW(Calc!F414)-ROW(Calc!$B$7))),"")</f>
        <v>Not Set</v>
      </c>
      <c r="H414" s="128" t="str">
        <f>IFERROR(IF(LEN(INDEX(Database!I$9:I$501,ROW(Calc!G414)-ROW(Calc!$B$7)))=0,$AD$3,INDEX(Database!I$9:I$501,ROW(Calc!G414)-ROW(Calc!$B$7))),"")</f>
        <v>Not Set</v>
      </c>
      <c r="I414" s="128" t="str">
        <f>IFERROR(IF(LEN(INDEX(Database!J$9:J$501,ROW(Calc!H414)-ROW(Calc!$B$7)))=0,$AD$3,INDEX(Database!J$9:J$501,ROW(Calc!H414)-ROW(Calc!$B$7))),"")</f>
        <v>Not Set</v>
      </c>
      <c r="J414" s="128" t="str">
        <f t="shared" si="59"/>
        <v>Not Set</v>
      </c>
      <c r="K414" s="124" t="str">
        <f>IFERROR(IF(LEN(INDEX(Database!E$9:E$501,ROW(Calc!I414)-ROW(Calc!$B$7)))=0,"",INDEX(Database!E$9:E$501,ROW(Calc!I414)-ROW(Calc!$B$7))),"")</f>
        <v/>
      </c>
      <c r="L414" s="129" t="str">
        <f>IFERROR(IF(LEN(INDEX(Database!K$9:K$501,ROW(Calc!K414)-ROW(Calc!$B$7)))=0,$AD$3,INDEX(Database!K$9:K$501,ROW(Calc!K414)-ROW(Calc!$B$7))),"")</f>
        <v>Not Set</v>
      </c>
      <c r="M414" s="130" t="str">
        <f>IFERROR(IF(LEN(INDEX(Database!L$9:L$501,ROW(Calc!L414)-ROW(Calc!$B$7)))=0,$AD$3,INDEX(Database!L$9:L$501,ROW(Calc!L414)-ROW(Calc!$B$7))),"")</f>
        <v>Not Set</v>
      </c>
      <c r="N414" s="131" t="str">
        <f>IFERROR(IF(LEN(INDEX(Database!M$9:M$501,ROW(Calc!M414)-ROW(Calc!$B$7)))=0,"",INDEX(Database!M$9:M$501,ROW(Calc!M414)-ROW(Calc!$B$7))),"")</f>
        <v/>
      </c>
      <c r="O414" s="132" t="str">
        <f t="shared" si="63"/>
        <v/>
      </c>
      <c r="P414" s="125" t="str">
        <f t="shared" si="60"/>
        <v>Not Set</v>
      </c>
      <c r="Q414" s="125" t="str">
        <f t="shared" si="61"/>
        <v>Not Set</v>
      </c>
      <c r="R414" s="125" t="str">
        <f>IFERROR(IF(G414=$AD$3,$AD$3,INDEX(Kanban_Helper!$C$317:$C$328,MATCH(MONTH(G414),Kanban_Helper!$B$317:$B$328,0))&amp;" - "&amp;YEAR(G414)),"$AD$3")</f>
        <v>Not Set</v>
      </c>
      <c r="S414" s="125" t="str">
        <f>IFERROR(IF(I414=$AD$3,$AD$3,INDEX(Kanban_Helper!$C$317:$C$328,MATCH(MONTH(I414),Kanban_Helper!$B$317:$B$328,0))&amp;" - "&amp;YEAR(I414)),$AD$3)</f>
        <v>Not Set</v>
      </c>
      <c r="T414" s="125" t="str">
        <f t="shared" ca="1" si="64"/>
        <v/>
      </c>
      <c r="U414" s="125" t="str">
        <f t="shared" ca="1" si="65"/>
        <v/>
      </c>
      <c r="V414" s="125" t="str">
        <f t="shared" si="62"/>
        <v>Not Set</v>
      </c>
      <c r="W414" s="126" t="str">
        <f t="shared" si="66"/>
        <v/>
      </c>
      <c r="X414" s="126" t="str">
        <f t="shared" si="67"/>
        <v/>
      </c>
      <c r="Y414" s="125" t="str">
        <f>IFERROR(IF(LEN(D414)=0,"",IF(SUBTOTAL(3,E414:E414)=0,MIN($Y$7:Y413)-1,SUBTOTAL(3,$E$8:E414))),"")</f>
        <v/>
      </c>
      <c r="Z414" s="17"/>
      <c r="AA414" s="10"/>
      <c r="AB414" s="10"/>
      <c r="AC414" s="10"/>
      <c r="AD414" s="10"/>
      <c r="AE414" s="10"/>
      <c r="AF414" s="10"/>
      <c r="AG414" s="10"/>
      <c r="AH414" s="10"/>
      <c r="AI414" s="10"/>
      <c r="AJ414" s="10"/>
      <c r="AK414" s="10"/>
      <c r="AL414" s="10"/>
      <c r="AM414" s="10"/>
      <c r="AN414" s="10"/>
    </row>
    <row r="415" spans="2:40" hidden="1" x14ac:dyDescent="0.35">
      <c r="B415" s="15"/>
      <c r="C415" s="127" t="str">
        <f>IFERROR(IF(LEN(INDEX(Database!C$9:C$501,ROW(Calc!A415)-ROW(Calc!$B$7)))=0,"",INDEX(Database!C$9:C$501,ROW(Calc!A415)-ROW(Calc!$B$7))),"")</f>
        <v/>
      </c>
      <c r="D415" s="70" t="str">
        <f>IFERROR(IF(LEN(INDEX(Database!D$9:D$501,ROW(Calc!B415)-ROW(Calc!$B$7)))=0,"",INDEX(Database!D$9:D$501,ROW(Calc!B415)-ROW(Calc!$B$7))),"")</f>
        <v/>
      </c>
      <c r="E415" s="124" t="str">
        <f>IFERROR(IF(LEN(INDEX(Database!G$9:G$501,ROW(Calc!D415)-ROW(Calc!$B$7)))=0,$AD$3,INDEX(Database!G$9:G$501,ROW(Calc!D415)-ROW(Calc!$B$7))),"")</f>
        <v>Not Set</v>
      </c>
      <c r="F415" s="124" t="str">
        <f>IFERROR(IF(LEN(INDEX(Database!F$9:F$501,ROW(Calc!E415)-ROW(Calc!$B$7)))=0,$AD$3,INDEX(Database!F$9:F$501,ROW(Calc!E415)-ROW(Calc!$B$7))),"")</f>
        <v>Not Set</v>
      </c>
      <c r="G415" s="128" t="str">
        <f>IFERROR(IF(LEN(INDEX(Database!H$9:H$501,ROW(Calc!F415)-ROW(Calc!$B$7)))=0,$AD$3,INDEX(Database!H$9:H$501,ROW(Calc!F415)-ROW(Calc!$B$7))),"")</f>
        <v>Not Set</v>
      </c>
      <c r="H415" s="128" t="str">
        <f>IFERROR(IF(LEN(INDEX(Database!I$9:I$501,ROW(Calc!G415)-ROW(Calc!$B$7)))=0,$AD$3,INDEX(Database!I$9:I$501,ROW(Calc!G415)-ROW(Calc!$B$7))),"")</f>
        <v>Not Set</v>
      </c>
      <c r="I415" s="128" t="str">
        <f>IFERROR(IF(LEN(INDEX(Database!J$9:J$501,ROW(Calc!H415)-ROW(Calc!$B$7)))=0,$AD$3,INDEX(Database!J$9:J$501,ROW(Calc!H415)-ROW(Calc!$B$7))),"")</f>
        <v>Not Set</v>
      </c>
      <c r="J415" s="128" t="str">
        <f t="shared" si="59"/>
        <v>Not Set</v>
      </c>
      <c r="K415" s="124" t="str">
        <f>IFERROR(IF(LEN(INDEX(Database!E$9:E$501,ROW(Calc!I415)-ROW(Calc!$B$7)))=0,"",INDEX(Database!E$9:E$501,ROW(Calc!I415)-ROW(Calc!$B$7))),"")</f>
        <v/>
      </c>
      <c r="L415" s="129" t="str">
        <f>IFERROR(IF(LEN(INDEX(Database!K$9:K$501,ROW(Calc!K415)-ROW(Calc!$B$7)))=0,$AD$3,INDEX(Database!K$9:K$501,ROW(Calc!K415)-ROW(Calc!$B$7))),"")</f>
        <v>Not Set</v>
      </c>
      <c r="M415" s="130" t="str">
        <f>IFERROR(IF(LEN(INDEX(Database!L$9:L$501,ROW(Calc!L415)-ROW(Calc!$B$7)))=0,$AD$3,INDEX(Database!L$9:L$501,ROW(Calc!L415)-ROW(Calc!$B$7))),"")</f>
        <v>Not Set</v>
      </c>
      <c r="N415" s="131" t="str">
        <f>IFERROR(IF(LEN(INDEX(Database!M$9:M$501,ROW(Calc!M415)-ROW(Calc!$B$7)))=0,"",INDEX(Database!M$9:M$501,ROW(Calc!M415)-ROW(Calc!$B$7))),"")</f>
        <v/>
      </c>
      <c r="O415" s="132" t="str">
        <f t="shared" si="63"/>
        <v/>
      </c>
      <c r="P415" s="125" t="str">
        <f t="shared" si="60"/>
        <v>Not Set</v>
      </c>
      <c r="Q415" s="125" t="str">
        <f t="shared" si="61"/>
        <v>Not Set</v>
      </c>
      <c r="R415" s="125" t="str">
        <f>IFERROR(IF(G415=$AD$3,$AD$3,INDEX(Kanban_Helper!$C$317:$C$328,MATCH(MONTH(G415),Kanban_Helper!$B$317:$B$328,0))&amp;" - "&amp;YEAR(G415)),"$AD$3")</f>
        <v>Not Set</v>
      </c>
      <c r="S415" s="125" t="str">
        <f>IFERROR(IF(I415=$AD$3,$AD$3,INDEX(Kanban_Helper!$C$317:$C$328,MATCH(MONTH(I415),Kanban_Helper!$B$317:$B$328,0))&amp;" - "&amp;YEAR(I415)),$AD$3)</f>
        <v>Not Set</v>
      </c>
      <c r="T415" s="125" t="str">
        <f t="shared" ca="1" si="64"/>
        <v/>
      </c>
      <c r="U415" s="125" t="str">
        <f t="shared" ca="1" si="65"/>
        <v/>
      </c>
      <c r="V415" s="125" t="str">
        <f t="shared" si="62"/>
        <v>Not Set</v>
      </c>
      <c r="W415" s="126" t="str">
        <f t="shared" si="66"/>
        <v/>
      </c>
      <c r="X415" s="126" t="str">
        <f t="shared" si="67"/>
        <v/>
      </c>
      <c r="Y415" s="125" t="str">
        <f>IFERROR(IF(LEN(D415)=0,"",IF(SUBTOTAL(3,E415:E415)=0,MIN($Y$7:Y414)-1,SUBTOTAL(3,$E$8:E415))),"")</f>
        <v/>
      </c>
      <c r="Z415" s="17"/>
      <c r="AA415" s="10"/>
      <c r="AB415" s="10"/>
      <c r="AC415" s="10"/>
      <c r="AD415" s="10"/>
      <c r="AE415" s="10"/>
      <c r="AF415" s="10"/>
      <c r="AG415" s="10"/>
      <c r="AH415" s="10"/>
      <c r="AI415" s="10"/>
      <c r="AJ415" s="10"/>
      <c r="AK415" s="10"/>
      <c r="AL415" s="10"/>
      <c r="AM415" s="10"/>
      <c r="AN415" s="10"/>
    </row>
    <row r="416" spans="2:40" hidden="1" x14ac:dyDescent="0.35">
      <c r="B416" s="15"/>
      <c r="C416" s="127" t="str">
        <f>IFERROR(IF(LEN(INDEX(Database!C$9:C$501,ROW(Calc!A416)-ROW(Calc!$B$7)))=0,"",INDEX(Database!C$9:C$501,ROW(Calc!A416)-ROW(Calc!$B$7))),"")</f>
        <v/>
      </c>
      <c r="D416" s="70" t="str">
        <f>IFERROR(IF(LEN(INDEX(Database!D$9:D$501,ROW(Calc!B416)-ROW(Calc!$B$7)))=0,"",INDEX(Database!D$9:D$501,ROW(Calc!B416)-ROW(Calc!$B$7))),"")</f>
        <v/>
      </c>
      <c r="E416" s="124" t="str">
        <f>IFERROR(IF(LEN(INDEX(Database!G$9:G$501,ROW(Calc!D416)-ROW(Calc!$B$7)))=0,$AD$3,INDEX(Database!G$9:G$501,ROW(Calc!D416)-ROW(Calc!$B$7))),"")</f>
        <v>Not Set</v>
      </c>
      <c r="F416" s="124" t="str">
        <f>IFERROR(IF(LEN(INDEX(Database!F$9:F$501,ROW(Calc!E416)-ROW(Calc!$B$7)))=0,$AD$3,INDEX(Database!F$9:F$501,ROW(Calc!E416)-ROW(Calc!$B$7))),"")</f>
        <v>Not Set</v>
      </c>
      <c r="G416" s="128" t="str">
        <f>IFERROR(IF(LEN(INDEX(Database!H$9:H$501,ROW(Calc!F416)-ROW(Calc!$B$7)))=0,$AD$3,INDEX(Database!H$9:H$501,ROW(Calc!F416)-ROW(Calc!$B$7))),"")</f>
        <v>Not Set</v>
      </c>
      <c r="H416" s="128" t="str">
        <f>IFERROR(IF(LEN(INDEX(Database!I$9:I$501,ROW(Calc!G416)-ROW(Calc!$B$7)))=0,$AD$3,INDEX(Database!I$9:I$501,ROW(Calc!G416)-ROW(Calc!$B$7))),"")</f>
        <v>Not Set</v>
      </c>
      <c r="I416" s="128" t="str">
        <f>IFERROR(IF(LEN(INDEX(Database!J$9:J$501,ROW(Calc!H416)-ROW(Calc!$B$7)))=0,$AD$3,INDEX(Database!J$9:J$501,ROW(Calc!H416)-ROW(Calc!$B$7))),"")</f>
        <v>Not Set</v>
      </c>
      <c r="J416" s="128" t="str">
        <f t="shared" si="59"/>
        <v>Not Set</v>
      </c>
      <c r="K416" s="124" t="str">
        <f>IFERROR(IF(LEN(INDEX(Database!E$9:E$501,ROW(Calc!I416)-ROW(Calc!$B$7)))=0,"",INDEX(Database!E$9:E$501,ROW(Calc!I416)-ROW(Calc!$B$7))),"")</f>
        <v/>
      </c>
      <c r="L416" s="129" t="str">
        <f>IFERROR(IF(LEN(INDEX(Database!K$9:K$501,ROW(Calc!K416)-ROW(Calc!$B$7)))=0,$AD$3,INDEX(Database!K$9:K$501,ROW(Calc!K416)-ROW(Calc!$B$7))),"")</f>
        <v>Not Set</v>
      </c>
      <c r="M416" s="130" t="str">
        <f>IFERROR(IF(LEN(INDEX(Database!L$9:L$501,ROW(Calc!L416)-ROW(Calc!$B$7)))=0,$AD$3,INDEX(Database!L$9:L$501,ROW(Calc!L416)-ROW(Calc!$B$7))),"")</f>
        <v>Not Set</v>
      </c>
      <c r="N416" s="131" t="str">
        <f>IFERROR(IF(LEN(INDEX(Database!M$9:M$501,ROW(Calc!M416)-ROW(Calc!$B$7)))=0,"",INDEX(Database!M$9:M$501,ROW(Calc!M416)-ROW(Calc!$B$7))),"")</f>
        <v/>
      </c>
      <c r="O416" s="132" t="str">
        <f t="shared" si="63"/>
        <v/>
      </c>
      <c r="P416" s="125" t="str">
        <f t="shared" si="60"/>
        <v>Not Set</v>
      </c>
      <c r="Q416" s="125" t="str">
        <f t="shared" si="61"/>
        <v>Not Set</v>
      </c>
      <c r="R416" s="125" t="str">
        <f>IFERROR(IF(G416=$AD$3,$AD$3,INDEX(Kanban_Helper!$C$317:$C$328,MATCH(MONTH(G416),Kanban_Helper!$B$317:$B$328,0))&amp;" - "&amp;YEAR(G416)),"$AD$3")</f>
        <v>Not Set</v>
      </c>
      <c r="S416" s="125" t="str">
        <f>IFERROR(IF(I416=$AD$3,$AD$3,INDEX(Kanban_Helper!$C$317:$C$328,MATCH(MONTH(I416),Kanban_Helper!$B$317:$B$328,0))&amp;" - "&amp;YEAR(I416)),$AD$3)</f>
        <v>Not Set</v>
      </c>
      <c r="T416" s="125" t="str">
        <f t="shared" ca="1" si="64"/>
        <v/>
      </c>
      <c r="U416" s="125" t="str">
        <f t="shared" ca="1" si="65"/>
        <v/>
      </c>
      <c r="V416" s="125" t="str">
        <f t="shared" si="62"/>
        <v>Not Set</v>
      </c>
      <c r="W416" s="126" t="str">
        <f t="shared" si="66"/>
        <v/>
      </c>
      <c r="X416" s="126" t="str">
        <f t="shared" si="67"/>
        <v/>
      </c>
      <c r="Y416" s="125" t="str">
        <f>IFERROR(IF(LEN(D416)=0,"",IF(SUBTOTAL(3,E416:E416)=0,MIN($Y$7:Y415)-1,SUBTOTAL(3,$E$8:E416))),"")</f>
        <v/>
      </c>
      <c r="Z416" s="17"/>
      <c r="AA416" s="10"/>
      <c r="AB416" s="10"/>
      <c r="AC416" s="10"/>
      <c r="AD416" s="10"/>
      <c r="AE416" s="10"/>
      <c r="AF416" s="10"/>
      <c r="AG416" s="10"/>
      <c r="AH416" s="10"/>
      <c r="AI416" s="10"/>
      <c r="AJ416" s="10"/>
      <c r="AK416" s="10"/>
      <c r="AL416" s="10"/>
      <c r="AM416" s="10"/>
      <c r="AN416" s="10"/>
    </row>
    <row r="417" spans="2:40" hidden="1" x14ac:dyDescent="0.35">
      <c r="B417" s="15"/>
      <c r="C417" s="127" t="str">
        <f>IFERROR(IF(LEN(INDEX(Database!C$9:C$501,ROW(Calc!A417)-ROW(Calc!$B$7)))=0,"",INDEX(Database!C$9:C$501,ROW(Calc!A417)-ROW(Calc!$B$7))),"")</f>
        <v/>
      </c>
      <c r="D417" s="70" t="str">
        <f>IFERROR(IF(LEN(INDEX(Database!D$9:D$501,ROW(Calc!B417)-ROW(Calc!$B$7)))=0,"",INDEX(Database!D$9:D$501,ROW(Calc!B417)-ROW(Calc!$B$7))),"")</f>
        <v/>
      </c>
      <c r="E417" s="124" t="str">
        <f>IFERROR(IF(LEN(INDEX(Database!G$9:G$501,ROW(Calc!D417)-ROW(Calc!$B$7)))=0,$AD$3,INDEX(Database!G$9:G$501,ROW(Calc!D417)-ROW(Calc!$B$7))),"")</f>
        <v>Not Set</v>
      </c>
      <c r="F417" s="124" t="str">
        <f>IFERROR(IF(LEN(INDEX(Database!F$9:F$501,ROW(Calc!E417)-ROW(Calc!$B$7)))=0,$AD$3,INDEX(Database!F$9:F$501,ROW(Calc!E417)-ROW(Calc!$B$7))),"")</f>
        <v>Not Set</v>
      </c>
      <c r="G417" s="128" t="str">
        <f>IFERROR(IF(LEN(INDEX(Database!H$9:H$501,ROW(Calc!F417)-ROW(Calc!$B$7)))=0,$AD$3,INDEX(Database!H$9:H$501,ROW(Calc!F417)-ROW(Calc!$B$7))),"")</f>
        <v>Not Set</v>
      </c>
      <c r="H417" s="128" t="str">
        <f>IFERROR(IF(LEN(INDEX(Database!I$9:I$501,ROW(Calc!G417)-ROW(Calc!$B$7)))=0,$AD$3,INDEX(Database!I$9:I$501,ROW(Calc!G417)-ROW(Calc!$B$7))),"")</f>
        <v>Not Set</v>
      </c>
      <c r="I417" s="128" t="str">
        <f>IFERROR(IF(LEN(INDEX(Database!J$9:J$501,ROW(Calc!H417)-ROW(Calc!$B$7)))=0,$AD$3,INDEX(Database!J$9:J$501,ROW(Calc!H417)-ROW(Calc!$B$7))),"")</f>
        <v>Not Set</v>
      </c>
      <c r="J417" s="128" t="str">
        <f t="shared" si="59"/>
        <v>Not Set</v>
      </c>
      <c r="K417" s="124" t="str">
        <f>IFERROR(IF(LEN(INDEX(Database!E$9:E$501,ROW(Calc!I417)-ROW(Calc!$B$7)))=0,"",INDEX(Database!E$9:E$501,ROW(Calc!I417)-ROW(Calc!$B$7))),"")</f>
        <v/>
      </c>
      <c r="L417" s="129" t="str">
        <f>IFERROR(IF(LEN(INDEX(Database!K$9:K$501,ROW(Calc!K417)-ROW(Calc!$B$7)))=0,$AD$3,INDEX(Database!K$9:K$501,ROW(Calc!K417)-ROW(Calc!$B$7))),"")</f>
        <v>Not Set</v>
      </c>
      <c r="M417" s="130" t="str">
        <f>IFERROR(IF(LEN(INDEX(Database!L$9:L$501,ROW(Calc!L417)-ROW(Calc!$B$7)))=0,$AD$3,INDEX(Database!L$9:L$501,ROW(Calc!L417)-ROW(Calc!$B$7))),"")</f>
        <v>Not Set</v>
      </c>
      <c r="N417" s="131" t="str">
        <f>IFERROR(IF(LEN(INDEX(Database!M$9:M$501,ROW(Calc!M417)-ROW(Calc!$B$7)))=0,"",INDEX(Database!M$9:M$501,ROW(Calc!M417)-ROW(Calc!$B$7))),"")</f>
        <v/>
      </c>
      <c r="O417" s="132" t="str">
        <f t="shared" si="63"/>
        <v/>
      </c>
      <c r="P417" s="125" t="str">
        <f t="shared" si="60"/>
        <v>Not Set</v>
      </c>
      <c r="Q417" s="125" t="str">
        <f t="shared" si="61"/>
        <v>Not Set</v>
      </c>
      <c r="R417" s="125" t="str">
        <f>IFERROR(IF(G417=$AD$3,$AD$3,INDEX(Kanban_Helper!$C$317:$C$328,MATCH(MONTH(G417),Kanban_Helper!$B$317:$B$328,0))&amp;" - "&amp;YEAR(G417)),"$AD$3")</f>
        <v>Not Set</v>
      </c>
      <c r="S417" s="125" t="str">
        <f>IFERROR(IF(I417=$AD$3,$AD$3,INDEX(Kanban_Helper!$C$317:$C$328,MATCH(MONTH(I417),Kanban_Helper!$B$317:$B$328,0))&amp;" - "&amp;YEAR(I417)),$AD$3)</f>
        <v>Not Set</v>
      </c>
      <c r="T417" s="125" t="str">
        <f t="shared" ca="1" si="64"/>
        <v/>
      </c>
      <c r="U417" s="125" t="str">
        <f t="shared" ca="1" si="65"/>
        <v/>
      </c>
      <c r="V417" s="125" t="str">
        <f t="shared" si="62"/>
        <v>Not Set</v>
      </c>
      <c r="W417" s="126" t="str">
        <f t="shared" si="66"/>
        <v/>
      </c>
      <c r="X417" s="126" t="str">
        <f t="shared" si="67"/>
        <v/>
      </c>
      <c r="Y417" s="125" t="str">
        <f>IFERROR(IF(LEN(D417)=0,"",IF(SUBTOTAL(3,E417:E417)=0,MIN($Y$7:Y416)-1,SUBTOTAL(3,$E$8:E417))),"")</f>
        <v/>
      </c>
      <c r="Z417" s="17"/>
      <c r="AA417" s="10"/>
      <c r="AB417" s="10"/>
      <c r="AC417" s="10"/>
      <c r="AD417" s="10"/>
      <c r="AE417" s="10"/>
      <c r="AF417" s="10"/>
      <c r="AG417" s="10"/>
      <c r="AH417" s="10"/>
      <c r="AI417" s="10"/>
      <c r="AJ417" s="10"/>
      <c r="AK417" s="10"/>
      <c r="AL417" s="10"/>
      <c r="AM417" s="10"/>
      <c r="AN417" s="10"/>
    </row>
    <row r="418" spans="2:40" hidden="1" x14ac:dyDescent="0.35">
      <c r="B418" s="15"/>
      <c r="C418" s="127" t="str">
        <f>IFERROR(IF(LEN(INDEX(Database!C$9:C$501,ROW(Calc!A418)-ROW(Calc!$B$7)))=0,"",INDEX(Database!C$9:C$501,ROW(Calc!A418)-ROW(Calc!$B$7))),"")</f>
        <v/>
      </c>
      <c r="D418" s="70" t="str">
        <f>IFERROR(IF(LEN(INDEX(Database!D$9:D$501,ROW(Calc!B418)-ROW(Calc!$B$7)))=0,"",INDEX(Database!D$9:D$501,ROW(Calc!B418)-ROW(Calc!$B$7))),"")</f>
        <v/>
      </c>
      <c r="E418" s="124" t="str">
        <f>IFERROR(IF(LEN(INDEX(Database!G$9:G$501,ROW(Calc!D418)-ROW(Calc!$B$7)))=0,$AD$3,INDEX(Database!G$9:G$501,ROW(Calc!D418)-ROW(Calc!$B$7))),"")</f>
        <v>Not Set</v>
      </c>
      <c r="F418" s="124" t="str">
        <f>IFERROR(IF(LEN(INDEX(Database!F$9:F$501,ROW(Calc!E418)-ROW(Calc!$B$7)))=0,$AD$3,INDEX(Database!F$9:F$501,ROW(Calc!E418)-ROW(Calc!$B$7))),"")</f>
        <v>Not Set</v>
      </c>
      <c r="G418" s="128" t="str">
        <f>IFERROR(IF(LEN(INDEX(Database!H$9:H$501,ROW(Calc!F418)-ROW(Calc!$B$7)))=0,$AD$3,INDEX(Database!H$9:H$501,ROW(Calc!F418)-ROW(Calc!$B$7))),"")</f>
        <v>Not Set</v>
      </c>
      <c r="H418" s="128" t="str">
        <f>IFERROR(IF(LEN(INDEX(Database!I$9:I$501,ROW(Calc!G418)-ROW(Calc!$B$7)))=0,$AD$3,INDEX(Database!I$9:I$501,ROW(Calc!G418)-ROW(Calc!$B$7))),"")</f>
        <v>Not Set</v>
      </c>
      <c r="I418" s="128" t="str">
        <f>IFERROR(IF(LEN(INDEX(Database!J$9:J$501,ROW(Calc!H418)-ROW(Calc!$B$7)))=0,$AD$3,INDEX(Database!J$9:J$501,ROW(Calc!H418)-ROW(Calc!$B$7))),"")</f>
        <v>Not Set</v>
      </c>
      <c r="J418" s="128" t="str">
        <f t="shared" si="59"/>
        <v>Not Set</v>
      </c>
      <c r="K418" s="124" t="str">
        <f>IFERROR(IF(LEN(INDEX(Database!E$9:E$501,ROW(Calc!I418)-ROW(Calc!$B$7)))=0,"",INDEX(Database!E$9:E$501,ROW(Calc!I418)-ROW(Calc!$B$7))),"")</f>
        <v/>
      </c>
      <c r="L418" s="129" t="str">
        <f>IFERROR(IF(LEN(INDEX(Database!K$9:K$501,ROW(Calc!K418)-ROW(Calc!$B$7)))=0,$AD$3,INDEX(Database!K$9:K$501,ROW(Calc!K418)-ROW(Calc!$B$7))),"")</f>
        <v>Not Set</v>
      </c>
      <c r="M418" s="130" t="str">
        <f>IFERROR(IF(LEN(INDEX(Database!L$9:L$501,ROW(Calc!L418)-ROW(Calc!$B$7)))=0,$AD$3,INDEX(Database!L$9:L$501,ROW(Calc!L418)-ROW(Calc!$B$7))),"")</f>
        <v>Not Set</v>
      </c>
      <c r="N418" s="131" t="str">
        <f>IFERROR(IF(LEN(INDEX(Database!M$9:M$501,ROW(Calc!M418)-ROW(Calc!$B$7)))=0,"",INDEX(Database!M$9:M$501,ROW(Calc!M418)-ROW(Calc!$B$7))),"")</f>
        <v/>
      </c>
      <c r="O418" s="132" t="str">
        <f t="shared" si="63"/>
        <v/>
      </c>
      <c r="P418" s="125" t="str">
        <f t="shared" si="60"/>
        <v>Not Set</v>
      </c>
      <c r="Q418" s="125" t="str">
        <f t="shared" si="61"/>
        <v>Not Set</v>
      </c>
      <c r="R418" s="125" t="str">
        <f>IFERROR(IF(G418=$AD$3,$AD$3,INDEX(Kanban_Helper!$C$317:$C$328,MATCH(MONTH(G418),Kanban_Helper!$B$317:$B$328,0))&amp;" - "&amp;YEAR(G418)),"$AD$3")</f>
        <v>Not Set</v>
      </c>
      <c r="S418" s="125" t="str">
        <f>IFERROR(IF(I418=$AD$3,$AD$3,INDEX(Kanban_Helper!$C$317:$C$328,MATCH(MONTH(I418),Kanban_Helper!$B$317:$B$328,0))&amp;" - "&amp;YEAR(I418)),$AD$3)</f>
        <v>Not Set</v>
      </c>
      <c r="T418" s="125" t="str">
        <f t="shared" ca="1" si="64"/>
        <v/>
      </c>
      <c r="U418" s="125" t="str">
        <f t="shared" ca="1" si="65"/>
        <v/>
      </c>
      <c r="V418" s="125" t="str">
        <f t="shared" si="62"/>
        <v>Not Set</v>
      </c>
      <c r="W418" s="126" t="str">
        <f t="shared" si="66"/>
        <v/>
      </c>
      <c r="X418" s="126" t="str">
        <f t="shared" si="67"/>
        <v/>
      </c>
      <c r="Y418" s="125" t="str">
        <f>IFERROR(IF(LEN(D418)=0,"",IF(SUBTOTAL(3,E418:E418)=0,MIN($Y$7:Y417)-1,SUBTOTAL(3,$E$8:E418))),"")</f>
        <v/>
      </c>
      <c r="Z418" s="17"/>
      <c r="AA418" s="10"/>
      <c r="AB418" s="10"/>
      <c r="AC418" s="10"/>
      <c r="AD418" s="10"/>
      <c r="AE418" s="10"/>
      <c r="AF418" s="10"/>
      <c r="AG418" s="10"/>
      <c r="AH418" s="10"/>
      <c r="AI418" s="10"/>
      <c r="AJ418" s="10"/>
      <c r="AK418" s="10"/>
      <c r="AL418" s="10"/>
      <c r="AM418" s="10"/>
      <c r="AN418" s="10"/>
    </row>
    <row r="419" spans="2:40" hidden="1" x14ac:dyDescent="0.35">
      <c r="B419" s="15"/>
      <c r="C419" s="127" t="str">
        <f>IFERROR(IF(LEN(INDEX(Database!C$9:C$501,ROW(Calc!A419)-ROW(Calc!$B$7)))=0,"",INDEX(Database!C$9:C$501,ROW(Calc!A419)-ROW(Calc!$B$7))),"")</f>
        <v/>
      </c>
      <c r="D419" s="70" t="str">
        <f>IFERROR(IF(LEN(INDEX(Database!D$9:D$501,ROW(Calc!B419)-ROW(Calc!$B$7)))=0,"",INDEX(Database!D$9:D$501,ROW(Calc!B419)-ROW(Calc!$B$7))),"")</f>
        <v/>
      </c>
      <c r="E419" s="124" t="str">
        <f>IFERROR(IF(LEN(INDEX(Database!G$9:G$501,ROW(Calc!D419)-ROW(Calc!$B$7)))=0,$AD$3,INDEX(Database!G$9:G$501,ROW(Calc!D419)-ROW(Calc!$B$7))),"")</f>
        <v>Not Set</v>
      </c>
      <c r="F419" s="124" t="str">
        <f>IFERROR(IF(LEN(INDEX(Database!F$9:F$501,ROW(Calc!E419)-ROW(Calc!$B$7)))=0,$AD$3,INDEX(Database!F$9:F$501,ROW(Calc!E419)-ROW(Calc!$B$7))),"")</f>
        <v>Not Set</v>
      </c>
      <c r="G419" s="128" t="str">
        <f>IFERROR(IF(LEN(INDEX(Database!H$9:H$501,ROW(Calc!F419)-ROW(Calc!$B$7)))=0,$AD$3,INDEX(Database!H$9:H$501,ROW(Calc!F419)-ROW(Calc!$B$7))),"")</f>
        <v>Not Set</v>
      </c>
      <c r="H419" s="128" t="str">
        <f>IFERROR(IF(LEN(INDEX(Database!I$9:I$501,ROW(Calc!G419)-ROW(Calc!$B$7)))=0,$AD$3,INDEX(Database!I$9:I$501,ROW(Calc!G419)-ROW(Calc!$B$7))),"")</f>
        <v>Not Set</v>
      </c>
      <c r="I419" s="128" t="str">
        <f>IFERROR(IF(LEN(INDEX(Database!J$9:J$501,ROW(Calc!H419)-ROW(Calc!$B$7)))=0,$AD$3,INDEX(Database!J$9:J$501,ROW(Calc!H419)-ROW(Calc!$B$7))),"")</f>
        <v>Not Set</v>
      </c>
      <c r="J419" s="128" t="str">
        <f t="shared" si="59"/>
        <v>Not Set</v>
      </c>
      <c r="K419" s="124" t="str">
        <f>IFERROR(IF(LEN(INDEX(Database!E$9:E$501,ROW(Calc!I419)-ROW(Calc!$B$7)))=0,"",INDEX(Database!E$9:E$501,ROW(Calc!I419)-ROW(Calc!$B$7))),"")</f>
        <v/>
      </c>
      <c r="L419" s="129" t="str">
        <f>IFERROR(IF(LEN(INDEX(Database!K$9:K$501,ROW(Calc!K419)-ROW(Calc!$B$7)))=0,$AD$3,INDEX(Database!K$9:K$501,ROW(Calc!K419)-ROW(Calc!$B$7))),"")</f>
        <v>Not Set</v>
      </c>
      <c r="M419" s="130" t="str">
        <f>IFERROR(IF(LEN(INDEX(Database!L$9:L$501,ROW(Calc!L419)-ROW(Calc!$B$7)))=0,$AD$3,INDEX(Database!L$9:L$501,ROW(Calc!L419)-ROW(Calc!$B$7))),"")</f>
        <v>Not Set</v>
      </c>
      <c r="N419" s="131" t="str">
        <f>IFERROR(IF(LEN(INDEX(Database!M$9:M$501,ROW(Calc!M419)-ROW(Calc!$B$7)))=0,"",INDEX(Database!M$9:M$501,ROW(Calc!M419)-ROW(Calc!$B$7))),"")</f>
        <v/>
      </c>
      <c r="O419" s="132" t="str">
        <f t="shared" si="63"/>
        <v/>
      </c>
      <c r="P419" s="125" t="str">
        <f t="shared" si="60"/>
        <v>Not Set</v>
      </c>
      <c r="Q419" s="125" t="str">
        <f t="shared" si="61"/>
        <v>Not Set</v>
      </c>
      <c r="R419" s="125" t="str">
        <f>IFERROR(IF(G419=$AD$3,$AD$3,INDEX(Kanban_Helper!$C$317:$C$328,MATCH(MONTH(G419),Kanban_Helper!$B$317:$B$328,0))&amp;" - "&amp;YEAR(G419)),"$AD$3")</f>
        <v>Not Set</v>
      </c>
      <c r="S419" s="125" t="str">
        <f>IFERROR(IF(I419=$AD$3,$AD$3,INDEX(Kanban_Helper!$C$317:$C$328,MATCH(MONTH(I419),Kanban_Helper!$B$317:$B$328,0))&amp;" - "&amp;YEAR(I419)),$AD$3)</f>
        <v>Not Set</v>
      </c>
      <c r="T419" s="125" t="str">
        <f t="shared" ca="1" si="64"/>
        <v/>
      </c>
      <c r="U419" s="125" t="str">
        <f t="shared" ca="1" si="65"/>
        <v/>
      </c>
      <c r="V419" s="125" t="str">
        <f t="shared" si="62"/>
        <v>Not Set</v>
      </c>
      <c r="W419" s="126" t="str">
        <f t="shared" si="66"/>
        <v/>
      </c>
      <c r="X419" s="126" t="str">
        <f t="shared" si="67"/>
        <v/>
      </c>
      <c r="Y419" s="125" t="str">
        <f>IFERROR(IF(LEN(D419)=0,"",IF(SUBTOTAL(3,E419:E419)=0,MIN($Y$7:Y418)-1,SUBTOTAL(3,$E$8:E419))),"")</f>
        <v/>
      </c>
      <c r="Z419" s="17"/>
      <c r="AA419" s="10"/>
      <c r="AB419" s="10"/>
      <c r="AC419" s="10"/>
      <c r="AD419" s="10"/>
      <c r="AE419" s="10"/>
      <c r="AF419" s="10"/>
      <c r="AG419" s="10"/>
      <c r="AH419" s="10"/>
      <c r="AI419" s="10"/>
      <c r="AJ419" s="10"/>
      <c r="AK419" s="10"/>
      <c r="AL419" s="10"/>
      <c r="AM419" s="10"/>
      <c r="AN419" s="10"/>
    </row>
    <row r="420" spans="2:40" hidden="1" x14ac:dyDescent="0.35">
      <c r="B420" s="15"/>
      <c r="C420" s="127" t="str">
        <f>IFERROR(IF(LEN(INDEX(Database!C$9:C$501,ROW(Calc!A420)-ROW(Calc!$B$7)))=0,"",INDEX(Database!C$9:C$501,ROW(Calc!A420)-ROW(Calc!$B$7))),"")</f>
        <v/>
      </c>
      <c r="D420" s="70" t="str">
        <f>IFERROR(IF(LEN(INDEX(Database!D$9:D$501,ROW(Calc!B420)-ROW(Calc!$B$7)))=0,"",INDEX(Database!D$9:D$501,ROW(Calc!B420)-ROW(Calc!$B$7))),"")</f>
        <v/>
      </c>
      <c r="E420" s="124" t="str">
        <f>IFERROR(IF(LEN(INDEX(Database!G$9:G$501,ROW(Calc!D420)-ROW(Calc!$B$7)))=0,$AD$3,INDEX(Database!G$9:G$501,ROW(Calc!D420)-ROW(Calc!$B$7))),"")</f>
        <v>Not Set</v>
      </c>
      <c r="F420" s="124" t="str">
        <f>IFERROR(IF(LEN(INDEX(Database!F$9:F$501,ROW(Calc!E420)-ROW(Calc!$B$7)))=0,$AD$3,INDEX(Database!F$9:F$501,ROW(Calc!E420)-ROW(Calc!$B$7))),"")</f>
        <v>Not Set</v>
      </c>
      <c r="G420" s="128" t="str">
        <f>IFERROR(IF(LEN(INDEX(Database!H$9:H$501,ROW(Calc!F420)-ROW(Calc!$B$7)))=0,$AD$3,INDEX(Database!H$9:H$501,ROW(Calc!F420)-ROW(Calc!$B$7))),"")</f>
        <v>Not Set</v>
      </c>
      <c r="H420" s="128" t="str">
        <f>IFERROR(IF(LEN(INDEX(Database!I$9:I$501,ROW(Calc!G420)-ROW(Calc!$B$7)))=0,$AD$3,INDEX(Database!I$9:I$501,ROW(Calc!G420)-ROW(Calc!$B$7))),"")</f>
        <v>Not Set</v>
      </c>
      <c r="I420" s="128" t="str">
        <f>IFERROR(IF(LEN(INDEX(Database!J$9:J$501,ROW(Calc!H420)-ROW(Calc!$B$7)))=0,$AD$3,INDEX(Database!J$9:J$501,ROW(Calc!H420)-ROW(Calc!$B$7))),"")</f>
        <v>Not Set</v>
      </c>
      <c r="J420" s="128" t="str">
        <f t="shared" si="59"/>
        <v>Not Set</v>
      </c>
      <c r="K420" s="124" t="str">
        <f>IFERROR(IF(LEN(INDEX(Database!E$9:E$501,ROW(Calc!I420)-ROW(Calc!$B$7)))=0,"",INDEX(Database!E$9:E$501,ROW(Calc!I420)-ROW(Calc!$B$7))),"")</f>
        <v/>
      </c>
      <c r="L420" s="129" t="str">
        <f>IFERROR(IF(LEN(INDEX(Database!K$9:K$501,ROW(Calc!K420)-ROW(Calc!$B$7)))=0,$AD$3,INDEX(Database!K$9:K$501,ROW(Calc!K420)-ROW(Calc!$B$7))),"")</f>
        <v>Not Set</v>
      </c>
      <c r="M420" s="130" t="str">
        <f>IFERROR(IF(LEN(INDEX(Database!L$9:L$501,ROW(Calc!L420)-ROW(Calc!$B$7)))=0,$AD$3,INDEX(Database!L$9:L$501,ROW(Calc!L420)-ROW(Calc!$B$7))),"")</f>
        <v>Not Set</v>
      </c>
      <c r="N420" s="131" t="str">
        <f>IFERROR(IF(LEN(INDEX(Database!M$9:M$501,ROW(Calc!M420)-ROW(Calc!$B$7)))=0,"",INDEX(Database!M$9:M$501,ROW(Calc!M420)-ROW(Calc!$B$7))),"")</f>
        <v/>
      </c>
      <c r="O420" s="132" t="str">
        <f t="shared" si="63"/>
        <v/>
      </c>
      <c r="P420" s="125" t="str">
        <f t="shared" si="60"/>
        <v>Not Set</v>
      </c>
      <c r="Q420" s="125" t="str">
        <f t="shared" si="61"/>
        <v>Not Set</v>
      </c>
      <c r="R420" s="125" t="str">
        <f>IFERROR(IF(G420=$AD$3,$AD$3,INDEX(Kanban_Helper!$C$317:$C$328,MATCH(MONTH(G420),Kanban_Helper!$B$317:$B$328,0))&amp;" - "&amp;YEAR(G420)),"$AD$3")</f>
        <v>Not Set</v>
      </c>
      <c r="S420" s="125" t="str">
        <f>IFERROR(IF(I420=$AD$3,$AD$3,INDEX(Kanban_Helper!$C$317:$C$328,MATCH(MONTH(I420),Kanban_Helper!$B$317:$B$328,0))&amp;" - "&amp;YEAR(I420)),$AD$3)</f>
        <v>Not Set</v>
      </c>
      <c r="T420" s="125" t="str">
        <f t="shared" ca="1" si="64"/>
        <v/>
      </c>
      <c r="U420" s="125" t="str">
        <f t="shared" ca="1" si="65"/>
        <v/>
      </c>
      <c r="V420" s="125" t="str">
        <f t="shared" si="62"/>
        <v>Not Set</v>
      </c>
      <c r="W420" s="126" t="str">
        <f t="shared" si="66"/>
        <v/>
      </c>
      <c r="X420" s="126" t="str">
        <f t="shared" si="67"/>
        <v/>
      </c>
      <c r="Y420" s="125" t="str">
        <f>IFERROR(IF(LEN(D420)=0,"",IF(SUBTOTAL(3,E420:E420)=0,MIN($Y$7:Y419)-1,SUBTOTAL(3,$E$8:E420))),"")</f>
        <v/>
      </c>
      <c r="Z420" s="17"/>
      <c r="AA420" s="10"/>
      <c r="AB420" s="10"/>
      <c r="AC420" s="10"/>
      <c r="AD420" s="10"/>
      <c r="AE420" s="10"/>
      <c r="AF420" s="10"/>
      <c r="AG420" s="10"/>
      <c r="AH420" s="10"/>
      <c r="AI420" s="10"/>
      <c r="AJ420" s="10"/>
      <c r="AK420" s="10"/>
      <c r="AL420" s="10"/>
      <c r="AM420" s="10"/>
      <c r="AN420" s="10"/>
    </row>
    <row r="421" spans="2:40" hidden="1" x14ac:dyDescent="0.35">
      <c r="B421" s="15"/>
      <c r="C421" s="127" t="str">
        <f>IFERROR(IF(LEN(INDEX(Database!C$9:C$501,ROW(Calc!A421)-ROW(Calc!$B$7)))=0,"",INDEX(Database!C$9:C$501,ROW(Calc!A421)-ROW(Calc!$B$7))),"")</f>
        <v/>
      </c>
      <c r="D421" s="70" t="str">
        <f>IFERROR(IF(LEN(INDEX(Database!D$9:D$501,ROW(Calc!B421)-ROW(Calc!$B$7)))=0,"",INDEX(Database!D$9:D$501,ROW(Calc!B421)-ROW(Calc!$B$7))),"")</f>
        <v/>
      </c>
      <c r="E421" s="124" t="str">
        <f>IFERROR(IF(LEN(INDEX(Database!G$9:G$501,ROW(Calc!D421)-ROW(Calc!$B$7)))=0,$AD$3,INDEX(Database!G$9:G$501,ROW(Calc!D421)-ROW(Calc!$B$7))),"")</f>
        <v>Not Set</v>
      </c>
      <c r="F421" s="124" t="str">
        <f>IFERROR(IF(LEN(INDEX(Database!F$9:F$501,ROW(Calc!E421)-ROW(Calc!$B$7)))=0,$AD$3,INDEX(Database!F$9:F$501,ROW(Calc!E421)-ROW(Calc!$B$7))),"")</f>
        <v>Not Set</v>
      </c>
      <c r="G421" s="128" t="str">
        <f>IFERROR(IF(LEN(INDEX(Database!H$9:H$501,ROW(Calc!F421)-ROW(Calc!$B$7)))=0,$AD$3,INDEX(Database!H$9:H$501,ROW(Calc!F421)-ROW(Calc!$B$7))),"")</f>
        <v>Not Set</v>
      </c>
      <c r="H421" s="128" t="str">
        <f>IFERROR(IF(LEN(INDEX(Database!I$9:I$501,ROW(Calc!G421)-ROW(Calc!$B$7)))=0,$AD$3,INDEX(Database!I$9:I$501,ROW(Calc!G421)-ROW(Calc!$B$7))),"")</f>
        <v>Not Set</v>
      </c>
      <c r="I421" s="128" t="str">
        <f>IFERROR(IF(LEN(INDEX(Database!J$9:J$501,ROW(Calc!H421)-ROW(Calc!$B$7)))=0,$AD$3,INDEX(Database!J$9:J$501,ROW(Calc!H421)-ROW(Calc!$B$7))),"")</f>
        <v>Not Set</v>
      </c>
      <c r="J421" s="128" t="str">
        <f t="shared" si="59"/>
        <v>Not Set</v>
      </c>
      <c r="K421" s="124" t="str">
        <f>IFERROR(IF(LEN(INDEX(Database!E$9:E$501,ROW(Calc!I421)-ROW(Calc!$B$7)))=0,"",INDEX(Database!E$9:E$501,ROW(Calc!I421)-ROW(Calc!$B$7))),"")</f>
        <v/>
      </c>
      <c r="L421" s="129" t="str">
        <f>IFERROR(IF(LEN(INDEX(Database!K$9:K$501,ROW(Calc!K421)-ROW(Calc!$B$7)))=0,$AD$3,INDEX(Database!K$9:K$501,ROW(Calc!K421)-ROW(Calc!$B$7))),"")</f>
        <v>Not Set</v>
      </c>
      <c r="M421" s="130" t="str">
        <f>IFERROR(IF(LEN(INDEX(Database!L$9:L$501,ROW(Calc!L421)-ROW(Calc!$B$7)))=0,$AD$3,INDEX(Database!L$9:L$501,ROW(Calc!L421)-ROW(Calc!$B$7))),"")</f>
        <v>Not Set</v>
      </c>
      <c r="N421" s="131" t="str">
        <f>IFERROR(IF(LEN(INDEX(Database!M$9:M$501,ROW(Calc!M421)-ROW(Calc!$B$7)))=0,"",INDEX(Database!M$9:M$501,ROW(Calc!M421)-ROW(Calc!$B$7))),"")</f>
        <v/>
      </c>
      <c r="O421" s="132" t="str">
        <f t="shared" si="63"/>
        <v/>
      </c>
      <c r="P421" s="125" t="str">
        <f t="shared" si="60"/>
        <v>Not Set</v>
      </c>
      <c r="Q421" s="125" t="str">
        <f t="shared" si="61"/>
        <v>Not Set</v>
      </c>
      <c r="R421" s="125" t="str">
        <f>IFERROR(IF(G421=$AD$3,$AD$3,INDEX(Kanban_Helper!$C$317:$C$328,MATCH(MONTH(G421),Kanban_Helper!$B$317:$B$328,0))&amp;" - "&amp;YEAR(G421)),"$AD$3")</f>
        <v>Not Set</v>
      </c>
      <c r="S421" s="125" t="str">
        <f>IFERROR(IF(I421=$AD$3,$AD$3,INDEX(Kanban_Helper!$C$317:$C$328,MATCH(MONTH(I421),Kanban_Helper!$B$317:$B$328,0))&amp;" - "&amp;YEAR(I421)),$AD$3)</f>
        <v>Not Set</v>
      </c>
      <c r="T421" s="125" t="str">
        <f t="shared" ca="1" si="64"/>
        <v/>
      </c>
      <c r="U421" s="125" t="str">
        <f t="shared" ca="1" si="65"/>
        <v/>
      </c>
      <c r="V421" s="125" t="str">
        <f t="shared" si="62"/>
        <v>Not Set</v>
      </c>
      <c r="W421" s="126" t="str">
        <f t="shared" si="66"/>
        <v/>
      </c>
      <c r="X421" s="126" t="str">
        <f t="shared" si="67"/>
        <v/>
      </c>
      <c r="Y421" s="125" t="str">
        <f>IFERROR(IF(LEN(D421)=0,"",IF(SUBTOTAL(3,E421:E421)=0,MIN($Y$7:Y420)-1,SUBTOTAL(3,$E$8:E421))),"")</f>
        <v/>
      </c>
      <c r="Z421" s="17"/>
      <c r="AA421" s="10"/>
      <c r="AB421" s="10"/>
      <c r="AC421" s="10"/>
      <c r="AD421" s="10"/>
      <c r="AE421" s="10"/>
      <c r="AF421" s="10"/>
      <c r="AG421" s="10"/>
      <c r="AH421" s="10"/>
      <c r="AI421" s="10"/>
      <c r="AJ421" s="10"/>
      <c r="AK421" s="10"/>
      <c r="AL421" s="10"/>
      <c r="AM421" s="10"/>
      <c r="AN421" s="10"/>
    </row>
    <row r="422" spans="2:40" hidden="1" x14ac:dyDescent="0.35">
      <c r="B422" s="15"/>
      <c r="C422" s="127" t="str">
        <f>IFERROR(IF(LEN(INDEX(Database!C$9:C$501,ROW(Calc!A422)-ROW(Calc!$B$7)))=0,"",INDEX(Database!C$9:C$501,ROW(Calc!A422)-ROW(Calc!$B$7))),"")</f>
        <v/>
      </c>
      <c r="D422" s="70" t="str">
        <f>IFERROR(IF(LEN(INDEX(Database!D$9:D$501,ROW(Calc!B422)-ROW(Calc!$B$7)))=0,"",INDEX(Database!D$9:D$501,ROW(Calc!B422)-ROW(Calc!$B$7))),"")</f>
        <v/>
      </c>
      <c r="E422" s="124" t="str">
        <f>IFERROR(IF(LEN(INDEX(Database!G$9:G$501,ROW(Calc!D422)-ROW(Calc!$B$7)))=0,$AD$3,INDEX(Database!G$9:G$501,ROW(Calc!D422)-ROW(Calc!$B$7))),"")</f>
        <v>Not Set</v>
      </c>
      <c r="F422" s="124" t="str">
        <f>IFERROR(IF(LEN(INDEX(Database!F$9:F$501,ROW(Calc!E422)-ROW(Calc!$B$7)))=0,$AD$3,INDEX(Database!F$9:F$501,ROW(Calc!E422)-ROW(Calc!$B$7))),"")</f>
        <v>Not Set</v>
      </c>
      <c r="G422" s="128" t="str">
        <f>IFERROR(IF(LEN(INDEX(Database!H$9:H$501,ROW(Calc!F422)-ROW(Calc!$B$7)))=0,$AD$3,INDEX(Database!H$9:H$501,ROW(Calc!F422)-ROW(Calc!$B$7))),"")</f>
        <v>Not Set</v>
      </c>
      <c r="H422" s="128" t="str">
        <f>IFERROR(IF(LEN(INDEX(Database!I$9:I$501,ROW(Calc!G422)-ROW(Calc!$B$7)))=0,$AD$3,INDEX(Database!I$9:I$501,ROW(Calc!G422)-ROW(Calc!$B$7))),"")</f>
        <v>Not Set</v>
      </c>
      <c r="I422" s="128" t="str">
        <f>IFERROR(IF(LEN(INDEX(Database!J$9:J$501,ROW(Calc!H422)-ROW(Calc!$B$7)))=0,$AD$3,INDEX(Database!J$9:J$501,ROW(Calc!H422)-ROW(Calc!$B$7))),"")</f>
        <v>Not Set</v>
      </c>
      <c r="J422" s="128" t="str">
        <f t="shared" si="59"/>
        <v>Not Set</v>
      </c>
      <c r="K422" s="124" t="str">
        <f>IFERROR(IF(LEN(INDEX(Database!E$9:E$501,ROW(Calc!I422)-ROW(Calc!$B$7)))=0,"",INDEX(Database!E$9:E$501,ROW(Calc!I422)-ROW(Calc!$B$7))),"")</f>
        <v/>
      </c>
      <c r="L422" s="129" t="str">
        <f>IFERROR(IF(LEN(INDEX(Database!K$9:K$501,ROW(Calc!K422)-ROW(Calc!$B$7)))=0,$AD$3,INDEX(Database!K$9:K$501,ROW(Calc!K422)-ROW(Calc!$B$7))),"")</f>
        <v>Not Set</v>
      </c>
      <c r="M422" s="130" t="str">
        <f>IFERROR(IF(LEN(INDEX(Database!L$9:L$501,ROW(Calc!L422)-ROW(Calc!$B$7)))=0,$AD$3,INDEX(Database!L$9:L$501,ROW(Calc!L422)-ROW(Calc!$B$7))),"")</f>
        <v>Not Set</v>
      </c>
      <c r="N422" s="131" t="str">
        <f>IFERROR(IF(LEN(INDEX(Database!M$9:M$501,ROW(Calc!M422)-ROW(Calc!$B$7)))=0,"",INDEX(Database!M$9:M$501,ROW(Calc!M422)-ROW(Calc!$B$7))),"")</f>
        <v/>
      </c>
      <c r="O422" s="132" t="str">
        <f t="shared" si="63"/>
        <v/>
      </c>
      <c r="P422" s="125" t="str">
        <f t="shared" si="60"/>
        <v>Not Set</v>
      </c>
      <c r="Q422" s="125" t="str">
        <f t="shared" si="61"/>
        <v>Not Set</v>
      </c>
      <c r="R422" s="125" t="str">
        <f>IFERROR(IF(G422=$AD$3,$AD$3,INDEX(Kanban_Helper!$C$317:$C$328,MATCH(MONTH(G422),Kanban_Helper!$B$317:$B$328,0))&amp;" - "&amp;YEAR(G422)),"$AD$3")</f>
        <v>Not Set</v>
      </c>
      <c r="S422" s="125" t="str">
        <f>IFERROR(IF(I422=$AD$3,$AD$3,INDEX(Kanban_Helper!$C$317:$C$328,MATCH(MONTH(I422),Kanban_Helper!$B$317:$B$328,0))&amp;" - "&amp;YEAR(I422)),$AD$3)</f>
        <v>Not Set</v>
      </c>
      <c r="T422" s="125" t="str">
        <f t="shared" ca="1" si="64"/>
        <v/>
      </c>
      <c r="U422" s="125" t="str">
        <f t="shared" ca="1" si="65"/>
        <v/>
      </c>
      <c r="V422" s="125" t="str">
        <f t="shared" si="62"/>
        <v>Not Set</v>
      </c>
      <c r="W422" s="126" t="str">
        <f t="shared" si="66"/>
        <v/>
      </c>
      <c r="X422" s="126" t="str">
        <f t="shared" si="67"/>
        <v/>
      </c>
      <c r="Y422" s="125" t="str">
        <f>IFERROR(IF(LEN(D422)=0,"",IF(SUBTOTAL(3,E422:E422)=0,MIN($Y$7:Y421)-1,SUBTOTAL(3,$E$8:E422))),"")</f>
        <v/>
      </c>
      <c r="Z422" s="17"/>
      <c r="AA422" s="10"/>
      <c r="AB422" s="10"/>
      <c r="AC422" s="10"/>
      <c r="AD422" s="10"/>
      <c r="AE422" s="10"/>
      <c r="AF422" s="10"/>
      <c r="AG422" s="10"/>
      <c r="AH422" s="10"/>
      <c r="AI422" s="10"/>
      <c r="AJ422" s="10"/>
      <c r="AK422" s="10"/>
      <c r="AL422" s="10"/>
      <c r="AM422" s="10"/>
      <c r="AN422" s="10"/>
    </row>
    <row r="423" spans="2:40" hidden="1" x14ac:dyDescent="0.35">
      <c r="B423" s="15"/>
      <c r="C423" s="127" t="str">
        <f>IFERROR(IF(LEN(INDEX(Database!C$9:C$501,ROW(Calc!A423)-ROW(Calc!$B$7)))=0,"",INDEX(Database!C$9:C$501,ROW(Calc!A423)-ROW(Calc!$B$7))),"")</f>
        <v/>
      </c>
      <c r="D423" s="70" t="str">
        <f>IFERROR(IF(LEN(INDEX(Database!D$9:D$501,ROW(Calc!B423)-ROW(Calc!$B$7)))=0,"",INDEX(Database!D$9:D$501,ROW(Calc!B423)-ROW(Calc!$B$7))),"")</f>
        <v/>
      </c>
      <c r="E423" s="124" t="str">
        <f>IFERROR(IF(LEN(INDEX(Database!G$9:G$501,ROW(Calc!D423)-ROW(Calc!$B$7)))=0,$AD$3,INDEX(Database!G$9:G$501,ROW(Calc!D423)-ROW(Calc!$B$7))),"")</f>
        <v>Not Set</v>
      </c>
      <c r="F423" s="124" t="str">
        <f>IFERROR(IF(LEN(INDEX(Database!F$9:F$501,ROW(Calc!E423)-ROW(Calc!$B$7)))=0,$AD$3,INDEX(Database!F$9:F$501,ROW(Calc!E423)-ROW(Calc!$B$7))),"")</f>
        <v>Not Set</v>
      </c>
      <c r="G423" s="128" t="str">
        <f>IFERROR(IF(LEN(INDEX(Database!H$9:H$501,ROW(Calc!F423)-ROW(Calc!$B$7)))=0,$AD$3,INDEX(Database!H$9:H$501,ROW(Calc!F423)-ROW(Calc!$B$7))),"")</f>
        <v>Not Set</v>
      </c>
      <c r="H423" s="128" t="str">
        <f>IFERROR(IF(LEN(INDEX(Database!I$9:I$501,ROW(Calc!G423)-ROW(Calc!$B$7)))=0,$AD$3,INDEX(Database!I$9:I$501,ROW(Calc!G423)-ROW(Calc!$B$7))),"")</f>
        <v>Not Set</v>
      </c>
      <c r="I423" s="128" t="str">
        <f>IFERROR(IF(LEN(INDEX(Database!J$9:J$501,ROW(Calc!H423)-ROW(Calc!$B$7)))=0,$AD$3,INDEX(Database!J$9:J$501,ROW(Calc!H423)-ROW(Calc!$B$7))),"")</f>
        <v>Not Set</v>
      </c>
      <c r="J423" s="128" t="str">
        <f t="shared" si="59"/>
        <v>Not Set</v>
      </c>
      <c r="K423" s="124" t="str">
        <f>IFERROR(IF(LEN(INDEX(Database!E$9:E$501,ROW(Calc!I423)-ROW(Calc!$B$7)))=0,"",INDEX(Database!E$9:E$501,ROW(Calc!I423)-ROW(Calc!$B$7))),"")</f>
        <v/>
      </c>
      <c r="L423" s="129" t="str">
        <f>IFERROR(IF(LEN(INDEX(Database!K$9:K$501,ROW(Calc!K423)-ROW(Calc!$B$7)))=0,$AD$3,INDEX(Database!K$9:K$501,ROW(Calc!K423)-ROW(Calc!$B$7))),"")</f>
        <v>Not Set</v>
      </c>
      <c r="M423" s="130" t="str">
        <f>IFERROR(IF(LEN(INDEX(Database!L$9:L$501,ROW(Calc!L423)-ROW(Calc!$B$7)))=0,$AD$3,INDEX(Database!L$9:L$501,ROW(Calc!L423)-ROW(Calc!$B$7))),"")</f>
        <v>Not Set</v>
      </c>
      <c r="N423" s="131" t="str">
        <f>IFERROR(IF(LEN(INDEX(Database!M$9:M$501,ROW(Calc!M423)-ROW(Calc!$B$7)))=0,"",INDEX(Database!M$9:M$501,ROW(Calc!M423)-ROW(Calc!$B$7))),"")</f>
        <v/>
      </c>
      <c r="O423" s="132" t="str">
        <f t="shared" si="63"/>
        <v/>
      </c>
      <c r="P423" s="125" t="str">
        <f t="shared" si="60"/>
        <v>Not Set</v>
      </c>
      <c r="Q423" s="125" t="str">
        <f t="shared" si="61"/>
        <v>Not Set</v>
      </c>
      <c r="R423" s="125" t="str">
        <f>IFERROR(IF(G423=$AD$3,$AD$3,INDEX(Kanban_Helper!$C$317:$C$328,MATCH(MONTH(G423),Kanban_Helper!$B$317:$B$328,0))&amp;" - "&amp;YEAR(G423)),"$AD$3")</f>
        <v>Not Set</v>
      </c>
      <c r="S423" s="125" t="str">
        <f>IFERROR(IF(I423=$AD$3,$AD$3,INDEX(Kanban_Helper!$C$317:$C$328,MATCH(MONTH(I423),Kanban_Helper!$B$317:$B$328,0))&amp;" - "&amp;YEAR(I423)),$AD$3)</f>
        <v>Not Set</v>
      </c>
      <c r="T423" s="125" t="str">
        <f t="shared" ca="1" si="64"/>
        <v/>
      </c>
      <c r="U423" s="125" t="str">
        <f t="shared" ca="1" si="65"/>
        <v/>
      </c>
      <c r="V423" s="125" t="str">
        <f t="shared" si="62"/>
        <v>Not Set</v>
      </c>
      <c r="W423" s="126" t="str">
        <f t="shared" si="66"/>
        <v/>
      </c>
      <c r="X423" s="126" t="str">
        <f t="shared" si="67"/>
        <v/>
      </c>
      <c r="Y423" s="125" t="str">
        <f>IFERROR(IF(LEN(D423)=0,"",IF(SUBTOTAL(3,E423:E423)=0,MIN($Y$7:Y422)-1,SUBTOTAL(3,$E$8:E423))),"")</f>
        <v/>
      </c>
      <c r="Z423" s="17"/>
      <c r="AA423" s="10"/>
      <c r="AB423" s="10"/>
      <c r="AC423" s="10"/>
      <c r="AD423" s="10"/>
      <c r="AE423" s="10"/>
      <c r="AF423" s="10"/>
      <c r="AG423" s="10"/>
      <c r="AH423" s="10"/>
      <c r="AI423" s="10"/>
      <c r="AJ423" s="10"/>
      <c r="AK423" s="10"/>
      <c r="AL423" s="10"/>
      <c r="AM423" s="10"/>
      <c r="AN423" s="10"/>
    </row>
    <row r="424" spans="2:40" hidden="1" x14ac:dyDescent="0.35">
      <c r="B424" s="15"/>
      <c r="C424" s="127" t="str">
        <f>IFERROR(IF(LEN(INDEX(Database!C$9:C$501,ROW(Calc!A424)-ROW(Calc!$B$7)))=0,"",INDEX(Database!C$9:C$501,ROW(Calc!A424)-ROW(Calc!$B$7))),"")</f>
        <v/>
      </c>
      <c r="D424" s="70" t="str">
        <f>IFERROR(IF(LEN(INDEX(Database!D$9:D$501,ROW(Calc!B424)-ROW(Calc!$B$7)))=0,"",INDEX(Database!D$9:D$501,ROW(Calc!B424)-ROW(Calc!$B$7))),"")</f>
        <v/>
      </c>
      <c r="E424" s="124" t="str">
        <f>IFERROR(IF(LEN(INDEX(Database!G$9:G$501,ROW(Calc!D424)-ROW(Calc!$B$7)))=0,$AD$3,INDEX(Database!G$9:G$501,ROW(Calc!D424)-ROW(Calc!$B$7))),"")</f>
        <v>Not Set</v>
      </c>
      <c r="F424" s="124" t="str">
        <f>IFERROR(IF(LEN(INDEX(Database!F$9:F$501,ROW(Calc!E424)-ROW(Calc!$B$7)))=0,$AD$3,INDEX(Database!F$9:F$501,ROW(Calc!E424)-ROW(Calc!$B$7))),"")</f>
        <v>Not Set</v>
      </c>
      <c r="G424" s="128" t="str">
        <f>IFERROR(IF(LEN(INDEX(Database!H$9:H$501,ROW(Calc!F424)-ROW(Calc!$B$7)))=0,$AD$3,INDEX(Database!H$9:H$501,ROW(Calc!F424)-ROW(Calc!$B$7))),"")</f>
        <v>Not Set</v>
      </c>
      <c r="H424" s="128" t="str">
        <f>IFERROR(IF(LEN(INDEX(Database!I$9:I$501,ROW(Calc!G424)-ROW(Calc!$B$7)))=0,$AD$3,INDEX(Database!I$9:I$501,ROW(Calc!G424)-ROW(Calc!$B$7))),"")</f>
        <v>Not Set</v>
      </c>
      <c r="I424" s="128" t="str">
        <f>IFERROR(IF(LEN(INDEX(Database!J$9:J$501,ROW(Calc!H424)-ROW(Calc!$B$7)))=0,$AD$3,INDEX(Database!J$9:J$501,ROW(Calc!H424)-ROW(Calc!$B$7))),"")</f>
        <v>Not Set</v>
      </c>
      <c r="J424" s="128" t="str">
        <f t="shared" si="59"/>
        <v>Not Set</v>
      </c>
      <c r="K424" s="124" t="str">
        <f>IFERROR(IF(LEN(INDEX(Database!E$9:E$501,ROW(Calc!I424)-ROW(Calc!$B$7)))=0,"",INDEX(Database!E$9:E$501,ROW(Calc!I424)-ROW(Calc!$B$7))),"")</f>
        <v/>
      </c>
      <c r="L424" s="129" t="str">
        <f>IFERROR(IF(LEN(INDEX(Database!K$9:K$501,ROW(Calc!K424)-ROW(Calc!$B$7)))=0,$AD$3,INDEX(Database!K$9:K$501,ROW(Calc!K424)-ROW(Calc!$B$7))),"")</f>
        <v>Not Set</v>
      </c>
      <c r="M424" s="130" t="str">
        <f>IFERROR(IF(LEN(INDEX(Database!L$9:L$501,ROW(Calc!L424)-ROW(Calc!$B$7)))=0,$AD$3,INDEX(Database!L$9:L$501,ROW(Calc!L424)-ROW(Calc!$B$7))),"")</f>
        <v>Not Set</v>
      </c>
      <c r="N424" s="131" t="str">
        <f>IFERROR(IF(LEN(INDEX(Database!M$9:M$501,ROW(Calc!M424)-ROW(Calc!$B$7)))=0,"",INDEX(Database!M$9:M$501,ROW(Calc!M424)-ROW(Calc!$B$7))),"")</f>
        <v/>
      </c>
      <c r="O424" s="132" t="str">
        <f t="shared" si="63"/>
        <v/>
      </c>
      <c r="P424" s="125" t="str">
        <f t="shared" si="60"/>
        <v>Not Set</v>
      </c>
      <c r="Q424" s="125" t="str">
        <f t="shared" si="61"/>
        <v>Not Set</v>
      </c>
      <c r="R424" s="125" t="str">
        <f>IFERROR(IF(G424=$AD$3,$AD$3,INDEX(Kanban_Helper!$C$317:$C$328,MATCH(MONTH(G424),Kanban_Helper!$B$317:$B$328,0))&amp;" - "&amp;YEAR(G424)),"$AD$3")</f>
        <v>Not Set</v>
      </c>
      <c r="S424" s="125" t="str">
        <f>IFERROR(IF(I424=$AD$3,$AD$3,INDEX(Kanban_Helper!$C$317:$C$328,MATCH(MONTH(I424),Kanban_Helper!$B$317:$B$328,0))&amp;" - "&amp;YEAR(I424)),$AD$3)</f>
        <v>Not Set</v>
      </c>
      <c r="T424" s="125" t="str">
        <f t="shared" ca="1" si="64"/>
        <v/>
      </c>
      <c r="U424" s="125" t="str">
        <f t="shared" ca="1" si="65"/>
        <v/>
      </c>
      <c r="V424" s="125" t="str">
        <f t="shared" si="62"/>
        <v>Not Set</v>
      </c>
      <c r="W424" s="126" t="str">
        <f t="shared" si="66"/>
        <v/>
      </c>
      <c r="X424" s="126" t="str">
        <f t="shared" si="67"/>
        <v/>
      </c>
      <c r="Y424" s="125" t="str">
        <f>IFERROR(IF(LEN(D424)=0,"",IF(SUBTOTAL(3,E424:E424)=0,MIN($Y$7:Y423)-1,SUBTOTAL(3,$E$8:E424))),"")</f>
        <v/>
      </c>
      <c r="Z424" s="17"/>
      <c r="AA424" s="10"/>
      <c r="AB424" s="10"/>
      <c r="AC424" s="10"/>
      <c r="AD424" s="10"/>
      <c r="AE424" s="10"/>
      <c r="AF424" s="10"/>
      <c r="AG424" s="10"/>
      <c r="AH424" s="10"/>
      <c r="AI424" s="10"/>
      <c r="AJ424" s="10"/>
      <c r="AK424" s="10"/>
      <c r="AL424" s="10"/>
      <c r="AM424" s="10"/>
      <c r="AN424" s="10"/>
    </row>
    <row r="425" spans="2:40" hidden="1" x14ac:dyDescent="0.35">
      <c r="B425" s="15"/>
      <c r="C425" s="127" t="str">
        <f>IFERROR(IF(LEN(INDEX(Database!C$9:C$501,ROW(Calc!A425)-ROW(Calc!$B$7)))=0,"",INDEX(Database!C$9:C$501,ROW(Calc!A425)-ROW(Calc!$B$7))),"")</f>
        <v/>
      </c>
      <c r="D425" s="70" t="str">
        <f>IFERROR(IF(LEN(INDEX(Database!D$9:D$501,ROW(Calc!B425)-ROW(Calc!$B$7)))=0,"",INDEX(Database!D$9:D$501,ROW(Calc!B425)-ROW(Calc!$B$7))),"")</f>
        <v/>
      </c>
      <c r="E425" s="124" t="str">
        <f>IFERROR(IF(LEN(INDEX(Database!G$9:G$501,ROW(Calc!D425)-ROW(Calc!$B$7)))=0,$AD$3,INDEX(Database!G$9:G$501,ROW(Calc!D425)-ROW(Calc!$B$7))),"")</f>
        <v>Not Set</v>
      </c>
      <c r="F425" s="124" t="str">
        <f>IFERROR(IF(LEN(INDEX(Database!F$9:F$501,ROW(Calc!E425)-ROW(Calc!$B$7)))=0,$AD$3,INDEX(Database!F$9:F$501,ROW(Calc!E425)-ROW(Calc!$B$7))),"")</f>
        <v>Not Set</v>
      </c>
      <c r="G425" s="128" t="str">
        <f>IFERROR(IF(LEN(INDEX(Database!H$9:H$501,ROW(Calc!F425)-ROW(Calc!$B$7)))=0,$AD$3,INDEX(Database!H$9:H$501,ROW(Calc!F425)-ROW(Calc!$B$7))),"")</f>
        <v>Not Set</v>
      </c>
      <c r="H425" s="128" t="str">
        <f>IFERROR(IF(LEN(INDEX(Database!I$9:I$501,ROW(Calc!G425)-ROW(Calc!$B$7)))=0,$AD$3,INDEX(Database!I$9:I$501,ROW(Calc!G425)-ROW(Calc!$B$7))),"")</f>
        <v>Not Set</v>
      </c>
      <c r="I425" s="128" t="str">
        <f>IFERROR(IF(LEN(INDEX(Database!J$9:J$501,ROW(Calc!H425)-ROW(Calc!$B$7)))=0,$AD$3,INDEX(Database!J$9:J$501,ROW(Calc!H425)-ROW(Calc!$B$7))),"")</f>
        <v>Not Set</v>
      </c>
      <c r="J425" s="128" t="str">
        <f t="shared" si="59"/>
        <v>Not Set</v>
      </c>
      <c r="K425" s="124" t="str">
        <f>IFERROR(IF(LEN(INDEX(Database!E$9:E$501,ROW(Calc!I425)-ROW(Calc!$B$7)))=0,"",INDEX(Database!E$9:E$501,ROW(Calc!I425)-ROW(Calc!$B$7))),"")</f>
        <v/>
      </c>
      <c r="L425" s="129" t="str">
        <f>IFERROR(IF(LEN(INDEX(Database!K$9:K$501,ROW(Calc!K425)-ROW(Calc!$B$7)))=0,$AD$3,INDEX(Database!K$9:K$501,ROW(Calc!K425)-ROW(Calc!$B$7))),"")</f>
        <v>Not Set</v>
      </c>
      <c r="M425" s="130" t="str">
        <f>IFERROR(IF(LEN(INDEX(Database!L$9:L$501,ROW(Calc!L425)-ROW(Calc!$B$7)))=0,$AD$3,INDEX(Database!L$9:L$501,ROW(Calc!L425)-ROW(Calc!$B$7))),"")</f>
        <v>Not Set</v>
      </c>
      <c r="N425" s="131" t="str">
        <f>IFERROR(IF(LEN(INDEX(Database!M$9:M$501,ROW(Calc!M425)-ROW(Calc!$B$7)))=0,"",INDEX(Database!M$9:M$501,ROW(Calc!M425)-ROW(Calc!$B$7))),"")</f>
        <v/>
      </c>
      <c r="O425" s="132" t="str">
        <f t="shared" si="63"/>
        <v/>
      </c>
      <c r="P425" s="125" t="str">
        <f t="shared" si="60"/>
        <v>Not Set</v>
      </c>
      <c r="Q425" s="125" t="str">
        <f t="shared" si="61"/>
        <v>Not Set</v>
      </c>
      <c r="R425" s="125" t="str">
        <f>IFERROR(IF(G425=$AD$3,$AD$3,INDEX(Kanban_Helper!$C$317:$C$328,MATCH(MONTH(G425),Kanban_Helper!$B$317:$B$328,0))&amp;" - "&amp;YEAR(G425)),"$AD$3")</f>
        <v>Not Set</v>
      </c>
      <c r="S425" s="125" t="str">
        <f>IFERROR(IF(I425=$AD$3,$AD$3,INDEX(Kanban_Helper!$C$317:$C$328,MATCH(MONTH(I425),Kanban_Helper!$B$317:$B$328,0))&amp;" - "&amp;YEAR(I425)),$AD$3)</f>
        <v>Not Set</v>
      </c>
      <c r="T425" s="125" t="str">
        <f t="shared" ca="1" si="64"/>
        <v/>
      </c>
      <c r="U425" s="125" t="str">
        <f t="shared" ca="1" si="65"/>
        <v/>
      </c>
      <c r="V425" s="125" t="str">
        <f t="shared" si="62"/>
        <v>Not Set</v>
      </c>
      <c r="W425" s="126" t="str">
        <f t="shared" si="66"/>
        <v/>
      </c>
      <c r="X425" s="126" t="str">
        <f t="shared" si="67"/>
        <v/>
      </c>
      <c r="Y425" s="125" t="str">
        <f>IFERROR(IF(LEN(D425)=0,"",IF(SUBTOTAL(3,E425:E425)=0,MIN($Y$7:Y424)-1,SUBTOTAL(3,$E$8:E425))),"")</f>
        <v/>
      </c>
      <c r="Z425" s="17"/>
      <c r="AA425" s="10"/>
      <c r="AB425" s="10"/>
      <c r="AC425" s="10"/>
      <c r="AD425" s="10"/>
      <c r="AE425" s="10"/>
      <c r="AF425" s="10"/>
      <c r="AG425" s="10"/>
      <c r="AH425" s="10"/>
      <c r="AI425" s="10"/>
      <c r="AJ425" s="10"/>
      <c r="AK425" s="10"/>
      <c r="AL425" s="10"/>
      <c r="AM425" s="10"/>
      <c r="AN425" s="10"/>
    </row>
    <row r="426" spans="2:40" hidden="1" x14ac:dyDescent="0.35">
      <c r="B426" s="15"/>
      <c r="C426" s="127" t="str">
        <f>IFERROR(IF(LEN(INDEX(Database!C$9:C$501,ROW(Calc!A426)-ROW(Calc!$B$7)))=0,"",INDEX(Database!C$9:C$501,ROW(Calc!A426)-ROW(Calc!$B$7))),"")</f>
        <v/>
      </c>
      <c r="D426" s="70" t="str">
        <f>IFERROR(IF(LEN(INDEX(Database!D$9:D$501,ROW(Calc!B426)-ROW(Calc!$B$7)))=0,"",INDEX(Database!D$9:D$501,ROW(Calc!B426)-ROW(Calc!$B$7))),"")</f>
        <v/>
      </c>
      <c r="E426" s="124" t="str">
        <f>IFERROR(IF(LEN(INDEX(Database!G$9:G$501,ROW(Calc!D426)-ROW(Calc!$B$7)))=0,$AD$3,INDEX(Database!G$9:G$501,ROW(Calc!D426)-ROW(Calc!$B$7))),"")</f>
        <v>Not Set</v>
      </c>
      <c r="F426" s="124" t="str">
        <f>IFERROR(IF(LEN(INDEX(Database!F$9:F$501,ROW(Calc!E426)-ROW(Calc!$B$7)))=0,$AD$3,INDEX(Database!F$9:F$501,ROW(Calc!E426)-ROW(Calc!$B$7))),"")</f>
        <v>Not Set</v>
      </c>
      <c r="G426" s="128" t="str">
        <f>IFERROR(IF(LEN(INDEX(Database!H$9:H$501,ROW(Calc!F426)-ROW(Calc!$B$7)))=0,$AD$3,INDEX(Database!H$9:H$501,ROW(Calc!F426)-ROW(Calc!$B$7))),"")</f>
        <v>Not Set</v>
      </c>
      <c r="H426" s="128" t="str">
        <f>IFERROR(IF(LEN(INDEX(Database!I$9:I$501,ROW(Calc!G426)-ROW(Calc!$B$7)))=0,$AD$3,INDEX(Database!I$9:I$501,ROW(Calc!G426)-ROW(Calc!$B$7))),"")</f>
        <v>Not Set</v>
      </c>
      <c r="I426" s="128" t="str">
        <f>IFERROR(IF(LEN(INDEX(Database!J$9:J$501,ROW(Calc!H426)-ROW(Calc!$B$7)))=0,$AD$3,INDEX(Database!J$9:J$501,ROW(Calc!H426)-ROW(Calc!$B$7))),"")</f>
        <v>Not Set</v>
      </c>
      <c r="J426" s="128" t="str">
        <f t="shared" si="59"/>
        <v>Not Set</v>
      </c>
      <c r="K426" s="124" t="str">
        <f>IFERROR(IF(LEN(INDEX(Database!E$9:E$501,ROW(Calc!I426)-ROW(Calc!$B$7)))=0,"",INDEX(Database!E$9:E$501,ROW(Calc!I426)-ROW(Calc!$B$7))),"")</f>
        <v/>
      </c>
      <c r="L426" s="129" t="str">
        <f>IFERROR(IF(LEN(INDEX(Database!K$9:K$501,ROW(Calc!K426)-ROW(Calc!$B$7)))=0,$AD$3,INDEX(Database!K$9:K$501,ROW(Calc!K426)-ROW(Calc!$B$7))),"")</f>
        <v>Not Set</v>
      </c>
      <c r="M426" s="130" t="str">
        <f>IFERROR(IF(LEN(INDEX(Database!L$9:L$501,ROW(Calc!L426)-ROW(Calc!$B$7)))=0,$AD$3,INDEX(Database!L$9:L$501,ROW(Calc!L426)-ROW(Calc!$B$7))),"")</f>
        <v>Not Set</v>
      </c>
      <c r="N426" s="131" t="str">
        <f>IFERROR(IF(LEN(INDEX(Database!M$9:M$501,ROW(Calc!M426)-ROW(Calc!$B$7)))=0,"",INDEX(Database!M$9:M$501,ROW(Calc!M426)-ROW(Calc!$B$7))),"")</f>
        <v/>
      </c>
      <c r="O426" s="132" t="str">
        <f t="shared" si="63"/>
        <v/>
      </c>
      <c r="P426" s="125" t="str">
        <f t="shared" si="60"/>
        <v>Not Set</v>
      </c>
      <c r="Q426" s="125" t="str">
        <f t="shared" si="61"/>
        <v>Not Set</v>
      </c>
      <c r="R426" s="125" t="str">
        <f>IFERROR(IF(G426=$AD$3,$AD$3,INDEX(Kanban_Helper!$C$317:$C$328,MATCH(MONTH(G426),Kanban_Helper!$B$317:$B$328,0))&amp;" - "&amp;YEAR(G426)),"$AD$3")</f>
        <v>Not Set</v>
      </c>
      <c r="S426" s="125" t="str">
        <f>IFERROR(IF(I426=$AD$3,$AD$3,INDEX(Kanban_Helper!$C$317:$C$328,MATCH(MONTH(I426),Kanban_Helper!$B$317:$B$328,0))&amp;" - "&amp;YEAR(I426)),$AD$3)</f>
        <v>Not Set</v>
      </c>
      <c r="T426" s="125" t="str">
        <f t="shared" ca="1" si="64"/>
        <v/>
      </c>
      <c r="U426" s="125" t="str">
        <f t="shared" ca="1" si="65"/>
        <v/>
      </c>
      <c r="V426" s="125" t="str">
        <f t="shared" si="62"/>
        <v>Not Set</v>
      </c>
      <c r="W426" s="126" t="str">
        <f t="shared" si="66"/>
        <v/>
      </c>
      <c r="X426" s="126" t="str">
        <f t="shared" si="67"/>
        <v/>
      </c>
      <c r="Y426" s="125" t="str">
        <f>IFERROR(IF(LEN(D426)=0,"",IF(SUBTOTAL(3,E426:E426)=0,MIN($Y$7:Y425)-1,SUBTOTAL(3,$E$8:E426))),"")</f>
        <v/>
      </c>
      <c r="Z426" s="17"/>
      <c r="AA426" s="10"/>
      <c r="AB426" s="10"/>
      <c r="AC426" s="10"/>
      <c r="AD426" s="10"/>
      <c r="AE426" s="10"/>
      <c r="AF426" s="10"/>
      <c r="AG426" s="10"/>
      <c r="AH426" s="10"/>
      <c r="AI426" s="10"/>
      <c r="AJ426" s="10"/>
      <c r="AK426" s="10"/>
      <c r="AL426" s="10"/>
      <c r="AM426" s="10"/>
      <c r="AN426" s="10"/>
    </row>
    <row r="427" spans="2:40" hidden="1" x14ac:dyDescent="0.35">
      <c r="B427" s="15"/>
      <c r="C427" s="127" t="str">
        <f>IFERROR(IF(LEN(INDEX(Database!C$9:C$501,ROW(Calc!A427)-ROW(Calc!$B$7)))=0,"",INDEX(Database!C$9:C$501,ROW(Calc!A427)-ROW(Calc!$B$7))),"")</f>
        <v/>
      </c>
      <c r="D427" s="70" t="str">
        <f>IFERROR(IF(LEN(INDEX(Database!D$9:D$501,ROW(Calc!B427)-ROW(Calc!$B$7)))=0,"",INDEX(Database!D$9:D$501,ROW(Calc!B427)-ROW(Calc!$B$7))),"")</f>
        <v/>
      </c>
      <c r="E427" s="124" t="str">
        <f>IFERROR(IF(LEN(INDEX(Database!G$9:G$501,ROW(Calc!D427)-ROW(Calc!$B$7)))=0,$AD$3,INDEX(Database!G$9:G$501,ROW(Calc!D427)-ROW(Calc!$B$7))),"")</f>
        <v>Not Set</v>
      </c>
      <c r="F427" s="124" t="str">
        <f>IFERROR(IF(LEN(INDEX(Database!F$9:F$501,ROW(Calc!E427)-ROW(Calc!$B$7)))=0,$AD$3,INDEX(Database!F$9:F$501,ROW(Calc!E427)-ROW(Calc!$B$7))),"")</f>
        <v>Not Set</v>
      </c>
      <c r="G427" s="128" t="str">
        <f>IFERROR(IF(LEN(INDEX(Database!H$9:H$501,ROW(Calc!F427)-ROW(Calc!$B$7)))=0,$AD$3,INDEX(Database!H$9:H$501,ROW(Calc!F427)-ROW(Calc!$B$7))),"")</f>
        <v>Not Set</v>
      </c>
      <c r="H427" s="128" t="str">
        <f>IFERROR(IF(LEN(INDEX(Database!I$9:I$501,ROW(Calc!G427)-ROW(Calc!$B$7)))=0,$AD$3,INDEX(Database!I$9:I$501,ROW(Calc!G427)-ROW(Calc!$B$7))),"")</f>
        <v>Not Set</v>
      </c>
      <c r="I427" s="128" t="str">
        <f>IFERROR(IF(LEN(INDEX(Database!J$9:J$501,ROW(Calc!H427)-ROW(Calc!$B$7)))=0,$AD$3,INDEX(Database!J$9:J$501,ROW(Calc!H427)-ROW(Calc!$B$7))),"")</f>
        <v>Not Set</v>
      </c>
      <c r="J427" s="128" t="str">
        <f t="shared" si="59"/>
        <v>Not Set</v>
      </c>
      <c r="K427" s="124" t="str">
        <f>IFERROR(IF(LEN(INDEX(Database!E$9:E$501,ROW(Calc!I427)-ROW(Calc!$B$7)))=0,"",INDEX(Database!E$9:E$501,ROW(Calc!I427)-ROW(Calc!$B$7))),"")</f>
        <v/>
      </c>
      <c r="L427" s="129" t="str">
        <f>IFERROR(IF(LEN(INDEX(Database!K$9:K$501,ROW(Calc!K427)-ROW(Calc!$B$7)))=0,$AD$3,INDEX(Database!K$9:K$501,ROW(Calc!K427)-ROW(Calc!$B$7))),"")</f>
        <v>Not Set</v>
      </c>
      <c r="M427" s="130" t="str">
        <f>IFERROR(IF(LEN(INDEX(Database!L$9:L$501,ROW(Calc!L427)-ROW(Calc!$B$7)))=0,$AD$3,INDEX(Database!L$9:L$501,ROW(Calc!L427)-ROW(Calc!$B$7))),"")</f>
        <v>Not Set</v>
      </c>
      <c r="N427" s="131" t="str">
        <f>IFERROR(IF(LEN(INDEX(Database!M$9:M$501,ROW(Calc!M427)-ROW(Calc!$B$7)))=0,"",INDEX(Database!M$9:M$501,ROW(Calc!M427)-ROW(Calc!$B$7))),"")</f>
        <v/>
      </c>
      <c r="O427" s="132" t="str">
        <f t="shared" si="63"/>
        <v/>
      </c>
      <c r="P427" s="125" t="str">
        <f t="shared" si="60"/>
        <v>Not Set</v>
      </c>
      <c r="Q427" s="125" t="str">
        <f t="shared" si="61"/>
        <v>Not Set</v>
      </c>
      <c r="R427" s="125" t="str">
        <f>IFERROR(IF(G427=$AD$3,$AD$3,INDEX(Kanban_Helper!$C$317:$C$328,MATCH(MONTH(G427),Kanban_Helper!$B$317:$B$328,0))&amp;" - "&amp;YEAR(G427)),"$AD$3")</f>
        <v>Not Set</v>
      </c>
      <c r="S427" s="125" t="str">
        <f>IFERROR(IF(I427=$AD$3,$AD$3,INDEX(Kanban_Helper!$C$317:$C$328,MATCH(MONTH(I427),Kanban_Helper!$B$317:$B$328,0))&amp;" - "&amp;YEAR(I427)),$AD$3)</f>
        <v>Not Set</v>
      </c>
      <c r="T427" s="125" t="str">
        <f t="shared" ca="1" si="64"/>
        <v/>
      </c>
      <c r="U427" s="125" t="str">
        <f t="shared" ca="1" si="65"/>
        <v/>
      </c>
      <c r="V427" s="125" t="str">
        <f t="shared" si="62"/>
        <v>Not Set</v>
      </c>
      <c r="W427" s="126" t="str">
        <f t="shared" si="66"/>
        <v/>
      </c>
      <c r="X427" s="126" t="str">
        <f t="shared" si="67"/>
        <v/>
      </c>
      <c r="Y427" s="125" t="str">
        <f>IFERROR(IF(LEN(D427)=0,"",IF(SUBTOTAL(3,E427:E427)=0,MIN($Y$7:Y426)-1,SUBTOTAL(3,$E$8:E427))),"")</f>
        <v/>
      </c>
      <c r="Z427" s="17"/>
      <c r="AA427" s="10"/>
      <c r="AB427" s="10"/>
      <c r="AC427" s="10"/>
      <c r="AD427" s="10"/>
      <c r="AE427" s="10"/>
      <c r="AF427" s="10"/>
      <c r="AG427" s="10"/>
      <c r="AH427" s="10"/>
      <c r="AI427" s="10"/>
      <c r="AJ427" s="10"/>
      <c r="AK427" s="10"/>
      <c r="AL427" s="10"/>
      <c r="AM427" s="10"/>
      <c r="AN427" s="10"/>
    </row>
    <row r="428" spans="2:40" hidden="1" x14ac:dyDescent="0.35">
      <c r="B428" s="15"/>
      <c r="C428" s="127" t="str">
        <f>IFERROR(IF(LEN(INDEX(Database!C$9:C$501,ROW(Calc!A428)-ROW(Calc!$B$7)))=0,"",INDEX(Database!C$9:C$501,ROW(Calc!A428)-ROW(Calc!$B$7))),"")</f>
        <v/>
      </c>
      <c r="D428" s="70" t="str">
        <f>IFERROR(IF(LEN(INDEX(Database!D$9:D$501,ROW(Calc!B428)-ROW(Calc!$B$7)))=0,"",INDEX(Database!D$9:D$501,ROW(Calc!B428)-ROW(Calc!$B$7))),"")</f>
        <v/>
      </c>
      <c r="E428" s="124" t="str">
        <f>IFERROR(IF(LEN(INDEX(Database!G$9:G$501,ROW(Calc!D428)-ROW(Calc!$B$7)))=0,$AD$3,INDEX(Database!G$9:G$501,ROW(Calc!D428)-ROW(Calc!$B$7))),"")</f>
        <v>Not Set</v>
      </c>
      <c r="F428" s="124" t="str">
        <f>IFERROR(IF(LEN(INDEX(Database!F$9:F$501,ROW(Calc!E428)-ROW(Calc!$B$7)))=0,$AD$3,INDEX(Database!F$9:F$501,ROW(Calc!E428)-ROW(Calc!$B$7))),"")</f>
        <v>Not Set</v>
      </c>
      <c r="G428" s="128" t="str">
        <f>IFERROR(IF(LEN(INDEX(Database!H$9:H$501,ROW(Calc!F428)-ROW(Calc!$B$7)))=0,$AD$3,INDEX(Database!H$9:H$501,ROW(Calc!F428)-ROW(Calc!$B$7))),"")</f>
        <v>Not Set</v>
      </c>
      <c r="H428" s="128" t="str">
        <f>IFERROR(IF(LEN(INDEX(Database!I$9:I$501,ROW(Calc!G428)-ROW(Calc!$B$7)))=0,$AD$3,INDEX(Database!I$9:I$501,ROW(Calc!G428)-ROW(Calc!$B$7))),"")</f>
        <v>Not Set</v>
      </c>
      <c r="I428" s="128" t="str">
        <f>IFERROR(IF(LEN(INDEX(Database!J$9:J$501,ROW(Calc!H428)-ROW(Calc!$B$7)))=0,$AD$3,INDEX(Database!J$9:J$501,ROW(Calc!H428)-ROW(Calc!$B$7))),"")</f>
        <v>Not Set</v>
      </c>
      <c r="J428" s="128" t="str">
        <f t="shared" si="59"/>
        <v>Not Set</v>
      </c>
      <c r="K428" s="124" t="str">
        <f>IFERROR(IF(LEN(INDEX(Database!E$9:E$501,ROW(Calc!I428)-ROW(Calc!$B$7)))=0,"",INDEX(Database!E$9:E$501,ROW(Calc!I428)-ROW(Calc!$B$7))),"")</f>
        <v/>
      </c>
      <c r="L428" s="129" t="str">
        <f>IFERROR(IF(LEN(INDEX(Database!K$9:K$501,ROW(Calc!K428)-ROW(Calc!$B$7)))=0,$AD$3,INDEX(Database!K$9:K$501,ROW(Calc!K428)-ROW(Calc!$B$7))),"")</f>
        <v>Not Set</v>
      </c>
      <c r="M428" s="130" t="str">
        <f>IFERROR(IF(LEN(INDEX(Database!L$9:L$501,ROW(Calc!L428)-ROW(Calc!$B$7)))=0,$AD$3,INDEX(Database!L$9:L$501,ROW(Calc!L428)-ROW(Calc!$B$7))),"")</f>
        <v>Not Set</v>
      </c>
      <c r="N428" s="131" t="str">
        <f>IFERROR(IF(LEN(INDEX(Database!M$9:M$501,ROW(Calc!M428)-ROW(Calc!$B$7)))=0,"",INDEX(Database!M$9:M$501,ROW(Calc!M428)-ROW(Calc!$B$7))),"")</f>
        <v/>
      </c>
      <c r="O428" s="132" t="str">
        <f t="shared" si="63"/>
        <v/>
      </c>
      <c r="P428" s="125" t="str">
        <f t="shared" si="60"/>
        <v>Not Set</v>
      </c>
      <c r="Q428" s="125" t="str">
        <f t="shared" si="61"/>
        <v>Not Set</v>
      </c>
      <c r="R428" s="125" t="str">
        <f>IFERROR(IF(G428=$AD$3,$AD$3,INDEX(Kanban_Helper!$C$317:$C$328,MATCH(MONTH(G428),Kanban_Helper!$B$317:$B$328,0))&amp;" - "&amp;YEAR(G428)),"$AD$3")</f>
        <v>Not Set</v>
      </c>
      <c r="S428" s="125" t="str">
        <f>IFERROR(IF(I428=$AD$3,$AD$3,INDEX(Kanban_Helper!$C$317:$C$328,MATCH(MONTH(I428),Kanban_Helper!$B$317:$B$328,0))&amp;" - "&amp;YEAR(I428)),$AD$3)</f>
        <v>Not Set</v>
      </c>
      <c r="T428" s="125" t="str">
        <f t="shared" ca="1" si="64"/>
        <v/>
      </c>
      <c r="U428" s="125" t="str">
        <f t="shared" ca="1" si="65"/>
        <v/>
      </c>
      <c r="V428" s="125" t="str">
        <f t="shared" si="62"/>
        <v>Not Set</v>
      </c>
      <c r="W428" s="126" t="str">
        <f t="shared" si="66"/>
        <v/>
      </c>
      <c r="X428" s="126" t="str">
        <f t="shared" si="67"/>
        <v/>
      </c>
      <c r="Y428" s="125" t="str">
        <f>IFERROR(IF(LEN(D428)=0,"",IF(SUBTOTAL(3,E428:E428)=0,MIN($Y$7:Y427)-1,SUBTOTAL(3,$E$8:E428))),"")</f>
        <v/>
      </c>
      <c r="Z428" s="17"/>
      <c r="AA428" s="10"/>
      <c r="AB428" s="10"/>
      <c r="AC428" s="10"/>
      <c r="AD428" s="10"/>
      <c r="AE428" s="10"/>
      <c r="AF428" s="10"/>
      <c r="AG428" s="10"/>
      <c r="AH428" s="10"/>
      <c r="AI428" s="10"/>
      <c r="AJ428" s="10"/>
      <c r="AK428" s="10"/>
      <c r="AL428" s="10"/>
      <c r="AM428" s="10"/>
      <c r="AN428" s="10"/>
    </row>
    <row r="429" spans="2:40" hidden="1" x14ac:dyDescent="0.35">
      <c r="B429" s="15"/>
      <c r="C429" s="127" t="str">
        <f>IFERROR(IF(LEN(INDEX(Database!C$9:C$501,ROW(Calc!A429)-ROW(Calc!$B$7)))=0,"",INDEX(Database!C$9:C$501,ROW(Calc!A429)-ROW(Calc!$B$7))),"")</f>
        <v/>
      </c>
      <c r="D429" s="70" t="str">
        <f>IFERROR(IF(LEN(INDEX(Database!D$9:D$501,ROW(Calc!B429)-ROW(Calc!$B$7)))=0,"",INDEX(Database!D$9:D$501,ROW(Calc!B429)-ROW(Calc!$B$7))),"")</f>
        <v/>
      </c>
      <c r="E429" s="124" t="str">
        <f>IFERROR(IF(LEN(INDEX(Database!G$9:G$501,ROW(Calc!D429)-ROW(Calc!$B$7)))=0,$AD$3,INDEX(Database!G$9:G$501,ROW(Calc!D429)-ROW(Calc!$B$7))),"")</f>
        <v>Not Set</v>
      </c>
      <c r="F429" s="124" t="str">
        <f>IFERROR(IF(LEN(INDEX(Database!F$9:F$501,ROW(Calc!E429)-ROW(Calc!$B$7)))=0,$AD$3,INDEX(Database!F$9:F$501,ROW(Calc!E429)-ROW(Calc!$B$7))),"")</f>
        <v>Not Set</v>
      </c>
      <c r="G429" s="128" t="str">
        <f>IFERROR(IF(LEN(INDEX(Database!H$9:H$501,ROW(Calc!F429)-ROW(Calc!$B$7)))=0,$AD$3,INDEX(Database!H$9:H$501,ROW(Calc!F429)-ROW(Calc!$B$7))),"")</f>
        <v>Not Set</v>
      </c>
      <c r="H429" s="128" t="str">
        <f>IFERROR(IF(LEN(INDEX(Database!I$9:I$501,ROW(Calc!G429)-ROW(Calc!$B$7)))=0,$AD$3,INDEX(Database!I$9:I$501,ROW(Calc!G429)-ROW(Calc!$B$7))),"")</f>
        <v>Not Set</v>
      </c>
      <c r="I429" s="128" t="str">
        <f>IFERROR(IF(LEN(INDEX(Database!J$9:J$501,ROW(Calc!H429)-ROW(Calc!$B$7)))=0,$AD$3,INDEX(Database!J$9:J$501,ROW(Calc!H429)-ROW(Calc!$B$7))),"")</f>
        <v>Not Set</v>
      </c>
      <c r="J429" s="128" t="str">
        <f t="shared" si="59"/>
        <v>Not Set</v>
      </c>
      <c r="K429" s="124" t="str">
        <f>IFERROR(IF(LEN(INDEX(Database!E$9:E$501,ROW(Calc!I429)-ROW(Calc!$B$7)))=0,"",INDEX(Database!E$9:E$501,ROW(Calc!I429)-ROW(Calc!$B$7))),"")</f>
        <v/>
      </c>
      <c r="L429" s="129" t="str">
        <f>IFERROR(IF(LEN(INDEX(Database!K$9:K$501,ROW(Calc!K429)-ROW(Calc!$B$7)))=0,$AD$3,INDEX(Database!K$9:K$501,ROW(Calc!K429)-ROW(Calc!$B$7))),"")</f>
        <v>Not Set</v>
      </c>
      <c r="M429" s="130" t="str">
        <f>IFERROR(IF(LEN(INDEX(Database!L$9:L$501,ROW(Calc!L429)-ROW(Calc!$B$7)))=0,$AD$3,INDEX(Database!L$9:L$501,ROW(Calc!L429)-ROW(Calc!$B$7))),"")</f>
        <v>Not Set</v>
      </c>
      <c r="N429" s="131" t="str">
        <f>IFERROR(IF(LEN(INDEX(Database!M$9:M$501,ROW(Calc!M429)-ROW(Calc!$B$7)))=0,"",INDEX(Database!M$9:M$501,ROW(Calc!M429)-ROW(Calc!$B$7))),"")</f>
        <v/>
      </c>
      <c r="O429" s="132" t="str">
        <f t="shared" si="63"/>
        <v/>
      </c>
      <c r="P429" s="125" t="str">
        <f t="shared" si="60"/>
        <v>Not Set</v>
      </c>
      <c r="Q429" s="125" t="str">
        <f t="shared" si="61"/>
        <v>Not Set</v>
      </c>
      <c r="R429" s="125" t="str">
        <f>IFERROR(IF(G429=$AD$3,$AD$3,INDEX(Kanban_Helper!$C$317:$C$328,MATCH(MONTH(G429),Kanban_Helper!$B$317:$B$328,0))&amp;" - "&amp;YEAR(G429)),"$AD$3")</f>
        <v>Not Set</v>
      </c>
      <c r="S429" s="125" t="str">
        <f>IFERROR(IF(I429=$AD$3,$AD$3,INDEX(Kanban_Helper!$C$317:$C$328,MATCH(MONTH(I429),Kanban_Helper!$B$317:$B$328,0))&amp;" - "&amp;YEAR(I429)),$AD$3)</f>
        <v>Not Set</v>
      </c>
      <c r="T429" s="125" t="str">
        <f t="shared" ca="1" si="64"/>
        <v/>
      </c>
      <c r="U429" s="125" t="str">
        <f t="shared" ca="1" si="65"/>
        <v/>
      </c>
      <c r="V429" s="125" t="str">
        <f t="shared" si="62"/>
        <v>Not Set</v>
      </c>
      <c r="W429" s="126" t="str">
        <f t="shared" si="66"/>
        <v/>
      </c>
      <c r="X429" s="126" t="str">
        <f t="shared" si="67"/>
        <v/>
      </c>
      <c r="Y429" s="125" t="str">
        <f>IFERROR(IF(LEN(D429)=0,"",IF(SUBTOTAL(3,E429:E429)=0,MIN($Y$7:Y428)-1,SUBTOTAL(3,$E$8:E429))),"")</f>
        <v/>
      </c>
      <c r="Z429" s="17"/>
      <c r="AA429" s="10"/>
      <c r="AB429" s="10"/>
      <c r="AC429" s="10"/>
      <c r="AD429" s="10"/>
      <c r="AE429" s="10"/>
      <c r="AF429" s="10"/>
      <c r="AG429" s="10"/>
      <c r="AH429" s="10"/>
      <c r="AI429" s="10"/>
      <c r="AJ429" s="10"/>
      <c r="AK429" s="10"/>
      <c r="AL429" s="10"/>
      <c r="AM429" s="10"/>
      <c r="AN429" s="10"/>
    </row>
    <row r="430" spans="2:40" hidden="1" x14ac:dyDescent="0.35">
      <c r="B430" s="15"/>
      <c r="C430" s="127" t="str">
        <f>IFERROR(IF(LEN(INDEX(Database!C$9:C$501,ROW(Calc!A430)-ROW(Calc!$B$7)))=0,"",INDEX(Database!C$9:C$501,ROW(Calc!A430)-ROW(Calc!$B$7))),"")</f>
        <v/>
      </c>
      <c r="D430" s="70" t="str">
        <f>IFERROR(IF(LEN(INDEX(Database!D$9:D$501,ROW(Calc!B430)-ROW(Calc!$B$7)))=0,"",INDEX(Database!D$9:D$501,ROW(Calc!B430)-ROW(Calc!$B$7))),"")</f>
        <v/>
      </c>
      <c r="E430" s="124" t="str">
        <f>IFERROR(IF(LEN(INDEX(Database!G$9:G$501,ROW(Calc!D430)-ROW(Calc!$B$7)))=0,$AD$3,INDEX(Database!G$9:G$501,ROW(Calc!D430)-ROW(Calc!$B$7))),"")</f>
        <v>Not Set</v>
      </c>
      <c r="F430" s="124" t="str">
        <f>IFERROR(IF(LEN(INDEX(Database!F$9:F$501,ROW(Calc!E430)-ROW(Calc!$B$7)))=0,$AD$3,INDEX(Database!F$9:F$501,ROW(Calc!E430)-ROW(Calc!$B$7))),"")</f>
        <v>Not Set</v>
      </c>
      <c r="G430" s="128" t="str">
        <f>IFERROR(IF(LEN(INDEX(Database!H$9:H$501,ROW(Calc!F430)-ROW(Calc!$B$7)))=0,$AD$3,INDEX(Database!H$9:H$501,ROW(Calc!F430)-ROW(Calc!$B$7))),"")</f>
        <v>Not Set</v>
      </c>
      <c r="H430" s="128" t="str">
        <f>IFERROR(IF(LEN(INDEX(Database!I$9:I$501,ROW(Calc!G430)-ROW(Calc!$B$7)))=0,$AD$3,INDEX(Database!I$9:I$501,ROW(Calc!G430)-ROW(Calc!$B$7))),"")</f>
        <v>Not Set</v>
      </c>
      <c r="I430" s="128" t="str">
        <f>IFERROR(IF(LEN(INDEX(Database!J$9:J$501,ROW(Calc!H430)-ROW(Calc!$B$7)))=0,$AD$3,INDEX(Database!J$9:J$501,ROW(Calc!H430)-ROW(Calc!$B$7))),"")</f>
        <v>Not Set</v>
      </c>
      <c r="J430" s="128" t="str">
        <f t="shared" si="59"/>
        <v>Not Set</v>
      </c>
      <c r="K430" s="124" t="str">
        <f>IFERROR(IF(LEN(INDEX(Database!E$9:E$501,ROW(Calc!I430)-ROW(Calc!$B$7)))=0,"",INDEX(Database!E$9:E$501,ROW(Calc!I430)-ROW(Calc!$B$7))),"")</f>
        <v/>
      </c>
      <c r="L430" s="129" t="str">
        <f>IFERROR(IF(LEN(INDEX(Database!K$9:K$501,ROW(Calc!K430)-ROW(Calc!$B$7)))=0,$AD$3,INDEX(Database!K$9:K$501,ROW(Calc!K430)-ROW(Calc!$B$7))),"")</f>
        <v>Not Set</v>
      </c>
      <c r="M430" s="130" t="str">
        <f>IFERROR(IF(LEN(INDEX(Database!L$9:L$501,ROW(Calc!L430)-ROW(Calc!$B$7)))=0,$AD$3,INDEX(Database!L$9:L$501,ROW(Calc!L430)-ROW(Calc!$B$7))),"")</f>
        <v>Not Set</v>
      </c>
      <c r="N430" s="131" t="str">
        <f>IFERROR(IF(LEN(INDEX(Database!M$9:M$501,ROW(Calc!M430)-ROW(Calc!$B$7)))=0,"",INDEX(Database!M$9:M$501,ROW(Calc!M430)-ROW(Calc!$B$7))),"")</f>
        <v/>
      </c>
      <c r="O430" s="132" t="str">
        <f t="shared" si="63"/>
        <v/>
      </c>
      <c r="P430" s="125" t="str">
        <f t="shared" si="60"/>
        <v>Not Set</v>
      </c>
      <c r="Q430" s="125" t="str">
        <f t="shared" si="61"/>
        <v>Not Set</v>
      </c>
      <c r="R430" s="125" t="str">
        <f>IFERROR(IF(G430=$AD$3,$AD$3,INDEX(Kanban_Helper!$C$317:$C$328,MATCH(MONTH(G430),Kanban_Helper!$B$317:$B$328,0))&amp;" - "&amp;YEAR(G430)),"$AD$3")</f>
        <v>Not Set</v>
      </c>
      <c r="S430" s="125" t="str">
        <f>IFERROR(IF(I430=$AD$3,$AD$3,INDEX(Kanban_Helper!$C$317:$C$328,MATCH(MONTH(I430),Kanban_Helper!$B$317:$B$328,0))&amp;" - "&amp;YEAR(I430)),$AD$3)</f>
        <v>Not Set</v>
      </c>
      <c r="T430" s="125" t="str">
        <f t="shared" ca="1" si="64"/>
        <v/>
      </c>
      <c r="U430" s="125" t="str">
        <f t="shared" ca="1" si="65"/>
        <v/>
      </c>
      <c r="V430" s="125" t="str">
        <f t="shared" si="62"/>
        <v>Not Set</v>
      </c>
      <c r="W430" s="126" t="str">
        <f t="shared" si="66"/>
        <v/>
      </c>
      <c r="X430" s="126" t="str">
        <f t="shared" si="67"/>
        <v/>
      </c>
      <c r="Y430" s="125" t="str">
        <f>IFERROR(IF(LEN(D430)=0,"",IF(SUBTOTAL(3,E430:E430)=0,MIN($Y$7:Y429)-1,SUBTOTAL(3,$E$8:E430))),"")</f>
        <v/>
      </c>
      <c r="Z430" s="17"/>
      <c r="AA430" s="10"/>
      <c r="AB430" s="10"/>
      <c r="AC430" s="10"/>
      <c r="AD430" s="10"/>
      <c r="AE430" s="10"/>
      <c r="AF430" s="10"/>
      <c r="AG430" s="10"/>
      <c r="AH430" s="10"/>
      <c r="AI430" s="10"/>
      <c r="AJ430" s="10"/>
      <c r="AK430" s="10"/>
      <c r="AL430" s="10"/>
      <c r="AM430" s="10"/>
      <c r="AN430" s="10"/>
    </row>
    <row r="431" spans="2:40" hidden="1" x14ac:dyDescent="0.35">
      <c r="B431" s="15"/>
      <c r="C431" s="127" t="str">
        <f>IFERROR(IF(LEN(INDEX(Database!C$9:C$501,ROW(Calc!A431)-ROW(Calc!$B$7)))=0,"",INDEX(Database!C$9:C$501,ROW(Calc!A431)-ROW(Calc!$B$7))),"")</f>
        <v/>
      </c>
      <c r="D431" s="70" t="str">
        <f>IFERROR(IF(LEN(INDEX(Database!D$9:D$501,ROW(Calc!B431)-ROW(Calc!$B$7)))=0,"",INDEX(Database!D$9:D$501,ROW(Calc!B431)-ROW(Calc!$B$7))),"")</f>
        <v/>
      </c>
      <c r="E431" s="124" t="str">
        <f>IFERROR(IF(LEN(INDEX(Database!G$9:G$501,ROW(Calc!D431)-ROW(Calc!$B$7)))=0,$AD$3,INDEX(Database!G$9:G$501,ROW(Calc!D431)-ROW(Calc!$B$7))),"")</f>
        <v>Not Set</v>
      </c>
      <c r="F431" s="124" t="str">
        <f>IFERROR(IF(LEN(INDEX(Database!F$9:F$501,ROW(Calc!E431)-ROW(Calc!$B$7)))=0,$AD$3,INDEX(Database!F$9:F$501,ROW(Calc!E431)-ROW(Calc!$B$7))),"")</f>
        <v>Not Set</v>
      </c>
      <c r="G431" s="128" t="str">
        <f>IFERROR(IF(LEN(INDEX(Database!H$9:H$501,ROW(Calc!F431)-ROW(Calc!$B$7)))=0,$AD$3,INDEX(Database!H$9:H$501,ROW(Calc!F431)-ROW(Calc!$B$7))),"")</f>
        <v>Not Set</v>
      </c>
      <c r="H431" s="128" t="str">
        <f>IFERROR(IF(LEN(INDEX(Database!I$9:I$501,ROW(Calc!G431)-ROW(Calc!$B$7)))=0,$AD$3,INDEX(Database!I$9:I$501,ROW(Calc!G431)-ROW(Calc!$B$7))),"")</f>
        <v>Not Set</v>
      </c>
      <c r="I431" s="128" t="str">
        <f>IFERROR(IF(LEN(INDEX(Database!J$9:J$501,ROW(Calc!H431)-ROW(Calc!$B$7)))=0,$AD$3,INDEX(Database!J$9:J$501,ROW(Calc!H431)-ROW(Calc!$B$7))),"")</f>
        <v>Not Set</v>
      </c>
      <c r="J431" s="128" t="str">
        <f t="shared" si="59"/>
        <v>Not Set</v>
      </c>
      <c r="K431" s="124" t="str">
        <f>IFERROR(IF(LEN(INDEX(Database!E$9:E$501,ROW(Calc!I431)-ROW(Calc!$B$7)))=0,"",INDEX(Database!E$9:E$501,ROW(Calc!I431)-ROW(Calc!$B$7))),"")</f>
        <v/>
      </c>
      <c r="L431" s="129" t="str">
        <f>IFERROR(IF(LEN(INDEX(Database!K$9:K$501,ROW(Calc!K431)-ROW(Calc!$B$7)))=0,$AD$3,INDEX(Database!K$9:K$501,ROW(Calc!K431)-ROW(Calc!$B$7))),"")</f>
        <v>Not Set</v>
      </c>
      <c r="M431" s="130" t="str">
        <f>IFERROR(IF(LEN(INDEX(Database!L$9:L$501,ROW(Calc!L431)-ROW(Calc!$B$7)))=0,$AD$3,INDEX(Database!L$9:L$501,ROW(Calc!L431)-ROW(Calc!$B$7))),"")</f>
        <v>Not Set</v>
      </c>
      <c r="N431" s="131" t="str">
        <f>IFERROR(IF(LEN(INDEX(Database!M$9:M$501,ROW(Calc!M431)-ROW(Calc!$B$7)))=0,"",INDEX(Database!M$9:M$501,ROW(Calc!M431)-ROW(Calc!$B$7))),"")</f>
        <v/>
      </c>
      <c r="O431" s="132" t="str">
        <f t="shared" si="63"/>
        <v/>
      </c>
      <c r="P431" s="125" t="str">
        <f t="shared" si="60"/>
        <v>Not Set</v>
      </c>
      <c r="Q431" s="125" t="str">
        <f t="shared" si="61"/>
        <v>Not Set</v>
      </c>
      <c r="R431" s="125" t="str">
        <f>IFERROR(IF(G431=$AD$3,$AD$3,INDEX(Kanban_Helper!$C$317:$C$328,MATCH(MONTH(G431),Kanban_Helper!$B$317:$B$328,0))&amp;" - "&amp;YEAR(G431)),"$AD$3")</f>
        <v>Not Set</v>
      </c>
      <c r="S431" s="125" t="str">
        <f>IFERROR(IF(I431=$AD$3,$AD$3,INDEX(Kanban_Helper!$C$317:$C$328,MATCH(MONTH(I431),Kanban_Helper!$B$317:$B$328,0))&amp;" - "&amp;YEAR(I431)),$AD$3)</f>
        <v>Not Set</v>
      </c>
      <c r="T431" s="125" t="str">
        <f t="shared" ca="1" si="64"/>
        <v/>
      </c>
      <c r="U431" s="125" t="str">
        <f t="shared" ca="1" si="65"/>
        <v/>
      </c>
      <c r="V431" s="125" t="str">
        <f t="shared" si="62"/>
        <v>Not Set</v>
      </c>
      <c r="W431" s="126" t="str">
        <f t="shared" si="66"/>
        <v/>
      </c>
      <c r="X431" s="126" t="str">
        <f t="shared" si="67"/>
        <v/>
      </c>
      <c r="Y431" s="125" t="str">
        <f>IFERROR(IF(LEN(D431)=0,"",IF(SUBTOTAL(3,E431:E431)=0,MIN($Y$7:Y430)-1,SUBTOTAL(3,$E$8:E431))),"")</f>
        <v/>
      </c>
      <c r="Z431" s="17"/>
      <c r="AA431" s="10"/>
      <c r="AB431" s="10"/>
      <c r="AC431" s="10"/>
      <c r="AD431" s="10"/>
      <c r="AE431" s="10"/>
      <c r="AF431" s="10"/>
      <c r="AG431" s="10"/>
      <c r="AH431" s="10"/>
      <c r="AI431" s="10"/>
      <c r="AJ431" s="10"/>
      <c r="AK431" s="10"/>
      <c r="AL431" s="10"/>
      <c r="AM431" s="10"/>
      <c r="AN431" s="10"/>
    </row>
    <row r="432" spans="2:40" hidden="1" x14ac:dyDescent="0.35">
      <c r="B432" s="15"/>
      <c r="C432" s="127" t="str">
        <f>IFERROR(IF(LEN(INDEX(Database!C$9:C$501,ROW(Calc!A432)-ROW(Calc!$B$7)))=0,"",INDEX(Database!C$9:C$501,ROW(Calc!A432)-ROW(Calc!$B$7))),"")</f>
        <v/>
      </c>
      <c r="D432" s="70" t="str">
        <f>IFERROR(IF(LEN(INDEX(Database!D$9:D$501,ROW(Calc!B432)-ROW(Calc!$B$7)))=0,"",INDEX(Database!D$9:D$501,ROW(Calc!B432)-ROW(Calc!$B$7))),"")</f>
        <v/>
      </c>
      <c r="E432" s="124" t="str">
        <f>IFERROR(IF(LEN(INDEX(Database!G$9:G$501,ROW(Calc!D432)-ROW(Calc!$B$7)))=0,$AD$3,INDEX(Database!G$9:G$501,ROW(Calc!D432)-ROW(Calc!$B$7))),"")</f>
        <v>Not Set</v>
      </c>
      <c r="F432" s="124" t="str">
        <f>IFERROR(IF(LEN(INDEX(Database!F$9:F$501,ROW(Calc!E432)-ROW(Calc!$B$7)))=0,$AD$3,INDEX(Database!F$9:F$501,ROW(Calc!E432)-ROW(Calc!$B$7))),"")</f>
        <v>Not Set</v>
      </c>
      <c r="G432" s="128" t="str">
        <f>IFERROR(IF(LEN(INDEX(Database!H$9:H$501,ROW(Calc!F432)-ROW(Calc!$B$7)))=0,$AD$3,INDEX(Database!H$9:H$501,ROW(Calc!F432)-ROW(Calc!$B$7))),"")</f>
        <v>Not Set</v>
      </c>
      <c r="H432" s="128" t="str">
        <f>IFERROR(IF(LEN(INDEX(Database!I$9:I$501,ROW(Calc!G432)-ROW(Calc!$B$7)))=0,$AD$3,INDEX(Database!I$9:I$501,ROW(Calc!G432)-ROW(Calc!$B$7))),"")</f>
        <v>Not Set</v>
      </c>
      <c r="I432" s="128" t="str">
        <f>IFERROR(IF(LEN(INDEX(Database!J$9:J$501,ROW(Calc!H432)-ROW(Calc!$B$7)))=0,$AD$3,INDEX(Database!J$9:J$501,ROW(Calc!H432)-ROW(Calc!$B$7))),"")</f>
        <v>Not Set</v>
      </c>
      <c r="J432" s="128" t="str">
        <f t="shared" si="59"/>
        <v>Not Set</v>
      </c>
      <c r="K432" s="124" t="str">
        <f>IFERROR(IF(LEN(INDEX(Database!E$9:E$501,ROW(Calc!I432)-ROW(Calc!$B$7)))=0,"",INDEX(Database!E$9:E$501,ROW(Calc!I432)-ROW(Calc!$B$7))),"")</f>
        <v/>
      </c>
      <c r="L432" s="129" t="str">
        <f>IFERROR(IF(LEN(INDEX(Database!K$9:K$501,ROW(Calc!K432)-ROW(Calc!$B$7)))=0,$AD$3,INDEX(Database!K$9:K$501,ROW(Calc!K432)-ROW(Calc!$B$7))),"")</f>
        <v>Not Set</v>
      </c>
      <c r="M432" s="130" t="str">
        <f>IFERROR(IF(LEN(INDEX(Database!L$9:L$501,ROW(Calc!L432)-ROW(Calc!$B$7)))=0,$AD$3,INDEX(Database!L$9:L$501,ROW(Calc!L432)-ROW(Calc!$B$7))),"")</f>
        <v>Not Set</v>
      </c>
      <c r="N432" s="131" t="str">
        <f>IFERROR(IF(LEN(INDEX(Database!M$9:M$501,ROW(Calc!M432)-ROW(Calc!$B$7)))=0,"",INDEX(Database!M$9:M$501,ROW(Calc!M432)-ROW(Calc!$B$7))),"")</f>
        <v/>
      </c>
      <c r="O432" s="132" t="str">
        <f t="shared" si="63"/>
        <v/>
      </c>
      <c r="P432" s="125" t="str">
        <f t="shared" si="60"/>
        <v>Not Set</v>
      </c>
      <c r="Q432" s="125" t="str">
        <f t="shared" si="61"/>
        <v>Not Set</v>
      </c>
      <c r="R432" s="125" t="str">
        <f>IFERROR(IF(G432=$AD$3,$AD$3,INDEX(Kanban_Helper!$C$317:$C$328,MATCH(MONTH(G432),Kanban_Helper!$B$317:$B$328,0))&amp;" - "&amp;YEAR(G432)),"$AD$3")</f>
        <v>Not Set</v>
      </c>
      <c r="S432" s="125" t="str">
        <f>IFERROR(IF(I432=$AD$3,$AD$3,INDEX(Kanban_Helper!$C$317:$C$328,MATCH(MONTH(I432),Kanban_Helper!$B$317:$B$328,0))&amp;" - "&amp;YEAR(I432)),$AD$3)</f>
        <v>Not Set</v>
      </c>
      <c r="T432" s="125" t="str">
        <f t="shared" ca="1" si="64"/>
        <v/>
      </c>
      <c r="U432" s="125" t="str">
        <f t="shared" ca="1" si="65"/>
        <v/>
      </c>
      <c r="V432" s="125" t="str">
        <f t="shared" si="62"/>
        <v>Not Set</v>
      </c>
      <c r="W432" s="126" t="str">
        <f t="shared" si="66"/>
        <v/>
      </c>
      <c r="X432" s="126" t="str">
        <f t="shared" si="67"/>
        <v/>
      </c>
      <c r="Y432" s="125" t="str">
        <f>IFERROR(IF(LEN(D432)=0,"",IF(SUBTOTAL(3,E432:E432)=0,MIN($Y$7:Y431)-1,SUBTOTAL(3,$E$8:E432))),"")</f>
        <v/>
      </c>
      <c r="Z432" s="17"/>
      <c r="AA432" s="10"/>
      <c r="AB432" s="10"/>
      <c r="AC432" s="10"/>
      <c r="AD432" s="10"/>
      <c r="AE432" s="10"/>
      <c r="AF432" s="10"/>
      <c r="AG432" s="10"/>
      <c r="AH432" s="10"/>
      <c r="AI432" s="10"/>
      <c r="AJ432" s="10"/>
      <c r="AK432" s="10"/>
      <c r="AL432" s="10"/>
      <c r="AM432" s="10"/>
      <c r="AN432" s="10"/>
    </row>
    <row r="433" spans="2:40" hidden="1" x14ac:dyDescent="0.35">
      <c r="B433" s="15"/>
      <c r="C433" s="127" t="str">
        <f>IFERROR(IF(LEN(INDEX(Database!C$9:C$501,ROW(Calc!A433)-ROW(Calc!$B$7)))=0,"",INDEX(Database!C$9:C$501,ROW(Calc!A433)-ROW(Calc!$B$7))),"")</f>
        <v/>
      </c>
      <c r="D433" s="70" t="str">
        <f>IFERROR(IF(LEN(INDEX(Database!D$9:D$501,ROW(Calc!B433)-ROW(Calc!$B$7)))=0,"",INDEX(Database!D$9:D$501,ROW(Calc!B433)-ROW(Calc!$B$7))),"")</f>
        <v/>
      </c>
      <c r="E433" s="124" t="str">
        <f>IFERROR(IF(LEN(INDEX(Database!G$9:G$501,ROW(Calc!D433)-ROW(Calc!$B$7)))=0,$AD$3,INDEX(Database!G$9:G$501,ROW(Calc!D433)-ROW(Calc!$B$7))),"")</f>
        <v>Not Set</v>
      </c>
      <c r="F433" s="124" t="str">
        <f>IFERROR(IF(LEN(INDEX(Database!F$9:F$501,ROW(Calc!E433)-ROW(Calc!$B$7)))=0,$AD$3,INDEX(Database!F$9:F$501,ROW(Calc!E433)-ROW(Calc!$B$7))),"")</f>
        <v>Not Set</v>
      </c>
      <c r="G433" s="128" t="str">
        <f>IFERROR(IF(LEN(INDEX(Database!H$9:H$501,ROW(Calc!F433)-ROW(Calc!$B$7)))=0,$AD$3,INDEX(Database!H$9:H$501,ROW(Calc!F433)-ROW(Calc!$B$7))),"")</f>
        <v>Not Set</v>
      </c>
      <c r="H433" s="128" t="str">
        <f>IFERROR(IF(LEN(INDEX(Database!I$9:I$501,ROW(Calc!G433)-ROW(Calc!$B$7)))=0,$AD$3,INDEX(Database!I$9:I$501,ROW(Calc!G433)-ROW(Calc!$B$7))),"")</f>
        <v>Not Set</v>
      </c>
      <c r="I433" s="128" t="str">
        <f>IFERROR(IF(LEN(INDEX(Database!J$9:J$501,ROW(Calc!H433)-ROW(Calc!$B$7)))=0,$AD$3,INDEX(Database!J$9:J$501,ROW(Calc!H433)-ROW(Calc!$B$7))),"")</f>
        <v>Not Set</v>
      </c>
      <c r="J433" s="128" t="str">
        <f t="shared" si="59"/>
        <v>Not Set</v>
      </c>
      <c r="K433" s="124" t="str">
        <f>IFERROR(IF(LEN(INDEX(Database!E$9:E$501,ROW(Calc!I433)-ROW(Calc!$B$7)))=0,"",INDEX(Database!E$9:E$501,ROW(Calc!I433)-ROW(Calc!$B$7))),"")</f>
        <v/>
      </c>
      <c r="L433" s="129" t="str">
        <f>IFERROR(IF(LEN(INDEX(Database!K$9:K$501,ROW(Calc!K433)-ROW(Calc!$B$7)))=0,$AD$3,INDEX(Database!K$9:K$501,ROW(Calc!K433)-ROW(Calc!$B$7))),"")</f>
        <v>Not Set</v>
      </c>
      <c r="M433" s="130" t="str">
        <f>IFERROR(IF(LEN(INDEX(Database!L$9:L$501,ROW(Calc!L433)-ROW(Calc!$B$7)))=0,$AD$3,INDEX(Database!L$9:L$501,ROW(Calc!L433)-ROW(Calc!$B$7))),"")</f>
        <v>Not Set</v>
      </c>
      <c r="N433" s="131" t="str">
        <f>IFERROR(IF(LEN(INDEX(Database!M$9:M$501,ROW(Calc!M433)-ROW(Calc!$B$7)))=0,"",INDEX(Database!M$9:M$501,ROW(Calc!M433)-ROW(Calc!$B$7))),"")</f>
        <v/>
      </c>
      <c r="O433" s="132" t="str">
        <f t="shared" si="63"/>
        <v/>
      </c>
      <c r="P433" s="125" t="str">
        <f t="shared" si="60"/>
        <v>Not Set</v>
      </c>
      <c r="Q433" s="125" t="str">
        <f t="shared" si="61"/>
        <v>Not Set</v>
      </c>
      <c r="R433" s="125" t="str">
        <f>IFERROR(IF(G433=$AD$3,$AD$3,INDEX(Kanban_Helper!$C$317:$C$328,MATCH(MONTH(G433),Kanban_Helper!$B$317:$B$328,0))&amp;" - "&amp;YEAR(G433)),"$AD$3")</f>
        <v>Not Set</v>
      </c>
      <c r="S433" s="125" t="str">
        <f>IFERROR(IF(I433=$AD$3,$AD$3,INDEX(Kanban_Helper!$C$317:$C$328,MATCH(MONTH(I433),Kanban_Helper!$B$317:$B$328,0))&amp;" - "&amp;YEAR(I433)),$AD$3)</f>
        <v>Not Set</v>
      </c>
      <c r="T433" s="125" t="str">
        <f t="shared" ca="1" si="64"/>
        <v/>
      </c>
      <c r="U433" s="125" t="str">
        <f t="shared" ca="1" si="65"/>
        <v/>
      </c>
      <c r="V433" s="125" t="str">
        <f t="shared" si="62"/>
        <v>Not Set</v>
      </c>
      <c r="W433" s="126" t="str">
        <f t="shared" si="66"/>
        <v/>
      </c>
      <c r="X433" s="126" t="str">
        <f t="shared" si="67"/>
        <v/>
      </c>
      <c r="Y433" s="125" t="str">
        <f>IFERROR(IF(LEN(D433)=0,"",IF(SUBTOTAL(3,E433:E433)=0,MIN($Y$7:Y432)-1,SUBTOTAL(3,$E$8:E433))),"")</f>
        <v/>
      </c>
      <c r="Z433" s="17"/>
      <c r="AA433" s="10"/>
      <c r="AB433" s="10"/>
      <c r="AC433" s="10"/>
      <c r="AD433" s="10"/>
      <c r="AE433" s="10"/>
      <c r="AF433" s="10"/>
      <c r="AG433" s="10"/>
      <c r="AH433" s="10"/>
      <c r="AI433" s="10"/>
      <c r="AJ433" s="10"/>
      <c r="AK433" s="10"/>
      <c r="AL433" s="10"/>
      <c r="AM433" s="10"/>
      <c r="AN433" s="10"/>
    </row>
    <row r="434" spans="2:40" hidden="1" x14ac:dyDescent="0.35">
      <c r="B434" s="15"/>
      <c r="C434" s="127" t="str">
        <f>IFERROR(IF(LEN(INDEX(Database!C$9:C$501,ROW(Calc!A434)-ROW(Calc!$B$7)))=0,"",INDEX(Database!C$9:C$501,ROW(Calc!A434)-ROW(Calc!$B$7))),"")</f>
        <v/>
      </c>
      <c r="D434" s="70" t="str">
        <f>IFERROR(IF(LEN(INDEX(Database!D$9:D$501,ROW(Calc!B434)-ROW(Calc!$B$7)))=0,"",INDEX(Database!D$9:D$501,ROW(Calc!B434)-ROW(Calc!$B$7))),"")</f>
        <v/>
      </c>
      <c r="E434" s="124" t="str">
        <f>IFERROR(IF(LEN(INDEX(Database!G$9:G$501,ROW(Calc!D434)-ROW(Calc!$B$7)))=0,$AD$3,INDEX(Database!G$9:G$501,ROW(Calc!D434)-ROW(Calc!$B$7))),"")</f>
        <v>Not Set</v>
      </c>
      <c r="F434" s="124" t="str">
        <f>IFERROR(IF(LEN(INDEX(Database!F$9:F$501,ROW(Calc!E434)-ROW(Calc!$B$7)))=0,$AD$3,INDEX(Database!F$9:F$501,ROW(Calc!E434)-ROW(Calc!$B$7))),"")</f>
        <v>Not Set</v>
      </c>
      <c r="G434" s="128" t="str">
        <f>IFERROR(IF(LEN(INDEX(Database!H$9:H$501,ROW(Calc!F434)-ROW(Calc!$B$7)))=0,$AD$3,INDEX(Database!H$9:H$501,ROW(Calc!F434)-ROW(Calc!$B$7))),"")</f>
        <v>Not Set</v>
      </c>
      <c r="H434" s="128" t="str">
        <f>IFERROR(IF(LEN(INDEX(Database!I$9:I$501,ROW(Calc!G434)-ROW(Calc!$B$7)))=0,$AD$3,INDEX(Database!I$9:I$501,ROW(Calc!G434)-ROW(Calc!$B$7))),"")</f>
        <v>Not Set</v>
      </c>
      <c r="I434" s="128" t="str">
        <f>IFERROR(IF(LEN(INDEX(Database!J$9:J$501,ROW(Calc!H434)-ROW(Calc!$B$7)))=0,$AD$3,INDEX(Database!J$9:J$501,ROW(Calc!H434)-ROW(Calc!$B$7))),"")</f>
        <v>Not Set</v>
      </c>
      <c r="J434" s="128" t="str">
        <f t="shared" si="59"/>
        <v>Not Set</v>
      </c>
      <c r="K434" s="124" t="str">
        <f>IFERROR(IF(LEN(INDEX(Database!E$9:E$501,ROW(Calc!I434)-ROW(Calc!$B$7)))=0,"",INDEX(Database!E$9:E$501,ROW(Calc!I434)-ROW(Calc!$B$7))),"")</f>
        <v/>
      </c>
      <c r="L434" s="129" t="str">
        <f>IFERROR(IF(LEN(INDEX(Database!K$9:K$501,ROW(Calc!K434)-ROW(Calc!$B$7)))=0,$AD$3,INDEX(Database!K$9:K$501,ROW(Calc!K434)-ROW(Calc!$B$7))),"")</f>
        <v>Not Set</v>
      </c>
      <c r="M434" s="130" t="str">
        <f>IFERROR(IF(LEN(INDEX(Database!L$9:L$501,ROW(Calc!L434)-ROW(Calc!$B$7)))=0,$AD$3,INDEX(Database!L$9:L$501,ROW(Calc!L434)-ROW(Calc!$B$7))),"")</f>
        <v>Not Set</v>
      </c>
      <c r="N434" s="131" t="str">
        <f>IFERROR(IF(LEN(INDEX(Database!M$9:M$501,ROW(Calc!M434)-ROW(Calc!$B$7)))=0,"",INDEX(Database!M$9:M$501,ROW(Calc!M434)-ROW(Calc!$B$7))),"")</f>
        <v/>
      </c>
      <c r="O434" s="132" t="str">
        <f t="shared" si="63"/>
        <v/>
      </c>
      <c r="P434" s="125" t="str">
        <f t="shared" si="60"/>
        <v>Not Set</v>
      </c>
      <c r="Q434" s="125" t="str">
        <f t="shared" si="61"/>
        <v>Not Set</v>
      </c>
      <c r="R434" s="125" t="str">
        <f>IFERROR(IF(G434=$AD$3,$AD$3,INDEX(Kanban_Helper!$C$317:$C$328,MATCH(MONTH(G434),Kanban_Helper!$B$317:$B$328,0))&amp;" - "&amp;YEAR(G434)),"$AD$3")</f>
        <v>Not Set</v>
      </c>
      <c r="S434" s="125" t="str">
        <f>IFERROR(IF(I434=$AD$3,$AD$3,INDEX(Kanban_Helper!$C$317:$C$328,MATCH(MONTH(I434),Kanban_Helper!$B$317:$B$328,0))&amp;" - "&amp;YEAR(I434)),$AD$3)</f>
        <v>Not Set</v>
      </c>
      <c r="T434" s="125" t="str">
        <f t="shared" ca="1" si="64"/>
        <v/>
      </c>
      <c r="U434" s="125" t="str">
        <f t="shared" ca="1" si="65"/>
        <v/>
      </c>
      <c r="V434" s="125" t="str">
        <f t="shared" si="62"/>
        <v>Not Set</v>
      </c>
      <c r="W434" s="126" t="str">
        <f t="shared" si="66"/>
        <v/>
      </c>
      <c r="X434" s="126" t="str">
        <f t="shared" si="67"/>
        <v/>
      </c>
      <c r="Y434" s="125" t="str">
        <f>IFERROR(IF(LEN(D434)=0,"",IF(SUBTOTAL(3,E434:E434)=0,MIN($Y$7:Y433)-1,SUBTOTAL(3,$E$8:E434))),"")</f>
        <v/>
      </c>
      <c r="Z434" s="17"/>
      <c r="AA434" s="10"/>
      <c r="AB434" s="10"/>
      <c r="AC434" s="10"/>
      <c r="AD434" s="10"/>
      <c r="AE434" s="10"/>
      <c r="AF434" s="10"/>
      <c r="AG434" s="10"/>
      <c r="AH434" s="10"/>
      <c r="AI434" s="10"/>
      <c r="AJ434" s="10"/>
      <c r="AK434" s="10"/>
      <c r="AL434" s="10"/>
      <c r="AM434" s="10"/>
      <c r="AN434" s="10"/>
    </row>
    <row r="435" spans="2:40" hidden="1" x14ac:dyDescent="0.35">
      <c r="B435" s="15"/>
      <c r="C435" s="127" t="str">
        <f>IFERROR(IF(LEN(INDEX(Database!C$9:C$501,ROW(Calc!A435)-ROW(Calc!$B$7)))=0,"",INDEX(Database!C$9:C$501,ROW(Calc!A435)-ROW(Calc!$B$7))),"")</f>
        <v/>
      </c>
      <c r="D435" s="70" t="str">
        <f>IFERROR(IF(LEN(INDEX(Database!D$9:D$501,ROW(Calc!B435)-ROW(Calc!$B$7)))=0,"",INDEX(Database!D$9:D$501,ROW(Calc!B435)-ROW(Calc!$B$7))),"")</f>
        <v/>
      </c>
      <c r="E435" s="124" t="str">
        <f>IFERROR(IF(LEN(INDEX(Database!G$9:G$501,ROW(Calc!D435)-ROW(Calc!$B$7)))=0,$AD$3,INDEX(Database!G$9:G$501,ROW(Calc!D435)-ROW(Calc!$B$7))),"")</f>
        <v>Not Set</v>
      </c>
      <c r="F435" s="124" t="str">
        <f>IFERROR(IF(LEN(INDEX(Database!F$9:F$501,ROW(Calc!E435)-ROW(Calc!$B$7)))=0,$AD$3,INDEX(Database!F$9:F$501,ROW(Calc!E435)-ROW(Calc!$B$7))),"")</f>
        <v>Not Set</v>
      </c>
      <c r="G435" s="128" t="str">
        <f>IFERROR(IF(LEN(INDEX(Database!H$9:H$501,ROW(Calc!F435)-ROW(Calc!$B$7)))=0,$AD$3,INDEX(Database!H$9:H$501,ROW(Calc!F435)-ROW(Calc!$B$7))),"")</f>
        <v>Not Set</v>
      </c>
      <c r="H435" s="128" t="str">
        <f>IFERROR(IF(LEN(INDEX(Database!I$9:I$501,ROW(Calc!G435)-ROW(Calc!$B$7)))=0,$AD$3,INDEX(Database!I$9:I$501,ROW(Calc!G435)-ROW(Calc!$B$7))),"")</f>
        <v>Not Set</v>
      </c>
      <c r="I435" s="128" t="str">
        <f>IFERROR(IF(LEN(INDEX(Database!J$9:J$501,ROW(Calc!H435)-ROW(Calc!$B$7)))=0,$AD$3,INDEX(Database!J$9:J$501,ROW(Calc!H435)-ROW(Calc!$B$7))),"")</f>
        <v>Not Set</v>
      </c>
      <c r="J435" s="128" t="str">
        <f t="shared" si="59"/>
        <v>Not Set</v>
      </c>
      <c r="K435" s="124" t="str">
        <f>IFERROR(IF(LEN(INDEX(Database!E$9:E$501,ROW(Calc!I435)-ROW(Calc!$B$7)))=0,"",INDEX(Database!E$9:E$501,ROW(Calc!I435)-ROW(Calc!$B$7))),"")</f>
        <v/>
      </c>
      <c r="L435" s="129" t="str">
        <f>IFERROR(IF(LEN(INDEX(Database!K$9:K$501,ROW(Calc!K435)-ROW(Calc!$B$7)))=0,$AD$3,INDEX(Database!K$9:K$501,ROW(Calc!K435)-ROW(Calc!$B$7))),"")</f>
        <v>Not Set</v>
      </c>
      <c r="M435" s="130" t="str">
        <f>IFERROR(IF(LEN(INDEX(Database!L$9:L$501,ROW(Calc!L435)-ROW(Calc!$B$7)))=0,$AD$3,INDEX(Database!L$9:L$501,ROW(Calc!L435)-ROW(Calc!$B$7))),"")</f>
        <v>Not Set</v>
      </c>
      <c r="N435" s="131" t="str">
        <f>IFERROR(IF(LEN(INDEX(Database!M$9:M$501,ROW(Calc!M435)-ROW(Calc!$B$7)))=0,"",INDEX(Database!M$9:M$501,ROW(Calc!M435)-ROW(Calc!$B$7))),"")</f>
        <v/>
      </c>
      <c r="O435" s="132" t="str">
        <f t="shared" si="63"/>
        <v/>
      </c>
      <c r="P435" s="125" t="str">
        <f t="shared" si="60"/>
        <v>Not Set</v>
      </c>
      <c r="Q435" s="125" t="str">
        <f t="shared" si="61"/>
        <v>Not Set</v>
      </c>
      <c r="R435" s="125" t="str">
        <f>IFERROR(IF(G435=$AD$3,$AD$3,INDEX(Kanban_Helper!$C$317:$C$328,MATCH(MONTH(G435),Kanban_Helper!$B$317:$B$328,0))&amp;" - "&amp;YEAR(G435)),"$AD$3")</f>
        <v>Not Set</v>
      </c>
      <c r="S435" s="125" t="str">
        <f>IFERROR(IF(I435=$AD$3,$AD$3,INDEX(Kanban_Helper!$C$317:$C$328,MATCH(MONTH(I435),Kanban_Helper!$B$317:$B$328,0))&amp;" - "&amp;YEAR(I435)),$AD$3)</f>
        <v>Not Set</v>
      </c>
      <c r="T435" s="125" t="str">
        <f t="shared" ca="1" si="64"/>
        <v/>
      </c>
      <c r="U435" s="125" t="str">
        <f t="shared" ca="1" si="65"/>
        <v/>
      </c>
      <c r="V435" s="125" t="str">
        <f t="shared" si="62"/>
        <v>Not Set</v>
      </c>
      <c r="W435" s="126" t="str">
        <f t="shared" si="66"/>
        <v/>
      </c>
      <c r="X435" s="126" t="str">
        <f t="shared" si="67"/>
        <v/>
      </c>
      <c r="Y435" s="125" t="str">
        <f>IFERROR(IF(LEN(D435)=0,"",IF(SUBTOTAL(3,E435:E435)=0,MIN($Y$7:Y434)-1,SUBTOTAL(3,$E$8:E435))),"")</f>
        <v/>
      </c>
      <c r="Z435" s="17"/>
      <c r="AA435" s="10"/>
      <c r="AB435" s="10"/>
      <c r="AC435" s="10"/>
      <c r="AD435" s="10"/>
      <c r="AE435" s="10"/>
      <c r="AF435" s="10"/>
      <c r="AG435" s="10"/>
      <c r="AH435" s="10"/>
      <c r="AI435" s="10"/>
      <c r="AJ435" s="10"/>
      <c r="AK435" s="10"/>
      <c r="AL435" s="10"/>
      <c r="AM435" s="10"/>
      <c r="AN435" s="10"/>
    </row>
    <row r="436" spans="2:40" hidden="1" x14ac:dyDescent="0.35">
      <c r="B436" s="15"/>
      <c r="C436" s="127" t="str">
        <f>IFERROR(IF(LEN(INDEX(Database!C$9:C$501,ROW(Calc!A436)-ROW(Calc!$B$7)))=0,"",INDEX(Database!C$9:C$501,ROW(Calc!A436)-ROW(Calc!$B$7))),"")</f>
        <v/>
      </c>
      <c r="D436" s="70" t="str">
        <f>IFERROR(IF(LEN(INDEX(Database!D$9:D$501,ROW(Calc!B436)-ROW(Calc!$B$7)))=0,"",INDEX(Database!D$9:D$501,ROW(Calc!B436)-ROW(Calc!$B$7))),"")</f>
        <v/>
      </c>
      <c r="E436" s="124" t="str">
        <f>IFERROR(IF(LEN(INDEX(Database!G$9:G$501,ROW(Calc!D436)-ROW(Calc!$B$7)))=0,$AD$3,INDEX(Database!G$9:G$501,ROW(Calc!D436)-ROW(Calc!$B$7))),"")</f>
        <v>Not Set</v>
      </c>
      <c r="F436" s="124" t="str">
        <f>IFERROR(IF(LEN(INDEX(Database!F$9:F$501,ROW(Calc!E436)-ROW(Calc!$B$7)))=0,$AD$3,INDEX(Database!F$9:F$501,ROW(Calc!E436)-ROW(Calc!$B$7))),"")</f>
        <v>Not Set</v>
      </c>
      <c r="G436" s="128" t="str">
        <f>IFERROR(IF(LEN(INDEX(Database!H$9:H$501,ROW(Calc!F436)-ROW(Calc!$B$7)))=0,$AD$3,INDEX(Database!H$9:H$501,ROW(Calc!F436)-ROW(Calc!$B$7))),"")</f>
        <v>Not Set</v>
      </c>
      <c r="H436" s="128" t="str">
        <f>IFERROR(IF(LEN(INDEX(Database!I$9:I$501,ROW(Calc!G436)-ROW(Calc!$B$7)))=0,$AD$3,INDEX(Database!I$9:I$501,ROW(Calc!G436)-ROW(Calc!$B$7))),"")</f>
        <v>Not Set</v>
      </c>
      <c r="I436" s="128" t="str">
        <f>IFERROR(IF(LEN(INDEX(Database!J$9:J$501,ROW(Calc!H436)-ROW(Calc!$B$7)))=0,$AD$3,INDEX(Database!J$9:J$501,ROW(Calc!H436)-ROW(Calc!$B$7))),"")</f>
        <v>Not Set</v>
      </c>
      <c r="J436" s="128" t="str">
        <f t="shared" si="59"/>
        <v>Not Set</v>
      </c>
      <c r="K436" s="124" t="str">
        <f>IFERROR(IF(LEN(INDEX(Database!E$9:E$501,ROW(Calc!I436)-ROW(Calc!$B$7)))=0,"",INDEX(Database!E$9:E$501,ROW(Calc!I436)-ROW(Calc!$B$7))),"")</f>
        <v/>
      </c>
      <c r="L436" s="129" t="str">
        <f>IFERROR(IF(LEN(INDEX(Database!K$9:K$501,ROW(Calc!K436)-ROW(Calc!$B$7)))=0,$AD$3,INDEX(Database!K$9:K$501,ROW(Calc!K436)-ROW(Calc!$B$7))),"")</f>
        <v>Not Set</v>
      </c>
      <c r="M436" s="130" t="str">
        <f>IFERROR(IF(LEN(INDEX(Database!L$9:L$501,ROW(Calc!L436)-ROW(Calc!$B$7)))=0,$AD$3,INDEX(Database!L$9:L$501,ROW(Calc!L436)-ROW(Calc!$B$7))),"")</f>
        <v>Not Set</v>
      </c>
      <c r="N436" s="131" t="str">
        <f>IFERROR(IF(LEN(INDEX(Database!M$9:M$501,ROW(Calc!M436)-ROW(Calc!$B$7)))=0,"",INDEX(Database!M$9:M$501,ROW(Calc!M436)-ROW(Calc!$B$7))),"")</f>
        <v/>
      </c>
      <c r="O436" s="132" t="str">
        <f t="shared" si="63"/>
        <v/>
      </c>
      <c r="P436" s="125" t="str">
        <f t="shared" si="60"/>
        <v>Not Set</v>
      </c>
      <c r="Q436" s="125" t="str">
        <f t="shared" si="61"/>
        <v>Not Set</v>
      </c>
      <c r="R436" s="125" t="str">
        <f>IFERROR(IF(G436=$AD$3,$AD$3,INDEX(Kanban_Helper!$C$317:$C$328,MATCH(MONTH(G436),Kanban_Helper!$B$317:$B$328,0))&amp;" - "&amp;YEAR(G436)),"$AD$3")</f>
        <v>Not Set</v>
      </c>
      <c r="S436" s="125" t="str">
        <f>IFERROR(IF(I436=$AD$3,$AD$3,INDEX(Kanban_Helper!$C$317:$C$328,MATCH(MONTH(I436),Kanban_Helper!$B$317:$B$328,0))&amp;" - "&amp;YEAR(I436)),$AD$3)</f>
        <v>Not Set</v>
      </c>
      <c r="T436" s="125" t="str">
        <f t="shared" ca="1" si="64"/>
        <v/>
      </c>
      <c r="U436" s="125" t="str">
        <f t="shared" ca="1" si="65"/>
        <v/>
      </c>
      <c r="V436" s="125" t="str">
        <f t="shared" si="62"/>
        <v>Not Set</v>
      </c>
      <c r="W436" s="126" t="str">
        <f t="shared" si="66"/>
        <v/>
      </c>
      <c r="X436" s="126" t="str">
        <f t="shared" si="67"/>
        <v/>
      </c>
      <c r="Y436" s="125" t="str">
        <f>IFERROR(IF(LEN(D436)=0,"",IF(SUBTOTAL(3,E436:E436)=0,MIN($Y$7:Y435)-1,SUBTOTAL(3,$E$8:E436))),"")</f>
        <v/>
      </c>
      <c r="Z436" s="17"/>
      <c r="AA436" s="10"/>
      <c r="AB436" s="10"/>
      <c r="AC436" s="10"/>
      <c r="AD436" s="10"/>
      <c r="AE436" s="10"/>
      <c r="AF436" s="10"/>
      <c r="AG436" s="10"/>
      <c r="AH436" s="10"/>
      <c r="AI436" s="10"/>
      <c r="AJ436" s="10"/>
      <c r="AK436" s="10"/>
      <c r="AL436" s="10"/>
      <c r="AM436" s="10"/>
      <c r="AN436" s="10"/>
    </row>
    <row r="437" spans="2:40" hidden="1" x14ac:dyDescent="0.35">
      <c r="B437" s="15"/>
      <c r="C437" s="127" t="str">
        <f>IFERROR(IF(LEN(INDEX(Database!C$9:C$501,ROW(Calc!A437)-ROW(Calc!$B$7)))=0,"",INDEX(Database!C$9:C$501,ROW(Calc!A437)-ROW(Calc!$B$7))),"")</f>
        <v/>
      </c>
      <c r="D437" s="70" t="str">
        <f>IFERROR(IF(LEN(INDEX(Database!D$9:D$501,ROW(Calc!B437)-ROW(Calc!$B$7)))=0,"",INDEX(Database!D$9:D$501,ROW(Calc!B437)-ROW(Calc!$B$7))),"")</f>
        <v/>
      </c>
      <c r="E437" s="124" t="str">
        <f>IFERROR(IF(LEN(INDEX(Database!G$9:G$501,ROW(Calc!D437)-ROW(Calc!$B$7)))=0,$AD$3,INDEX(Database!G$9:G$501,ROW(Calc!D437)-ROW(Calc!$B$7))),"")</f>
        <v>Not Set</v>
      </c>
      <c r="F437" s="124" t="str">
        <f>IFERROR(IF(LEN(INDEX(Database!F$9:F$501,ROW(Calc!E437)-ROW(Calc!$B$7)))=0,$AD$3,INDEX(Database!F$9:F$501,ROW(Calc!E437)-ROW(Calc!$B$7))),"")</f>
        <v>Not Set</v>
      </c>
      <c r="G437" s="128" t="str">
        <f>IFERROR(IF(LEN(INDEX(Database!H$9:H$501,ROW(Calc!F437)-ROW(Calc!$B$7)))=0,$AD$3,INDEX(Database!H$9:H$501,ROW(Calc!F437)-ROW(Calc!$B$7))),"")</f>
        <v>Not Set</v>
      </c>
      <c r="H437" s="128" t="str">
        <f>IFERROR(IF(LEN(INDEX(Database!I$9:I$501,ROW(Calc!G437)-ROW(Calc!$B$7)))=0,$AD$3,INDEX(Database!I$9:I$501,ROW(Calc!G437)-ROW(Calc!$B$7))),"")</f>
        <v>Not Set</v>
      </c>
      <c r="I437" s="128" t="str">
        <f>IFERROR(IF(LEN(INDEX(Database!J$9:J$501,ROW(Calc!H437)-ROW(Calc!$B$7)))=0,$AD$3,INDEX(Database!J$9:J$501,ROW(Calc!H437)-ROW(Calc!$B$7))),"")</f>
        <v>Not Set</v>
      </c>
      <c r="J437" s="128" t="str">
        <f t="shared" si="59"/>
        <v>Not Set</v>
      </c>
      <c r="K437" s="124" t="str">
        <f>IFERROR(IF(LEN(INDEX(Database!E$9:E$501,ROW(Calc!I437)-ROW(Calc!$B$7)))=0,"",INDEX(Database!E$9:E$501,ROW(Calc!I437)-ROW(Calc!$B$7))),"")</f>
        <v/>
      </c>
      <c r="L437" s="129" t="str">
        <f>IFERROR(IF(LEN(INDEX(Database!K$9:K$501,ROW(Calc!K437)-ROW(Calc!$B$7)))=0,$AD$3,INDEX(Database!K$9:K$501,ROW(Calc!K437)-ROW(Calc!$B$7))),"")</f>
        <v>Not Set</v>
      </c>
      <c r="M437" s="130" t="str">
        <f>IFERROR(IF(LEN(INDEX(Database!L$9:L$501,ROW(Calc!L437)-ROW(Calc!$B$7)))=0,$AD$3,INDEX(Database!L$9:L$501,ROW(Calc!L437)-ROW(Calc!$B$7))),"")</f>
        <v>Not Set</v>
      </c>
      <c r="N437" s="131" t="str">
        <f>IFERROR(IF(LEN(INDEX(Database!M$9:M$501,ROW(Calc!M437)-ROW(Calc!$B$7)))=0,"",INDEX(Database!M$9:M$501,ROW(Calc!M437)-ROW(Calc!$B$7))),"")</f>
        <v/>
      </c>
      <c r="O437" s="132" t="str">
        <f t="shared" si="63"/>
        <v/>
      </c>
      <c r="P437" s="125" t="str">
        <f t="shared" si="60"/>
        <v>Not Set</v>
      </c>
      <c r="Q437" s="125" t="str">
        <f t="shared" si="61"/>
        <v>Not Set</v>
      </c>
      <c r="R437" s="125" t="str">
        <f>IFERROR(IF(G437=$AD$3,$AD$3,INDEX(Kanban_Helper!$C$317:$C$328,MATCH(MONTH(G437),Kanban_Helper!$B$317:$B$328,0))&amp;" - "&amp;YEAR(G437)),"$AD$3")</f>
        <v>Not Set</v>
      </c>
      <c r="S437" s="125" t="str">
        <f>IFERROR(IF(I437=$AD$3,$AD$3,INDEX(Kanban_Helper!$C$317:$C$328,MATCH(MONTH(I437),Kanban_Helper!$B$317:$B$328,0))&amp;" - "&amp;YEAR(I437)),$AD$3)</f>
        <v>Not Set</v>
      </c>
      <c r="T437" s="125" t="str">
        <f t="shared" ca="1" si="64"/>
        <v/>
      </c>
      <c r="U437" s="125" t="str">
        <f t="shared" ca="1" si="65"/>
        <v/>
      </c>
      <c r="V437" s="125" t="str">
        <f t="shared" si="62"/>
        <v>Not Set</v>
      </c>
      <c r="W437" s="126" t="str">
        <f t="shared" si="66"/>
        <v/>
      </c>
      <c r="X437" s="126" t="str">
        <f t="shared" si="67"/>
        <v/>
      </c>
      <c r="Y437" s="125" t="str">
        <f>IFERROR(IF(LEN(D437)=0,"",IF(SUBTOTAL(3,E437:E437)=0,MIN($Y$7:Y436)-1,SUBTOTAL(3,$E$8:E437))),"")</f>
        <v/>
      </c>
      <c r="Z437" s="17"/>
      <c r="AA437" s="10"/>
      <c r="AB437" s="10"/>
      <c r="AC437" s="10"/>
      <c r="AD437" s="10"/>
      <c r="AE437" s="10"/>
      <c r="AF437" s="10"/>
      <c r="AG437" s="10"/>
      <c r="AH437" s="10"/>
      <c r="AI437" s="10"/>
      <c r="AJ437" s="10"/>
      <c r="AK437" s="10"/>
      <c r="AL437" s="10"/>
      <c r="AM437" s="10"/>
      <c r="AN437" s="10"/>
    </row>
    <row r="438" spans="2:40" hidden="1" x14ac:dyDescent="0.35">
      <c r="B438" s="15"/>
      <c r="C438" s="127" t="str">
        <f>IFERROR(IF(LEN(INDEX(Database!C$9:C$501,ROW(Calc!A438)-ROW(Calc!$B$7)))=0,"",INDEX(Database!C$9:C$501,ROW(Calc!A438)-ROW(Calc!$B$7))),"")</f>
        <v/>
      </c>
      <c r="D438" s="70" t="str">
        <f>IFERROR(IF(LEN(INDEX(Database!D$9:D$501,ROW(Calc!B438)-ROW(Calc!$B$7)))=0,"",INDEX(Database!D$9:D$501,ROW(Calc!B438)-ROW(Calc!$B$7))),"")</f>
        <v/>
      </c>
      <c r="E438" s="124" t="str">
        <f>IFERROR(IF(LEN(INDEX(Database!G$9:G$501,ROW(Calc!D438)-ROW(Calc!$B$7)))=0,$AD$3,INDEX(Database!G$9:G$501,ROW(Calc!D438)-ROW(Calc!$B$7))),"")</f>
        <v>Not Set</v>
      </c>
      <c r="F438" s="124" t="str">
        <f>IFERROR(IF(LEN(INDEX(Database!F$9:F$501,ROW(Calc!E438)-ROW(Calc!$B$7)))=0,$AD$3,INDEX(Database!F$9:F$501,ROW(Calc!E438)-ROW(Calc!$B$7))),"")</f>
        <v>Not Set</v>
      </c>
      <c r="G438" s="128" t="str">
        <f>IFERROR(IF(LEN(INDEX(Database!H$9:H$501,ROW(Calc!F438)-ROW(Calc!$B$7)))=0,$AD$3,INDEX(Database!H$9:H$501,ROW(Calc!F438)-ROW(Calc!$B$7))),"")</f>
        <v>Not Set</v>
      </c>
      <c r="H438" s="128" t="str">
        <f>IFERROR(IF(LEN(INDEX(Database!I$9:I$501,ROW(Calc!G438)-ROW(Calc!$B$7)))=0,$AD$3,INDEX(Database!I$9:I$501,ROW(Calc!G438)-ROW(Calc!$B$7))),"")</f>
        <v>Not Set</v>
      </c>
      <c r="I438" s="128" t="str">
        <f>IFERROR(IF(LEN(INDEX(Database!J$9:J$501,ROW(Calc!H438)-ROW(Calc!$B$7)))=0,$AD$3,INDEX(Database!J$9:J$501,ROW(Calc!H438)-ROW(Calc!$B$7))),"")</f>
        <v>Not Set</v>
      </c>
      <c r="J438" s="128" t="str">
        <f t="shared" si="59"/>
        <v>Not Set</v>
      </c>
      <c r="K438" s="124" t="str">
        <f>IFERROR(IF(LEN(INDEX(Database!E$9:E$501,ROW(Calc!I438)-ROW(Calc!$B$7)))=0,"",INDEX(Database!E$9:E$501,ROW(Calc!I438)-ROW(Calc!$B$7))),"")</f>
        <v/>
      </c>
      <c r="L438" s="129" t="str">
        <f>IFERROR(IF(LEN(INDEX(Database!K$9:K$501,ROW(Calc!K438)-ROW(Calc!$B$7)))=0,$AD$3,INDEX(Database!K$9:K$501,ROW(Calc!K438)-ROW(Calc!$B$7))),"")</f>
        <v>Not Set</v>
      </c>
      <c r="M438" s="130" t="str">
        <f>IFERROR(IF(LEN(INDEX(Database!L$9:L$501,ROW(Calc!L438)-ROW(Calc!$B$7)))=0,$AD$3,INDEX(Database!L$9:L$501,ROW(Calc!L438)-ROW(Calc!$B$7))),"")</f>
        <v>Not Set</v>
      </c>
      <c r="N438" s="131" t="str">
        <f>IFERROR(IF(LEN(INDEX(Database!M$9:M$501,ROW(Calc!M438)-ROW(Calc!$B$7)))=0,"",INDEX(Database!M$9:M$501,ROW(Calc!M438)-ROW(Calc!$B$7))),"")</f>
        <v/>
      </c>
      <c r="O438" s="132" t="str">
        <f t="shared" si="63"/>
        <v/>
      </c>
      <c r="P438" s="125" t="str">
        <f t="shared" si="60"/>
        <v>Not Set</v>
      </c>
      <c r="Q438" s="125" t="str">
        <f t="shared" si="61"/>
        <v>Not Set</v>
      </c>
      <c r="R438" s="125" t="str">
        <f>IFERROR(IF(G438=$AD$3,$AD$3,INDEX(Kanban_Helper!$C$317:$C$328,MATCH(MONTH(G438),Kanban_Helper!$B$317:$B$328,0))&amp;" - "&amp;YEAR(G438)),"$AD$3")</f>
        <v>Not Set</v>
      </c>
      <c r="S438" s="125" t="str">
        <f>IFERROR(IF(I438=$AD$3,$AD$3,INDEX(Kanban_Helper!$C$317:$C$328,MATCH(MONTH(I438),Kanban_Helper!$B$317:$B$328,0))&amp;" - "&amp;YEAR(I438)),$AD$3)</f>
        <v>Not Set</v>
      </c>
      <c r="T438" s="125" t="str">
        <f t="shared" ca="1" si="64"/>
        <v/>
      </c>
      <c r="U438" s="125" t="str">
        <f t="shared" ca="1" si="65"/>
        <v/>
      </c>
      <c r="V438" s="125" t="str">
        <f t="shared" si="62"/>
        <v>Not Set</v>
      </c>
      <c r="W438" s="126" t="str">
        <f t="shared" si="66"/>
        <v/>
      </c>
      <c r="X438" s="126" t="str">
        <f t="shared" si="67"/>
        <v/>
      </c>
      <c r="Y438" s="125" t="str">
        <f>IFERROR(IF(LEN(D438)=0,"",IF(SUBTOTAL(3,E438:E438)=0,MIN($Y$7:Y437)-1,SUBTOTAL(3,$E$8:E438))),"")</f>
        <v/>
      </c>
      <c r="Z438" s="17"/>
      <c r="AA438" s="10"/>
      <c r="AB438" s="10"/>
      <c r="AC438" s="10"/>
      <c r="AD438" s="10"/>
      <c r="AE438" s="10"/>
      <c r="AF438" s="10"/>
      <c r="AG438" s="10"/>
      <c r="AH438" s="10"/>
      <c r="AI438" s="10"/>
      <c r="AJ438" s="10"/>
      <c r="AK438" s="10"/>
      <c r="AL438" s="10"/>
      <c r="AM438" s="10"/>
      <c r="AN438" s="10"/>
    </row>
    <row r="439" spans="2:40" hidden="1" x14ac:dyDescent="0.35">
      <c r="B439" s="15"/>
      <c r="C439" s="127" t="str">
        <f>IFERROR(IF(LEN(INDEX(Database!C$9:C$501,ROW(Calc!A439)-ROW(Calc!$B$7)))=0,"",INDEX(Database!C$9:C$501,ROW(Calc!A439)-ROW(Calc!$B$7))),"")</f>
        <v/>
      </c>
      <c r="D439" s="70" t="str">
        <f>IFERROR(IF(LEN(INDEX(Database!D$9:D$501,ROW(Calc!B439)-ROW(Calc!$B$7)))=0,"",INDEX(Database!D$9:D$501,ROW(Calc!B439)-ROW(Calc!$B$7))),"")</f>
        <v/>
      </c>
      <c r="E439" s="124" t="str">
        <f>IFERROR(IF(LEN(INDEX(Database!G$9:G$501,ROW(Calc!D439)-ROW(Calc!$B$7)))=0,$AD$3,INDEX(Database!G$9:G$501,ROW(Calc!D439)-ROW(Calc!$B$7))),"")</f>
        <v>Not Set</v>
      </c>
      <c r="F439" s="124" t="str">
        <f>IFERROR(IF(LEN(INDEX(Database!F$9:F$501,ROW(Calc!E439)-ROW(Calc!$B$7)))=0,$AD$3,INDEX(Database!F$9:F$501,ROW(Calc!E439)-ROW(Calc!$B$7))),"")</f>
        <v>Not Set</v>
      </c>
      <c r="G439" s="128" t="str">
        <f>IFERROR(IF(LEN(INDEX(Database!H$9:H$501,ROW(Calc!F439)-ROW(Calc!$B$7)))=0,$AD$3,INDEX(Database!H$9:H$501,ROW(Calc!F439)-ROW(Calc!$B$7))),"")</f>
        <v>Not Set</v>
      </c>
      <c r="H439" s="128" t="str">
        <f>IFERROR(IF(LEN(INDEX(Database!I$9:I$501,ROW(Calc!G439)-ROW(Calc!$B$7)))=0,$AD$3,INDEX(Database!I$9:I$501,ROW(Calc!G439)-ROW(Calc!$B$7))),"")</f>
        <v>Not Set</v>
      </c>
      <c r="I439" s="128" t="str">
        <f>IFERROR(IF(LEN(INDEX(Database!J$9:J$501,ROW(Calc!H439)-ROW(Calc!$B$7)))=0,$AD$3,INDEX(Database!J$9:J$501,ROW(Calc!H439)-ROW(Calc!$B$7))),"")</f>
        <v>Not Set</v>
      </c>
      <c r="J439" s="128" t="str">
        <f t="shared" si="59"/>
        <v>Not Set</v>
      </c>
      <c r="K439" s="124" t="str">
        <f>IFERROR(IF(LEN(INDEX(Database!E$9:E$501,ROW(Calc!I439)-ROW(Calc!$B$7)))=0,"",INDEX(Database!E$9:E$501,ROW(Calc!I439)-ROW(Calc!$B$7))),"")</f>
        <v/>
      </c>
      <c r="L439" s="129" t="str">
        <f>IFERROR(IF(LEN(INDEX(Database!K$9:K$501,ROW(Calc!K439)-ROW(Calc!$B$7)))=0,$AD$3,INDEX(Database!K$9:K$501,ROW(Calc!K439)-ROW(Calc!$B$7))),"")</f>
        <v>Not Set</v>
      </c>
      <c r="M439" s="130" t="str">
        <f>IFERROR(IF(LEN(INDEX(Database!L$9:L$501,ROW(Calc!L439)-ROW(Calc!$B$7)))=0,$AD$3,INDEX(Database!L$9:L$501,ROW(Calc!L439)-ROW(Calc!$B$7))),"")</f>
        <v>Not Set</v>
      </c>
      <c r="N439" s="131" t="str">
        <f>IFERROR(IF(LEN(INDEX(Database!M$9:M$501,ROW(Calc!M439)-ROW(Calc!$B$7)))=0,"",INDEX(Database!M$9:M$501,ROW(Calc!M439)-ROW(Calc!$B$7))),"")</f>
        <v/>
      </c>
      <c r="O439" s="132" t="str">
        <f t="shared" si="63"/>
        <v/>
      </c>
      <c r="P439" s="125" t="str">
        <f t="shared" si="60"/>
        <v>Not Set</v>
      </c>
      <c r="Q439" s="125" t="str">
        <f t="shared" si="61"/>
        <v>Not Set</v>
      </c>
      <c r="R439" s="125" t="str">
        <f>IFERROR(IF(G439=$AD$3,$AD$3,INDEX(Kanban_Helper!$C$317:$C$328,MATCH(MONTH(G439),Kanban_Helper!$B$317:$B$328,0))&amp;" - "&amp;YEAR(G439)),"$AD$3")</f>
        <v>Not Set</v>
      </c>
      <c r="S439" s="125" t="str">
        <f>IFERROR(IF(I439=$AD$3,$AD$3,INDEX(Kanban_Helper!$C$317:$C$328,MATCH(MONTH(I439),Kanban_Helper!$B$317:$B$328,0))&amp;" - "&amp;YEAR(I439)),$AD$3)</f>
        <v>Not Set</v>
      </c>
      <c r="T439" s="125" t="str">
        <f t="shared" ca="1" si="64"/>
        <v/>
      </c>
      <c r="U439" s="125" t="str">
        <f t="shared" ca="1" si="65"/>
        <v/>
      </c>
      <c r="V439" s="125" t="str">
        <f t="shared" si="62"/>
        <v>Not Set</v>
      </c>
      <c r="W439" s="126" t="str">
        <f t="shared" si="66"/>
        <v/>
      </c>
      <c r="X439" s="126" t="str">
        <f t="shared" si="67"/>
        <v/>
      </c>
      <c r="Y439" s="125" t="str">
        <f>IFERROR(IF(LEN(D439)=0,"",IF(SUBTOTAL(3,E439:E439)=0,MIN($Y$7:Y438)-1,SUBTOTAL(3,$E$8:E439))),"")</f>
        <v/>
      </c>
      <c r="Z439" s="17"/>
      <c r="AA439" s="10"/>
      <c r="AB439" s="10"/>
      <c r="AC439" s="10"/>
      <c r="AD439" s="10"/>
      <c r="AE439" s="10"/>
      <c r="AF439" s="10"/>
      <c r="AG439" s="10"/>
      <c r="AH439" s="10"/>
      <c r="AI439" s="10"/>
      <c r="AJ439" s="10"/>
      <c r="AK439" s="10"/>
      <c r="AL439" s="10"/>
      <c r="AM439" s="10"/>
      <c r="AN439" s="10"/>
    </row>
    <row r="440" spans="2:40" hidden="1" x14ac:dyDescent="0.35">
      <c r="B440" s="15"/>
      <c r="C440" s="127" t="str">
        <f>IFERROR(IF(LEN(INDEX(Database!C$9:C$501,ROW(Calc!A440)-ROW(Calc!$B$7)))=0,"",INDEX(Database!C$9:C$501,ROW(Calc!A440)-ROW(Calc!$B$7))),"")</f>
        <v/>
      </c>
      <c r="D440" s="70" t="str">
        <f>IFERROR(IF(LEN(INDEX(Database!D$9:D$501,ROW(Calc!B440)-ROW(Calc!$B$7)))=0,"",INDEX(Database!D$9:D$501,ROW(Calc!B440)-ROW(Calc!$B$7))),"")</f>
        <v/>
      </c>
      <c r="E440" s="124" t="str">
        <f>IFERROR(IF(LEN(INDEX(Database!G$9:G$501,ROW(Calc!D440)-ROW(Calc!$B$7)))=0,$AD$3,INDEX(Database!G$9:G$501,ROW(Calc!D440)-ROW(Calc!$B$7))),"")</f>
        <v>Not Set</v>
      </c>
      <c r="F440" s="124" t="str">
        <f>IFERROR(IF(LEN(INDEX(Database!F$9:F$501,ROW(Calc!E440)-ROW(Calc!$B$7)))=0,$AD$3,INDEX(Database!F$9:F$501,ROW(Calc!E440)-ROW(Calc!$B$7))),"")</f>
        <v>Not Set</v>
      </c>
      <c r="G440" s="128" t="str">
        <f>IFERROR(IF(LEN(INDEX(Database!H$9:H$501,ROW(Calc!F440)-ROW(Calc!$B$7)))=0,$AD$3,INDEX(Database!H$9:H$501,ROW(Calc!F440)-ROW(Calc!$B$7))),"")</f>
        <v>Not Set</v>
      </c>
      <c r="H440" s="128" t="str">
        <f>IFERROR(IF(LEN(INDEX(Database!I$9:I$501,ROW(Calc!G440)-ROW(Calc!$B$7)))=0,$AD$3,INDEX(Database!I$9:I$501,ROW(Calc!G440)-ROW(Calc!$B$7))),"")</f>
        <v>Not Set</v>
      </c>
      <c r="I440" s="128" t="str">
        <f>IFERROR(IF(LEN(INDEX(Database!J$9:J$501,ROW(Calc!H440)-ROW(Calc!$B$7)))=0,$AD$3,INDEX(Database!J$9:J$501,ROW(Calc!H440)-ROW(Calc!$B$7))),"")</f>
        <v>Not Set</v>
      </c>
      <c r="J440" s="128" t="str">
        <f t="shared" si="59"/>
        <v>Not Set</v>
      </c>
      <c r="K440" s="124" t="str">
        <f>IFERROR(IF(LEN(INDEX(Database!E$9:E$501,ROW(Calc!I440)-ROW(Calc!$B$7)))=0,"",INDEX(Database!E$9:E$501,ROW(Calc!I440)-ROW(Calc!$B$7))),"")</f>
        <v/>
      </c>
      <c r="L440" s="129" t="str">
        <f>IFERROR(IF(LEN(INDEX(Database!K$9:K$501,ROW(Calc!K440)-ROW(Calc!$B$7)))=0,$AD$3,INDEX(Database!K$9:K$501,ROW(Calc!K440)-ROW(Calc!$B$7))),"")</f>
        <v>Not Set</v>
      </c>
      <c r="M440" s="130" t="str">
        <f>IFERROR(IF(LEN(INDEX(Database!L$9:L$501,ROW(Calc!L440)-ROW(Calc!$B$7)))=0,$AD$3,INDEX(Database!L$9:L$501,ROW(Calc!L440)-ROW(Calc!$B$7))),"")</f>
        <v>Not Set</v>
      </c>
      <c r="N440" s="131" t="str">
        <f>IFERROR(IF(LEN(INDEX(Database!M$9:M$501,ROW(Calc!M440)-ROW(Calc!$B$7)))=0,"",INDEX(Database!M$9:M$501,ROW(Calc!M440)-ROW(Calc!$B$7))),"")</f>
        <v/>
      </c>
      <c r="O440" s="132" t="str">
        <f t="shared" si="63"/>
        <v/>
      </c>
      <c r="P440" s="125" t="str">
        <f t="shared" si="60"/>
        <v>Not Set</v>
      </c>
      <c r="Q440" s="125" t="str">
        <f t="shared" si="61"/>
        <v>Not Set</v>
      </c>
      <c r="R440" s="125" t="str">
        <f>IFERROR(IF(G440=$AD$3,$AD$3,INDEX(Kanban_Helper!$C$317:$C$328,MATCH(MONTH(G440),Kanban_Helper!$B$317:$B$328,0))&amp;" - "&amp;YEAR(G440)),"$AD$3")</f>
        <v>Not Set</v>
      </c>
      <c r="S440" s="125" t="str">
        <f>IFERROR(IF(I440=$AD$3,$AD$3,INDEX(Kanban_Helper!$C$317:$C$328,MATCH(MONTH(I440),Kanban_Helper!$B$317:$B$328,0))&amp;" - "&amp;YEAR(I440)),$AD$3)</f>
        <v>Not Set</v>
      </c>
      <c r="T440" s="125" t="str">
        <f t="shared" ca="1" si="64"/>
        <v/>
      </c>
      <c r="U440" s="125" t="str">
        <f t="shared" ca="1" si="65"/>
        <v/>
      </c>
      <c r="V440" s="125" t="str">
        <f t="shared" si="62"/>
        <v>Not Set</v>
      </c>
      <c r="W440" s="126" t="str">
        <f t="shared" si="66"/>
        <v/>
      </c>
      <c r="X440" s="126" t="str">
        <f t="shared" si="67"/>
        <v/>
      </c>
      <c r="Y440" s="125" t="str">
        <f>IFERROR(IF(LEN(D440)=0,"",IF(SUBTOTAL(3,E440:E440)=0,MIN($Y$7:Y439)-1,SUBTOTAL(3,$E$8:E440))),"")</f>
        <v/>
      </c>
      <c r="Z440" s="17"/>
      <c r="AA440" s="10"/>
      <c r="AB440" s="10"/>
      <c r="AC440" s="10"/>
      <c r="AD440" s="10"/>
      <c r="AE440" s="10"/>
      <c r="AF440" s="10"/>
      <c r="AG440" s="10"/>
      <c r="AH440" s="10"/>
      <c r="AI440" s="10"/>
      <c r="AJ440" s="10"/>
      <c r="AK440" s="10"/>
      <c r="AL440" s="10"/>
      <c r="AM440" s="10"/>
      <c r="AN440" s="10"/>
    </row>
    <row r="441" spans="2:40" hidden="1" x14ac:dyDescent="0.35">
      <c r="B441" s="15"/>
      <c r="C441" s="127" t="str">
        <f>IFERROR(IF(LEN(INDEX(Database!C$9:C$501,ROW(Calc!A441)-ROW(Calc!$B$7)))=0,"",INDEX(Database!C$9:C$501,ROW(Calc!A441)-ROW(Calc!$B$7))),"")</f>
        <v/>
      </c>
      <c r="D441" s="70" t="str">
        <f>IFERROR(IF(LEN(INDEX(Database!D$9:D$501,ROW(Calc!B441)-ROW(Calc!$B$7)))=0,"",INDEX(Database!D$9:D$501,ROW(Calc!B441)-ROW(Calc!$B$7))),"")</f>
        <v/>
      </c>
      <c r="E441" s="124" t="str">
        <f>IFERROR(IF(LEN(INDEX(Database!G$9:G$501,ROW(Calc!D441)-ROW(Calc!$B$7)))=0,$AD$3,INDEX(Database!G$9:G$501,ROW(Calc!D441)-ROW(Calc!$B$7))),"")</f>
        <v>Not Set</v>
      </c>
      <c r="F441" s="124" t="str">
        <f>IFERROR(IF(LEN(INDEX(Database!F$9:F$501,ROW(Calc!E441)-ROW(Calc!$B$7)))=0,$AD$3,INDEX(Database!F$9:F$501,ROW(Calc!E441)-ROW(Calc!$B$7))),"")</f>
        <v>Not Set</v>
      </c>
      <c r="G441" s="128" t="str">
        <f>IFERROR(IF(LEN(INDEX(Database!H$9:H$501,ROW(Calc!F441)-ROW(Calc!$B$7)))=0,$AD$3,INDEX(Database!H$9:H$501,ROW(Calc!F441)-ROW(Calc!$B$7))),"")</f>
        <v>Not Set</v>
      </c>
      <c r="H441" s="128" t="str">
        <f>IFERROR(IF(LEN(INDEX(Database!I$9:I$501,ROW(Calc!G441)-ROW(Calc!$B$7)))=0,$AD$3,INDEX(Database!I$9:I$501,ROW(Calc!G441)-ROW(Calc!$B$7))),"")</f>
        <v>Not Set</v>
      </c>
      <c r="I441" s="128" t="str">
        <f>IFERROR(IF(LEN(INDEX(Database!J$9:J$501,ROW(Calc!H441)-ROW(Calc!$B$7)))=0,$AD$3,INDEX(Database!J$9:J$501,ROW(Calc!H441)-ROW(Calc!$B$7))),"")</f>
        <v>Not Set</v>
      </c>
      <c r="J441" s="128" t="str">
        <f t="shared" si="59"/>
        <v>Not Set</v>
      </c>
      <c r="K441" s="124" t="str">
        <f>IFERROR(IF(LEN(INDEX(Database!E$9:E$501,ROW(Calc!I441)-ROW(Calc!$B$7)))=0,"",INDEX(Database!E$9:E$501,ROW(Calc!I441)-ROW(Calc!$B$7))),"")</f>
        <v/>
      </c>
      <c r="L441" s="129" t="str">
        <f>IFERROR(IF(LEN(INDEX(Database!K$9:K$501,ROW(Calc!K441)-ROW(Calc!$B$7)))=0,$AD$3,INDEX(Database!K$9:K$501,ROW(Calc!K441)-ROW(Calc!$B$7))),"")</f>
        <v>Not Set</v>
      </c>
      <c r="M441" s="130" t="str">
        <f>IFERROR(IF(LEN(INDEX(Database!L$9:L$501,ROW(Calc!L441)-ROW(Calc!$B$7)))=0,$AD$3,INDEX(Database!L$9:L$501,ROW(Calc!L441)-ROW(Calc!$B$7))),"")</f>
        <v>Not Set</v>
      </c>
      <c r="N441" s="131" t="str">
        <f>IFERROR(IF(LEN(INDEX(Database!M$9:M$501,ROW(Calc!M441)-ROW(Calc!$B$7)))=0,"",INDEX(Database!M$9:M$501,ROW(Calc!M441)-ROW(Calc!$B$7))),"")</f>
        <v/>
      </c>
      <c r="O441" s="132" t="str">
        <f t="shared" si="63"/>
        <v/>
      </c>
      <c r="P441" s="125" t="str">
        <f t="shared" si="60"/>
        <v>Not Set</v>
      </c>
      <c r="Q441" s="125" t="str">
        <f t="shared" si="61"/>
        <v>Not Set</v>
      </c>
      <c r="R441" s="125" t="str">
        <f>IFERROR(IF(G441=$AD$3,$AD$3,INDEX(Kanban_Helper!$C$317:$C$328,MATCH(MONTH(G441),Kanban_Helper!$B$317:$B$328,0))&amp;" - "&amp;YEAR(G441)),"$AD$3")</f>
        <v>Not Set</v>
      </c>
      <c r="S441" s="125" t="str">
        <f>IFERROR(IF(I441=$AD$3,$AD$3,INDEX(Kanban_Helper!$C$317:$C$328,MATCH(MONTH(I441),Kanban_Helper!$B$317:$B$328,0))&amp;" - "&amp;YEAR(I441)),$AD$3)</f>
        <v>Not Set</v>
      </c>
      <c r="T441" s="125" t="str">
        <f t="shared" ca="1" si="64"/>
        <v/>
      </c>
      <c r="U441" s="125" t="str">
        <f t="shared" ca="1" si="65"/>
        <v/>
      </c>
      <c r="V441" s="125" t="str">
        <f t="shared" si="62"/>
        <v>Not Set</v>
      </c>
      <c r="W441" s="126" t="str">
        <f t="shared" si="66"/>
        <v/>
      </c>
      <c r="X441" s="126" t="str">
        <f t="shared" si="67"/>
        <v/>
      </c>
      <c r="Y441" s="125" t="str">
        <f>IFERROR(IF(LEN(D441)=0,"",IF(SUBTOTAL(3,E441:E441)=0,MIN($Y$7:Y440)-1,SUBTOTAL(3,$E$8:E441))),"")</f>
        <v/>
      </c>
      <c r="Z441" s="17"/>
      <c r="AA441" s="10"/>
      <c r="AB441" s="10"/>
      <c r="AC441" s="10"/>
      <c r="AD441" s="10"/>
      <c r="AE441" s="10"/>
      <c r="AF441" s="10"/>
      <c r="AG441" s="10"/>
      <c r="AH441" s="10"/>
      <c r="AI441" s="10"/>
      <c r="AJ441" s="10"/>
      <c r="AK441" s="10"/>
      <c r="AL441" s="10"/>
      <c r="AM441" s="10"/>
      <c r="AN441" s="10"/>
    </row>
    <row r="442" spans="2:40" hidden="1" x14ac:dyDescent="0.35">
      <c r="B442" s="15"/>
      <c r="C442" s="127" t="str">
        <f>IFERROR(IF(LEN(INDEX(Database!C$9:C$501,ROW(Calc!A442)-ROW(Calc!$B$7)))=0,"",INDEX(Database!C$9:C$501,ROW(Calc!A442)-ROW(Calc!$B$7))),"")</f>
        <v/>
      </c>
      <c r="D442" s="70" t="str">
        <f>IFERROR(IF(LEN(INDEX(Database!D$9:D$501,ROW(Calc!B442)-ROW(Calc!$B$7)))=0,"",INDEX(Database!D$9:D$501,ROW(Calc!B442)-ROW(Calc!$B$7))),"")</f>
        <v/>
      </c>
      <c r="E442" s="124" t="str">
        <f>IFERROR(IF(LEN(INDEX(Database!G$9:G$501,ROW(Calc!D442)-ROW(Calc!$B$7)))=0,$AD$3,INDEX(Database!G$9:G$501,ROW(Calc!D442)-ROW(Calc!$B$7))),"")</f>
        <v>Not Set</v>
      </c>
      <c r="F442" s="124" t="str">
        <f>IFERROR(IF(LEN(INDEX(Database!F$9:F$501,ROW(Calc!E442)-ROW(Calc!$B$7)))=0,$AD$3,INDEX(Database!F$9:F$501,ROW(Calc!E442)-ROW(Calc!$B$7))),"")</f>
        <v>Not Set</v>
      </c>
      <c r="G442" s="128" t="str">
        <f>IFERROR(IF(LEN(INDEX(Database!H$9:H$501,ROW(Calc!F442)-ROW(Calc!$B$7)))=0,$AD$3,INDEX(Database!H$9:H$501,ROW(Calc!F442)-ROW(Calc!$B$7))),"")</f>
        <v>Not Set</v>
      </c>
      <c r="H442" s="128" t="str">
        <f>IFERROR(IF(LEN(INDEX(Database!I$9:I$501,ROW(Calc!G442)-ROW(Calc!$B$7)))=0,$AD$3,INDEX(Database!I$9:I$501,ROW(Calc!G442)-ROW(Calc!$B$7))),"")</f>
        <v>Not Set</v>
      </c>
      <c r="I442" s="128" t="str">
        <f>IFERROR(IF(LEN(INDEX(Database!J$9:J$501,ROW(Calc!H442)-ROW(Calc!$B$7)))=0,$AD$3,INDEX(Database!J$9:J$501,ROW(Calc!H442)-ROW(Calc!$B$7))),"")</f>
        <v>Not Set</v>
      </c>
      <c r="J442" s="128" t="str">
        <f t="shared" si="59"/>
        <v>Not Set</v>
      </c>
      <c r="K442" s="124" t="str">
        <f>IFERROR(IF(LEN(INDEX(Database!E$9:E$501,ROW(Calc!I442)-ROW(Calc!$B$7)))=0,"",INDEX(Database!E$9:E$501,ROW(Calc!I442)-ROW(Calc!$B$7))),"")</f>
        <v/>
      </c>
      <c r="L442" s="129" t="str">
        <f>IFERROR(IF(LEN(INDEX(Database!K$9:K$501,ROW(Calc!K442)-ROW(Calc!$B$7)))=0,$AD$3,INDEX(Database!K$9:K$501,ROW(Calc!K442)-ROW(Calc!$B$7))),"")</f>
        <v>Not Set</v>
      </c>
      <c r="M442" s="130" t="str">
        <f>IFERROR(IF(LEN(INDEX(Database!L$9:L$501,ROW(Calc!L442)-ROW(Calc!$B$7)))=0,$AD$3,INDEX(Database!L$9:L$501,ROW(Calc!L442)-ROW(Calc!$B$7))),"")</f>
        <v>Not Set</v>
      </c>
      <c r="N442" s="131" t="str">
        <f>IFERROR(IF(LEN(INDEX(Database!M$9:M$501,ROW(Calc!M442)-ROW(Calc!$B$7)))=0,"",INDEX(Database!M$9:M$501,ROW(Calc!M442)-ROW(Calc!$B$7))),"")</f>
        <v/>
      </c>
      <c r="O442" s="132" t="str">
        <f t="shared" si="63"/>
        <v/>
      </c>
      <c r="P442" s="125" t="str">
        <f t="shared" si="60"/>
        <v>Not Set</v>
      </c>
      <c r="Q442" s="125" t="str">
        <f t="shared" si="61"/>
        <v>Not Set</v>
      </c>
      <c r="R442" s="125" t="str">
        <f>IFERROR(IF(G442=$AD$3,$AD$3,INDEX(Kanban_Helper!$C$317:$C$328,MATCH(MONTH(G442),Kanban_Helper!$B$317:$B$328,0))&amp;" - "&amp;YEAR(G442)),"$AD$3")</f>
        <v>Not Set</v>
      </c>
      <c r="S442" s="125" t="str">
        <f>IFERROR(IF(I442=$AD$3,$AD$3,INDEX(Kanban_Helper!$C$317:$C$328,MATCH(MONTH(I442),Kanban_Helper!$B$317:$B$328,0))&amp;" - "&amp;YEAR(I442)),$AD$3)</f>
        <v>Not Set</v>
      </c>
      <c r="T442" s="125" t="str">
        <f t="shared" ca="1" si="64"/>
        <v/>
      </c>
      <c r="U442" s="125" t="str">
        <f t="shared" ca="1" si="65"/>
        <v/>
      </c>
      <c r="V442" s="125" t="str">
        <f t="shared" si="62"/>
        <v>Not Set</v>
      </c>
      <c r="W442" s="126" t="str">
        <f t="shared" si="66"/>
        <v/>
      </c>
      <c r="X442" s="126" t="str">
        <f t="shared" si="67"/>
        <v/>
      </c>
      <c r="Y442" s="125" t="str">
        <f>IFERROR(IF(LEN(D442)=0,"",IF(SUBTOTAL(3,E442:E442)=0,MIN($Y$7:Y441)-1,SUBTOTAL(3,$E$8:E442))),"")</f>
        <v/>
      </c>
      <c r="Z442" s="17"/>
      <c r="AA442" s="10"/>
      <c r="AB442" s="10"/>
      <c r="AC442" s="10"/>
      <c r="AD442" s="10"/>
      <c r="AE442" s="10"/>
      <c r="AF442" s="10"/>
      <c r="AG442" s="10"/>
      <c r="AH442" s="10"/>
      <c r="AI442" s="10"/>
      <c r="AJ442" s="10"/>
      <c r="AK442" s="10"/>
      <c r="AL442" s="10"/>
      <c r="AM442" s="10"/>
      <c r="AN442" s="10"/>
    </row>
    <row r="443" spans="2:40" hidden="1" x14ac:dyDescent="0.35">
      <c r="B443" s="15"/>
      <c r="C443" s="127" t="str">
        <f>IFERROR(IF(LEN(INDEX(Database!C$9:C$501,ROW(Calc!A443)-ROW(Calc!$B$7)))=0,"",INDEX(Database!C$9:C$501,ROW(Calc!A443)-ROW(Calc!$B$7))),"")</f>
        <v/>
      </c>
      <c r="D443" s="70" t="str">
        <f>IFERROR(IF(LEN(INDEX(Database!D$9:D$501,ROW(Calc!B443)-ROW(Calc!$B$7)))=0,"",INDEX(Database!D$9:D$501,ROW(Calc!B443)-ROW(Calc!$B$7))),"")</f>
        <v/>
      </c>
      <c r="E443" s="124" t="str">
        <f>IFERROR(IF(LEN(INDEX(Database!G$9:G$501,ROW(Calc!D443)-ROW(Calc!$B$7)))=0,$AD$3,INDEX(Database!G$9:G$501,ROW(Calc!D443)-ROW(Calc!$B$7))),"")</f>
        <v>Not Set</v>
      </c>
      <c r="F443" s="124" t="str">
        <f>IFERROR(IF(LEN(INDEX(Database!F$9:F$501,ROW(Calc!E443)-ROW(Calc!$B$7)))=0,$AD$3,INDEX(Database!F$9:F$501,ROW(Calc!E443)-ROW(Calc!$B$7))),"")</f>
        <v>Not Set</v>
      </c>
      <c r="G443" s="128" t="str">
        <f>IFERROR(IF(LEN(INDEX(Database!H$9:H$501,ROW(Calc!F443)-ROW(Calc!$B$7)))=0,$AD$3,INDEX(Database!H$9:H$501,ROW(Calc!F443)-ROW(Calc!$B$7))),"")</f>
        <v>Not Set</v>
      </c>
      <c r="H443" s="128" t="str">
        <f>IFERROR(IF(LEN(INDEX(Database!I$9:I$501,ROW(Calc!G443)-ROW(Calc!$B$7)))=0,$AD$3,INDEX(Database!I$9:I$501,ROW(Calc!G443)-ROW(Calc!$B$7))),"")</f>
        <v>Not Set</v>
      </c>
      <c r="I443" s="128" t="str">
        <f>IFERROR(IF(LEN(INDEX(Database!J$9:J$501,ROW(Calc!H443)-ROW(Calc!$B$7)))=0,$AD$3,INDEX(Database!J$9:J$501,ROW(Calc!H443)-ROW(Calc!$B$7))),"")</f>
        <v>Not Set</v>
      </c>
      <c r="J443" s="128" t="str">
        <f t="shared" si="59"/>
        <v>Not Set</v>
      </c>
      <c r="K443" s="124" t="str">
        <f>IFERROR(IF(LEN(INDEX(Database!E$9:E$501,ROW(Calc!I443)-ROW(Calc!$B$7)))=0,"",INDEX(Database!E$9:E$501,ROW(Calc!I443)-ROW(Calc!$B$7))),"")</f>
        <v/>
      </c>
      <c r="L443" s="129" t="str">
        <f>IFERROR(IF(LEN(INDEX(Database!K$9:K$501,ROW(Calc!K443)-ROW(Calc!$B$7)))=0,$AD$3,INDEX(Database!K$9:K$501,ROW(Calc!K443)-ROW(Calc!$B$7))),"")</f>
        <v>Not Set</v>
      </c>
      <c r="M443" s="130" t="str">
        <f>IFERROR(IF(LEN(INDEX(Database!L$9:L$501,ROW(Calc!L443)-ROW(Calc!$B$7)))=0,$AD$3,INDEX(Database!L$9:L$501,ROW(Calc!L443)-ROW(Calc!$B$7))),"")</f>
        <v>Not Set</v>
      </c>
      <c r="N443" s="131" t="str">
        <f>IFERROR(IF(LEN(INDEX(Database!M$9:M$501,ROW(Calc!M443)-ROW(Calc!$B$7)))=0,"",INDEX(Database!M$9:M$501,ROW(Calc!M443)-ROW(Calc!$B$7))),"")</f>
        <v/>
      </c>
      <c r="O443" s="132" t="str">
        <f t="shared" si="63"/>
        <v/>
      </c>
      <c r="P443" s="125" t="str">
        <f t="shared" si="60"/>
        <v>Not Set</v>
      </c>
      <c r="Q443" s="125" t="str">
        <f t="shared" si="61"/>
        <v>Not Set</v>
      </c>
      <c r="R443" s="125" t="str">
        <f>IFERROR(IF(G443=$AD$3,$AD$3,INDEX(Kanban_Helper!$C$317:$C$328,MATCH(MONTH(G443),Kanban_Helper!$B$317:$B$328,0))&amp;" - "&amp;YEAR(G443)),"$AD$3")</f>
        <v>Not Set</v>
      </c>
      <c r="S443" s="125" t="str">
        <f>IFERROR(IF(I443=$AD$3,$AD$3,INDEX(Kanban_Helper!$C$317:$C$328,MATCH(MONTH(I443),Kanban_Helper!$B$317:$B$328,0))&amp;" - "&amp;YEAR(I443)),$AD$3)</f>
        <v>Not Set</v>
      </c>
      <c r="T443" s="125" t="str">
        <f t="shared" ca="1" si="64"/>
        <v/>
      </c>
      <c r="U443" s="125" t="str">
        <f t="shared" ca="1" si="65"/>
        <v/>
      </c>
      <c r="V443" s="125" t="str">
        <f t="shared" si="62"/>
        <v>Not Set</v>
      </c>
      <c r="W443" s="126" t="str">
        <f t="shared" si="66"/>
        <v/>
      </c>
      <c r="X443" s="126" t="str">
        <f t="shared" si="67"/>
        <v/>
      </c>
      <c r="Y443" s="125" t="str">
        <f>IFERROR(IF(LEN(D443)=0,"",IF(SUBTOTAL(3,E443:E443)=0,MIN($Y$7:Y442)-1,SUBTOTAL(3,$E$8:E443))),"")</f>
        <v/>
      </c>
      <c r="Z443" s="17"/>
      <c r="AA443" s="10"/>
      <c r="AB443" s="10"/>
      <c r="AC443" s="10"/>
      <c r="AD443" s="10"/>
      <c r="AE443" s="10"/>
      <c r="AF443" s="10"/>
      <c r="AG443" s="10"/>
      <c r="AH443" s="10"/>
      <c r="AI443" s="10"/>
      <c r="AJ443" s="10"/>
      <c r="AK443" s="10"/>
      <c r="AL443" s="10"/>
      <c r="AM443" s="10"/>
      <c r="AN443" s="10"/>
    </row>
    <row r="444" spans="2:40" hidden="1" x14ac:dyDescent="0.35">
      <c r="B444" s="15"/>
      <c r="C444" s="127" t="str">
        <f>IFERROR(IF(LEN(INDEX(Database!C$9:C$501,ROW(Calc!A444)-ROW(Calc!$B$7)))=0,"",INDEX(Database!C$9:C$501,ROW(Calc!A444)-ROW(Calc!$B$7))),"")</f>
        <v/>
      </c>
      <c r="D444" s="70" t="str">
        <f>IFERROR(IF(LEN(INDEX(Database!D$9:D$501,ROW(Calc!B444)-ROW(Calc!$B$7)))=0,"",INDEX(Database!D$9:D$501,ROW(Calc!B444)-ROW(Calc!$B$7))),"")</f>
        <v/>
      </c>
      <c r="E444" s="124" t="str">
        <f>IFERROR(IF(LEN(INDEX(Database!G$9:G$501,ROW(Calc!D444)-ROW(Calc!$B$7)))=0,$AD$3,INDEX(Database!G$9:G$501,ROW(Calc!D444)-ROW(Calc!$B$7))),"")</f>
        <v>Not Set</v>
      </c>
      <c r="F444" s="124" t="str">
        <f>IFERROR(IF(LEN(INDEX(Database!F$9:F$501,ROW(Calc!E444)-ROW(Calc!$B$7)))=0,$AD$3,INDEX(Database!F$9:F$501,ROW(Calc!E444)-ROW(Calc!$B$7))),"")</f>
        <v>Not Set</v>
      </c>
      <c r="G444" s="128" t="str">
        <f>IFERROR(IF(LEN(INDEX(Database!H$9:H$501,ROW(Calc!F444)-ROW(Calc!$B$7)))=0,$AD$3,INDEX(Database!H$9:H$501,ROW(Calc!F444)-ROW(Calc!$B$7))),"")</f>
        <v>Not Set</v>
      </c>
      <c r="H444" s="128" t="str">
        <f>IFERROR(IF(LEN(INDEX(Database!I$9:I$501,ROW(Calc!G444)-ROW(Calc!$B$7)))=0,$AD$3,INDEX(Database!I$9:I$501,ROW(Calc!G444)-ROW(Calc!$B$7))),"")</f>
        <v>Not Set</v>
      </c>
      <c r="I444" s="128" t="str">
        <f>IFERROR(IF(LEN(INDEX(Database!J$9:J$501,ROW(Calc!H444)-ROW(Calc!$B$7)))=0,$AD$3,INDEX(Database!J$9:J$501,ROW(Calc!H444)-ROW(Calc!$B$7))),"")</f>
        <v>Not Set</v>
      </c>
      <c r="J444" s="128" t="str">
        <f t="shared" si="59"/>
        <v>Not Set</v>
      </c>
      <c r="K444" s="124" t="str">
        <f>IFERROR(IF(LEN(INDEX(Database!E$9:E$501,ROW(Calc!I444)-ROW(Calc!$B$7)))=0,"",INDEX(Database!E$9:E$501,ROW(Calc!I444)-ROW(Calc!$B$7))),"")</f>
        <v/>
      </c>
      <c r="L444" s="129" t="str">
        <f>IFERROR(IF(LEN(INDEX(Database!K$9:K$501,ROW(Calc!K444)-ROW(Calc!$B$7)))=0,$AD$3,INDEX(Database!K$9:K$501,ROW(Calc!K444)-ROW(Calc!$B$7))),"")</f>
        <v>Not Set</v>
      </c>
      <c r="M444" s="130" t="str">
        <f>IFERROR(IF(LEN(INDEX(Database!L$9:L$501,ROW(Calc!L444)-ROW(Calc!$B$7)))=0,$AD$3,INDEX(Database!L$9:L$501,ROW(Calc!L444)-ROW(Calc!$B$7))),"")</f>
        <v>Not Set</v>
      </c>
      <c r="N444" s="131" t="str">
        <f>IFERROR(IF(LEN(INDEX(Database!M$9:M$501,ROW(Calc!M444)-ROW(Calc!$B$7)))=0,"",INDEX(Database!M$9:M$501,ROW(Calc!M444)-ROW(Calc!$B$7))),"")</f>
        <v/>
      </c>
      <c r="O444" s="132" t="str">
        <f t="shared" si="63"/>
        <v/>
      </c>
      <c r="P444" s="125" t="str">
        <f t="shared" si="60"/>
        <v>Not Set</v>
      </c>
      <c r="Q444" s="125" t="str">
        <f t="shared" si="61"/>
        <v>Not Set</v>
      </c>
      <c r="R444" s="125" t="str">
        <f>IFERROR(IF(G444=$AD$3,$AD$3,INDEX(Kanban_Helper!$C$317:$C$328,MATCH(MONTH(G444),Kanban_Helper!$B$317:$B$328,0))&amp;" - "&amp;YEAR(G444)),"$AD$3")</f>
        <v>Not Set</v>
      </c>
      <c r="S444" s="125" t="str">
        <f>IFERROR(IF(I444=$AD$3,$AD$3,INDEX(Kanban_Helper!$C$317:$C$328,MATCH(MONTH(I444),Kanban_Helper!$B$317:$B$328,0))&amp;" - "&amp;YEAR(I444)),$AD$3)</f>
        <v>Not Set</v>
      </c>
      <c r="T444" s="125" t="str">
        <f t="shared" ca="1" si="64"/>
        <v/>
      </c>
      <c r="U444" s="125" t="str">
        <f t="shared" ca="1" si="65"/>
        <v/>
      </c>
      <c r="V444" s="125" t="str">
        <f t="shared" si="62"/>
        <v>Not Set</v>
      </c>
      <c r="W444" s="126" t="str">
        <f t="shared" si="66"/>
        <v/>
      </c>
      <c r="X444" s="126" t="str">
        <f t="shared" si="67"/>
        <v/>
      </c>
      <c r="Y444" s="125" t="str">
        <f>IFERROR(IF(LEN(D444)=0,"",IF(SUBTOTAL(3,E444:E444)=0,MIN($Y$7:Y443)-1,SUBTOTAL(3,$E$8:E444))),"")</f>
        <v/>
      </c>
      <c r="Z444" s="17"/>
      <c r="AA444" s="10"/>
      <c r="AB444" s="10"/>
      <c r="AC444" s="10"/>
      <c r="AD444" s="10"/>
      <c r="AE444" s="10"/>
      <c r="AF444" s="10"/>
      <c r="AG444" s="10"/>
      <c r="AH444" s="10"/>
      <c r="AI444" s="10"/>
      <c r="AJ444" s="10"/>
      <c r="AK444" s="10"/>
      <c r="AL444" s="10"/>
      <c r="AM444" s="10"/>
      <c r="AN444" s="10"/>
    </row>
    <row r="445" spans="2:40" hidden="1" x14ac:dyDescent="0.35">
      <c r="B445" s="15"/>
      <c r="C445" s="127" t="str">
        <f>IFERROR(IF(LEN(INDEX(Database!C$9:C$501,ROW(Calc!A445)-ROW(Calc!$B$7)))=0,"",INDEX(Database!C$9:C$501,ROW(Calc!A445)-ROW(Calc!$B$7))),"")</f>
        <v/>
      </c>
      <c r="D445" s="70" t="str">
        <f>IFERROR(IF(LEN(INDEX(Database!D$9:D$501,ROW(Calc!B445)-ROW(Calc!$B$7)))=0,"",INDEX(Database!D$9:D$501,ROW(Calc!B445)-ROW(Calc!$B$7))),"")</f>
        <v/>
      </c>
      <c r="E445" s="124" t="str">
        <f>IFERROR(IF(LEN(INDEX(Database!G$9:G$501,ROW(Calc!D445)-ROW(Calc!$B$7)))=0,$AD$3,INDEX(Database!G$9:G$501,ROW(Calc!D445)-ROW(Calc!$B$7))),"")</f>
        <v>Not Set</v>
      </c>
      <c r="F445" s="124" t="str">
        <f>IFERROR(IF(LEN(INDEX(Database!F$9:F$501,ROW(Calc!E445)-ROW(Calc!$B$7)))=0,$AD$3,INDEX(Database!F$9:F$501,ROW(Calc!E445)-ROW(Calc!$B$7))),"")</f>
        <v>Not Set</v>
      </c>
      <c r="G445" s="128" t="str">
        <f>IFERROR(IF(LEN(INDEX(Database!H$9:H$501,ROW(Calc!F445)-ROW(Calc!$B$7)))=0,$AD$3,INDEX(Database!H$9:H$501,ROW(Calc!F445)-ROW(Calc!$B$7))),"")</f>
        <v>Not Set</v>
      </c>
      <c r="H445" s="128" t="str">
        <f>IFERROR(IF(LEN(INDEX(Database!I$9:I$501,ROW(Calc!G445)-ROW(Calc!$B$7)))=0,$AD$3,INDEX(Database!I$9:I$501,ROW(Calc!G445)-ROW(Calc!$B$7))),"")</f>
        <v>Not Set</v>
      </c>
      <c r="I445" s="128" t="str">
        <f>IFERROR(IF(LEN(INDEX(Database!J$9:J$501,ROW(Calc!H445)-ROW(Calc!$B$7)))=0,$AD$3,INDEX(Database!J$9:J$501,ROW(Calc!H445)-ROW(Calc!$B$7))),"")</f>
        <v>Not Set</v>
      </c>
      <c r="J445" s="128" t="str">
        <f t="shared" si="59"/>
        <v>Not Set</v>
      </c>
      <c r="K445" s="124" t="str">
        <f>IFERROR(IF(LEN(INDEX(Database!E$9:E$501,ROW(Calc!I445)-ROW(Calc!$B$7)))=0,"",INDEX(Database!E$9:E$501,ROW(Calc!I445)-ROW(Calc!$B$7))),"")</f>
        <v/>
      </c>
      <c r="L445" s="129" t="str">
        <f>IFERROR(IF(LEN(INDEX(Database!K$9:K$501,ROW(Calc!K445)-ROW(Calc!$B$7)))=0,$AD$3,INDEX(Database!K$9:K$501,ROW(Calc!K445)-ROW(Calc!$B$7))),"")</f>
        <v>Not Set</v>
      </c>
      <c r="M445" s="130" t="str">
        <f>IFERROR(IF(LEN(INDEX(Database!L$9:L$501,ROW(Calc!L445)-ROW(Calc!$B$7)))=0,$AD$3,INDEX(Database!L$9:L$501,ROW(Calc!L445)-ROW(Calc!$B$7))),"")</f>
        <v>Not Set</v>
      </c>
      <c r="N445" s="131" t="str">
        <f>IFERROR(IF(LEN(INDEX(Database!M$9:M$501,ROW(Calc!M445)-ROW(Calc!$B$7)))=0,"",INDEX(Database!M$9:M$501,ROW(Calc!M445)-ROW(Calc!$B$7))),"")</f>
        <v/>
      </c>
      <c r="O445" s="132" t="str">
        <f t="shared" si="63"/>
        <v/>
      </c>
      <c r="P445" s="125" t="str">
        <f t="shared" si="60"/>
        <v>Not Set</v>
      </c>
      <c r="Q445" s="125" t="str">
        <f t="shared" si="61"/>
        <v>Not Set</v>
      </c>
      <c r="R445" s="125" t="str">
        <f>IFERROR(IF(G445=$AD$3,$AD$3,INDEX(Kanban_Helper!$C$317:$C$328,MATCH(MONTH(G445),Kanban_Helper!$B$317:$B$328,0))&amp;" - "&amp;YEAR(G445)),"$AD$3")</f>
        <v>Not Set</v>
      </c>
      <c r="S445" s="125" t="str">
        <f>IFERROR(IF(I445=$AD$3,$AD$3,INDEX(Kanban_Helper!$C$317:$C$328,MATCH(MONTH(I445),Kanban_Helper!$B$317:$B$328,0))&amp;" - "&amp;YEAR(I445)),$AD$3)</f>
        <v>Not Set</v>
      </c>
      <c r="T445" s="125" t="str">
        <f t="shared" ca="1" si="64"/>
        <v/>
      </c>
      <c r="U445" s="125" t="str">
        <f t="shared" ca="1" si="65"/>
        <v/>
      </c>
      <c r="V445" s="125" t="str">
        <f t="shared" si="62"/>
        <v>Not Set</v>
      </c>
      <c r="W445" s="126" t="str">
        <f t="shared" si="66"/>
        <v/>
      </c>
      <c r="X445" s="126" t="str">
        <f t="shared" si="67"/>
        <v/>
      </c>
      <c r="Y445" s="125" t="str">
        <f>IFERROR(IF(LEN(D445)=0,"",IF(SUBTOTAL(3,E445:E445)=0,MIN($Y$7:Y444)-1,SUBTOTAL(3,$E$8:E445))),"")</f>
        <v/>
      </c>
      <c r="Z445" s="17"/>
      <c r="AA445" s="10"/>
      <c r="AB445" s="10"/>
      <c r="AC445" s="10"/>
      <c r="AD445" s="10"/>
      <c r="AE445" s="10"/>
      <c r="AF445" s="10"/>
      <c r="AG445" s="10"/>
      <c r="AH445" s="10"/>
      <c r="AI445" s="10"/>
      <c r="AJ445" s="10"/>
      <c r="AK445" s="10"/>
      <c r="AL445" s="10"/>
      <c r="AM445" s="10"/>
      <c r="AN445" s="10"/>
    </row>
    <row r="446" spans="2:40" hidden="1" x14ac:dyDescent="0.35">
      <c r="B446" s="15"/>
      <c r="C446" s="127" t="str">
        <f>IFERROR(IF(LEN(INDEX(Database!C$9:C$501,ROW(Calc!A446)-ROW(Calc!$B$7)))=0,"",INDEX(Database!C$9:C$501,ROW(Calc!A446)-ROW(Calc!$B$7))),"")</f>
        <v/>
      </c>
      <c r="D446" s="70" t="str">
        <f>IFERROR(IF(LEN(INDEX(Database!D$9:D$501,ROW(Calc!B446)-ROW(Calc!$B$7)))=0,"",INDEX(Database!D$9:D$501,ROW(Calc!B446)-ROW(Calc!$B$7))),"")</f>
        <v/>
      </c>
      <c r="E446" s="124" t="str">
        <f>IFERROR(IF(LEN(INDEX(Database!G$9:G$501,ROW(Calc!D446)-ROW(Calc!$B$7)))=0,$AD$3,INDEX(Database!G$9:G$501,ROW(Calc!D446)-ROW(Calc!$B$7))),"")</f>
        <v>Not Set</v>
      </c>
      <c r="F446" s="124" t="str">
        <f>IFERROR(IF(LEN(INDEX(Database!F$9:F$501,ROW(Calc!E446)-ROW(Calc!$B$7)))=0,$AD$3,INDEX(Database!F$9:F$501,ROW(Calc!E446)-ROW(Calc!$B$7))),"")</f>
        <v>Not Set</v>
      </c>
      <c r="G446" s="128" t="str">
        <f>IFERROR(IF(LEN(INDEX(Database!H$9:H$501,ROW(Calc!F446)-ROW(Calc!$B$7)))=0,$AD$3,INDEX(Database!H$9:H$501,ROW(Calc!F446)-ROW(Calc!$B$7))),"")</f>
        <v>Not Set</v>
      </c>
      <c r="H446" s="128" t="str">
        <f>IFERROR(IF(LEN(INDEX(Database!I$9:I$501,ROW(Calc!G446)-ROW(Calc!$B$7)))=0,$AD$3,INDEX(Database!I$9:I$501,ROW(Calc!G446)-ROW(Calc!$B$7))),"")</f>
        <v>Not Set</v>
      </c>
      <c r="I446" s="128" t="str">
        <f>IFERROR(IF(LEN(INDEX(Database!J$9:J$501,ROW(Calc!H446)-ROW(Calc!$B$7)))=0,$AD$3,INDEX(Database!J$9:J$501,ROW(Calc!H446)-ROW(Calc!$B$7))),"")</f>
        <v>Not Set</v>
      </c>
      <c r="J446" s="128" t="str">
        <f t="shared" si="59"/>
        <v>Not Set</v>
      </c>
      <c r="K446" s="124" t="str">
        <f>IFERROR(IF(LEN(INDEX(Database!E$9:E$501,ROW(Calc!I446)-ROW(Calc!$B$7)))=0,"",INDEX(Database!E$9:E$501,ROW(Calc!I446)-ROW(Calc!$B$7))),"")</f>
        <v/>
      </c>
      <c r="L446" s="129" t="str">
        <f>IFERROR(IF(LEN(INDEX(Database!K$9:K$501,ROW(Calc!K446)-ROW(Calc!$B$7)))=0,$AD$3,INDEX(Database!K$9:K$501,ROW(Calc!K446)-ROW(Calc!$B$7))),"")</f>
        <v>Not Set</v>
      </c>
      <c r="M446" s="130" t="str">
        <f>IFERROR(IF(LEN(INDEX(Database!L$9:L$501,ROW(Calc!L446)-ROW(Calc!$B$7)))=0,$AD$3,INDEX(Database!L$9:L$501,ROW(Calc!L446)-ROW(Calc!$B$7))),"")</f>
        <v>Not Set</v>
      </c>
      <c r="N446" s="131" t="str">
        <f>IFERROR(IF(LEN(INDEX(Database!M$9:M$501,ROW(Calc!M446)-ROW(Calc!$B$7)))=0,"",INDEX(Database!M$9:M$501,ROW(Calc!M446)-ROW(Calc!$B$7))),"")</f>
        <v/>
      </c>
      <c r="O446" s="132" t="str">
        <f t="shared" si="63"/>
        <v/>
      </c>
      <c r="P446" s="125" t="str">
        <f t="shared" si="60"/>
        <v>Not Set</v>
      </c>
      <c r="Q446" s="125" t="str">
        <f t="shared" si="61"/>
        <v>Not Set</v>
      </c>
      <c r="R446" s="125" t="str">
        <f>IFERROR(IF(G446=$AD$3,$AD$3,INDEX(Kanban_Helper!$C$317:$C$328,MATCH(MONTH(G446),Kanban_Helper!$B$317:$B$328,0))&amp;" - "&amp;YEAR(G446)),"$AD$3")</f>
        <v>Not Set</v>
      </c>
      <c r="S446" s="125" t="str">
        <f>IFERROR(IF(I446=$AD$3,$AD$3,INDEX(Kanban_Helper!$C$317:$C$328,MATCH(MONTH(I446),Kanban_Helper!$B$317:$B$328,0))&amp;" - "&amp;YEAR(I446)),$AD$3)</f>
        <v>Not Set</v>
      </c>
      <c r="T446" s="125" t="str">
        <f t="shared" ca="1" si="64"/>
        <v/>
      </c>
      <c r="U446" s="125" t="str">
        <f t="shared" ca="1" si="65"/>
        <v/>
      </c>
      <c r="V446" s="125" t="str">
        <f t="shared" si="62"/>
        <v>Not Set</v>
      </c>
      <c r="W446" s="126" t="str">
        <f t="shared" si="66"/>
        <v/>
      </c>
      <c r="X446" s="126" t="str">
        <f t="shared" si="67"/>
        <v/>
      </c>
      <c r="Y446" s="125" t="str">
        <f>IFERROR(IF(LEN(D446)=0,"",IF(SUBTOTAL(3,E446:E446)=0,MIN($Y$7:Y445)-1,SUBTOTAL(3,$E$8:E446))),"")</f>
        <v/>
      </c>
      <c r="Z446" s="17"/>
      <c r="AA446" s="10"/>
      <c r="AB446" s="10"/>
      <c r="AC446" s="10"/>
      <c r="AD446" s="10"/>
      <c r="AE446" s="10"/>
      <c r="AF446" s="10"/>
      <c r="AG446" s="10"/>
      <c r="AH446" s="10"/>
      <c r="AI446" s="10"/>
      <c r="AJ446" s="10"/>
      <c r="AK446" s="10"/>
      <c r="AL446" s="10"/>
      <c r="AM446" s="10"/>
      <c r="AN446" s="10"/>
    </row>
    <row r="447" spans="2:40" hidden="1" x14ac:dyDescent="0.35">
      <c r="B447" s="15"/>
      <c r="C447" s="127" t="str">
        <f>IFERROR(IF(LEN(INDEX(Database!C$9:C$501,ROW(Calc!A447)-ROW(Calc!$B$7)))=0,"",INDEX(Database!C$9:C$501,ROW(Calc!A447)-ROW(Calc!$B$7))),"")</f>
        <v/>
      </c>
      <c r="D447" s="70" t="str">
        <f>IFERROR(IF(LEN(INDEX(Database!D$9:D$501,ROW(Calc!B447)-ROW(Calc!$B$7)))=0,"",INDEX(Database!D$9:D$501,ROW(Calc!B447)-ROW(Calc!$B$7))),"")</f>
        <v/>
      </c>
      <c r="E447" s="124" t="str">
        <f>IFERROR(IF(LEN(INDEX(Database!G$9:G$501,ROW(Calc!D447)-ROW(Calc!$B$7)))=0,$AD$3,INDEX(Database!G$9:G$501,ROW(Calc!D447)-ROW(Calc!$B$7))),"")</f>
        <v>Not Set</v>
      </c>
      <c r="F447" s="124" t="str">
        <f>IFERROR(IF(LEN(INDEX(Database!F$9:F$501,ROW(Calc!E447)-ROW(Calc!$B$7)))=0,$AD$3,INDEX(Database!F$9:F$501,ROW(Calc!E447)-ROW(Calc!$B$7))),"")</f>
        <v>Not Set</v>
      </c>
      <c r="G447" s="128" t="str">
        <f>IFERROR(IF(LEN(INDEX(Database!H$9:H$501,ROW(Calc!F447)-ROW(Calc!$B$7)))=0,$AD$3,INDEX(Database!H$9:H$501,ROW(Calc!F447)-ROW(Calc!$B$7))),"")</f>
        <v>Not Set</v>
      </c>
      <c r="H447" s="128" t="str">
        <f>IFERROR(IF(LEN(INDEX(Database!I$9:I$501,ROW(Calc!G447)-ROW(Calc!$B$7)))=0,$AD$3,INDEX(Database!I$9:I$501,ROW(Calc!G447)-ROW(Calc!$B$7))),"")</f>
        <v>Not Set</v>
      </c>
      <c r="I447" s="128" t="str">
        <f>IFERROR(IF(LEN(INDEX(Database!J$9:J$501,ROW(Calc!H447)-ROW(Calc!$B$7)))=0,$AD$3,INDEX(Database!J$9:J$501,ROW(Calc!H447)-ROW(Calc!$B$7))),"")</f>
        <v>Not Set</v>
      </c>
      <c r="J447" s="128" t="str">
        <f t="shared" si="59"/>
        <v>Not Set</v>
      </c>
      <c r="K447" s="124" t="str">
        <f>IFERROR(IF(LEN(INDEX(Database!E$9:E$501,ROW(Calc!I447)-ROW(Calc!$B$7)))=0,"",INDEX(Database!E$9:E$501,ROW(Calc!I447)-ROW(Calc!$B$7))),"")</f>
        <v/>
      </c>
      <c r="L447" s="129" t="str">
        <f>IFERROR(IF(LEN(INDEX(Database!K$9:K$501,ROW(Calc!K447)-ROW(Calc!$B$7)))=0,$AD$3,INDEX(Database!K$9:K$501,ROW(Calc!K447)-ROW(Calc!$B$7))),"")</f>
        <v>Not Set</v>
      </c>
      <c r="M447" s="130" t="str">
        <f>IFERROR(IF(LEN(INDEX(Database!L$9:L$501,ROW(Calc!L447)-ROW(Calc!$B$7)))=0,$AD$3,INDEX(Database!L$9:L$501,ROW(Calc!L447)-ROW(Calc!$B$7))),"")</f>
        <v>Not Set</v>
      </c>
      <c r="N447" s="131" t="str">
        <f>IFERROR(IF(LEN(INDEX(Database!M$9:M$501,ROW(Calc!M447)-ROW(Calc!$B$7)))=0,"",INDEX(Database!M$9:M$501,ROW(Calc!M447)-ROW(Calc!$B$7))),"")</f>
        <v/>
      </c>
      <c r="O447" s="132" t="str">
        <f t="shared" si="63"/>
        <v/>
      </c>
      <c r="P447" s="125" t="str">
        <f t="shared" si="60"/>
        <v>Not Set</v>
      </c>
      <c r="Q447" s="125" t="str">
        <f t="shared" si="61"/>
        <v>Not Set</v>
      </c>
      <c r="R447" s="125" t="str">
        <f>IFERROR(IF(G447=$AD$3,$AD$3,INDEX(Kanban_Helper!$C$317:$C$328,MATCH(MONTH(G447),Kanban_Helper!$B$317:$B$328,0))&amp;" - "&amp;YEAR(G447)),"$AD$3")</f>
        <v>Not Set</v>
      </c>
      <c r="S447" s="125" t="str">
        <f>IFERROR(IF(I447=$AD$3,$AD$3,INDEX(Kanban_Helper!$C$317:$C$328,MATCH(MONTH(I447),Kanban_Helper!$B$317:$B$328,0))&amp;" - "&amp;YEAR(I447)),$AD$3)</f>
        <v>Not Set</v>
      </c>
      <c r="T447" s="125" t="str">
        <f t="shared" ca="1" si="64"/>
        <v/>
      </c>
      <c r="U447" s="125" t="str">
        <f t="shared" ca="1" si="65"/>
        <v/>
      </c>
      <c r="V447" s="125" t="str">
        <f t="shared" si="62"/>
        <v>Not Set</v>
      </c>
      <c r="W447" s="126" t="str">
        <f t="shared" si="66"/>
        <v/>
      </c>
      <c r="X447" s="126" t="str">
        <f t="shared" si="67"/>
        <v/>
      </c>
      <c r="Y447" s="125" t="str">
        <f>IFERROR(IF(LEN(D447)=0,"",IF(SUBTOTAL(3,E447:E447)=0,MIN($Y$7:Y446)-1,SUBTOTAL(3,$E$8:E447))),"")</f>
        <v/>
      </c>
      <c r="Z447" s="17"/>
      <c r="AA447" s="10"/>
      <c r="AB447" s="10"/>
      <c r="AC447" s="10"/>
      <c r="AD447" s="10"/>
      <c r="AE447" s="10"/>
      <c r="AF447" s="10"/>
      <c r="AG447" s="10"/>
      <c r="AH447" s="10"/>
      <c r="AI447" s="10"/>
      <c r="AJ447" s="10"/>
      <c r="AK447" s="10"/>
      <c r="AL447" s="10"/>
      <c r="AM447" s="10"/>
      <c r="AN447" s="10"/>
    </row>
    <row r="448" spans="2:40" hidden="1" x14ac:dyDescent="0.35">
      <c r="B448" s="15"/>
      <c r="C448" s="127" t="str">
        <f>IFERROR(IF(LEN(INDEX(Database!C$9:C$501,ROW(Calc!A448)-ROW(Calc!$B$7)))=0,"",INDEX(Database!C$9:C$501,ROW(Calc!A448)-ROW(Calc!$B$7))),"")</f>
        <v/>
      </c>
      <c r="D448" s="70" t="str">
        <f>IFERROR(IF(LEN(INDEX(Database!D$9:D$501,ROW(Calc!B448)-ROW(Calc!$B$7)))=0,"",INDEX(Database!D$9:D$501,ROW(Calc!B448)-ROW(Calc!$B$7))),"")</f>
        <v/>
      </c>
      <c r="E448" s="124" t="str">
        <f>IFERROR(IF(LEN(INDEX(Database!G$9:G$501,ROW(Calc!D448)-ROW(Calc!$B$7)))=0,$AD$3,INDEX(Database!G$9:G$501,ROW(Calc!D448)-ROW(Calc!$B$7))),"")</f>
        <v>Not Set</v>
      </c>
      <c r="F448" s="124" t="str">
        <f>IFERROR(IF(LEN(INDEX(Database!F$9:F$501,ROW(Calc!E448)-ROW(Calc!$B$7)))=0,$AD$3,INDEX(Database!F$9:F$501,ROW(Calc!E448)-ROW(Calc!$B$7))),"")</f>
        <v>Not Set</v>
      </c>
      <c r="G448" s="128" t="str">
        <f>IFERROR(IF(LEN(INDEX(Database!H$9:H$501,ROW(Calc!F448)-ROW(Calc!$B$7)))=0,$AD$3,INDEX(Database!H$9:H$501,ROW(Calc!F448)-ROW(Calc!$B$7))),"")</f>
        <v>Not Set</v>
      </c>
      <c r="H448" s="128" t="str">
        <f>IFERROR(IF(LEN(INDEX(Database!I$9:I$501,ROW(Calc!G448)-ROW(Calc!$B$7)))=0,$AD$3,INDEX(Database!I$9:I$501,ROW(Calc!G448)-ROW(Calc!$B$7))),"")</f>
        <v>Not Set</v>
      </c>
      <c r="I448" s="128" t="str">
        <f>IFERROR(IF(LEN(INDEX(Database!J$9:J$501,ROW(Calc!H448)-ROW(Calc!$B$7)))=0,$AD$3,INDEX(Database!J$9:J$501,ROW(Calc!H448)-ROW(Calc!$B$7))),"")</f>
        <v>Not Set</v>
      </c>
      <c r="J448" s="128" t="str">
        <f t="shared" si="59"/>
        <v>Not Set</v>
      </c>
      <c r="K448" s="124" t="str">
        <f>IFERROR(IF(LEN(INDEX(Database!E$9:E$501,ROW(Calc!I448)-ROW(Calc!$B$7)))=0,"",INDEX(Database!E$9:E$501,ROW(Calc!I448)-ROW(Calc!$B$7))),"")</f>
        <v/>
      </c>
      <c r="L448" s="129" t="str">
        <f>IFERROR(IF(LEN(INDEX(Database!K$9:K$501,ROW(Calc!K448)-ROW(Calc!$B$7)))=0,$AD$3,INDEX(Database!K$9:K$501,ROW(Calc!K448)-ROW(Calc!$B$7))),"")</f>
        <v>Not Set</v>
      </c>
      <c r="M448" s="130" t="str">
        <f>IFERROR(IF(LEN(INDEX(Database!L$9:L$501,ROW(Calc!L448)-ROW(Calc!$B$7)))=0,$AD$3,INDEX(Database!L$9:L$501,ROW(Calc!L448)-ROW(Calc!$B$7))),"")</f>
        <v>Not Set</v>
      </c>
      <c r="N448" s="131" t="str">
        <f>IFERROR(IF(LEN(INDEX(Database!M$9:M$501,ROW(Calc!M448)-ROW(Calc!$B$7)))=0,"",INDEX(Database!M$9:M$501,ROW(Calc!M448)-ROW(Calc!$B$7))),"")</f>
        <v/>
      </c>
      <c r="O448" s="132" t="str">
        <f t="shared" si="63"/>
        <v/>
      </c>
      <c r="P448" s="125" t="str">
        <f t="shared" si="60"/>
        <v>Not Set</v>
      </c>
      <c r="Q448" s="125" t="str">
        <f t="shared" si="61"/>
        <v>Not Set</v>
      </c>
      <c r="R448" s="125" t="str">
        <f>IFERROR(IF(G448=$AD$3,$AD$3,INDEX(Kanban_Helper!$C$317:$C$328,MATCH(MONTH(G448),Kanban_Helper!$B$317:$B$328,0))&amp;" - "&amp;YEAR(G448)),"$AD$3")</f>
        <v>Not Set</v>
      </c>
      <c r="S448" s="125" t="str">
        <f>IFERROR(IF(I448=$AD$3,$AD$3,INDEX(Kanban_Helper!$C$317:$C$328,MATCH(MONTH(I448),Kanban_Helper!$B$317:$B$328,0))&amp;" - "&amp;YEAR(I448)),$AD$3)</f>
        <v>Not Set</v>
      </c>
      <c r="T448" s="125" t="str">
        <f t="shared" ca="1" si="64"/>
        <v/>
      </c>
      <c r="U448" s="125" t="str">
        <f t="shared" ca="1" si="65"/>
        <v/>
      </c>
      <c r="V448" s="125" t="str">
        <f t="shared" si="62"/>
        <v>Not Set</v>
      </c>
      <c r="W448" s="126" t="str">
        <f t="shared" si="66"/>
        <v/>
      </c>
      <c r="X448" s="126" t="str">
        <f t="shared" si="67"/>
        <v/>
      </c>
      <c r="Y448" s="125" t="str">
        <f>IFERROR(IF(LEN(D448)=0,"",IF(SUBTOTAL(3,E448:E448)=0,MIN($Y$7:Y447)-1,SUBTOTAL(3,$E$8:E448))),"")</f>
        <v/>
      </c>
      <c r="Z448" s="17"/>
      <c r="AA448" s="10"/>
      <c r="AB448" s="10"/>
      <c r="AC448" s="10"/>
      <c r="AD448" s="10"/>
      <c r="AE448" s="10"/>
      <c r="AF448" s="10"/>
      <c r="AG448" s="10"/>
      <c r="AH448" s="10"/>
      <c r="AI448" s="10"/>
      <c r="AJ448" s="10"/>
      <c r="AK448" s="10"/>
      <c r="AL448" s="10"/>
      <c r="AM448" s="10"/>
      <c r="AN448" s="10"/>
    </row>
    <row r="449" spans="2:40" hidden="1" x14ac:dyDescent="0.35">
      <c r="B449" s="15"/>
      <c r="C449" s="127" t="str">
        <f>IFERROR(IF(LEN(INDEX(Database!C$9:C$501,ROW(Calc!A449)-ROW(Calc!$B$7)))=0,"",INDEX(Database!C$9:C$501,ROW(Calc!A449)-ROW(Calc!$B$7))),"")</f>
        <v/>
      </c>
      <c r="D449" s="70" t="str">
        <f>IFERROR(IF(LEN(INDEX(Database!D$9:D$501,ROW(Calc!B449)-ROW(Calc!$B$7)))=0,"",INDEX(Database!D$9:D$501,ROW(Calc!B449)-ROW(Calc!$B$7))),"")</f>
        <v/>
      </c>
      <c r="E449" s="124" t="str">
        <f>IFERROR(IF(LEN(INDEX(Database!G$9:G$501,ROW(Calc!D449)-ROW(Calc!$B$7)))=0,$AD$3,INDEX(Database!G$9:G$501,ROW(Calc!D449)-ROW(Calc!$B$7))),"")</f>
        <v>Not Set</v>
      </c>
      <c r="F449" s="124" t="str">
        <f>IFERROR(IF(LEN(INDEX(Database!F$9:F$501,ROW(Calc!E449)-ROW(Calc!$B$7)))=0,$AD$3,INDEX(Database!F$9:F$501,ROW(Calc!E449)-ROW(Calc!$B$7))),"")</f>
        <v>Not Set</v>
      </c>
      <c r="G449" s="128" t="str">
        <f>IFERROR(IF(LEN(INDEX(Database!H$9:H$501,ROW(Calc!F449)-ROW(Calc!$B$7)))=0,$AD$3,INDEX(Database!H$9:H$501,ROW(Calc!F449)-ROW(Calc!$B$7))),"")</f>
        <v>Not Set</v>
      </c>
      <c r="H449" s="128" t="str">
        <f>IFERROR(IF(LEN(INDEX(Database!I$9:I$501,ROW(Calc!G449)-ROW(Calc!$B$7)))=0,$AD$3,INDEX(Database!I$9:I$501,ROW(Calc!G449)-ROW(Calc!$B$7))),"")</f>
        <v>Not Set</v>
      </c>
      <c r="I449" s="128" t="str">
        <f>IFERROR(IF(LEN(INDEX(Database!J$9:J$501,ROW(Calc!H449)-ROW(Calc!$B$7)))=0,$AD$3,INDEX(Database!J$9:J$501,ROW(Calc!H449)-ROW(Calc!$B$7))),"")</f>
        <v>Not Set</v>
      </c>
      <c r="J449" s="128" t="str">
        <f t="shared" si="59"/>
        <v>Not Set</v>
      </c>
      <c r="K449" s="124" t="str">
        <f>IFERROR(IF(LEN(INDEX(Database!E$9:E$501,ROW(Calc!I449)-ROW(Calc!$B$7)))=0,"",INDEX(Database!E$9:E$501,ROW(Calc!I449)-ROW(Calc!$B$7))),"")</f>
        <v/>
      </c>
      <c r="L449" s="129" t="str">
        <f>IFERROR(IF(LEN(INDEX(Database!K$9:K$501,ROW(Calc!K449)-ROW(Calc!$B$7)))=0,$AD$3,INDEX(Database!K$9:K$501,ROW(Calc!K449)-ROW(Calc!$B$7))),"")</f>
        <v>Not Set</v>
      </c>
      <c r="M449" s="130" t="str">
        <f>IFERROR(IF(LEN(INDEX(Database!L$9:L$501,ROW(Calc!L449)-ROW(Calc!$B$7)))=0,$AD$3,INDEX(Database!L$9:L$501,ROW(Calc!L449)-ROW(Calc!$B$7))),"")</f>
        <v>Not Set</v>
      </c>
      <c r="N449" s="131" t="str">
        <f>IFERROR(IF(LEN(INDEX(Database!M$9:M$501,ROW(Calc!M449)-ROW(Calc!$B$7)))=0,"",INDEX(Database!M$9:M$501,ROW(Calc!M449)-ROW(Calc!$B$7))),"")</f>
        <v/>
      </c>
      <c r="O449" s="132" t="str">
        <f t="shared" si="63"/>
        <v/>
      </c>
      <c r="P449" s="125" t="str">
        <f t="shared" si="60"/>
        <v>Not Set</v>
      </c>
      <c r="Q449" s="125" t="str">
        <f t="shared" si="61"/>
        <v>Not Set</v>
      </c>
      <c r="R449" s="125" t="str">
        <f>IFERROR(IF(G449=$AD$3,$AD$3,INDEX(Kanban_Helper!$C$317:$C$328,MATCH(MONTH(G449),Kanban_Helper!$B$317:$B$328,0))&amp;" - "&amp;YEAR(G449)),"$AD$3")</f>
        <v>Not Set</v>
      </c>
      <c r="S449" s="125" t="str">
        <f>IFERROR(IF(I449=$AD$3,$AD$3,INDEX(Kanban_Helper!$C$317:$C$328,MATCH(MONTH(I449),Kanban_Helper!$B$317:$B$328,0))&amp;" - "&amp;YEAR(I449)),$AD$3)</f>
        <v>Not Set</v>
      </c>
      <c r="T449" s="125" t="str">
        <f t="shared" ca="1" si="64"/>
        <v/>
      </c>
      <c r="U449" s="125" t="str">
        <f t="shared" ca="1" si="65"/>
        <v/>
      </c>
      <c r="V449" s="125" t="str">
        <f t="shared" si="62"/>
        <v>Not Set</v>
      </c>
      <c r="W449" s="126" t="str">
        <f t="shared" si="66"/>
        <v/>
      </c>
      <c r="X449" s="126" t="str">
        <f t="shared" si="67"/>
        <v/>
      </c>
      <c r="Y449" s="125" t="str">
        <f>IFERROR(IF(LEN(D449)=0,"",IF(SUBTOTAL(3,E449:E449)=0,MIN($Y$7:Y448)-1,SUBTOTAL(3,$E$8:E449))),"")</f>
        <v/>
      </c>
      <c r="Z449" s="17"/>
      <c r="AA449" s="10"/>
      <c r="AB449" s="10"/>
      <c r="AC449" s="10"/>
      <c r="AD449" s="10"/>
      <c r="AE449" s="10"/>
      <c r="AF449" s="10"/>
      <c r="AG449" s="10"/>
      <c r="AH449" s="10"/>
      <c r="AI449" s="10"/>
      <c r="AJ449" s="10"/>
      <c r="AK449" s="10"/>
      <c r="AL449" s="10"/>
      <c r="AM449" s="10"/>
      <c r="AN449" s="10"/>
    </row>
    <row r="450" spans="2:40" hidden="1" x14ac:dyDescent="0.35">
      <c r="B450" s="15"/>
      <c r="C450" s="127" t="str">
        <f>IFERROR(IF(LEN(INDEX(Database!C$9:C$501,ROW(Calc!A450)-ROW(Calc!$B$7)))=0,"",INDEX(Database!C$9:C$501,ROW(Calc!A450)-ROW(Calc!$B$7))),"")</f>
        <v/>
      </c>
      <c r="D450" s="70" t="str">
        <f>IFERROR(IF(LEN(INDEX(Database!D$9:D$501,ROW(Calc!B450)-ROW(Calc!$B$7)))=0,"",INDEX(Database!D$9:D$501,ROW(Calc!B450)-ROW(Calc!$B$7))),"")</f>
        <v/>
      </c>
      <c r="E450" s="124" t="str">
        <f>IFERROR(IF(LEN(INDEX(Database!G$9:G$501,ROW(Calc!D450)-ROW(Calc!$B$7)))=0,$AD$3,INDEX(Database!G$9:G$501,ROW(Calc!D450)-ROW(Calc!$B$7))),"")</f>
        <v>Not Set</v>
      </c>
      <c r="F450" s="124" t="str">
        <f>IFERROR(IF(LEN(INDEX(Database!F$9:F$501,ROW(Calc!E450)-ROW(Calc!$B$7)))=0,$AD$3,INDEX(Database!F$9:F$501,ROW(Calc!E450)-ROW(Calc!$B$7))),"")</f>
        <v>Not Set</v>
      </c>
      <c r="G450" s="128" t="str">
        <f>IFERROR(IF(LEN(INDEX(Database!H$9:H$501,ROW(Calc!F450)-ROW(Calc!$B$7)))=0,$AD$3,INDEX(Database!H$9:H$501,ROW(Calc!F450)-ROW(Calc!$B$7))),"")</f>
        <v>Not Set</v>
      </c>
      <c r="H450" s="128" t="str">
        <f>IFERROR(IF(LEN(INDEX(Database!I$9:I$501,ROW(Calc!G450)-ROW(Calc!$B$7)))=0,$AD$3,INDEX(Database!I$9:I$501,ROW(Calc!G450)-ROW(Calc!$B$7))),"")</f>
        <v>Not Set</v>
      </c>
      <c r="I450" s="128" t="str">
        <f>IFERROR(IF(LEN(INDEX(Database!J$9:J$501,ROW(Calc!H450)-ROW(Calc!$B$7)))=0,$AD$3,INDEX(Database!J$9:J$501,ROW(Calc!H450)-ROW(Calc!$B$7))),"")</f>
        <v>Not Set</v>
      </c>
      <c r="J450" s="128" t="str">
        <f t="shared" si="59"/>
        <v>Not Set</v>
      </c>
      <c r="K450" s="124" t="str">
        <f>IFERROR(IF(LEN(INDEX(Database!E$9:E$501,ROW(Calc!I450)-ROW(Calc!$B$7)))=0,"",INDEX(Database!E$9:E$501,ROW(Calc!I450)-ROW(Calc!$B$7))),"")</f>
        <v/>
      </c>
      <c r="L450" s="129" t="str">
        <f>IFERROR(IF(LEN(INDEX(Database!K$9:K$501,ROW(Calc!K450)-ROW(Calc!$B$7)))=0,$AD$3,INDEX(Database!K$9:K$501,ROW(Calc!K450)-ROW(Calc!$B$7))),"")</f>
        <v>Not Set</v>
      </c>
      <c r="M450" s="130" t="str">
        <f>IFERROR(IF(LEN(INDEX(Database!L$9:L$501,ROW(Calc!L450)-ROW(Calc!$B$7)))=0,$AD$3,INDEX(Database!L$9:L$501,ROW(Calc!L450)-ROW(Calc!$B$7))),"")</f>
        <v>Not Set</v>
      </c>
      <c r="N450" s="131" t="str">
        <f>IFERROR(IF(LEN(INDEX(Database!M$9:M$501,ROW(Calc!M450)-ROW(Calc!$B$7)))=0,"",INDEX(Database!M$9:M$501,ROW(Calc!M450)-ROW(Calc!$B$7))),"")</f>
        <v/>
      </c>
      <c r="O450" s="132" t="str">
        <f t="shared" si="63"/>
        <v/>
      </c>
      <c r="P450" s="125" t="str">
        <f t="shared" si="60"/>
        <v>Not Set</v>
      </c>
      <c r="Q450" s="125" t="str">
        <f t="shared" si="61"/>
        <v>Not Set</v>
      </c>
      <c r="R450" s="125" t="str">
        <f>IFERROR(IF(G450=$AD$3,$AD$3,INDEX(Kanban_Helper!$C$317:$C$328,MATCH(MONTH(G450),Kanban_Helper!$B$317:$B$328,0))&amp;" - "&amp;YEAR(G450)),"$AD$3")</f>
        <v>Not Set</v>
      </c>
      <c r="S450" s="125" t="str">
        <f>IFERROR(IF(I450=$AD$3,$AD$3,INDEX(Kanban_Helper!$C$317:$C$328,MATCH(MONTH(I450),Kanban_Helper!$B$317:$B$328,0))&amp;" - "&amp;YEAR(I450)),$AD$3)</f>
        <v>Not Set</v>
      </c>
      <c r="T450" s="125" t="str">
        <f t="shared" ca="1" si="64"/>
        <v/>
      </c>
      <c r="U450" s="125" t="str">
        <f t="shared" ca="1" si="65"/>
        <v/>
      </c>
      <c r="V450" s="125" t="str">
        <f t="shared" si="62"/>
        <v>Not Set</v>
      </c>
      <c r="W450" s="126" t="str">
        <f t="shared" si="66"/>
        <v/>
      </c>
      <c r="X450" s="126" t="str">
        <f t="shared" si="67"/>
        <v/>
      </c>
      <c r="Y450" s="125" t="str">
        <f>IFERROR(IF(LEN(D450)=0,"",IF(SUBTOTAL(3,E450:E450)=0,MIN($Y$7:Y449)-1,SUBTOTAL(3,$E$8:E450))),"")</f>
        <v/>
      </c>
      <c r="Z450" s="17"/>
      <c r="AA450" s="10"/>
      <c r="AB450" s="10"/>
      <c r="AC450" s="10"/>
      <c r="AD450" s="10"/>
      <c r="AE450" s="10"/>
      <c r="AF450" s="10"/>
      <c r="AG450" s="10"/>
      <c r="AH450" s="10"/>
      <c r="AI450" s="10"/>
      <c r="AJ450" s="10"/>
      <c r="AK450" s="10"/>
      <c r="AL450" s="10"/>
      <c r="AM450" s="10"/>
      <c r="AN450" s="10"/>
    </row>
    <row r="451" spans="2:40" hidden="1" x14ac:dyDescent="0.35">
      <c r="B451" s="15"/>
      <c r="C451" s="127" t="str">
        <f>IFERROR(IF(LEN(INDEX(Database!C$9:C$501,ROW(Calc!A451)-ROW(Calc!$B$7)))=0,"",INDEX(Database!C$9:C$501,ROW(Calc!A451)-ROW(Calc!$B$7))),"")</f>
        <v/>
      </c>
      <c r="D451" s="70" t="str">
        <f>IFERROR(IF(LEN(INDEX(Database!D$9:D$501,ROW(Calc!B451)-ROW(Calc!$B$7)))=0,"",INDEX(Database!D$9:D$501,ROW(Calc!B451)-ROW(Calc!$B$7))),"")</f>
        <v/>
      </c>
      <c r="E451" s="124" t="str">
        <f>IFERROR(IF(LEN(INDEX(Database!G$9:G$501,ROW(Calc!D451)-ROW(Calc!$B$7)))=0,$AD$3,INDEX(Database!G$9:G$501,ROW(Calc!D451)-ROW(Calc!$B$7))),"")</f>
        <v>Not Set</v>
      </c>
      <c r="F451" s="124" t="str">
        <f>IFERROR(IF(LEN(INDEX(Database!F$9:F$501,ROW(Calc!E451)-ROW(Calc!$B$7)))=0,$AD$3,INDEX(Database!F$9:F$501,ROW(Calc!E451)-ROW(Calc!$B$7))),"")</f>
        <v>Not Set</v>
      </c>
      <c r="G451" s="128" t="str">
        <f>IFERROR(IF(LEN(INDEX(Database!H$9:H$501,ROW(Calc!F451)-ROW(Calc!$B$7)))=0,$AD$3,INDEX(Database!H$9:H$501,ROW(Calc!F451)-ROW(Calc!$B$7))),"")</f>
        <v>Not Set</v>
      </c>
      <c r="H451" s="128" t="str">
        <f>IFERROR(IF(LEN(INDEX(Database!I$9:I$501,ROW(Calc!G451)-ROW(Calc!$B$7)))=0,$AD$3,INDEX(Database!I$9:I$501,ROW(Calc!G451)-ROW(Calc!$B$7))),"")</f>
        <v>Not Set</v>
      </c>
      <c r="I451" s="128" t="str">
        <f>IFERROR(IF(LEN(INDEX(Database!J$9:J$501,ROW(Calc!H451)-ROW(Calc!$B$7)))=0,$AD$3,INDEX(Database!J$9:J$501,ROW(Calc!H451)-ROW(Calc!$B$7))),"")</f>
        <v>Not Set</v>
      </c>
      <c r="J451" s="128" t="str">
        <f t="shared" si="59"/>
        <v>Not Set</v>
      </c>
      <c r="K451" s="124" t="str">
        <f>IFERROR(IF(LEN(INDEX(Database!E$9:E$501,ROW(Calc!I451)-ROW(Calc!$B$7)))=0,"",INDEX(Database!E$9:E$501,ROW(Calc!I451)-ROW(Calc!$B$7))),"")</f>
        <v/>
      </c>
      <c r="L451" s="129" t="str">
        <f>IFERROR(IF(LEN(INDEX(Database!K$9:K$501,ROW(Calc!K451)-ROW(Calc!$B$7)))=0,$AD$3,INDEX(Database!K$9:K$501,ROW(Calc!K451)-ROW(Calc!$B$7))),"")</f>
        <v>Not Set</v>
      </c>
      <c r="M451" s="130" t="str">
        <f>IFERROR(IF(LEN(INDEX(Database!L$9:L$501,ROW(Calc!L451)-ROW(Calc!$B$7)))=0,$AD$3,INDEX(Database!L$9:L$501,ROW(Calc!L451)-ROW(Calc!$B$7))),"")</f>
        <v>Not Set</v>
      </c>
      <c r="N451" s="131" t="str">
        <f>IFERROR(IF(LEN(INDEX(Database!M$9:M$501,ROW(Calc!M451)-ROW(Calc!$B$7)))=0,"",INDEX(Database!M$9:M$501,ROW(Calc!M451)-ROW(Calc!$B$7))),"")</f>
        <v/>
      </c>
      <c r="O451" s="132" t="str">
        <f t="shared" si="63"/>
        <v/>
      </c>
      <c r="P451" s="125" t="str">
        <f t="shared" si="60"/>
        <v>Not Set</v>
      </c>
      <c r="Q451" s="125" t="str">
        <f t="shared" si="61"/>
        <v>Not Set</v>
      </c>
      <c r="R451" s="125" t="str">
        <f>IFERROR(IF(G451=$AD$3,$AD$3,INDEX(Kanban_Helper!$C$317:$C$328,MATCH(MONTH(G451),Kanban_Helper!$B$317:$B$328,0))&amp;" - "&amp;YEAR(G451)),"$AD$3")</f>
        <v>Not Set</v>
      </c>
      <c r="S451" s="125" t="str">
        <f>IFERROR(IF(I451=$AD$3,$AD$3,INDEX(Kanban_Helper!$C$317:$C$328,MATCH(MONTH(I451),Kanban_Helper!$B$317:$B$328,0))&amp;" - "&amp;YEAR(I451)),$AD$3)</f>
        <v>Not Set</v>
      </c>
      <c r="T451" s="125" t="str">
        <f t="shared" ca="1" si="64"/>
        <v/>
      </c>
      <c r="U451" s="125" t="str">
        <f t="shared" ca="1" si="65"/>
        <v/>
      </c>
      <c r="V451" s="125" t="str">
        <f t="shared" si="62"/>
        <v>Not Set</v>
      </c>
      <c r="W451" s="126" t="str">
        <f t="shared" si="66"/>
        <v/>
      </c>
      <c r="X451" s="126" t="str">
        <f t="shared" si="67"/>
        <v/>
      </c>
      <c r="Y451" s="125" t="str">
        <f>IFERROR(IF(LEN(D451)=0,"",IF(SUBTOTAL(3,E451:E451)=0,MIN($Y$7:Y450)-1,SUBTOTAL(3,$E$8:E451))),"")</f>
        <v/>
      </c>
      <c r="Z451" s="17"/>
      <c r="AA451" s="10"/>
      <c r="AB451" s="10"/>
      <c r="AC451" s="10"/>
      <c r="AD451" s="10"/>
      <c r="AE451" s="10"/>
      <c r="AF451" s="10"/>
      <c r="AG451" s="10"/>
      <c r="AH451" s="10"/>
      <c r="AI451" s="10"/>
      <c r="AJ451" s="10"/>
      <c r="AK451" s="10"/>
      <c r="AL451" s="10"/>
      <c r="AM451" s="10"/>
      <c r="AN451" s="10"/>
    </row>
    <row r="452" spans="2:40" hidden="1" x14ac:dyDescent="0.35">
      <c r="B452" s="15"/>
      <c r="C452" s="127" t="str">
        <f>IFERROR(IF(LEN(INDEX(Database!C$9:C$501,ROW(Calc!A452)-ROW(Calc!$B$7)))=0,"",INDEX(Database!C$9:C$501,ROW(Calc!A452)-ROW(Calc!$B$7))),"")</f>
        <v/>
      </c>
      <c r="D452" s="70" t="str">
        <f>IFERROR(IF(LEN(INDEX(Database!D$9:D$501,ROW(Calc!B452)-ROW(Calc!$B$7)))=0,"",INDEX(Database!D$9:D$501,ROW(Calc!B452)-ROW(Calc!$B$7))),"")</f>
        <v/>
      </c>
      <c r="E452" s="124" t="str">
        <f>IFERROR(IF(LEN(INDEX(Database!G$9:G$501,ROW(Calc!D452)-ROW(Calc!$B$7)))=0,$AD$3,INDEX(Database!G$9:G$501,ROW(Calc!D452)-ROW(Calc!$B$7))),"")</f>
        <v>Not Set</v>
      </c>
      <c r="F452" s="124" t="str">
        <f>IFERROR(IF(LEN(INDEX(Database!F$9:F$501,ROW(Calc!E452)-ROW(Calc!$B$7)))=0,$AD$3,INDEX(Database!F$9:F$501,ROW(Calc!E452)-ROW(Calc!$B$7))),"")</f>
        <v>Not Set</v>
      </c>
      <c r="G452" s="128" t="str">
        <f>IFERROR(IF(LEN(INDEX(Database!H$9:H$501,ROW(Calc!F452)-ROW(Calc!$B$7)))=0,$AD$3,INDEX(Database!H$9:H$501,ROW(Calc!F452)-ROW(Calc!$B$7))),"")</f>
        <v>Not Set</v>
      </c>
      <c r="H452" s="128" t="str">
        <f>IFERROR(IF(LEN(INDEX(Database!I$9:I$501,ROW(Calc!G452)-ROW(Calc!$B$7)))=0,$AD$3,INDEX(Database!I$9:I$501,ROW(Calc!G452)-ROW(Calc!$B$7))),"")</f>
        <v>Not Set</v>
      </c>
      <c r="I452" s="128" t="str">
        <f>IFERROR(IF(LEN(INDEX(Database!J$9:J$501,ROW(Calc!H452)-ROW(Calc!$B$7)))=0,$AD$3,INDEX(Database!J$9:J$501,ROW(Calc!H452)-ROW(Calc!$B$7))),"")</f>
        <v>Not Set</v>
      </c>
      <c r="J452" s="128" t="str">
        <f t="shared" si="59"/>
        <v>Not Set</v>
      </c>
      <c r="K452" s="124" t="str">
        <f>IFERROR(IF(LEN(INDEX(Database!E$9:E$501,ROW(Calc!I452)-ROW(Calc!$B$7)))=0,"",INDEX(Database!E$9:E$501,ROW(Calc!I452)-ROW(Calc!$B$7))),"")</f>
        <v/>
      </c>
      <c r="L452" s="129" t="str">
        <f>IFERROR(IF(LEN(INDEX(Database!K$9:K$501,ROW(Calc!K452)-ROW(Calc!$B$7)))=0,$AD$3,INDEX(Database!K$9:K$501,ROW(Calc!K452)-ROW(Calc!$B$7))),"")</f>
        <v>Not Set</v>
      </c>
      <c r="M452" s="130" t="str">
        <f>IFERROR(IF(LEN(INDEX(Database!L$9:L$501,ROW(Calc!L452)-ROW(Calc!$B$7)))=0,$AD$3,INDEX(Database!L$9:L$501,ROW(Calc!L452)-ROW(Calc!$B$7))),"")</f>
        <v>Not Set</v>
      </c>
      <c r="N452" s="131" t="str">
        <f>IFERROR(IF(LEN(INDEX(Database!M$9:M$501,ROW(Calc!M452)-ROW(Calc!$B$7)))=0,"",INDEX(Database!M$9:M$501,ROW(Calc!M452)-ROW(Calc!$B$7))),"")</f>
        <v/>
      </c>
      <c r="O452" s="132" t="str">
        <f t="shared" si="63"/>
        <v/>
      </c>
      <c r="P452" s="125" t="str">
        <f t="shared" si="60"/>
        <v>Not Set</v>
      </c>
      <c r="Q452" s="125" t="str">
        <f t="shared" si="61"/>
        <v>Not Set</v>
      </c>
      <c r="R452" s="125" t="str">
        <f>IFERROR(IF(G452=$AD$3,$AD$3,INDEX(Kanban_Helper!$C$317:$C$328,MATCH(MONTH(G452),Kanban_Helper!$B$317:$B$328,0))&amp;" - "&amp;YEAR(G452)),"$AD$3")</f>
        <v>Not Set</v>
      </c>
      <c r="S452" s="125" t="str">
        <f>IFERROR(IF(I452=$AD$3,$AD$3,INDEX(Kanban_Helper!$C$317:$C$328,MATCH(MONTH(I452),Kanban_Helper!$B$317:$B$328,0))&amp;" - "&amp;YEAR(I452)),$AD$3)</f>
        <v>Not Set</v>
      </c>
      <c r="T452" s="125" t="str">
        <f t="shared" ca="1" si="64"/>
        <v/>
      </c>
      <c r="U452" s="125" t="str">
        <f t="shared" ca="1" si="65"/>
        <v/>
      </c>
      <c r="V452" s="125" t="str">
        <f t="shared" si="62"/>
        <v>Not Set</v>
      </c>
      <c r="W452" s="126" t="str">
        <f t="shared" si="66"/>
        <v/>
      </c>
      <c r="X452" s="126" t="str">
        <f t="shared" si="67"/>
        <v/>
      </c>
      <c r="Y452" s="125" t="str">
        <f>IFERROR(IF(LEN(D452)=0,"",IF(SUBTOTAL(3,E452:E452)=0,MIN($Y$7:Y451)-1,SUBTOTAL(3,$E$8:E452))),"")</f>
        <v/>
      </c>
      <c r="Z452" s="17"/>
      <c r="AA452" s="10"/>
      <c r="AB452" s="10"/>
      <c r="AC452" s="10"/>
      <c r="AD452" s="10"/>
      <c r="AE452" s="10"/>
      <c r="AF452" s="10"/>
      <c r="AG452" s="10"/>
      <c r="AH452" s="10"/>
      <c r="AI452" s="10"/>
      <c r="AJ452" s="10"/>
      <c r="AK452" s="10"/>
      <c r="AL452" s="10"/>
      <c r="AM452" s="10"/>
      <c r="AN452" s="10"/>
    </row>
    <row r="453" spans="2:40" hidden="1" x14ac:dyDescent="0.35">
      <c r="B453" s="15"/>
      <c r="C453" s="127" t="str">
        <f>IFERROR(IF(LEN(INDEX(Database!C$9:C$501,ROW(Calc!A453)-ROW(Calc!$B$7)))=0,"",INDEX(Database!C$9:C$501,ROW(Calc!A453)-ROW(Calc!$B$7))),"")</f>
        <v/>
      </c>
      <c r="D453" s="70" t="str">
        <f>IFERROR(IF(LEN(INDEX(Database!D$9:D$501,ROW(Calc!B453)-ROW(Calc!$B$7)))=0,"",INDEX(Database!D$9:D$501,ROW(Calc!B453)-ROW(Calc!$B$7))),"")</f>
        <v/>
      </c>
      <c r="E453" s="124" t="str">
        <f>IFERROR(IF(LEN(INDEX(Database!G$9:G$501,ROW(Calc!D453)-ROW(Calc!$B$7)))=0,$AD$3,INDEX(Database!G$9:G$501,ROW(Calc!D453)-ROW(Calc!$B$7))),"")</f>
        <v>Not Set</v>
      </c>
      <c r="F453" s="124" t="str">
        <f>IFERROR(IF(LEN(INDEX(Database!F$9:F$501,ROW(Calc!E453)-ROW(Calc!$B$7)))=0,$AD$3,INDEX(Database!F$9:F$501,ROW(Calc!E453)-ROW(Calc!$B$7))),"")</f>
        <v>Not Set</v>
      </c>
      <c r="G453" s="128" t="str">
        <f>IFERROR(IF(LEN(INDEX(Database!H$9:H$501,ROW(Calc!F453)-ROW(Calc!$B$7)))=0,$AD$3,INDEX(Database!H$9:H$501,ROW(Calc!F453)-ROW(Calc!$B$7))),"")</f>
        <v>Not Set</v>
      </c>
      <c r="H453" s="128" t="str">
        <f>IFERROR(IF(LEN(INDEX(Database!I$9:I$501,ROW(Calc!G453)-ROW(Calc!$B$7)))=0,$AD$3,INDEX(Database!I$9:I$501,ROW(Calc!G453)-ROW(Calc!$B$7))),"")</f>
        <v>Not Set</v>
      </c>
      <c r="I453" s="128" t="str">
        <f>IFERROR(IF(LEN(INDEX(Database!J$9:J$501,ROW(Calc!H453)-ROW(Calc!$B$7)))=0,$AD$3,INDEX(Database!J$9:J$501,ROW(Calc!H453)-ROW(Calc!$B$7))),"")</f>
        <v>Not Set</v>
      </c>
      <c r="J453" s="128" t="str">
        <f t="shared" si="59"/>
        <v>Not Set</v>
      </c>
      <c r="K453" s="124" t="str">
        <f>IFERROR(IF(LEN(INDEX(Database!E$9:E$501,ROW(Calc!I453)-ROW(Calc!$B$7)))=0,"",INDEX(Database!E$9:E$501,ROW(Calc!I453)-ROW(Calc!$B$7))),"")</f>
        <v/>
      </c>
      <c r="L453" s="129" t="str">
        <f>IFERROR(IF(LEN(INDEX(Database!K$9:K$501,ROW(Calc!K453)-ROW(Calc!$B$7)))=0,$AD$3,INDEX(Database!K$9:K$501,ROW(Calc!K453)-ROW(Calc!$B$7))),"")</f>
        <v>Not Set</v>
      </c>
      <c r="M453" s="130" t="str">
        <f>IFERROR(IF(LEN(INDEX(Database!L$9:L$501,ROW(Calc!L453)-ROW(Calc!$B$7)))=0,$AD$3,INDEX(Database!L$9:L$501,ROW(Calc!L453)-ROW(Calc!$B$7))),"")</f>
        <v>Not Set</v>
      </c>
      <c r="N453" s="131" t="str">
        <f>IFERROR(IF(LEN(INDEX(Database!M$9:M$501,ROW(Calc!M453)-ROW(Calc!$B$7)))=0,"",INDEX(Database!M$9:M$501,ROW(Calc!M453)-ROW(Calc!$B$7))),"")</f>
        <v/>
      </c>
      <c r="O453" s="132" t="str">
        <f t="shared" si="63"/>
        <v/>
      </c>
      <c r="P453" s="125" t="str">
        <f t="shared" si="60"/>
        <v>Not Set</v>
      </c>
      <c r="Q453" s="125" t="str">
        <f t="shared" si="61"/>
        <v>Not Set</v>
      </c>
      <c r="R453" s="125" t="str">
        <f>IFERROR(IF(G453=$AD$3,$AD$3,INDEX(Kanban_Helper!$C$317:$C$328,MATCH(MONTH(G453),Kanban_Helper!$B$317:$B$328,0))&amp;" - "&amp;YEAR(G453)),"$AD$3")</f>
        <v>Not Set</v>
      </c>
      <c r="S453" s="125" t="str">
        <f>IFERROR(IF(I453=$AD$3,$AD$3,INDEX(Kanban_Helper!$C$317:$C$328,MATCH(MONTH(I453),Kanban_Helper!$B$317:$B$328,0))&amp;" - "&amp;YEAR(I453)),$AD$3)</f>
        <v>Not Set</v>
      </c>
      <c r="T453" s="125" t="str">
        <f t="shared" ca="1" si="64"/>
        <v/>
      </c>
      <c r="U453" s="125" t="str">
        <f t="shared" ca="1" si="65"/>
        <v/>
      </c>
      <c r="V453" s="125" t="str">
        <f t="shared" si="62"/>
        <v>Not Set</v>
      </c>
      <c r="W453" s="126" t="str">
        <f t="shared" si="66"/>
        <v/>
      </c>
      <c r="X453" s="126" t="str">
        <f t="shared" si="67"/>
        <v/>
      </c>
      <c r="Y453" s="125" t="str">
        <f>IFERROR(IF(LEN(D453)=0,"",IF(SUBTOTAL(3,E453:E453)=0,MIN($Y$7:Y452)-1,SUBTOTAL(3,$E$8:E453))),"")</f>
        <v/>
      </c>
      <c r="Z453" s="17"/>
      <c r="AA453" s="10"/>
      <c r="AB453" s="10"/>
      <c r="AC453" s="10"/>
      <c r="AD453" s="10"/>
      <c r="AE453" s="10"/>
      <c r="AF453" s="10"/>
      <c r="AG453" s="10"/>
      <c r="AH453" s="10"/>
      <c r="AI453" s="10"/>
      <c r="AJ453" s="10"/>
      <c r="AK453" s="10"/>
      <c r="AL453" s="10"/>
      <c r="AM453" s="10"/>
      <c r="AN453" s="10"/>
    </row>
    <row r="454" spans="2:40" hidden="1" x14ac:dyDescent="0.35">
      <c r="B454" s="15"/>
      <c r="C454" s="127" t="str">
        <f>IFERROR(IF(LEN(INDEX(Database!C$9:C$501,ROW(Calc!A454)-ROW(Calc!$B$7)))=0,"",INDEX(Database!C$9:C$501,ROW(Calc!A454)-ROW(Calc!$B$7))),"")</f>
        <v/>
      </c>
      <c r="D454" s="70" t="str">
        <f>IFERROR(IF(LEN(INDEX(Database!D$9:D$501,ROW(Calc!B454)-ROW(Calc!$B$7)))=0,"",INDEX(Database!D$9:D$501,ROW(Calc!B454)-ROW(Calc!$B$7))),"")</f>
        <v/>
      </c>
      <c r="E454" s="124" t="str">
        <f>IFERROR(IF(LEN(INDEX(Database!G$9:G$501,ROW(Calc!D454)-ROW(Calc!$B$7)))=0,$AD$3,INDEX(Database!G$9:G$501,ROW(Calc!D454)-ROW(Calc!$B$7))),"")</f>
        <v>Not Set</v>
      </c>
      <c r="F454" s="124" t="str">
        <f>IFERROR(IF(LEN(INDEX(Database!F$9:F$501,ROW(Calc!E454)-ROW(Calc!$B$7)))=0,$AD$3,INDEX(Database!F$9:F$501,ROW(Calc!E454)-ROW(Calc!$B$7))),"")</f>
        <v>Not Set</v>
      </c>
      <c r="G454" s="128" t="str">
        <f>IFERROR(IF(LEN(INDEX(Database!H$9:H$501,ROW(Calc!F454)-ROW(Calc!$B$7)))=0,$AD$3,INDEX(Database!H$9:H$501,ROW(Calc!F454)-ROW(Calc!$B$7))),"")</f>
        <v>Not Set</v>
      </c>
      <c r="H454" s="128" t="str">
        <f>IFERROR(IF(LEN(INDEX(Database!I$9:I$501,ROW(Calc!G454)-ROW(Calc!$B$7)))=0,$AD$3,INDEX(Database!I$9:I$501,ROW(Calc!G454)-ROW(Calc!$B$7))),"")</f>
        <v>Not Set</v>
      </c>
      <c r="I454" s="128" t="str">
        <f>IFERROR(IF(LEN(INDEX(Database!J$9:J$501,ROW(Calc!H454)-ROW(Calc!$B$7)))=0,$AD$3,INDEX(Database!J$9:J$501,ROW(Calc!H454)-ROW(Calc!$B$7))),"")</f>
        <v>Not Set</v>
      </c>
      <c r="J454" s="128" t="str">
        <f t="shared" si="59"/>
        <v>Not Set</v>
      </c>
      <c r="K454" s="124" t="str">
        <f>IFERROR(IF(LEN(INDEX(Database!E$9:E$501,ROW(Calc!I454)-ROW(Calc!$B$7)))=0,"",INDEX(Database!E$9:E$501,ROW(Calc!I454)-ROW(Calc!$B$7))),"")</f>
        <v/>
      </c>
      <c r="L454" s="129" t="str">
        <f>IFERROR(IF(LEN(INDEX(Database!K$9:K$501,ROW(Calc!K454)-ROW(Calc!$B$7)))=0,$AD$3,INDEX(Database!K$9:K$501,ROW(Calc!K454)-ROW(Calc!$B$7))),"")</f>
        <v>Not Set</v>
      </c>
      <c r="M454" s="130" t="str">
        <f>IFERROR(IF(LEN(INDEX(Database!L$9:L$501,ROW(Calc!L454)-ROW(Calc!$B$7)))=0,$AD$3,INDEX(Database!L$9:L$501,ROW(Calc!L454)-ROW(Calc!$B$7))),"")</f>
        <v>Not Set</v>
      </c>
      <c r="N454" s="131" t="str">
        <f>IFERROR(IF(LEN(INDEX(Database!M$9:M$501,ROW(Calc!M454)-ROW(Calc!$B$7)))=0,"",INDEX(Database!M$9:M$501,ROW(Calc!M454)-ROW(Calc!$B$7))),"")</f>
        <v/>
      </c>
      <c r="O454" s="132" t="str">
        <f t="shared" si="63"/>
        <v/>
      </c>
      <c r="P454" s="125" t="str">
        <f t="shared" si="60"/>
        <v>Not Set</v>
      </c>
      <c r="Q454" s="125" t="str">
        <f t="shared" si="61"/>
        <v>Not Set</v>
      </c>
      <c r="R454" s="125" t="str">
        <f>IFERROR(IF(G454=$AD$3,$AD$3,INDEX(Kanban_Helper!$C$317:$C$328,MATCH(MONTH(G454),Kanban_Helper!$B$317:$B$328,0))&amp;" - "&amp;YEAR(G454)),"$AD$3")</f>
        <v>Not Set</v>
      </c>
      <c r="S454" s="125" t="str">
        <f>IFERROR(IF(I454=$AD$3,$AD$3,INDEX(Kanban_Helper!$C$317:$C$328,MATCH(MONTH(I454),Kanban_Helper!$B$317:$B$328,0))&amp;" - "&amp;YEAR(I454)),$AD$3)</f>
        <v>Not Set</v>
      </c>
      <c r="T454" s="125" t="str">
        <f t="shared" ca="1" si="64"/>
        <v/>
      </c>
      <c r="U454" s="125" t="str">
        <f t="shared" ca="1" si="65"/>
        <v/>
      </c>
      <c r="V454" s="125" t="str">
        <f t="shared" si="62"/>
        <v>Not Set</v>
      </c>
      <c r="W454" s="126" t="str">
        <f t="shared" si="66"/>
        <v/>
      </c>
      <c r="X454" s="126" t="str">
        <f t="shared" si="67"/>
        <v/>
      </c>
      <c r="Y454" s="125" t="str">
        <f>IFERROR(IF(LEN(D454)=0,"",IF(SUBTOTAL(3,E454:E454)=0,MIN($Y$7:Y453)-1,SUBTOTAL(3,$E$8:E454))),"")</f>
        <v/>
      </c>
      <c r="Z454" s="17"/>
      <c r="AA454" s="10"/>
      <c r="AB454" s="10"/>
      <c r="AC454" s="10"/>
      <c r="AD454" s="10"/>
      <c r="AE454" s="10"/>
      <c r="AF454" s="10"/>
      <c r="AG454" s="10"/>
      <c r="AH454" s="10"/>
      <c r="AI454" s="10"/>
      <c r="AJ454" s="10"/>
      <c r="AK454" s="10"/>
      <c r="AL454" s="10"/>
      <c r="AM454" s="10"/>
      <c r="AN454" s="10"/>
    </row>
    <row r="455" spans="2:40" hidden="1" x14ac:dyDescent="0.35">
      <c r="B455" s="15"/>
      <c r="C455" s="127" t="str">
        <f>IFERROR(IF(LEN(INDEX(Database!C$9:C$501,ROW(Calc!A455)-ROW(Calc!$B$7)))=0,"",INDEX(Database!C$9:C$501,ROW(Calc!A455)-ROW(Calc!$B$7))),"")</f>
        <v/>
      </c>
      <c r="D455" s="70" t="str">
        <f>IFERROR(IF(LEN(INDEX(Database!D$9:D$501,ROW(Calc!B455)-ROW(Calc!$B$7)))=0,"",INDEX(Database!D$9:D$501,ROW(Calc!B455)-ROW(Calc!$B$7))),"")</f>
        <v/>
      </c>
      <c r="E455" s="124" t="str">
        <f>IFERROR(IF(LEN(INDEX(Database!G$9:G$501,ROW(Calc!D455)-ROW(Calc!$B$7)))=0,$AD$3,INDEX(Database!G$9:G$501,ROW(Calc!D455)-ROW(Calc!$B$7))),"")</f>
        <v>Not Set</v>
      </c>
      <c r="F455" s="124" t="str">
        <f>IFERROR(IF(LEN(INDEX(Database!F$9:F$501,ROW(Calc!E455)-ROW(Calc!$B$7)))=0,$AD$3,INDEX(Database!F$9:F$501,ROW(Calc!E455)-ROW(Calc!$B$7))),"")</f>
        <v>Not Set</v>
      </c>
      <c r="G455" s="128" t="str">
        <f>IFERROR(IF(LEN(INDEX(Database!H$9:H$501,ROW(Calc!F455)-ROW(Calc!$B$7)))=0,$AD$3,INDEX(Database!H$9:H$501,ROW(Calc!F455)-ROW(Calc!$B$7))),"")</f>
        <v>Not Set</v>
      </c>
      <c r="H455" s="128" t="str">
        <f>IFERROR(IF(LEN(INDEX(Database!I$9:I$501,ROW(Calc!G455)-ROW(Calc!$B$7)))=0,$AD$3,INDEX(Database!I$9:I$501,ROW(Calc!G455)-ROW(Calc!$B$7))),"")</f>
        <v>Not Set</v>
      </c>
      <c r="I455" s="128" t="str">
        <f>IFERROR(IF(LEN(INDEX(Database!J$9:J$501,ROW(Calc!H455)-ROW(Calc!$B$7)))=0,$AD$3,INDEX(Database!J$9:J$501,ROW(Calc!H455)-ROW(Calc!$B$7))),"")</f>
        <v>Not Set</v>
      </c>
      <c r="J455" s="128" t="str">
        <f t="shared" si="59"/>
        <v>Not Set</v>
      </c>
      <c r="K455" s="124" t="str">
        <f>IFERROR(IF(LEN(INDEX(Database!E$9:E$501,ROW(Calc!I455)-ROW(Calc!$B$7)))=0,"",INDEX(Database!E$9:E$501,ROW(Calc!I455)-ROW(Calc!$B$7))),"")</f>
        <v/>
      </c>
      <c r="L455" s="129" t="str">
        <f>IFERROR(IF(LEN(INDEX(Database!K$9:K$501,ROW(Calc!K455)-ROW(Calc!$B$7)))=0,$AD$3,INDEX(Database!K$9:K$501,ROW(Calc!K455)-ROW(Calc!$B$7))),"")</f>
        <v>Not Set</v>
      </c>
      <c r="M455" s="130" t="str">
        <f>IFERROR(IF(LEN(INDEX(Database!L$9:L$501,ROW(Calc!L455)-ROW(Calc!$B$7)))=0,$AD$3,INDEX(Database!L$9:L$501,ROW(Calc!L455)-ROW(Calc!$B$7))),"")</f>
        <v>Not Set</v>
      </c>
      <c r="N455" s="131" t="str">
        <f>IFERROR(IF(LEN(INDEX(Database!M$9:M$501,ROW(Calc!M455)-ROW(Calc!$B$7)))=0,"",INDEX(Database!M$9:M$501,ROW(Calc!M455)-ROW(Calc!$B$7))),"")</f>
        <v/>
      </c>
      <c r="O455" s="132" t="str">
        <f t="shared" si="63"/>
        <v/>
      </c>
      <c r="P455" s="125" t="str">
        <f t="shared" si="60"/>
        <v>Not Set</v>
      </c>
      <c r="Q455" s="125" t="str">
        <f t="shared" si="61"/>
        <v>Not Set</v>
      </c>
      <c r="R455" s="125" t="str">
        <f>IFERROR(IF(G455=$AD$3,$AD$3,INDEX(Kanban_Helper!$C$317:$C$328,MATCH(MONTH(G455),Kanban_Helper!$B$317:$B$328,0))&amp;" - "&amp;YEAR(G455)),"$AD$3")</f>
        <v>Not Set</v>
      </c>
      <c r="S455" s="125" t="str">
        <f>IFERROR(IF(I455=$AD$3,$AD$3,INDEX(Kanban_Helper!$C$317:$C$328,MATCH(MONTH(I455),Kanban_Helper!$B$317:$B$328,0))&amp;" - "&amp;YEAR(I455)),$AD$3)</f>
        <v>Not Set</v>
      </c>
      <c r="T455" s="125" t="str">
        <f t="shared" ca="1" si="64"/>
        <v/>
      </c>
      <c r="U455" s="125" t="str">
        <f t="shared" ca="1" si="65"/>
        <v/>
      </c>
      <c r="V455" s="125" t="str">
        <f t="shared" si="62"/>
        <v>Not Set</v>
      </c>
      <c r="W455" s="126" t="str">
        <f t="shared" si="66"/>
        <v/>
      </c>
      <c r="X455" s="126" t="str">
        <f t="shared" si="67"/>
        <v/>
      </c>
      <c r="Y455" s="125" t="str">
        <f>IFERROR(IF(LEN(D455)=0,"",IF(SUBTOTAL(3,E455:E455)=0,MIN($Y$7:Y454)-1,SUBTOTAL(3,$E$8:E455))),"")</f>
        <v/>
      </c>
      <c r="Z455" s="17"/>
      <c r="AA455" s="10"/>
      <c r="AB455" s="10"/>
      <c r="AC455" s="10"/>
      <c r="AD455" s="10"/>
      <c r="AE455" s="10"/>
      <c r="AF455" s="10"/>
      <c r="AG455" s="10"/>
      <c r="AH455" s="10"/>
      <c r="AI455" s="10"/>
      <c r="AJ455" s="10"/>
      <c r="AK455" s="10"/>
      <c r="AL455" s="10"/>
      <c r="AM455" s="10"/>
      <c r="AN455" s="10"/>
    </row>
    <row r="456" spans="2:40" hidden="1" x14ac:dyDescent="0.35">
      <c r="B456" s="15"/>
      <c r="C456" s="127" t="str">
        <f>IFERROR(IF(LEN(INDEX(Database!C$9:C$501,ROW(Calc!A456)-ROW(Calc!$B$7)))=0,"",INDEX(Database!C$9:C$501,ROW(Calc!A456)-ROW(Calc!$B$7))),"")</f>
        <v/>
      </c>
      <c r="D456" s="70" t="str">
        <f>IFERROR(IF(LEN(INDEX(Database!D$9:D$501,ROW(Calc!B456)-ROW(Calc!$B$7)))=0,"",INDEX(Database!D$9:D$501,ROW(Calc!B456)-ROW(Calc!$B$7))),"")</f>
        <v/>
      </c>
      <c r="E456" s="124" t="str">
        <f>IFERROR(IF(LEN(INDEX(Database!G$9:G$501,ROW(Calc!D456)-ROW(Calc!$B$7)))=0,$AD$3,INDEX(Database!G$9:G$501,ROW(Calc!D456)-ROW(Calc!$B$7))),"")</f>
        <v>Not Set</v>
      </c>
      <c r="F456" s="124" t="str">
        <f>IFERROR(IF(LEN(INDEX(Database!F$9:F$501,ROW(Calc!E456)-ROW(Calc!$B$7)))=0,$AD$3,INDEX(Database!F$9:F$501,ROW(Calc!E456)-ROW(Calc!$B$7))),"")</f>
        <v>Not Set</v>
      </c>
      <c r="G456" s="128" t="str">
        <f>IFERROR(IF(LEN(INDEX(Database!H$9:H$501,ROW(Calc!F456)-ROW(Calc!$B$7)))=0,$AD$3,INDEX(Database!H$9:H$501,ROW(Calc!F456)-ROW(Calc!$B$7))),"")</f>
        <v>Not Set</v>
      </c>
      <c r="H456" s="128" t="str">
        <f>IFERROR(IF(LEN(INDEX(Database!I$9:I$501,ROW(Calc!G456)-ROW(Calc!$B$7)))=0,$AD$3,INDEX(Database!I$9:I$501,ROW(Calc!G456)-ROW(Calc!$B$7))),"")</f>
        <v>Not Set</v>
      </c>
      <c r="I456" s="128" t="str">
        <f>IFERROR(IF(LEN(INDEX(Database!J$9:J$501,ROW(Calc!H456)-ROW(Calc!$B$7)))=0,$AD$3,INDEX(Database!J$9:J$501,ROW(Calc!H456)-ROW(Calc!$B$7))),"")</f>
        <v>Not Set</v>
      </c>
      <c r="J456" s="128" t="str">
        <f t="shared" ref="J456:J500" si="68">IFERROR(IF(I456=$AD$3,$AD$3,CONCATENATE(DAY(I456),".",MONTH(I456),".",YEAR(I456))),"")</f>
        <v>Not Set</v>
      </c>
      <c r="K456" s="124" t="str">
        <f>IFERROR(IF(LEN(INDEX(Database!E$9:E$501,ROW(Calc!I456)-ROW(Calc!$B$7)))=0,"",INDEX(Database!E$9:E$501,ROW(Calc!I456)-ROW(Calc!$B$7))),"")</f>
        <v/>
      </c>
      <c r="L456" s="129" t="str">
        <f>IFERROR(IF(LEN(INDEX(Database!K$9:K$501,ROW(Calc!K456)-ROW(Calc!$B$7)))=0,$AD$3,INDEX(Database!K$9:K$501,ROW(Calc!K456)-ROW(Calc!$B$7))),"")</f>
        <v>Not Set</v>
      </c>
      <c r="M456" s="130" t="str">
        <f>IFERROR(IF(LEN(INDEX(Database!L$9:L$501,ROW(Calc!L456)-ROW(Calc!$B$7)))=0,$AD$3,INDEX(Database!L$9:L$501,ROW(Calc!L456)-ROW(Calc!$B$7))),"")</f>
        <v>Not Set</v>
      </c>
      <c r="N456" s="131" t="str">
        <f>IFERROR(IF(LEN(INDEX(Database!M$9:M$501,ROW(Calc!M456)-ROW(Calc!$B$7)))=0,"",INDEX(Database!M$9:M$501,ROW(Calc!M456)-ROW(Calc!$B$7))),"")</f>
        <v/>
      </c>
      <c r="O456" s="132" t="str">
        <f t="shared" si="63"/>
        <v/>
      </c>
      <c r="P456" s="125" t="str">
        <f t="shared" ref="P456:P500" si="69">IFERROR(IF(G456=$AD$3,$AD$3,MONTH(G456)),"")</f>
        <v>Not Set</v>
      </c>
      <c r="Q456" s="125" t="str">
        <f t="shared" ref="Q456:Q500" si="70">IFERROR(IF(I456=$AD$3,$AD$3,MONTH(I456)),"")</f>
        <v>Not Set</v>
      </c>
      <c r="R456" s="125" t="str">
        <f>IFERROR(IF(G456=$AD$3,$AD$3,INDEX(Kanban_Helper!$C$317:$C$328,MATCH(MONTH(G456),Kanban_Helper!$B$317:$B$328,0))&amp;" - "&amp;YEAR(G456)),"$AD$3")</f>
        <v>Not Set</v>
      </c>
      <c r="S456" s="125" t="str">
        <f>IFERROR(IF(I456=$AD$3,$AD$3,INDEX(Kanban_Helper!$C$317:$C$328,MATCH(MONTH(I456),Kanban_Helper!$B$317:$B$328,0))&amp;" - "&amp;YEAR(I456)),$AD$3)</f>
        <v>Not Set</v>
      </c>
      <c r="T456" s="125" t="str">
        <f t="shared" ca="1" si="64"/>
        <v/>
      </c>
      <c r="U456" s="125" t="str">
        <f t="shared" ca="1" si="65"/>
        <v/>
      </c>
      <c r="V456" s="125" t="str">
        <f t="shared" ref="V456:V500" si="71">IFERROR(IF(OR(G456=$AD$3,H456=$AD$3),$AD$3,IF(H456&lt;=I456,"No","Yes")),$AD$3)</f>
        <v>Not Set</v>
      </c>
      <c r="W456" s="126" t="str">
        <f t="shared" si="66"/>
        <v/>
      </c>
      <c r="X456" s="126" t="str">
        <f t="shared" si="67"/>
        <v/>
      </c>
      <c r="Y456" s="125" t="str">
        <f>IFERROR(IF(LEN(D456)=0,"",IF(SUBTOTAL(3,E456:E456)=0,MIN($Y$7:Y455)-1,SUBTOTAL(3,$E$8:E456))),"")</f>
        <v/>
      </c>
      <c r="Z456" s="17"/>
      <c r="AA456" s="10"/>
      <c r="AB456" s="10"/>
      <c r="AC456" s="10"/>
      <c r="AD456" s="10"/>
      <c r="AE456" s="10"/>
      <c r="AF456" s="10"/>
      <c r="AG456" s="10"/>
      <c r="AH456" s="10"/>
      <c r="AI456" s="10"/>
      <c r="AJ456" s="10"/>
      <c r="AK456" s="10"/>
      <c r="AL456" s="10"/>
      <c r="AM456" s="10"/>
      <c r="AN456" s="10"/>
    </row>
    <row r="457" spans="2:40" hidden="1" x14ac:dyDescent="0.35">
      <c r="B457" s="15"/>
      <c r="C457" s="127" t="str">
        <f>IFERROR(IF(LEN(INDEX(Database!C$9:C$501,ROW(Calc!A457)-ROW(Calc!$B$7)))=0,"",INDEX(Database!C$9:C$501,ROW(Calc!A457)-ROW(Calc!$B$7))),"")</f>
        <v/>
      </c>
      <c r="D457" s="70" t="str">
        <f>IFERROR(IF(LEN(INDEX(Database!D$9:D$501,ROW(Calc!B457)-ROW(Calc!$B$7)))=0,"",INDEX(Database!D$9:D$501,ROW(Calc!B457)-ROW(Calc!$B$7))),"")</f>
        <v/>
      </c>
      <c r="E457" s="124" t="str">
        <f>IFERROR(IF(LEN(INDEX(Database!G$9:G$501,ROW(Calc!D457)-ROW(Calc!$B$7)))=0,$AD$3,INDEX(Database!G$9:G$501,ROW(Calc!D457)-ROW(Calc!$B$7))),"")</f>
        <v>Not Set</v>
      </c>
      <c r="F457" s="124" t="str">
        <f>IFERROR(IF(LEN(INDEX(Database!F$9:F$501,ROW(Calc!E457)-ROW(Calc!$B$7)))=0,$AD$3,INDEX(Database!F$9:F$501,ROW(Calc!E457)-ROW(Calc!$B$7))),"")</f>
        <v>Not Set</v>
      </c>
      <c r="G457" s="128" t="str">
        <f>IFERROR(IF(LEN(INDEX(Database!H$9:H$501,ROW(Calc!F457)-ROW(Calc!$B$7)))=0,$AD$3,INDEX(Database!H$9:H$501,ROW(Calc!F457)-ROW(Calc!$B$7))),"")</f>
        <v>Not Set</v>
      </c>
      <c r="H457" s="128" t="str">
        <f>IFERROR(IF(LEN(INDEX(Database!I$9:I$501,ROW(Calc!G457)-ROW(Calc!$B$7)))=0,$AD$3,INDEX(Database!I$9:I$501,ROW(Calc!G457)-ROW(Calc!$B$7))),"")</f>
        <v>Not Set</v>
      </c>
      <c r="I457" s="128" t="str">
        <f>IFERROR(IF(LEN(INDEX(Database!J$9:J$501,ROW(Calc!H457)-ROW(Calc!$B$7)))=0,$AD$3,INDEX(Database!J$9:J$501,ROW(Calc!H457)-ROW(Calc!$B$7))),"")</f>
        <v>Not Set</v>
      </c>
      <c r="J457" s="128" t="str">
        <f t="shared" si="68"/>
        <v>Not Set</v>
      </c>
      <c r="K457" s="124" t="str">
        <f>IFERROR(IF(LEN(INDEX(Database!E$9:E$501,ROW(Calc!I457)-ROW(Calc!$B$7)))=0,"",INDEX(Database!E$9:E$501,ROW(Calc!I457)-ROW(Calc!$B$7))),"")</f>
        <v/>
      </c>
      <c r="L457" s="129" t="str">
        <f>IFERROR(IF(LEN(INDEX(Database!K$9:K$501,ROW(Calc!K457)-ROW(Calc!$B$7)))=0,$AD$3,INDEX(Database!K$9:K$501,ROW(Calc!K457)-ROW(Calc!$B$7))),"")</f>
        <v>Not Set</v>
      </c>
      <c r="M457" s="130" t="str">
        <f>IFERROR(IF(LEN(INDEX(Database!L$9:L$501,ROW(Calc!L457)-ROW(Calc!$B$7)))=0,$AD$3,INDEX(Database!L$9:L$501,ROW(Calc!L457)-ROW(Calc!$B$7))),"")</f>
        <v>Not Set</v>
      </c>
      <c r="N457" s="131" t="str">
        <f>IFERROR(IF(LEN(INDEX(Database!M$9:M$501,ROW(Calc!M457)-ROW(Calc!$B$7)))=0,"",INDEX(Database!M$9:M$501,ROW(Calc!M457)-ROW(Calc!$B$7))),"")</f>
        <v/>
      </c>
      <c r="O457" s="132" t="str">
        <f t="shared" ref="O457:O500" si="72">IFERROR(IF(LEN(D457)=0,"",ROW(D457)-ROW($D$7)),"")</f>
        <v/>
      </c>
      <c r="P457" s="125" t="str">
        <f t="shared" si="69"/>
        <v>Not Set</v>
      </c>
      <c r="Q457" s="125" t="str">
        <f t="shared" si="70"/>
        <v>Not Set</v>
      </c>
      <c r="R457" s="125" t="str">
        <f>IFERROR(IF(G457=$AD$3,$AD$3,INDEX(Kanban_Helper!$C$317:$C$328,MATCH(MONTH(G457),Kanban_Helper!$B$317:$B$328,0))&amp;" - "&amp;YEAR(G457)),"$AD$3")</f>
        <v>Not Set</v>
      </c>
      <c r="S457" s="125" t="str">
        <f>IFERROR(IF(I457=$AD$3,$AD$3,INDEX(Kanban_Helper!$C$317:$C$328,MATCH(MONTH(I457),Kanban_Helper!$B$317:$B$328,0))&amp;" - "&amp;YEAR(I457)),$AD$3)</f>
        <v>Not Set</v>
      </c>
      <c r="T457" s="125" t="str">
        <f t="shared" ref="T457:T500" ca="1" si="73">IFERROR(IF(LEN(G457)=0,"",IF(LEN(H457)=0,TODAY()-G457,H457-G457)),"")</f>
        <v/>
      </c>
      <c r="U457" s="125" t="str">
        <f t="shared" ref="U457:U500" ca="1" si="74">IFERROR(IF(LEN(I457)=0,"",IF(LEN(H457)=0,IF(TODAY()&gt;=I457,TODAY()-I457,""),IF(H457&gt;I457,H457-I457,""))),"")</f>
        <v/>
      </c>
      <c r="V457" s="125" t="str">
        <f t="shared" si="71"/>
        <v>Not Set</v>
      </c>
      <c r="W457" s="126" t="str">
        <f t="shared" ref="W457:W500" si="75">IFERROR(IF(OR(LEN(L457)=0,LEN(M457)=0),"",L457*M457),"")</f>
        <v/>
      </c>
      <c r="X457" s="126" t="str">
        <f t="shared" ref="X457:X500" si="76">IFERROR(IF(OR(LEN(W457)=0,LEN(M457)=0),"",M457-W457),"")</f>
        <v/>
      </c>
      <c r="Y457" s="125" t="str">
        <f>IFERROR(IF(LEN(D457)=0,"",IF(SUBTOTAL(3,E457:E457)=0,MIN($Y$7:Y456)-1,SUBTOTAL(3,$E$8:E457))),"")</f>
        <v/>
      </c>
      <c r="Z457" s="17"/>
      <c r="AA457" s="10"/>
      <c r="AB457" s="10"/>
      <c r="AC457" s="10"/>
      <c r="AD457" s="10"/>
      <c r="AE457" s="10"/>
      <c r="AF457" s="10"/>
      <c r="AG457" s="10"/>
      <c r="AH457" s="10"/>
      <c r="AI457" s="10"/>
      <c r="AJ457" s="10"/>
      <c r="AK457" s="10"/>
      <c r="AL457" s="10"/>
      <c r="AM457" s="10"/>
      <c r="AN457" s="10"/>
    </row>
    <row r="458" spans="2:40" hidden="1" x14ac:dyDescent="0.35">
      <c r="B458" s="15"/>
      <c r="C458" s="127" t="str">
        <f>IFERROR(IF(LEN(INDEX(Database!C$9:C$501,ROW(Calc!A458)-ROW(Calc!$B$7)))=0,"",INDEX(Database!C$9:C$501,ROW(Calc!A458)-ROW(Calc!$B$7))),"")</f>
        <v/>
      </c>
      <c r="D458" s="70" t="str">
        <f>IFERROR(IF(LEN(INDEX(Database!D$9:D$501,ROW(Calc!B458)-ROW(Calc!$B$7)))=0,"",INDEX(Database!D$9:D$501,ROW(Calc!B458)-ROW(Calc!$B$7))),"")</f>
        <v/>
      </c>
      <c r="E458" s="124" t="str">
        <f>IFERROR(IF(LEN(INDEX(Database!G$9:G$501,ROW(Calc!D458)-ROW(Calc!$B$7)))=0,$AD$3,INDEX(Database!G$9:G$501,ROW(Calc!D458)-ROW(Calc!$B$7))),"")</f>
        <v>Not Set</v>
      </c>
      <c r="F458" s="124" t="str">
        <f>IFERROR(IF(LEN(INDEX(Database!F$9:F$501,ROW(Calc!E458)-ROW(Calc!$B$7)))=0,$AD$3,INDEX(Database!F$9:F$501,ROW(Calc!E458)-ROW(Calc!$B$7))),"")</f>
        <v>Not Set</v>
      </c>
      <c r="G458" s="128" t="str">
        <f>IFERROR(IF(LEN(INDEX(Database!H$9:H$501,ROW(Calc!F458)-ROW(Calc!$B$7)))=0,$AD$3,INDEX(Database!H$9:H$501,ROW(Calc!F458)-ROW(Calc!$B$7))),"")</f>
        <v>Not Set</v>
      </c>
      <c r="H458" s="128" t="str">
        <f>IFERROR(IF(LEN(INDEX(Database!I$9:I$501,ROW(Calc!G458)-ROW(Calc!$B$7)))=0,$AD$3,INDEX(Database!I$9:I$501,ROW(Calc!G458)-ROW(Calc!$B$7))),"")</f>
        <v>Not Set</v>
      </c>
      <c r="I458" s="128" t="str">
        <f>IFERROR(IF(LEN(INDEX(Database!J$9:J$501,ROW(Calc!H458)-ROW(Calc!$B$7)))=0,$AD$3,INDEX(Database!J$9:J$501,ROW(Calc!H458)-ROW(Calc!$B$7))),"")</f>
        <v>Not Set</v>
      </c>
      <c r="J458" s="128" t="str">
        <f t="shared" si="68"/>
        <v>Not Set</v>
      </c>
      <c r="K458" s="124" t="str">
        <f>IFERROR(IF(LEN(INDEX(Database!E$9:E$501,ROW(Calc!I458)-ROW(Calc!$B$7)))=0,"",INDEX(Database!E$9:E$501,ROW(Calc!I458)-ROW(Calc!$B$7))),"")</f>
        <v/>
      </c>
      <c r="L458" s="129" t="str">
        <f>IFERROR(IF(LEN(INDEX(Database!K$9:K$501,ROW(Calc!K458)-ROW(Calc!$B$7)))=0,$AD$3,INDEX(Database!K$9:K$501,ROW(Calc!K458)-ROW(Calc!$B$7))),"")</f>
        <v>Not Set</v>
      </c>
      <c r="M458" s="130" t="str">
        <f>IFERROR(IF(LEN(INDEX(Database!L$9:L$501,ROW(Calc!L458)-ROW(Calc!$B$7)))=0,$AD$3,INDEX(Database!L$9:L$501,ROW(Calc!L458)-ROW(Calc!$B$7))),"")</f>
        <v>Not Set</v>
      </c>
      <c r="N458" s="131" t="str">
        <f>IFERROR(IF(LEN(INDEX(Database!M$9:M$501,ROW(Calc!M458)-ROW(Calc!$B$7)))=0,"",INDEX(Database!M$9:M$501,ROW(Calc!M458)-ROW(Calc!$B$7))),"")</f>
        <v/>
      </c>
      <c r="O458" s="132" t="str">
        <f t="shared" si="72"/>
        <v/>
      </c>
      <c r="P458" s="125" t="str">
        <f t="shared" si="69"/>
        <v>Not Set</v>
      </c>
      <c r="Q458" s="125" t="str">
        <f t="shared" si="70"/>
        <v>Not Set</v>
      </c>
      <c r="R458" s="125" t="str">
        <f>IFERROR(IF(G458=$AD$3,$AD$3,INDEX(Kanban_Helper!$C$317:$C$328,MATCH(MONTH(G458),Kanban_Helper!$B$317:$B$328,0))&amp;" - "&amp;YEAR(G458)),"$AD$3")</f>
        <v>Not Set</v>
      </c>
      <c r="S458" s="125" t="str">
        <f>IFERROR(IF(I458=$AD$3,$AD$3,INDEX(Kanban_Helper!$C$317:$C$328,MATCH(MONTH(I458),Kanban_Helper!$B$317:$B$328,0))&amp;" - "&amp;YEAR(I458)),$AD$3)</f>
        <v>Not Set</v>
      </c>
      <c r="T458" s="125" t="str">
        <f t="shared" ca="1" si="73"/>
        <v/>
      </c>
      <c r="U458" s="125" t="str">
        <f t="shared" ca="1" si="74"/>
        <v/>
      </c>
      <c r="V458" s="125" t="str">
        <f t="shared" si="71"/>
        <v>Not Set</v>
      </c>
      <c r="W458" s="126" t="str">
        <f t="shared" si="75"/>
        <v/>
      </c>
      <c r="X458" s="126" t="str">
        <f t="shared" si="76"/>
        <v/>
      </c>
      <c r="Y458" s="125" t="str">
        <f>IFERROR(IF(LEN(D458)=0,"",IF(SUBTOTAL(3,E458:E458)=0,MIN($Y$7:Y457)-1,SUBTOTAL(3,$E$8:E458))),"")</f>
        <v/>
      </c>
      <c r="Z458" s="17"/>
      <c r="AA458" s="10"/>
      <c r="AB458" s="10"/>
      <c r="AC458" s="10"/>
      <c r="AD458" s="10"/>
      <c r="AE458" s="10"/>
      <c r="AF458" s="10"/>
      <c r="AG458" s="10"/>
      <c r="AH458" s="10"/>
      <c r="AI458" s="10"/>
      <c r="AJ458" s="10"/>
      <c r="AK458" s="10"/>
      <c r="AL458" s="10"/>
      <c r="AM458" s="10"/>
      <c r="AN458" s="10"/>
    </row>
    <row r="459" spans="2:40" hidden="1" x14ac:dyDescent="0.35">
      <c r="B459" s="15"/>
      <c r="C459" s="127" t="str">
        <f>IFERROR(IF(LEN(INDEX(Database!C$9:C$501,ROW(Calc!A459)-ROW(Calc!$B$7)))=0,"",INDEX(Database!C$9:C$501,ROW(Calc!A459)-ROW(Calc!$B$7))),"")</f>
        <v/>
      </c>
      <c r="D459" s="70" t="str">
        <f>IFERROR(IF(LEN(INDEX(Database!D$9:D$501,ROW(Calc!B459)-ROW(Calc!$B$7)))=0,"",INDEX(Database!D$9:D$501,ROW(Calc!B459)-ROW(Calc!$B$7))),"")</f>
        <v/>
      </c>
      <c r="E459" s="124" t="str">
        <f>IFERROR(IF(LEN(INDEX(Database!G$9:G$501,ROW(Calc!D459)-ROW(Calc!$B$7)))=0,$AD$3,INDEX(Database!G$9:G$501,ROW(Calc!D459)-ROW(Calc!$B$7))),"")</f>
        <v>Not Set</v>
      </c>
      <c r="F459" s="124" t="str">
        <f>IFERROR(IF(LEN(INDEX(Database!F$9:F$501,ROW(Calc!E459)-ROW(Calc!$B$7)))=0,$AD$3,INDEX(Database!F$9:F$501,ROW(Calc!E459)-ROW(Calc!$B$7))),"")</f>
        <v>Not Set</v>
      </c>
      <c r="G459" s="128" t="str">
        <f>IFERROR(IF(LEN(INDEX(Database!H$9:H$501,ROW(Calc!F459)-ROW(Calc!$B$7)))=0,$AD$3,INDEX(Database!H$9:H$501,ROW(Calc!F459)-ROW(Calc!$B$7))),"")</f>
        <v>Not Set</v>
      </c>
      <c r="H459" s="128" t="str">
        <f>IFERROR(IF(LEN(INDEX(Database!I$9:I$501,ROW(Calc!G459)-ROW(Calc!$B$7)))=0,$AD$3,INDEX(Database!I$9:I$501,ROW(Calc!G459)-ROW(Calc!$B$7))),"")</f>
        <v>Not Set</v>
      </c>
      <c r="I459" s="128" t="str">
        <f>IFERROR(IF(LEN(INDEX(Database!J$9:J$501,ROW(Calc!H459)-ROW(Calc!$B$7)))=0,$AD$3,INDEX(Database!J$9:J$501,ROW(Calc!H459)-ROW(Calc!$B$7))),"")</f>
        <v>Not Set</v>
      </c>
      <c r="J459" s="128" t="str">
        <f t="shared" si="68"/>
        <v>Not Set</v>
      </c>
      <c r="K459" s="124" t="str">
        <f>IFERROR(IF(LEN(INDEX(Database!E$9:E$501,ROW(Calc!I459)-ROW(Calc!$B$7)))=0,"",INDEX(Database!E$9:E$501,ROW(Calc!I459)-ROW(Calc!$B$7))),"")</f>
        <v/>
      </c>
      <c r="L459" s="129" t="str">
        <f>IFERROR(IF(LEN(INDEX(Database!K$9:K$501,ROW(Calc!K459)-ROW(Calc!$B$7)))=0,$AD$3,INDEX(Database!K$9:K$501,ROW(Calc!K459)-ROW(Calc!$B$7))),"")</f>
        <v>Not Set</v>
      </c>
      <c r="M459" s="130" t="str">
        <f>IFERROR(IF(LEN(INDEX(Database!L$9:L$501,ROW(Calc!L459)-ROW(Calc!$B$7)))=0,$AD$3,INDEX(Database!L$9:L$501,ROW(Calc!L459)-ROW(Calc!$B$7))),"")</f>
        <v>Not Set</v>
      </c>
      <c r="N459" s="131" t="str">
        <f>IFERROR(IF(LEN(INDEX(Database!M$9:M$501,ROW(Calc!M459)-ROW(Calc!$B$7)))=0,"",INDEX(Database!M$9:M$501,ROW(Calc!M459)-ROW(Calc!$B$7))),"")</f>
        <v/>
      </c>
      <c r="O459" s="132" t="str">
        <f t="shared" si="72"/>
        <v/>
      </c>
      <c r="P459" s="125" t="str">
        <f t="shared" si="69"/>
        <v>Not Set</v>
      </c>
      <c r="Q459" s="125" t="str">
        <f t="shared" si="70"/>
        <v>Not Set</v>
      </c>
      <c r="R459" s="125" t="str">
        <f>IFERROR(IF(G459=$AD$3,$AD$3,INDEX(Kanban_Helper!$C$317:$C$328,MATCH(MONTH(G459),Kanban_Helper!$B$317:$B$328,0))&amp;" - "&amp;YEAR(G459)),"$AD$3")</f>
        <v>Not Set</v>
      </c>
      <c r="S459" s="125" t="str">
        <f>IFERROR(IF(I459=$AD$3,$AD$3,INDEX(Kanban_Helper!$C$317:$C$328,MATCH(MONTH(I459),Kanban_Helper!$B$317:$B$328,0))&amp;" - "&amp;YEAR(I459)),$AD$3)</f>
        <v>Not Set</v>
      </c>
      <c r="T459" s="125" t="str">
        <f t="shared" ca="1" si="73"/>
        <v/>
      </c>
      <c r="U459" s="125" t="str">
        <f t="shared" ca="1" si="74"/>
        <v/>
      </c>
      <c r="V459" s="125" t="str">
        <f t="shared" si="71"/>
        <v>Not Set</v>
      </c>
      <c r="W459" s="126" t="str">
        <f t="shared" si="75"/>
        <v/>
      </c>
      <c r="X459" s="126" t="str">
        <f t="shared" si="76"/>
        <v/>
      </c>
      <c r="Y459" s="125" t="str">
        <f>IFERROR(IF(LEN(D459)=0,"",IF(SUBTOTAL(3,E459:E459)=0,MIN($Y$7:Y458)-1,SUBTOTAL(3,$E$8:E459))),"")</f>
        <v/>
      </c>
      <c r="Z459" s="17"/>
      <c r="AA459" s="10"/>
      <c r="AB459" s="10"/>
      <c r="AC459" s="10"/>
      <c r="AD459" s="10"/>
      <c r="AE459" s="10"/>
      <c r="AF459" s="10"/>
      <c r="AG459" s="10"/>
      <c r="AH459" s="10"/>
      <c r="AI459" s="10"/>
      <c r="AJ459" s="10"/>
      <c r="AK459" s="10"/>
      <c r="AL459" s="10"/>
      <c r="AM459" s="10"/>
      <c r="AN459" s="10"/>
    </row>
    <row r="460" spans="2:40" hidden="1" x14ac:dyDescent="0.35">
      <c r="B460" s="15"/>
      <c r="C460" s="127" t="str">
        <f>IFERROR(IF(LEN(INDEX(Database!C$9:C$501,ROW(Calc!A460)-ROW(Calc!$B$7)))=0,"",INDEX(Database!C$9:C$501,ROW(Calc!A460)-ROW(Calc!$B$7))),"")</f>
        <v/>
      </c>
      <c r="D460" s="70" t="str">
        <f>IFERROR(IF(LEN(INDEX(Database!D$9:D$501,ROW(Calc!B460)-ROW(Calc!$B$7)))=0,"",INDEX(Database!D$9:D$501,ROW(Calc!B460)-ROW(Calc!$B$7))),"")</f>
        <v/>
      </c>
      <c r="E460" s="124" t="str">
        <f>IFERROR(IF(LEN(INDEX(Database!G$9:G$501,ROW(Calc!D460)-ROW(Calc!$B$7)))=0,$AD$3,INDEX(Database!G$9:G$501,ROW(Calc!D460)-ROW(Calc!$B$7))),"")</f>
        <v>Not Set</v>
      </c>
      <c r="F460" s="124" t="str">
        <f>IFERROR(IF(LEN(INDEX(Database!F$9:F$501,ROW(Calc!E460)-ROW(Calc!$B$7)))=0,$AD$3,INDEX(Database!F$9:F$501,ROW(Calc!E460)-ROW(Calc!$B$7))),"")</f>
        <v>Not Set</v>
      </c>
      <c r="G460" s="128" t="str">
        <f>IFERROR(IF(LEN(INDEX(Database!H$9:H$501,ROW(Calc!F460)-ROW(Calc!$B$7)))=0,$AD$3,INDEX(Database!H$9:H$501,ROW(Calc!F460)-ROW(Calc!$B$7))),"")</f>
        <v>Not Set</v>
      </c>
      <c r="H460" s="128" t="str">
        <f>IFERROR(IF(LEN(INDEX(Database!I$9:I$501,ROW(Calc!G460)-ROW(Calc!$B$7)))=0,$AD$3,INDEX(Database!I$9:I$501,ROW(Calc!G460)-ROW(Calc!$B$7))),"")</f>
        <v>Not Set</v>
      </c>
      <c r="I460" s="128" t="str">
        <f>IFERROR(IF(LEN(INDEX(Database!J$9:J$501,ROW(Calc!H460)-ROW(Calc!$B$7)))=0,$AD$3,INDEX(Database!J$9:J$501,ROW(Calc!H460)-ROW(Calc!$B$7))),"")</f>
        <v>Not Set</v>
      </c>
      <c r="J460" s="128" t="str">
        <f t="shared" si="68"/>
        <v>Not Set</v>
      </c>
      <c r="K460" s="124" t="str">
        <f>IFERROR(IF(LEN(INDEX(Database!E$9:E$501,ROW(Calc!I460)-ROW(Calc!$B$7)))=0,"",INDEX(Database!E$9:E$501,ROW(Calc!I460)-ROW(Calc!$B$7))),"")</f>
        <v/>
      </c>
      <c r="L460" s="129" t="str">
        <f>IFERROR(IF(LEN(INDEX(Database!K$9:K$501,ROW(Calc!K460)-ROW(Calc!$B$7)))=0,$AD$3,INDEX(Database!K$9:K$501,ROW(Calc!K460)-ROW(Calc!$B$7))),"")</f>
        <v>Not Set</v>
      </c>
      <c r="M460" s="130" t="str">
        <f>IFERROR(IF(LEN(INDEX(Database!L$9:L$501,ROW(Calc!L460)-ROW(Calc!$B$7)))=0,$AD$3,INDEX(Database!L$9:L$501,ROW(Calc!L460)-ROW(Calc!$B$7))),"")</f>
        <v>Not Set</v>
      </c>
      <c r="N460" s="131" t="str">
        <f>IFERROR(IF(LEN(INDEX(Database!M$9:M$501,ROW(Calc!M460)-ROW(Calc!$B$7)))=0,"",INDEX(Database!M$9:M$501,ROW(Calc!M460)-ROW(Calc!$B$7))),"")</f>
        <v/>
      </c>
      <c r="O460" s="132" t="str">
        <f t="shared" si="72"/>
        <v/>
      </c>
      <c r="P460" s="125" t="str">
        <f t="shared" si="69"/>
        <v>Not Set</v>
      </c>
      <c r="Q460" s="125" t="str">
        <f t="shared" si="70"/>
        <v>Not Set</v>
      </c>
      <c r="R460" s="125" t="str">
        <f>IFERROR(IF(G460=$AD$3,$AD$3,INDEX(Kanban_Helper!$C$317:$C$328,MATCH(MONTH(G460),Kanban_Helper!$B$317:$B$328,0))&amp;" - "&amp;YEAR(G460)),"$AD$3")</f>
        <v>Not Set</v>
      </c>
      <c r="S460" s="125" t="str">
        <f>IFERROR(IF(I460=$AD$3,$AD$3,INDEX(Kanban_Helper!$C$317:$C$328,MATCH(MONTH(I460),Kanban_Helper!$B$317:$B$328,0))&amp;" - "&amp;YEAR(I460)),$AD$3)</f>
        <v>Not Set</v>
      </c>
      <c r="T460" s="125" t="str">
        <f t="shared" ca="1" si="73"/>
        <v/>
      </c>
      <c r="U460" s="125" t="str">
        <f t="shared" ca="1" si="74"/>
        <v/>
      </c>
      <c r="V460" s="125" t="str">
        <f t="shared" si="71"/>
        <v>Not Set</v>
      </c>
      <c r="W460" s="126" t="str">
        <f t="shared" si="75"/>
        <v/>
      </c>
      <c r="X460" s="126" t="str">
        <f t="shared" si="76"/>
        <v/>
      </c>
      <c r="Y460" s="125" t="str">
        <f>IFERROR(IF(LEN(D460)=0,"",IF(SUBTOTAL(3,E460:E460)=0,MIN($Y$7:Y459)-1,SUBTOTAL(3,$E$8:E460))),"")</f>
        <v/>
      </c>
      <c r="Z460" s="17"/>
      <c r="AA460" s="10"/>
      <c r="AB460" s="10"/>
      <c r="AC460" s="10"/>
      <c r="AD460" s="10"/>
      <c r="AE460" s="10"/>
      <c r="AF460" s="10"/>
      <c r="AG460" s="10"/>
      <c r="AH460" s="10"/>
      <c r="AI460" s="10"/>
      <c r="AJ460" s="10"/>
      <c r="AK460" s="10"/>
      <c r="AL460" s="10"/>
      <c r="AM460" s="10"/>
      <c r="AN460" s="10"/>
    </row>
    <row r="461" spans="2:40" hidden="1" x14ac:dyDescent="0.35">
      <c r="B461" s="15"/>
      <c r="C461" s="127" t="str">
        <f>IFERROR(IF(LEN(INDEX(Database!C$9:C$501,ROW(Calc!A461)-ROW(Calc!$B$7)))=0,"",INDEX(Database!C$9:C$501,ROW(Calc!A461)-ROW(Calc!$B$7))),"")</f>
        <v/>
      </c>
      <c r="D461" s="70" t="str">
        <f>IFERROR(IF(LEN(INDEX(Database!D$9:D$501,ROW(Calc!B461)-ROW(Calc!$B$7)))=0,"",INDEX(Database!D$9:D$501,ROW(Calc!B461)-ROW(Calc!$B$7))),"")</f>
        <v/>
      </c>
      <c r="E461" s="124" t="str">
        <f>IFERROR(IF(LEN(INDEX(Database!G$9:G$501,ROW(Calc!D461)-ROW(Calc!$B$7)))=0,$AD$3,INDEX(Database!G$9:G$501,ROW(Calc!D461)-ROW(Calc!$B$7))),"")</f>
        <v>Not Set</v>
      </c>
      <c r="F461" s="124" t="str">
        <f>IFERROR(IF(LEN(INDEX(Database!F$9:F$501,ROW(Calc!E461)-ROW(Calc!$B$7)))=0,$AD$3,INDEX(Database!F$9:F$501,ROW(Calc!E461)-ROW(Calc!$B$7))),"")</f>
        <v>Not Set</v>
      </c>
      <c r="G461" s="128" t="str">
        <f>IFERROR(IF(LEN(INDEX(Database!H$9:H$501,ROW(Calc!F461)-ROW(Calc!$B$7)))=0,$AD$3,INDEX(Database!H$9:H$501,ROW(Calc!F461)-ROW(Calc!$B$7))),"")</f>
        <v>Not Set</v>
      </c>
      <c r="H461" s="128" t="str">
        <f>IFERROR(IF(LEN(INDEX(Database!I$9:I$501,ROW(Calc!G461)-ROW(Calc!$B$7)))=0,$AD$3,INDEX(Database!I$9:I$501,ROW(Calc!G461)-ROW(Calc!$B$7))),"")</f>
        <v>Not Set</v>
      </c>
      <c r="I461" s="128" t="str">
        <f>IFERROR(IF(LEN(INDEX(Database!J$9:J$501,ROW(Calc!H461)-ROW(Calc!$B$7)))=0,$AD$3,INDEX(Database!J$9:J$501,ROW(Calc!H461)-ROW(Calc!$B$7))),"")</f>
        <v>Not Set</v>
      </c>
      <c r="J461" s="128" t="str">
        <f t="shared" si="68"/>
        <v>Not Set</v>
      </c>
      <c r="K461" s="124" t="str">
        <f>IFERROR(IF(LEN(INDEX(Database!E$9:E$501,ROW(Calc!I461)-ROW(Calc!$B$7)))=0,"",INDEX(Database!E$9:E$501,ROW(Calc!I461)-ROW(Calc!$B$7))),"")</f>
        <v/>
      </c>
      <c r="L461" s="129" t="str">
        <f>IFERROR(IF(LEN(INDEX(Database!K$9:K$501,ROW(Calc!K461)-ROW(Calc!$B$7)))=0,$AD$3,INDEX(Database!K$9:K$501,ROW(Calc!K461)-ROW(Calc!$B$7))),"")</f>
        <v>Not Set</v>
      </c>
      <c r="M461" s="130" t="str">
        <f>IFERROR(IF(LEN(INDEX(Database!L$9:L$501,ROW(Calc!L461)-ROW(Calc!$B$7)))=0,$AD$3,INDEX(Database!L$9:L$501,ROW(Calc!L461)-ROW(Calc!$B$7))),"")</f>
        <v>Not Set</v>
      </c>
      <c r="N461" s="131" t="str">
        <f>IFERROR(IF(LEN(INDEX(Database!M$9:M$501,ROW(Calc!M461)-ROW(Calc!$B$7)))=0,"",INDEX(Database!M$9:M$501,ROW(Calc!M461)-ROW(Calc!$B$7))),"")</f>
        <v/>
      </c>
      <c r="O461" s="132" t="str">
        <f t="shared" si="72"/>
        <v/>
      </c>
      <c r="P461" s="125" t="str">
        <f t="shared" si="69"/>
        <v>Not Set</v>
      </c>
      <c r="Q461" s="125" t="str">
        <f t="shared" si="70"/>
        <v>Not Set</v>
      </c>
      <c r="R461" s="125" t="str">
        <f>IFERROR(IF(G461=$AD$3,$AD$3,INDEX(Kanban_Helper!$C$317:$C$328,MATCH(MONTH(G461),Kanban_Helper!$B$317:$B$328,0))&amp;" - "&amp;YEAR(G461)),"$AD$3")</f>
        <v>Not Set</v>
      </c>
      <c r="S461" s="125" t="str">
        <f>IFERROR(IF(I461=$AD$3,$AD$3,INDEX(Kanban_Helper!$C$317:$C$328,MATCH(MONTH(I461),Kanban_Helper!$B$317:$B$328,0))&amp;" - "&amp;YEAR(I461)),$AD$3)</f>
        <v>Not Set</v>
      </c>
      <c r="T461" s="125" t="str">
        <f t="shared" ca="1" si="73"/>
        <v/>
      </c>
      <c r="U461" s="125" t="str">
        <f t="shared" ca="1" si="74"/>
        <v/>
      </c>
      <c r="V461" s="125" t="str">
        <f t="shared" si="71"/>
        <v>Not Set</v>
      </c>
      <c r="W461" s="126" t="str">
        <f t="shared" si="75"/>
        <v/>
      </c>
      <c r="X461" s="126" t="str">
        <f t="shared" si="76"/>
        <v/>
      </c>
      <c r="Y461" s="125" t="str">
        <f>IFERROR(IF(LEN(D461)=0,"",IF(SUBTOTAL(3,E461:E461)=0,MIN($Y$7:Y460)-1,SUBTOTAL(3,$E$8:E461))),"")</f>
        <v/>
      </c>
      <c r="Z461" s="17"/>
      <c r="AA461" s="10"/>
      <c r="AB461" s="10"/>
      <c r="AC461" s="10"/>
      <c r="AD461" s="10"/>
      <c r="AE461" s="10"/>
      <c r="AF461" s="10"/>
      <c r="AG461" s="10"/>
      <c r="AH461" s="10"/>
      <c r="AI461" s="10"/>
      <c r="AJ461" s="10"/>
      <c r="AK461" s="10"/>
      <c r="AL461" s="10"/>
      <c r="AM461" s="10"/>
      <c r="AN461" s="10"/>
    </row>
    <row r="462" spans="2:40" hidden="1" x14ac:dyDescent="0.35">
      <c r="B462" s="15"/>
      <c r="C462" s="127" t="str">
        <f>IFERROR(IF(LEN(INDEX(Database!C$9:C$501,ROW(Calc!A462)-ROW(Calc!$B$7)))=0,"",INDEX(Database!C$9:C$501,ROW(Calc!A462)-ROW(Calc!$B$7))),"")</f>
        <v/>
      </c>
      <c r="D462" s="70" t="str">
        <f>IFERROR(IF(LEN(INDEX(Database!D$9:D$501,ROW(Calc!B462)-ROW(Calc!$B$7)))=0,"",INDEX(Database!D$9:D$501,ROW(Calc!B462)-ROW(Calc!$B$7))),"")</f>
        <v/>
      </c>
      <c r="E462" s="124" t="str">
        <f>IFERROR(IF(LEN(INDEX(Database!G$9:G$501,ROW(Calc!D462)-ROW(Calc!$B$7)))=0,$AD$3,INDEX(Database!G$9:G$501,ROW(Calc!D462)-ROW(Calc!$B$7))),"")</f>
        <v>Not Set</v>
      </c>
      <c r="F462" s="124" t="str">
        <f>IFERROR(IF(LEN(INDEX(Database!F$9:F$501,ROW(Calc!E462)-ROW(Calc!$B$7)))=0,$AD$3,INDEX(Database!F$9:F$501,ROW(Calc!E462)-ROW(Calc!$B$7))),"")</f>
        <v>Not Set</v>
      </c>
      <c r="G462" s="128" t="str">
        <f>IFERROR(IF(LEN(INDEX(Database!H$9:H$501,ROW(Calc!F462)-ROW(Calc!$B$7)))=0,$AD$3,INDEX(Database!H$9:H$501,ROW(Calc!F462)-ROW(Calc!$B$7))),"")</f>
        <v>Not Set</v>
      </c>
      <c r="H462" s="128" t="str">
        <f>IFERROR(IF(LEN(INDEX(Database!I$9:I$501,ROW(Calc!G462)-ROW(Calc!$B$7)))=0,$AD$3,INDEX(Database!I$9:I$501,ROW(Calc!G462)-ROW(Calc!$B$7))),"")</f>
        <v>Not Set</v>
      </c>
      <c r="I462" s="128" t="str">
        <f>IFERROR(IF(LEN(INDEX(Database!J$9:J$501,ROW(Calc!H462)-ROW(Calc!$B$7)))=0,$AD$3,INDEX(Database!J$9:J$501,ROW(Calc!H462)-ROW(Calc!$B$7))),"")</f>
        <v>Not Set</v>
      </c>
      <c r="J462" s="128" t="str">
        <f t="shared" si="68"/>
        <v>Not Set</v>
      </c>
      <c r="K462" s="124" t="str">
        <f>IFERROR(IF(LEN(INDEX(Database!E$9:E$501,ROW(Calc!I462)-ROW(Calc!$B$7)))=0,"",INDEX(Database!E$9:E$501,ROW(Calc!I462)-ROW(Calc!$B$7))),"")</f>
        <v/>
      </c>
      <c r="L462" s="129" t="str">
        <f>IFERROR(IF(LEN(INDEX(Database!K$9:K$501,ROW(Calc!K462)-ROW(Calc!$B$7)))=0,$AD$3,INDEX(Database!K$9:K$501,ROW(Calc!K462)-ROW(Calc!$B$7))),"")</f>
        <v>Not Set</v>
      </c>
      <c r="M462" s="130" t="str">
        <f>IFERROR(IF(LEN(INDEX(Database!L$9:L$501,ROW(Calc!L462)-ROW(Calc!$B$7)))=0,$AD$3,INDEX(Database!L$9:L$501,ROW(Calc!L462)-ROW(Calc!$B$7))),"")</f>
        <v>Not Set</v>
      </c>
      <c r="N462" s="131" t="str">
        <f>IFERROR(IF(LEN(INDEX(Database!M$9:M$501,ROW(Calc!M462)-ROW(Calc!$B$7)))=0,"",INDEX(Database!M$9:M$501,ROW(Calc!M462)-ROW(Calc!$B$7))),"")</f>
        <v/>
      </c>
      <c r="O462" s="132" t="str">
        <f t="shared" si="72"/>
        <v/>
      </c>
      <c r="P462" s="125" t="str">
        <f t="shared" si="69"/>
        <v>Not Set</v>
      </c>
      <c r="Q462" s="125" t="str">
        <f t="shared" si="70"/>
        <v>Not Set</v>
      </c>
      <c r="R462" s="125" t="str">
        <f>IFERROR(IF(G462=$AD$3,$AD$3,INDEX(Kanban_Helper!$C$317:$C$328,MATCH(MONTH(G462),Kanban_Helper!$B$317:$B$328,0))&amp;" - "&amp;YEAR(G462)),"$AD$3")</f>
        <v>Not Set</v>
      </c>
      <c r="S462" s="125" t="str">
        <f>IFERROR(IF(I462=$AD$3,$AD$3,INDEX(Kanban_Helper!$C$317:$C$328,MATCH(MONTH(I462),Kanban_Helper!$B$317:$B$328,0))&amp;" - "&amp;YEAR(I462)),$AD$3)</f>
        <v>Not Set</v>
      </c>
      <c r="T462" s="125" t="str">
        <f t="shared" ca="1" si="73"/>
        <v/>
      </c>
      <c r="U462" s="125" t="str">
        <f t="shared" ca="1" si="74"/>
        <v/>
      </c>
      <c r="V462" s="125" t="str">
        <f t="shared" si="71"/>
        <v>Not Set</v>
      </c>
      <c r="W462" s="126" t="str">
        <f t="shared" si="75"/>
        <v/>
      </c>
      <c r="X462" s="126" t="str">
        <f t="shared" si="76"/>
        <v/>
      </c>
      <c r="Y462" s="125" t="str">
        <f>IFERROR(IF(LEN(D462)=0,"",IF(SUBTOTAL(3,E462:E462)=0,MIN($Y$7:Y461)-1,SUBTOTAL(3,$E$8:E462))),"")</f>
        <v/>
      </c>
      <c r="Z462" s="17"/>
      <c r="AA462" s="10"/>
      <c r="AB462" s="10"/>
      <c r="AC462" s="10"/>
      <c r="AD462" s="10"/>
      <c r="AE462" s="10"/>
      <c r="AF462" s="10"/>
      <c r="AG462" s="10"/>
      <c r="AH462" s="10"/>
      <c r="AI462" s="10"/>
      <c r="AJ462" s="10"/>
      <c r="AK462" s="10"/>
      <c r="AL462" s="10"/>
      <c r="AM462" s="10"/>
      <c r="AN462" s="10"/>
    </row>
    <row r="463" spans="2:40" hidden="1" x14ac:dyDescent="0.35">
      <c r="B463" s="15"/>
      <c r="C463" s="127" t="str">
        <f>IFERROR(IF(LEN(INDEX(Database!C$9:C$501,ROW(Calc!A463)-ROW(Calc!$B$7)))=0,"",INDEX(Database!C$9:C$501,ROW(Calc!A463)-ROW(Calc!$B$7))),"")</f>
        <v/>
      </c>
      <c r="D463" s="70" t="str">
        <f>IFERROR(IF(LEN(INDEX(Database!D$9:D$501,ROW(Calc!B463)-ROW(Calc!$B$7)))=0,"",INDEX(Database!D$9:D$501,ROW(Calc!B463)-ROW(Calc!$B$7))),"")</f>
        <v/>
      </c>
      <c r="E463" s="124" t="str">
        <f>IFERROR(IF(LEN(INDEX(Database!G$9:G$501,ROW(Calc!D463)-ROW(Calc!$B$7)))=0,$AD$3,INDEX(Database!G$9:G$501,ROW(Calc!D463)-ROW(Calc!$B$7))),"")</f>
        <v>Not Set</v>
      </c>
      <c r="F463" s="124" t="str">
        <f>IFERROR(IF(LEN(INDEX(Database!F$9:F$501,ROW(Calc!E463)-ROW(Calc!$B$7)))=0,$AD$3,INDEX(Database!F$9:F$501,ROW(Calc!E463)-ROW(Calc!$B$7))),"")</f>
        <v>Not Set</v>
      </c>
      <c r="G463" s="128" t="str">
        <f>IFERROR(IF(LEN(INDEX(Database!H$9:H$501,ROW(Calc!F463)-ROW(Calc!$B$7)))=0,$AD$3,INDEX(Database!H$9:H$501,ROW(Calc!F463)-ROW(Calc!$B$7))),"")</f>
        <v>Not Set</v>
      </c>
      <c r="H463" s="128" t="str">
        <f>IFERROR(IF(LEN(INDEX(Database!I$9:I$501,ROW(Calc!G463)-ROW(Calc!$B$7)))=0,$AD$3,INDEX(Database!I$9:I$501,ROW(Calc!G463)-ROW(Calc!$B$7))),"")</f>
        <v>Not Set</v>
      </c>
      <c r="I463" s="128" t="str">
        <f>IFERROR(IF(LEN(INDEX(Database!J$9:J$501,ROW(Calc!H463)-ROW(Calc!$B$7)))=0,$AD$3,INDEX(Database!J$9:J$501,ROW(Calc!H463)-ROW(Calc!$B$7))),"")</f>
        <v>Not Set</v>
      </c>
      <c r="J463" s="128" t="str">
        <f t="shared" si="68"/>
        <v>Not Set</v>
      </c>
      <c r="K463" s="124" t="str">
        <f>IFERROR(IF(LEN(INDEX(Database!E$9:E$501,ROW(Calc!I463)-ROW(Calc!$B$7)))=0,"",INDEX(Database!E$9:E$501,ROW(Calc!I463)-ROW(Calc!$B$7))),"")</f>
        <v/>
      </c>
      <c r="L463" s="129" t="str">
        <f>IFERROR(IF(LEN(INDEX(Database!K$9:K$501,ROW(Calc!K463)-ROW(Calc!$B$7)))=0,$AD$3,INDEX(Database!K$9:K$501,ROW(Calc!K463)-ROW(Calc!$B$7))),"")</f>
        <v>Not Set</v>
      </c>
      <c r="M463" s="130" t="str">
        <f>IFERROR(IF(LEN(INDEX(Database!L$9:L$501,ROW(Calc!L463)-ROW(Calc!$B$7)))=0,$AD$3,INDEX(Database!L$9:L$501,ROW(Calc!L463)-ROW(Calc!$B$7))),"")</f>
        <v>Not Set</v>
      </c>
      <c r="N463" s="131" t="str">
        <f>IFERROR(IF(LEN(INDEX(Database!M$9:M$501,ROW(Calc!M463)-ROW(Calc!$B$7)))=0,"",INDEX(Database!M$9:M$501,ROW(Calc!M463)-ROW(Calc!$B$7))),"")</f>
        <v/>
      </c>
      <c r="O463" s="132" t="str">
        <f t="shared" si="72"/>
        <v/>
      </c>
      <c r="P463" s="125" t="str">
        <f t="shared" si="69"/>
        <v>Not Set</v>
      </c>
      <c r="Q463" s="125" t="str">
        <f t="shared" si="70"/>
        <v>Not Set</v>
      </c>
      <c r="R463" s="125" t="str">
        <f>IFERROR(IF(G463=$AD$3,$AD$3,INDEX(Kanban_Helper!$C$317:$C$328,MATCH(MONTH(G463),Kanban_Helper!$B$317:$B$328,0))&amp;" - "&amp;YEAR(G463)),"$AD$3")</f>
        <v>Not Set</v>
      </c>
      <c r="S463" s="125" t="str">
        <f>IFERROR(IF(I463=$AD$3,$AD$3,INDEX(Kanban_Helper!$C$317:$C$328,MATCH(MONTH(I463),Kanban_Helper!$B$317:$B$328,0))&amp;" - "&amp;YEAR(I463)),$AD$3)</f>
        <v>Not Set</v>
      </c>
      <c r="T463" s="125" t="str">
        <f t="shared" ca="1" si="73"/>
        <v/>
      </c>
      <c r="U463" s="125" t="str">
        <f t="shared" ca="1" si="74"/>
        <v/>
      </c>
      <c r="V463" s="125" t="str">
        <f t="shared" si="71"/>
        <v>Not Set</v>
      </c>
      <c r="W463" s="126" t="str">
        <f t="shared" si="75"/>
        <v/>
      </c>
      <c r="X463" s="126" t="str">
        <f t="shared" si="76"/>
        <v/>
      </c>
      <c r="Y463" s="125" t="str">
        <f>IFERROR(IF(LEN(D463)=0,"",IF(SUBTOTAL(3,E463:E463)=0,MIN($Y$7:Y462)-1,SUBTOTAL(3,$E$8:E463))),"")</f>
        <v/>
      </c>
      <c r="Z463" s="17"/>
      <c r="AA463" s="10"/>
      <c r="AB463" s="10"/>
      <c r="AC463" s="10"/>
      <c r="AD463" s="10"/>
      <c r="AE463" s="10"/>
      <c r="AF463" s="10"/>
      <c r="AG463" s="10"/>
      <c r="AH463" s="10"/>
      <c r="AI463" s="10"/>
      <c r="AJ463" s="10"/>
      <c r="AK463" s="10"/>
      <c r="AL463" s="10"/>
      <c r="AM463" s="10"/>
      <c r="AN463" s="10"/>
    </row>
    <row r="464" spans="2:40" hidden="1" x14ac:dyDescent="0.35">
      <c r="B464" s="15"/>
      <c r="C464" s="127" t="str">
        <f>IFERROR(IF(LEN(INDEX(Database!C$9:C$501,ROW(Calc!A464)-ROW(Calc!$B$7)))=0,"",INDEX(Database!C$9:C$501,ROW(Calc!A464)-ROW(Calc!$B$7))),"")</f>
        <v/>
      </c>
      <c r="D464" s="70" t="str">
        <f>IFERROR(IF(LEN(INDEX(Database!D$9:D$501,ROW(Calc!B464)-ROW(Calc!$B$7)))=0,"",INDEX(Database!D$9:D$501,ROW(Calc!B464)-ROW(Calc!$B$7))),"")</f>
        <v/>
      </c>
      <c r="E464" s="124" t="str">
        <f>IFERROR(IF(LEN(INDEX(Database!G$9:G$501,ROW(Calc!D464)-ROW(Calc!$B$7)))=0,$AD$3,INDEX(Database!G$9:G$501,ROW(Calc!D464)-ROW(Calc!$B$7))),"")</f>
        <v>Not Set</v>
      </c>
      <c r="F464" s="124" t="str">
        <f>IFERROR(IF(LEN(INDEX(Database!F$9:F$501,ROW(Calc!E464)-ROW(Calc!$B$7)))=0,$AD$3,INDEX(Database!F$9:F$501,ROW(Calc!E464)-ROW(Calc!$B$7))),"")</f>
        <v>Not Set</v>
      </c>
      <c r="G464" s="128" t="str">
        <f>IFERROR(IF(LEN(INDEX(Database!H$9:H$501,ROW(Calc!F464)-ROW(Calc!$B$7)))=0,$AD$3,INDEX(Database!H$9:H$501,ROW(Calc!F464)-ROW(Calc!$B$7))),"")</f>
        <v>Not Set</v>
      </c>
      <c r="H464" s="128" t="str">
        <f>IFERROR(IF(LEN(INDEX(Database!I$9:I$501,ROW(Calc!G464)-ROW(Calc!$B$7)))=0,$AD$3,INDEX(Database!I$9:I$501,ROW(Calc!G464)-ROW(Calc!$B$7))),"")</f>
        <v>Not Set</v>
      </c>
      <c r="I464" s="128" t="str">
        <f>IFERROR(IF(LEN(INDEX(Database!J$9:J$501,ROW(Calc!H464)-ROW(Calc!$B$7)))=0,$AD$3,INDEX(Database!J$9:J$501,ROW(Calc!H464)-ROW(Calc!$B$7))),"")</f>
        <v>Not Set</v>
      </c>
      <c r="J464" s="128" t="str">
        <f t="shared" si="68"/>
        <v>Not Set</v>
      </c>
      <c r="K464" s="124" t="str">
        <f>IFERROR(IF(LEN(INDEX(Database!E$9:E$501,ROW(Calc!I464)-ROW(Calc!$B$7)))=0,"",INDEX(Database!E$9:E$501,ROW(Calc!I464)-ROW(Calc!$B$7))),"")</f>
        <v/>
      </c>
      <c r="L464" s="129" t="str">
        <f>IFERROR(IF(LEN(INDEX(Database!K$9:K$501,ROW(Calc!K464)-ROW(Calc!$B$7)))=0,$AD$3,INDEX(Database!K$9:K$501,ROW(Calc!K464)-ROW(Calc!$B$7))),"")</f>
        <v>Not Set</v>
      </c>
      <c r="M464" s="130" t="str">
        <f>IFERROR(IF(LEN(INDEX(Database!L$9:L$501,ROW(Calc!L464)-ROW(Calc!$B$7)))=0,$AD$3,INDEX(Database!L$9:L$501,ROW(Calc!L464)-ROW(Calc!$B$7))),"")</f>
        <v>Not Set</v>
      </c>
      <c r="N464" s="131" t="str">
        <f>IFERROR(IF(LEN(INDEX(Database!M$9:M$501,ROW(Calc!M464)-ROW(Calc!$B$7)))=0,"",INDEX(Database!M$9:M$501,ROW(Calc!M464)-ROW(Calc!$B$7))),"")</f>
        <v/>
      </c>
      <c r="O464" s="132" t="str">
        <f t="shared" si="72"/>
        <v/>
      </c>
      <c r="P464" s="125" t="str">
        <f t="shared" si="69"/>
        <v>Not Set</v>
      </c>
      <c r="Q464" s="125" t="str">
        <f t="shared" si="70"/>
        <v>Not Set</v>
      </c>
      <c r="R464" s="125" t="str">
        <f>IFERROR(IF(G464=$AD$3,$AD$3,INDEX(Kanban_Helper!$C$317:$C$328,MATCH(MONTH(G464),Kanban_Helper!$B$317:$B$328,0))&amp;" - "&amp;YEAR(G464)),"$AD$3")</f>
        <v>Not Set</v>
      </c>
      <c r="S464" s="125" t="str">
        <f>IFERROR(IF(I464=$AD$3,$AD$3,INDEX(Kanban_Helper!$C$317:$C$328,MATCH(MONTH(I464),Kanban_Helper!$B$317:$B$328,0))&amp;" - "&amp;YEAR(I464)),$AD$3)</f>
        <v>Not Set</v>
      </c>
      <c r="T464" s="125" t="str">
        <f t="shared" ca="1" si="73"/>
        <v/>
      </c>
      <c r="U464" s="125" t="str">
        <f t="shared" ca="1" si="74"/>
        <v/>
      </c>
      <c r="V464" s="125" t="str">
        <f t="shared" si="71"/>
        <v>Not Set</v>
      </c>
      <c r="W464" s="126" t="str">
        <f t="shared" si="75"/>
        <v/>
      </c>
      <c r="X464" s="126" t="str">
        <f t="shared" si="76"/>
        <v/>
      </c>
      <c r="Y464" s="125" t="str">
        <f>IFERROR(IF(LEN(D464)=0,"",IF(SUBTOTAL(3,E464:E464)=0,MIN($Y$7:Y463)-1,SUBTOTAL(3,$E$8:E464))),"")</f>
        <v/>
      </c>
      <c r="Z464" s="17"/>
      <c r="AA464" s="10"/>
      <c r="AB464" s="10"/>
      <c r="AC464" s="10"/>
      <c r="AD464" s="10"/>
      <c r="AE464" s="10"/>
      <c r="AF464" s="10"/>
      <c r="AG464" s="10"/>
      <c r="AH464" s="10"/>
      <c r="AI464" s="10"/>
      <c r="AJ464" s="10"/>
      <c r="AK464" s="10"/>
      <c r="AL464" s="10"/>
      <c r="AM464" s="10"/>
      <c r="AN464" s="10"/>
    </row>
    <row r="465" spans="2:40" hidden="1" x14ac:dyDescent="0.35">
      <c r="B465" s="15"/>
      <c r="C465" s="127" t="str">
        <f>IFERROR(IF(LEN(INDEX(Database!C$9:C$501,ROW(Calc!A465)-ROW(Calc!$B$7)))=0,"",INDEX(Database!C$9:C$501,ROW(Calc!A465)-ROW(Calc!$B$7))),"")</f>
        <v/>
      </c>
      <c r="D465" s="70" t="str">
        <f>IFERROR(IF(LEN(INDEX(Database!D$9:D$501,ROW(Calc!B465)-ROW(Calc!$B$7)))=0,"",INDEX(Database!D$9:D$501,ROW(Calc!B465)-ROW(Calc!$B$7))),"")</f>
        <v/>
      </c>
      <c r="E465" s="124" t="str">
        <f>IFERROR(IF(LEN(INDEX(Database!G$9:G$501,ROW(Calc!D465)-ROW(Calc!$B$7)))=0,$AD$3,INDEX(Database!G$9:G$501,ROW(Calc!D465)-ROW(Calc!$B$7))),"")</f>
        <v>Not Set</v>
      </c>
      <c r="F465" s="124" t="str">
        <f>IFERROR(IF(LEN(INDEX(Database!F$9:F$501,ROW(Calc!E465)-ROW(Calc!$B$7)))=0,$AD$3,INDEX(Database!F$9:F$501,ROW(Calc!E465)-ROW(Calc!$B$7))),"")</f>
        <v>Not Set</v>
      </c>
      <c r="G465" s="128" t="str">
        <f>IFERROR(IF(LEN(INDEX(Database!H$9:H$501,ROW(Calc!F465)-ROW(Calc!$B$7)))=0,$AD$3,INDEX(Database!H$9:H$501,ROW(Calc!F465)-ROW(Calc!$B$7))),"")</f>
        <v>Not Set</v>
      </c>
      <c r="H465" s="128" t="str">
        <f>IFERROR(IF(LEN(INDEX(Database!I$9:I$501,ROW(Calc!G465)-ROW(Calc!$B$7)))=0,$AD$3,INDEX(Database!I$9:I$501,ROW(Calc!G465)-ROW(Calc!$B$7))),"")</f>
        <v>Not Set</v>
      </c>
      <c r="I465" s="128" t="str">
        <f>IFERROR(IF(LEN(INDEX(Database!J$9:J$501,ROW(Calc!H465)-ROW(Calc!$B$7)))=0,$AD$3,INDEX(Database!J$9:J$501,ROW(Calc!H465)-ROW(Calc!$B$7))),"")</f>
        <v>Not Set</v>
      </c>
      <c r="J465" s="128" t="str">
        <f t="shared" si="68"/>
        <v>Not Set</v>
      </c>
      <c r="K465" s="124" t="str">
        <f>IFERROR(IF(LEN(INDEX(Database!E$9:E$501,ROW(Calc!I465)-ROW(Calc!$B$7)))=0,"",INDEX(Database!E$9:E$501,ROW(Calc!I465)-ROW(Calc!$B$7))),"")</f>
        <v/>
      </c>
      <c r="L465" s="129" t="str">
        <f>IFERROR(IF(LEN(INDEX(Database!K$9:K$501,ROW(Calc!K465)-ROW(Calc!$B$7)))=0,$AD$3,INDEX(Database!K$9:K$501,ROW(Calc!K465)-ROW(Calc!$B$7))),"")</f>
        <v>Not Set</v>
      </c>
      <c r="M465" s="130" t="str">
        <f>IFERROR(IF(LEN(INDEX(Database!L$9:L$501,ROW(Calc!L465)-ROW(Calc!$B$7)))=0,$AD$3,INDEX(Database!L$9:L$501,ROW(Calc!L465)-ROW(Calc!$B$7))),"")</f>
        <v>Not Set</v>
      </c>
      <c r="N465" s="131" t="str">
        <f>IFERROR(IF(LEN(INDEX(Database!M$9:M$501,ROW(Calc!M465)-ROW(Calc!$B$7)))=0,"",INDEX(Database!M$9:M$501,ROW(Calc!M465)-ROW(Calc!$B$7))),"")</f>
        <v/>
      </c>
      <c r="O465" s="132" t="str">
        <f t="shared" si="72"/>
        <v/>
      </c>
      <c r="P465" s="125" t="str">
        <f t="shared" si="69"/>
        <v>Not Set</v>
      </c>
      <c r="Q465" s="125" t="str">
        <f t="shared" si="70"/>
        <v>Not Set</v>
      </c>
      <c r="R465" s="125" t="str">
        <f>IFERROR(IF(G465=$AD$3,$AD$3,INDEX(Kanban_Helper!$C$317:$C$328,MATCH(MONTH(G465),Kanban_Helper!$B$317:$B$328,0))&amp;" - "&amp;YEAR(G465)),"$AD$3")</f>
        <v>Not Set</v>
      </c>
      <c r="S465" s="125" t="str">
        <f>IFERROR(IF(I465=$AD$3,$AD$3,INDEX(Kanban_Helper!$C$317:$C$328,MATCH(MONTH(I465),Kanban_Helper!$B$317:$B$328,0))&amp;" - "&amp;YEAR(I465)),$AD$3)</f>
        <v>Not Set</v>
      </c>
      <c r="T465" s="125" t="str">
        <f t="shared" ca="1" si="73"/>
        <v/>
      </c>
      <c r="U465" s="125" t="str">
        <f t="shared" ca="1" si="74"/>
        <v/>
      </c>
      <c r="V465" s="125" t="str">
        <f t="shared" si="71"/>
        <v>Not Set</v>
      </c>
      <c r="W465" s="126" t="str">
        <f t="shared" si="75"/>
        <v/>
      </c>
      <c r="X465" s="126" t="str">
        <f t="shared" si="76"/>
        <v/>
      </c>
      <c r="Y465" s="125" t="str">
        <f>IFERROR(IF(LEN(D465)=0,"",IF(SUBTOTAL(3,E465:E465)=0,MIN($Y$7:Y464)-1,SUBTOTAL(3,$E$8:E465))),"")</f>
        <v/>
      </c>
      <c r="Z465" s="17"/>
      <c r="AA465" s="10"/>
      <c r="AB465" s="10"/>
      <c r="AC465" s="10"/>
      <c r="AD465" s="10"/>
      <c r="AE465" s="10"/>
      <c r="AF465" s="10"/>
      <c r="AG465" s="10"/>
      <c r="AH465" s="10"/>
      <c r="AI465" s="10"/>
      <c r="AJ465" s="10"/>
      <c r="AK465" s="10"/>
      <c r="AL465" s="10"/>
      <c r="AM465" s="10"/>
      <c r="AN465" s="10"/>
    </row>
    <row r="466" spans="2:40" hidden="1" x14ac:dyDescent="0.35">
      <c r="B466" s="15"/>
      <c r="C466" s="127" t="str">
        <f>IFERROR(IF(LEN(INDEX(Database!C$9:C$501,ROW(Calc!A466)-ROW(Calc!$B$7)))=0,"",INDEX(Database!C$9:C$501,ROW(Calc!A466)-ROW(Calc!$B$7))),"")</f>
        <v/>
      </c>
      <c r="D466" s="70" t="str">
        <f>IFERROR(IF(LEN(INDEX(Database!D$9:D$501,ROW(Calc!B466)-ROW(Calc!$B$7)))=0,"",INDEX(Database!D$9:D$501,ROW(Calc!B466)-ROW(Calc!$B$7))),"")</f>
        <v/>
      </c>
      <c r="E466" s="124" t="str">
        <f>IFERROR(IF(LEN(INDEX(Database!G$9:G$501,ROW(Calc!D466)-ROW(Calc!$B$7)))=0,$AD$3,INDEX(Database!G$9:G$501,ROW(Calc!D466)-ROW(Calc!$B$7))),"")</f>
        <v>Not Set</v>
      </c>
      <c r="F466" s="124" t="str">
        <f>IFERROR(IF(LEN(INDEX(Database!F$9:F$501,ROW(Calc!E466)-ROW(Calc!$B$7)))=0,$AD$3,INDEX(Database!F$9:F$501,ROW(Calc!E466)-ROW(Calc!$B$7))),"")</f>
        <v>Not Set</v>
      </c>
      <c r="G466" s="128" t="str">
        <f>IFERROR(IF(LEN(INDEX(Database!H$9:H$501,ROW(Calc!F466)-ROW(Calc!$B$7)))=0,$AD$3,INDEX(Database!H$9:H$501,ROW(Calc!F466)-ROW(Calc!$B$7))),"")</f>
        <v>Not Set</v>
      </c>
      <c r="H466" s="128" t="str">
        <f>IFERROR(IF(LEN(INDEX(Database!I$9:I$501,ROW(Calc!G466)-ROW(Calc!$B$7)))=0,$AD$3,INDEX(Database!I$9:I$501,ROW(Calc!G466)-ROW(Calc!$B$7))),"")</f>
        <v>Not Set</v>
      </c>
      <c r="I466" s="128" t="str">
        <f>IFERROR(IF(LEN(INDEX(Database!J$9:J$501,ROW(Calc!H466)-ROW(Calc!$B$7)))=0,$AD$3,INDEX(Database!J$9:J$501,ROW(Calc!H466)-ROW(Calc!$B$7))),"")</f>
        <v>Not Set</v>
      </c>
      <c r="J466" s="128" t="str">
        <f t="shared" si="68"/>
        <v>Not Set</v>
      </c>
      <c r="K466" s="124" t="str">
        <f>IFERROR(IF(LEN(INDEX(Database!E$9:E$501,ROW(Calc!I466)-ROW(Calc!$B$7)))=0,"",INDEX(Database!E$9:E$501,ROW(Calc!I466)-ROW(Calc!$B$7))),"")</f>
        <v/>
      </c>
      <c r="L466" s="129" t="str">
        <f>IFERROR(IF(LEN(INDEX(Database!K$9:K$501,ROW(Calc!K466)-ROW(Calc!$B$7)))=0,$AD$3,INDEX(Database!K$9:K$501,ROW(Calc!K466)-ROW(Calc!$B$7))),"")</f>
        <v>Not Set</v>
      </c>
      <c r="M466" s="130" t="str">
        <f>IFERROR(IF(LEN(INDEX(Database!L$9:L$501,ROW(Calc!L466)-ROW(Calc!$B$7)))=0,$AD$3,INDEX(Database!L$9:L$501,ROW(Calc!L466)-ROW(Calc!$B$7))),"")</f>
        <v>Not Set</v>
      </c>
      <c r="N466" s="131" t="str">
        <f>IFERROR(IF(LEN(INDEX(Database!M$9:M$501,ROW(Calc!M466)-ROW(Calc!$B$7)))=0,"",INDEX(Database!M$9:M$501,ROW(Calc!M466)-ROW(Calc!$B$7))),"")</f>
        <v/>
      </c>
      <c r="O466" s="132" t="str">
        <f t="shared" si="72"/>
        <v/>
      </c>
      <c r="P466" s="125" t="str">
        <f t="shared" si="69"/>
        <v>Not Set</v>
      </c>
      <c r="Q466" s="125" t="str">
        <f t="shared" si="70"/>
        <v>Not Set</v>
      </c>
      <c r="R466" s="125" t="str">
        <f>IFERROR(IF(G466=$AD$3,$AD$3,INDEX(Kanban_Helper!$C$317:$C$328,MATCH(MONTH(G466),Kanban_Helper!$B$317:$B$328,0))&amp;" - "&amp;YEAR(G466)),"$AD$3")</f>
        <v>Not Set</v>
      </c>
      <c r="S466" s="125" t="str">
        <f>IFERROR(IF(I466=$AD$3,$AD$3,INDEX(Kanban_Helper!$C$317:$C$328,MATCH(MONTH(I466),Kanban_Helper!$B$317:$B$328,0))&amp;" - "&amp;YEAR(I466)),$AD$3)</f>
        <v>Not Set</v>
      </c>
      <c r="T466" s="125" t="str">
        <f t="shared" ca="1" si="73"/>
        <v/>
      </c>
      <c r="U466" s="125" t="str">
        <f t="shared" ca="1" si="74"/>
        <v/>
      </c>
      <c r="V466" s="125" t="str">
        <f t="shared" si="71"/>
        <v>Not Set</v>
      </c>
      <c r="W466" s="126" t="str">
        <f t="shared" si="75"/>
        <v/>
      </c>
      <c r="X466" s="126" t="str">
        <f t="shared" si="76"/>
        <v/>
      </c>
      <c r="Y466" s="125" t="str">
        <f>IFERROR(IF(LEN(D466)=0,"",IF(SUBTOTAL(3,E466:E466)=0,MIN($Y$7:Y465)-1,SUBTOTAL(3,$E$8:E466))),"")</f>
        <v/>
      </c>
      <c r="Z466" s="17"/>
      <c r="AA466" s="10"/>
      <c r="AB466" s="10"/>
      <c r="AC466" s="10"/>
      <c r="AD466" s="10"/>
      <c r="AE466" s="10"/>
      <c r="AF466" s="10"/>
      <c r="AG466" s="10"/>
      <c r="AH466" s="10"/>
      <c r="AI466" s="10"/>
      <c r="AJ466" s="10"/>
      <c r="AK466" s="10"/>
      <c r="AL466" s="10"/>
      <c r="AM466" s="10"/>
      <c r="AN466" s="10"/>
    </row>
    <row r="467" spans="2:40" hidden="1" x14ac:dyDescent="0.35">
      <c r="B467" s="15"/>
      <c r="C467" s="127" t="str">
        <f>IFERROR(IF(LEN(INDEX(Database!C$9:C$501,ROW(Calc!A467)-ROW(Calc!$B$7)))=0,"",INDEX(Database!C$9:C$501,ROW(Calc!A467)-ROW(Calc!$B$7))),"")</f>
        <v/>
      </c>
      <c r="D467" s="70" t="str">
        <f>IFERROR(IF(LEN(INDEX(Database!D$9:D$501,ROW(Calc!B467)-ROW(Calc!$B$7)))=0,"",INDEX(Database!D$9:D$501,ROW(Calc!B467)-ROW(Calc!$B$7))),"")</f>
        <v/>
      </c>
      <c r="E467" s="124" t="str">
        <f>IFERROR(IF(LEN(INDEX(Database!G$9:G$501,ROW(Calc!D467)-ROW(Calc!$B$7)))=0,$AD$3,INDEX(Database!G$9:G$501,ROW(Calc!D467)-ROW(Calc!$B$7))),"")</f>
        <v>Not Set</v>
      </c>
      <c r="F467" s="124" t="str">
        <f>IFERROR(IF(LEN(INDEX(Database!F$9:F$501,ROW(Calc!E467)-ROW(Calc!$B$7)))=0,$AD$3,INDEX(Database!F$9:F$501,ROW(Calc!E467)-ROW(Calc!$B$7))),"")</f>
        <v>Not Set</v>
      </c>
      <c r="G467" s="128" t="str">
        <f>IFERROR(IF(LEN(INDEX(Database!H$9:H$501,ROW(Calc!F467)-ROW(Calc!$B$7)))=0,$AD$3,INDEX(Database!H$9:H$501,ROW(Calc!F467)-ROW(Calc!$B$7))),"")</f>
        <v>Not Set</v>
      </c>
      <c r="H467" s="128" t="str">
        <f>IFERROR(IF(LEN(INDEX(Database!I$9:I$501,ROW(Calc!G467)-ROW(Calc!$B$7)))=0,$AD$3,INDEX(Database!I$9:I$501,ROW(Calc!G467)-ROW(Calc!$B$7))),"")</f>
        <v>Not Set</v>
      </c>
      <c r="I467" s="128" t="str">
        <f>IFERROR(IF(LEN(INDEX(Database!J$9:J$501,ROW(Calc!H467)-ROW(Calc!$B$7)))=0,$AD$3,INDEX(Database!J$9:J$501,ROW(Calc!H467)-ROW(Calc!$B$7))),"")</f>
        <v>Not Set</v>
      </c>
      <c r="J467" s="128" t="str">
        <f t="shared" si="68"/>
        <v>Not Set</v>
      </c>
      <c r="K467" s="124" t="str">
        <f>IFERROR(IF(LEN(INDEX(Database!E$9:E$501,ROW(Calc!I467)-ROW(Calc!$B$7)))=0,"",INDEX(Database!E$9:E$501,ROW(Calc!I467)-ROW(Calc!$B$7))),"")</f>
        <v/>
      </c>
      <c r="L467" s="129" t="str">
        <f>IFERROR(IF(LEN(INDEX(Database!K$9:K$501,ROW(Calc!K467)-ROW(Calc!$B$7)))=0,$AD$3,INDEX(Database!K$9:K$501,ROW(Calc!K467)-ROW(Calc!$B$7))),"")</f>
        <v>Not Set</v>
      </c>
      <c r="M467" s="130" t="str">
        <f>IFERROR(IF(LEN(INDEX(Database!L$9:L$501,ROW(Calc!L467)-ROW(Calc!$B$7)))=0,$AD$3,INDEX(Database!L$9:L$501,ROW(Calc!L467)-ROW(Calc!$B$7))),"")</f>
        <v>Not Set</v>
      </c>
      <c r="N467" s="131" t="str">
        <f>IFERROR(IF(LEN(INDEX(Database!M$9:M$501,ROW(Calc!M467)-ROW(Calc!$B$7)))=0,"",INDEX(Database!M$9:M$501,ROW(Calc!M467)-ROW(Calc!$B$7))),"")</f>
        <v/>
      </c>
      <c r="O467" s="132" t="str">
        <f t="shared" si="72"/>
        <v/>
      </c>
      <c r="P467" s="125" t="str">
        <f t="shared" si="69"/>
        <v>Not Set</v>
      </c>
      <c r="Q467" s="125" t="str">
        <f t="shared" si="70"/>
        <v>Not Set</v>
      </c>
      <c r="R467" s="125" t="str">
        <f>IFERROR(IF(G467=$AD$3,$AD$3,INDEX(Kanban_Helper!$C$317:$C$328,MATCH(MONTH(G467),Kanban_Helper!$B$317:$B$328,0))&amp;" - "&amp;YEAR(G467)),"$AD$3")</f>
        <v>Not Set</v>
      </c>
      <c r="S467" s="125" t="str">
        <f>IFERROR(IF(I467=$AD$3,$AD$3,INDEX(Kanban_Helper!$C$317:$C$328,MATCH(MONTH(I467),Kanban_Helper!$B$317:$B$328,0))&amp;" - "&amp;YEAR(I467)),$AD$3)</f>
        <v>Not Set</v>
      </c>
      <c r="T467" s="125" t="str">
        <f t="shared" ca="1" si="73"/>
        <v/>
      </c>
      <c r="U467" s="125" t="str">
        <f t="shared" ca="1" si="74"/>
        <v/>
      </c>
      <c r="V467" s="125" t="str">
        <f t="shared" si="71"/>
        <v>Not Set</v>
      </c>
      <c r="W467" s="126" t="str">
        <f t="shared" si="75"/>
        <v/>
      </c>
      <c r="X467" s="126" t="str">
        <f t="shared" si="76"/>
        <v/>
      </c>
      <c r="Y467" s="125" t="str">
        <f>IFERROR(IF(LEN(D467)=0,"",IF(SUBTOTAL(3,E467:E467)=0,MIN($Y$7:Y466)-1,SUBTOTAL(3,$E$8:E467))),"")</f>
        <v/>
      </c>
      <c r="Z467" s="17"/>
      <c r="AA467" s="10"/>
      <c r="AB467" s="10"/>
      <c r="AC467" s="10"/>
      <c r="AD467" s="10"/>
      <c r="AE467" s="10"/>
      <c r="AF467" s="10"/>
      <c r="AG467" s="10"/>
      <c r="AH467" s="10"/>
      <c r="AI467" s="10"/>
      <c r="AJ467" s="10"/>
      <c r="AK467" s="10"/>
      <c r="AL467" s="10"/>
      <c r="AM467" s="10"/>
      <c r="AN467" s="10"/>
    </row>
    <row r="468" spans="2:40" hidden="1" x14ac:dyDescent="0.35">
      <c r="B468" s="15"/>
      <c r="C468" s="127" t="str">
        <f>IFERROR(IF(LEN(INDEX(Database!C$9:C$501,ROW(Calc!A468)-ROW(Calc!$B$7)))=0,"",INDEX(Database!C$9:C$501,ROW(Calc!A468)-ROW(Calc!$B$7))),"")</f>
        <v/>
      </c>
      <c r="D468" s="70" t="str">
        <f>IFERROR(IF(LEN(INDEX(Database!D$9:D$501,ROW(Calc!B468)-ROW(Calc!$B$7)))=0,"",INDEX(Database!D$9:D$501,ROW(Calc!B468)-ROW(Calc!$B$7))),"")</f>
        <v/>
      </c>
      <c r="E468" s="124" t="str">
        <f>IFERROR(IF(LEN(INDEX(Database!G$9:G$501,ROW(Calc!D468)-ROW(Calc!$B$7)))=0,$AD$3,INDEX(Database!G$9:G$501,ROW(Calc!D468)-ROW(Calc!$B$7))),"")</f>
        <v>Not Set</v>
      </c>
      <c r="F468" s="124" t="str">
        <f>IFERROR(IF(LEN(INDEX(Database!F$9:F$501,ROW(Calc!E468)-ROW(Calc!$B$7)))=0,$AD$3,INDEX(Database!F$9:F$501,ROW(Calc!E468)-ROW(Calc!$B$7))),"")</f>
        <v>Not Set</v>
      </c>
      <c r="G468" s="128" t="str">
        <f>IFERROR(IF(LEN(INDEX(Database!H$9:H$501,ROW(Calc!F468)-ROW(Calc!$B$7)))=0,$AD$3,INDEX(Database!H$9:H$501,ROW(Calc!F468)-ROW(Calc!$B$7))),"")</f>
        <v>Not Set</v>
      </c>
      <c r="H468" s="128" t="str">
        <f>IFERROR(IF(LEN(INDEX(Database!I$9:I$501,ROW(Calc!G468)-ROW(Calc!$B$7)))=0,$AD$3,INDEX(Database!I$9:I$501,ROW(Calc!G468)-ROW(Calc!$B$7))),"")</f>
        <v>Not Set</v>
      </c>
      <c r="I468" s="128" t="str">
        <f>IFERROR(IF(LEN(INDEX(Database!J$9:J$501,ROW(Calc!H468)-ROW(Calc!$B$7)))=0,$AD$3,INDEX(Database!J$9:J$501,ROW(Calc!H468)-ROW(Calc!$B$7))),"")</f>
        <v>Not Set</v>
      </c>
      <c r="J468" s="128" t="str">
        <f t="shared" si="68"/>
        <v>Not Set</v>
      </c>
      <c r="K468" s="124" t="str">
        <f>IFERROR(IF(LEN(INDEX(Database!E$9:E$501,ROW(Calc!I468)-ROW(Calc!$B$7)))=0,"",INDEX(Database!E$9:E$501,ROW(Calc!I468)-ROW(Calc!$B$7))),"")</f>
        <v/>
      </c>
      <c r="L468" s="129" t="str">
        <f>IFERROR(IF(LEN(INDEX(Database!K$9:K$501,ROW(Calc!K468)-ROW(Calc!$B$7)))=0,$AD$3,INDEX(Database!K$9:K$501,ROW(Calc!K468)-ROW(Calc!$B$7))),"")</f>
        <v>Not Set</v>
      </c>
      <c r="M468" s="130" t="str">
        <f>IFERROR(IF(LEN(INDEX(Database!L$9:L$501,ROW(Calc!L468)-ROW(Calc!$B$7)))=0,$AD$3,INDEX(Database!L$9:L$501,ROW(Calc!L468)-ROW(Calc!$B$7))),"")</f>
        <v>Not Set</v>
      </c>
      <c r="N468" s="131" t="str">
        <f>IFERROR(IF(LEN(INDEX(Database!M$9:M$501,ROW(Calc!M468)-ROW(Calc!$B$7)))=0,"",INDEX(Database!M$9:M$501,ROW(Calc!M468)-ROW(Calc!$B$7))),"")</f>
        <v/>
      </c>
      <c r="O468" s="132" t="str">
        <f t="shared" si="72"/>
        <v/>
      </c>
      <c r="P468" s="125" t="str">
        <f t="shared" si="69"/>
        <v>Not Set</v>
      </c>
      <c r="Q468" s="125" t="str">
        <f t="shared" si="70"/>
        <v>Not Set</v>
      </c>
      <c r="R468" s="125" t="str">
        <f>IFERROR(IF(G468=$AD$3,$AD$3,INDEX(Kanban_Helper!$C$317:$C$328,MATCH(MONTH(G468),Kanban_Helper!$B$317:$B$328,0))&amp;" - "&amp;YEAR(G468)),"$AD$3")</f>
        <v>Not Set</v>
      </c>
      <c r="S468" s="125" t="str">
        <f>IFERROR(IF(I468=$AD$3,$AD$3,INDEX(Kanban_Helper!$C$317:$C$328,MATCH(MONTH(I468),Kanban_Helper!$B$317:$B$328,0))&amp;" - "&amp;YEAR(I468)),$AD$3)</f>
        <v>Not Set</v>
      </c>
      <c r="T468" s="125" t="str">
        <f t="shared" ca="1" si="73"/>
        <v/>
      </c>
      <c r="U468" s="125" t="str">
        <f t="shared" ca="1" si="74"/>
        <v/>
      </c>
      <c r="V468" s="125" t="str">
        <f t="shared" si="71"/>
        <v>Not Set</v>
      </c>
      <c r="W468" s="126" t="str">
        <f t="shared" si="75"/>
        <v/>
      </c>
      <c r="X468" s="126" t="str">
        <f t="shared" si="76"/>
        <v/>
      </c>
      <c r="Y468" s="125" t="str">
        <f>IFERROR(IF(LEN(D468)=0,"",IF(SUBTOTAL(3,E468:E468)=0,MIN($Y$7:Y467)-1,SUBTOTAL(3,$E$8:E468))),"")</f>
        <v/>
      </c>
      <c r="Z468" s="17"/>
      <c r="AA468" s="10"/>
      <c r="AB468" s="10"/>
      <c r="AC468" s="10"/>
      <c r="AD468" s="10"/>
      <c r="AE468" s="10"/>
      <c r="AF468" s="10"/>
      <c r="AG468" s="10"/>
      <c r="AH468" s="10"/>
      <c r="AI468" s="10"/>
      <c r="AJ468" s="10"/>
      <c r="AK468" s="10"/>
      <c r="AL468" s="10"/>
      <c r="AM468" s="10"/>
      <c r="AN468" s="10"/>
    </row>
    <row r="469" spans="2:40" hidden="1" x14ac:dyDescent="0.35">
      <c r="B469" s="15"/>
      <c r="C469" s="127" t="str">
        <f>IFERROR(IF(LEN(INDEX(Database!C$9:C$501,ROW(Calc!A469)-ROW(Calc!$B$7)))=0,"",INDEX(Database!C$9:C$501,ROW(Calc!A469)-ROW(Calc!$B$7))),"")</f>
        <v/>
      </c>
      <c r="D469" s="70" t="str">
        <f>IFERROR(IF(LEN(INDEX(Database!D$9:D$501,ROW(Calc!B469)-ROW(Calc!$B$7)))=0,"",INDEX(Database!D$9:D$501,ROW(Calc!B469)-ROW(Calc!$B$7))),"")</f>
        <v/>
      </c>
      <c r="E469" s="124" t="str">
        <f>IFERROR(IF(LEN(INDEX(Database!G$9:G$501,ROW(Calc!D469)-ROW(Calc!$B$7)))=0,$AD$3,INDEX(Database!G$9:G$501,ROW(Calc!D469)-ROW(Calc!$B$7))),"")</f>
        <v>Not Set</v>
      </c>
      <c r="F469" s="124" t="str">
        <f>IFERROR(IF(LEN(INDEX(Database!F$9:F$501,ROW(Calc!E469)-ROW(Calc!$B$7)))=0,$AD$3,INDEX(Database!F$9:F$501,ROW(Calc!E469)-ROW(Calc!$B$7))),"")</f>
        <v>Not Set</v>
      </c>
      <c r="G469" s="128" t="str">
        <f>IFERROR(IF(LEN(INDEX(Database!H$9:H$501,ROW(Calc!F469)-ROW(Calc!$B$7)))=0,$AD$3,INDEX(Database!H$9:H$501,ROW(Calc!F469)-ROW(Calc!$B$7))),"")</f>
        <v>Not Set</v>
      </c>
      <c r="H469" s="128" t="str">
        <f>IFERROR(IF(LEN(INDEX(Database!I$9:I$501,ROW(Calc!G469)-ROW(Calc!$B$7)))=0,$AD$3,INDEX(Database!I$9:I$501,ROW(Calc!G469)-ROW(Calc!$B$7))),"")</f>
        <v>Not Set</v>
      </c>
      <c r="I469" s="128" t="str">
        <f>IFERROR(IF(LEN(INDEX(Database!J$9:J$501,ROW(Calc!H469)-ROW(Calc!$B$7)))=0,$AD$3,INDEX(Database!J$9:J$501,ROW(Calc!H469)-ROW(Calc!$B$7))),"")</f>
        <v>Not Set</v>
      </c>
      <c r="J469" s="128" t="str">
        <f t="shared" si="68"/>
        <v>Not Set</v>
      </c>
      <c r="K469" s="124" t="str">
        <f>IFERROR(IF(LEN(INDEX(Database!E$9:E$501,ROW(Calc!I469)-ROW(Calc!$B$7)))=0,"",INDEX(Database!E$9:E$501,ROW(Calc!I469)-ROW(Calc!$B$7))),"")</f>
        <v/>
      </c>
      <c r="L469" s="129" t="str">
        <f>IFERROR(IF(LEN(INDEX(Database!K$9:K$501,ROW(Calc!K469)-ROW(Calc!$B$7)))=0,$AD$3,INDEX(Database!K$9:K$501,ROW(Calc!K469)-ROW(Calc!$B$7))),"")</f>
        <v>Not Set</v>
      </c>
      <c r="M469" s="130" t="str">
        <f>IFERROR(IF(LEN(INDEX(Database!L$9:L$501,ROW(Calc!L469)-ROW(Calc!$B$7)))=0,$AD$3,INDEX(Database!L$9:L$501,ROW(Calc!L469)-ROW(Calc!$B$7))),"")</f>
        <v>Not Set</v>
      </c>
      <c r="N469" s="131" t="str">
        <f>IFERROR(IF(LEN(INDEX(Database!M$9:M$501,ROW(Calc!M469)-ROW(Calc!$B$7)))=0,"",INDEX(Database!M$9:M$501,ROW(Calc!M469)-ROW(Calc!$B$7))),"")</f>
        <v/>
      </c>
      <c r="O469" s="132" t="str">
        <f t="shared" si="72"/>
        <v/>
      </c>
      <c r="P469" s="125" t="str">
        <f t="shared" si="69"/>
        <v>Not Set</v>
      </c>
      <c r="Q469" s="125" t="str">
        <f t="shared" si="70"/>
        <v>Not Set</v>
      </c>
      <c r="R469" s="125" t="str">
        <f>IFERROR(IF(G469=$AD$3,$AD$3,INDEX(Kanban_Helper!$C$317:$C$328,MATCH(MONTH(G469),Kanban_Helper!$B$317:$B$328,0))&amp;" - "&amp;YEAR(G469)),"$AD$3")</f>
        <v>Not Set</v>
      </c>
      <c r="S469" s="125" t="str">
        <f>IFERROR(IF(I469=$AD$3,$AD$3,INDEX(Kanban_Helper!$C$317:$C$328,MATCH(MONTH(I469),Kanban_Helper!$B$317:$B$328,0))&amp;" - "&amp;YEAR(I469)),$AD$3)</f>
        <v>Not Set</v>
      </c>
      <c r="T469" s="125" t="str">
        <f t="shared" ca="1" si="73"/>
        <v/>
      </c>
      <c r="U469" s="125" t="str">
        <f t="shared" ca="1" si="74"/>
        <v/>
      </c>
      <c r="V469" s="125" t="str">
        <f t="shared" si="71"/>
        <v>Not Set</v>
      </c>
      <c r="W469" s="126" t="str">
        <f t="shared" si="75"/>
        <v/>
      </c>
      <c r="X469" s="126" t="str">
        <f t="shared" si="76"/>
        <v/>
      </c>
      <c r="Y469" s="125" t="str">
        <f>IFERROR(IF(LEN(D469)=0,"",IF(SUBTOTAL(3,E469:E469)=0,MIN($Y$7:Y468)-1,SUBTOTAL(3,$E$8:E469))),"")</f>
        <v/>
      </c>
      <c r="Z469" s="17"/>
      <c r="AA469" s="10"/>
      <c r="AB469" s="10"/>
      <c r="AC469" s="10"/>
      <c r="AD469" s="10"/>
      <c r="AE469" s="10"/>
      <c r="AF469" s="10"/>
      <c r="AG469" s="10"/>
      <c r="AH469" s="10"/>
      <c r="AI469" s="10"/>
      <c r="AJ469" s="10"/>
      <c r="AK469" s="10"/>
      <c r="AL469" s="10"/>
      <c r="AM469" s="10"/>
      <c r="AN469" s="10"/>
    </row>
    <row r="470" spans="2:40" hidden="1" x14ac:dyDescent="0.35">
      <c r="B470" s="15"/>
      <c r="C470" s="127" t="str">
        <f>IFERROR(IF(LEN(INDEX(Database!C$9:C$501,ROW(Calc!A470)-ROW(Calc!$B$7)))=0,"",INDEX(Database!C$9:C$501,ROW(Calc!A470)-ROW(Calc!$B$7))),"")</f>
        <v/>
      </c>
      <c r="D470" s="70" t="str">
        <f>IFERROR(IF(LEN(INDEX(Database!D$9:D$501,ROW(Calc!B470)-ROW(Calc!$B$7)))=0,"",INDEX(Database!D$9:D$501,ROW(Calc!B470)-ROW(Calc!$B$7))),"")</f>
        <v/>
      </c>
      <c r="E470" s="124" t="str">
        <f>IFERROR(IF(LEN(INDEX(Database!G$9:G$501,ROW(Calc!D470)-ROW(Calc!$B$7)))=0,$AD$3,INDEX(Database!G$9:G$501,ROW(Calc!D470)-ROW(Calc!$B$7))),"")</f>
        <v>Not Set</v>
      </c>
      <c r="F470" s="124" t="str">
        <f>IFERROR(IF(LEN(INDEX(Database!F$9:F$501,ROW(Calc!E470)-ROW(Calc!$B$7)))=0,$AD$3,INDEX(Database!F$9:F$501,ROW(Calc!E470)-ROW(Calc!$B$7))),"")</f>
        <v>Not Set</v>
      </c>
      <c r="G470" s="128" t="str">
        <f>IFERROR(IF(LEN(INDEX(Database!H$9:H$501,ROW(Calc!F470)-ROW(Calc!$B$7)))=0,$AD$3,INDEX(Database!H$9:H$501,ROW(Calc!F470)-ROW(Calc!$B$7))),"")</f>
        <v>Not Set</v>
      </c>
      <c r="H470" s="128" t="str">
        <f>IFERROR(IF(LEN(INDEX(Database!I$9:I$501,ROW(Calc!G470)-ROW(Calc!$B$7)))=0,$AD$3,INDEX(Database!I$9:I$501,ROW(Calc!G470)-ROW(Calc!$B$7))),"")</f>
        <v>Not Set</v>
      </c>
      <c r="I470" s="128" t="str">
        <f>IFERROR(IF(LEN(INDEX(Database!J$9:J$501,ROW(Calc!H470)-ROW(Calc!$B$7)))=0,$AD$3,INDEX(Database!J$9:J$501,ROW(Calc!H470)-ROW(Calc!$B$7))),"")</f>
        <v>Not Set</v>
      </c>
      <c r="J470" s="128" t="str">
        <f t="shared" si="68"/>
        <v>Not Set</v>
      </c>
      <c r="K470" s="124" t="str">
        <f>IFERROR(IF(LEN(INDEX(Database!E$9:E$501,ROW(Calc!I470)-ROW(Calc!$B$7)))=0,"",INDEX(Database!E$9:E$501,ROW(Calc!I470)-ROW(Calc!$B$7))),"")</f>
        <v/>
      </c>
      <c r="L470" s="129" t="str">
        <f>IFERROR(IF(LEN(INDEX(Database!K$9:K$501,ROW(Calc!K470)-ROW(Calc!$B$7)))=0,$AD$3,INDEX(Database!K$9:K$501,ROW(Calc!K470)-ROW(Calc!$B$7))),"")</f>
        <v>Not Set</v>
      </c>
      <c r="M470" s="130" t="str">
        <f>IFERROR(IF(LEN(INDEX(Database!L$9:L$501,ROW(Calc!L470)-ROW(Calc!$B$7)))=0,$AD$3,INDEX(Database!L$9:L$501,ROW(Calc!L470)-ROW(Calc!$B$7))),"")</f>
        <v>Not Set</v>
      </c>
      <c r="N470" s="131" t="str">
        <f>IFERROR(IF(LEN(INDEX(Database!M$9:M$501,ROW(Calc!M470)-ROW(Calc!$B$7)))=0,"",INDEX(Database!M$9:M$501,ROW(Calc!M470)-ROW(Calc!$B$7))),"")</f>
        <v/>
      </c>
      <c r="O470" s="132" t="str">
        <f t="shared" si="72"/>
        <v/>
      </c>
      <c r="P470" s="125" t="str">
        <f t="shared" si="69"/>
        <v>Not Set</v>
      </c>
      <c r="Q470" s="125" t="str">
        <f t="shared" si="70"/>
        <v>Not Set</v>
      </c>
      <c r="R470" s="125" t="str">
        <f>IFERROR(IF(G470=$AD$3,$AD$3,INDEX(Kanban_Helper!$C$317:$C$328,MATCH(MONTH(G470),Kanban_Helper!$B$317:$B$328,0))&amp;" - "&amp;YEAR(G470)),"$AD$3")</f>
        <v>Not Set</v>
      </c>
      <c r="S470" s="125" t="str">
        <f>IFERROR(IF(I470=$AD$3,$AD$3,INDEX(Kanban_Helper!$C$317:$C$328,MATCH(MONTH(I470),Kanban_Helper!$B$317:$B$328,0))&amp;" - "&amp;YEAR(I470)),$AD$3)</f>
        <v>Not Set</v>
      </c>
      <c r="T470" s="125" t="str">
        <f t="shared" ca="1" si="73"/>
        <v/>
      </c>
      <c r="U470" s="125" t="str">
        <f t="shared" ca="1" si="74"/>
        <v/>
      </c>
      <c r="V470" s="125" t="str">
        <f t="shared" si="71"/>
        <v>Not Set</v>
      </c>
      <c r="W470" s="126" t="str">
        <f t="shared" si="75"/>
        <v/>
      </c>
      <c r="X470" s="126" t="str">
        <f t="shared" si="76"/>
        <v/>
      </c>
      <c r="Y470" s="125" t="str">
        <f>IFERROR(IF(LEN(D470)=0,"",IF(SUBTOTAL(3,E470:E470)=0,MIN($Y$7:Y469)-1,SUBTOTAL(3,$E$8:E470))),"")</f>
        <v/>
      </c>
      <c r="Z470" s="17"/>
      <c r="AA470" s="10"/>
      <c r="AB470" s="10"/>
      <c r="AC470" s="10"/>
      <c r="AD470" s="10"/>
      <c r="AE470" s="10"/>
      <c r="AF470" s="10"/>
      <c r="AG470" s="10"/>
      <c r="AH470" s="10"/>
      <c r="AI470" s="10"/>
      <c r="AJ470" s="10"/>
      <c r="AK470" s="10"/>
      <c r="AL470" s="10"/>
      <c r="AM470" s="10"/>
      <c r="AN470" s="10"/>
    </row>
    <row r="471" spans="2:40" hidden="1" x14ac:dyDescent="0.35">
      <c r="B471" s="15"/>
      <c r="C471" s="127" t="str">
        <f>IFERROR(IF(LEN(INDEX(Database!C$9:C$501,ROW(Calc!A471)-ROW(Calc!$B$7)))=0,"",INDEX(Database!C$9:C$501,ROW(Calc!A471)-ROW(Calc!$B$7))),"")</f>
        <v/>
      </c>
      <c r="D471" s="70" t="str">
        <f>IFERROR(IF(LEN(INDEX(Database!D$9:D$501,ROW(Calc!B471)-ROW(Calc!$B$7)))=0,"",INDEX(Database!D$9:D$501,ROW(Calc!B471)-ROW(Calc!$B$7))),"")</f>
        <v/>
      </c>
      <c r="E471" s="124" t="str">
        <f>IFERROR(IF(LEN(INDEX(Database!G$9:G$501,ROW(Calc!D471)-ROW(Calc!$B$7)))=0,$AD$3,INDEX(Database!G$9:G$501,ROW(Calc!D471)-ROW(Calc!$B$7))),"")</f>
        <v>Not Set</v>
      </c>
      <c r="F471" s="124" t="str">
        <f>IFERROR(IF(LEN(INDEX(Database!F$9:F$501,ROW(Calc!E471)-ROW(Calc!$B$7)))=0,$AD$3,INDEX(Database!F$9:F$501,ROW(Calc!E471)-ROW(Calc!$B$7))),"")</f>
        <v>Not Set</v>
      </c>
      <c r="G471" s="128" t="str">
        <f>IFERROR(IF(LEN(INDEX(Database!H$9:H$501,ROW(Calc!F471)-ROW(Calc!$B$7)))=0,$AD$3,INDEX(Database!H$9:H$501,ROW(Calc!F471)-ROW(Calc!$B$7))),"")</f>
        <v>Not Set</v>
      </c>
      <c r="H471" s="128" t="str">
        <f>IFERROR(IF(LEN(INDEX(Database!I$9:I$501,ROW(Calc!G471)-ROW(Calc!$B$7)))=0,$AD$3,INDEX(Database!I$9:I$501,ROW(Calc!G471)-ROW(Calc!$B$7))),"")</f>
        <v>Not Set</v>
      </c>
      <c r="I471" s="128" t="str">
        <f>IFERROR(IF(LEN(INDEX(Database!J$9:J$501,ROW(Calc!H471)-ROW(Calc!$B$7)))=0,$AD$3,INDEX(Database!J$9:J$501,ROW(Calc!H471)-ROW(Calc!$B$7))),"")</f>
        <v>Not Set</v>
      </c>
      <c r="J471" s="128" t="str">
        <f t="shared" si="68"/>
        <v>Not Set</v>
      </c>
      <c r="K471" s="124" t="str">
        <f>IFERROR(IF(LEN(INDEX(Database!E$9:E$501,ROW(Calc!I471)-ROW(Calc!$B$7)))=0,"",INDEX(Database!E$9:E$501,ROW(Calc!I471)-ROW(Calc!$B$7))),"")</f>
        <v/>
      </c>
      <c r="L471" s="129" t="str">
        <f>IFERROR(IF(LEN(INDEX(Database!K$9:K$501,ROW(Calc!K471)-ROW(Calc!$B$7)))=0,$AD$3,INDEX(Database!K$9:K$501,ROW(Calc!K471)-ROW(Calc!$B$7))),"")</f>
        <v>Not Set</v>
      </c>
      <c r="M471" s="130" t="str">
        <f>IFERROR(IF(LEN(INDEX(Database!L$9:L$501,ROW(Calc!L471)-ROW(Calc!$B$7)))=0,$AD$3,INDEX(Database!L$9:L$501,ROW(Calc!L471)-ROW(Calc!$B$7))),"")</f>
        <v>Not Set</v>
      </c>
      <c r="N471" s="131" t="str">
        <f>IFERROR(IF(LEN(INDEX(Database!M$9:M$501,ROW(Calc!M471)-ROW(Calc!$B$7)))=0,"",INDEX(Database!M$9:M$501,ROW(Calc!M471)-ROW(Calc!$B$7))),"")</f>
        <v/>
      </c>
      <c r="O471" s="132" t="str">
        <f t="shared" si="72"/>
        <v/>
      </c>
      <c r="P471" s="125" t="str">
        <f t="shared" si="69"/>
        <v>Not Set</v>
      </c>
      <c r="Q471" s="125" t="str">
        <f t="shared" si="70"/>
        <v>Not Set</v>
      </c>
      <c r="R471" s="125" t="str">
        <f>IFERROR(IF(G471=$AD$3,$AD$3,INDEX(Kanban_Helper!$C$317:$C$328,MATCH(MONTH(G471),Kanban_Helper!$B$317:$B$328,0))&amp;" - "&amp;YEAR(G471)),"$AD$3")</f>
        <v>Not Set</v>
      </c>
      <c r="S471" s="125" t="str">
        <f>IFERROR(IF(I471=$AD$3,$AD$3,INDEX(Kanban_Helper!$C$317:$C$328,MATCH(MONTH(I471),Kanban_Helper!$B$317:$B$328,0))&amp;" - "&amp;YEAR(I471)),$AD$3)</f>
        <v>Not Set</v>
      </c>
      <c r="T471" s="125" t="str">
        <f t="shared" ca="1" si="73"/>
        <v/>
      </c>
      <c r="U471" s="125" t="str">
        <f t="shared" ca="1" si="74"/>
        <v/>
      </c>
      <c r="V471" s="125" t="str">
        <f t="shared" si="71"/>
        <v>Not Set</v>
      </c>
      <c r="W471" s="126" t="str">
        <f t="shared" si="75"/>
        <v/>
      </c>
      <c r="X471" s="126" t="str">
        <f t="shared" si="76"/>
        <v/>
      </c>
      <c r="Y471" s="125" t="str">
        <f>IFERROR(IF(LEN(D471)=0,"",IF(SUBTOTAL(3,E471:E471)=0,MIN($Y$7:Y470)-1,SUBTOTAL(3,$E$8:E471))),"")</f>
        <v/>
      </c>
      <c r="Z471" s="17"/>
      <c r="AA471" s="10"/>
      <c r="AB471" s="10"/>
      <c r="AC471" s="10"/>
      <c r="AD471" s="10"/>
      <c r="AE471" s="10"/>
      <c r="AF471" s="10"/>
      <c r="AG471" s="10"/>
      <c r="AH471" s="10"/>
      <c r="AI471" s="10"/>
      <c r="AJ471" s="10"/>
      <c r="AK471" s="10"/>
      <c r="AL471" s="10"/>
      <c r="AM471" s="10"/>
      <c r="AN471" s="10"/>
    </row>
    <row r="472" spans="2:40" hidden="1" x14ac:dyDescent="0.35">
      <c r="B472" s="15"/>
      <c r="C472" s="127" t="str">
        <f>IFERROR(IF(LEN(INDEX(Database!C$9:C$501,ROW(Calc!A472)-ROW(Calc!$B$7)))=0,"",INDEX(Database!C$9:C$501,ROW(Calc!A472)-ROW(Calc!$B$7))),"")</f>
        <v/>
      </c>
      <c r="D472" s="70" t="str">
        <f>IFERROR(IF(LEN(INDEX(Database!D$9:D$501,ROW(Calc!B472)-ROW(Calc!$B$7)))=0,"",INDEX(Database!D$9:D$501,ROW(Calc!B472)-ROW(Calc!$B$7))),"")</f>
        <v/>
      </c>
      <c r="E472" s="124" t="str">
        <f>IFERROR(IF(LEN(INDEX(Database!G$9:G$501,ROW(Calc!D472)-ROW(Calc!$B$7)))=0,$AD$3,INDEX(Database!G$9:G$501,ROW(Calc!D472)-ROW(Calc!$B$7))),"")</f>
        <v>Not Set</v>
      </c>
      <c r="F472" s="124" t="str">
        <f>IFERROR(IF(LEN(INDEX(Database!F$9:F$501,ROW(Calc!E472)-ROW(Calc!$B$7)))=0,$AD$3,INDEX(Database!F$9:F$501,ROW(Calc!E472)-ROW(Calc!$B$7))),"")</f>
        <v>Not Set</v>
      </c>
      <c r="G472" s="128" t="str">
        <f>IFERROR(IF(LEN(INDEX(Database!H$9:H$501,ROW(Calc!F472)-ROW(Calc!$B$7)))=0,$AD$3,INDEX(Database!H$9:H$501,ROW(Calc!F472)-ROW(Calc!$B$7))),"")</f>
        <v>Not Set</v>
      </c>
      <c r="H472" s="128" t="str">
        <f>IFERROR(IF(LEN(INDEX(Database!I$9:I$501,ROW(Calc!G472)-ROW(Calc!$B$7)))=0,$AD$3,INDEX(Database!I$9:I$501,ROW(Calc!G472)-ROW(Calc!$B$7))),"")</f>
        <v>Not Set</v>
      </c>
      <c r="I472" s="128" t="str">
        <f>IFERROR(IF(LEN(INDEX(Database!J$9:J$501,ROW(Calc!H472)-ROW(Calc!$B$7)))=0,$AD$3,INDEX(Database!J$9:J$501,ROW(Calc!H472)-ROW(Calc!$B$7))),"")</f>
        <v>Not Set</v>
      </c>
      <c r="J472" s="128" t="str">
        <f t="shared" si="68"/>
        <v>Not Set</v>
      </c>
      <c r="K472" s="124" t="str">
        <f>IFERROR(IF(LEN(INDEX(Database!E$9:E$501,ROW(Calc!I472)-ROW(Calc!$B$7)))=0,"",INDEX(Database!E$9:E$501,ROW(Calc!I472)-ROW(Calc!$B$7))),"")</f>
        <v/>
      </c>
      <c r="L472" s="129" t="str">
        <f>IFERROR(IF(LEN(INDEX(Database!K$9:K$501,ROW(Calc!K472)-ROW(Calc!$B$7)))=0,$AD$3,INDEX(Database!K$9:K$501,ROW(Calc!K472)-ROW(Calc!$B$7))),"")</f>
        <v>Not Set</v>
      </c>
      <c r="M472" s="130" t="str">
        <f>IFERROR(IF(LEN(INDEX(Database!L$9:L$501,ROW(Calc!L472)-ROW(Calc!$B$7)))=0,$AD$3,INDEX(Database!L$9:L$501,ROW(Calc!L472)-ROW(Calc!$B$7))),"")</f>
        <v>Not Set</v>
      </c>
      <c r="N472" s="131" t="str">
        <f>IFERROR(IF(LEN(INDEX(Database!M$9:M$501,ROW(Calc!M472)-ROW(Calc!$B$7)))=0,"",INDEX(Database!M$9:M$501,ROW(Calc!M472)-ROW(Calc!$B$7))),"")</f>
        <v/>
      </c>
      <c r="O472" s="132" t="str">
        <f t="shared" si="72"/>
        <v/>
      </c>
      <c r="P472" s="125" t="str">
        <f t="shared" si="69"/>
        <v>Not Set</v>
      </c>
      <c r="Q472" s="125" t="str">
        <f t="shared" si="70"/>
        <v>Not Set</v>
      </c>
      <c r="R472" s="125" t="str">
        <f>IFERROR(IF(G472=$AD$3,$AD$3,INDEX(Kanban_Helper!$C$317:$C$328,MATCH(MONTH(G472),Kanban_Helper!$B$317:$B$328,0))&amp;" - "&amp;YEAR(G472)),"$AD$3")</f>
        <v>Not Set</v>
      </c>
      <c r="S472" s="125" t="str">
        <f>IFERROR(IF(I472=$AD$3,$AD$3,INDEX(Kanban_Helper!$C$317:$C$328,MATCH(MONTH(I472),Kanban_Helper!$B$317:$B$328,0))&amp;" - "&amp;YEAR(I472)),$AD$3)</f>
        <v>Not Set</v>
      </c>
      <c r="T472" s="125" t="str">
        <f t="shared" ca="1" si="73"/>
        <v/>
      </c>
      <c r="U472" s="125" t="str">
        <f t="shared" ca="1" si="74"/>
        <v/>
      </c>
      <c r="V472" s="125" t="str">
        <f t="shared" si="71"/>
        <v>Not Set</v>
      </c>
      <c r="W472" s="126" t="str">
        <f t="shared" si="75"/>
        <v/>
      </c>
      <c r="X472" s="126" t="str">
        <f t="shared" si="76"/>
        <v/>
      </c>
      <c r="Y472" s="125" t="str">
        <f>IFERROR(IF(LEN(D472)=0,"",IF(SUBTOTAL(3,E472:E472)=0,MIN($Y$7:Y471)-1,SUBTOTAL(3,$E$8:E472))),"")</f>
        <v/>
      </c>
      <c r="Z472" s="17"/>
      <c r="AA472" s="10"/>
      <c r="AB472" s="10"/>
      <c r="AC472" s="10"/>
      <c r="AD472" s="10"/>
      <c r="AE472" s="10"/>
      <c r="AF472" s="10"/>
      <c r="AG472" s="10"/>
      <c r="AH472" s="10"/>
      <c r="AI472" s="10"/>
      <c r="AJ472" s="10"/>
      <c r="AK472" s="10"/>
      <c r="AL472" s="10"/>
      <c r="AM472" s="10"/>
      <c r="AN472" s="10"/>
    </row>
    <row r="473" spans="2:40" hidden="1" x14ac:dyDescent="0.35">
      <c r="B473" s="15"/>
      <c r="C473" s="127" t="str">
        <f>IFERROR(IF(LEN(INDEX(Database!C$9:C$501,ROW(Calc!A473)-ROW(Calc!$B$7)))=0,"",INDEX(Database!C$9:C$501,ROW(Calc!A473)-ROW(Calc!$B$7))),"")</f>
        <v/>
      </c>
      <c r="D473" s="70" t="str">
        <f>IFERROR(IF(LEN(INDEX(Database!D$9:D$501,ROW(Calc!B473)-ROW(Calc!$B$7)))=0,"",INDEX(Database!D$9:D$501,ROW(Calc!B473)-ROW(Calc!$B$7))),"")</f>
        <v/>
      </c>
      <c r="E473" s="124" t="str">
        <f>IFERROR(IF(LEN(INDEX(Database!G$9:G$501,ROW(Calc!D473)-ROW(Calc!$B$7)))=0,$AD$3,INDEX(Database!G$9:G$501,ROW(Calc!D473)-ROW(Calc!$B$7))),"")</f>
        <v>Not Set</v>
      </c>
      <c r="F473" s="124" t="str">
        <f>IFERROR(IF(LEN(INDEX(Database!F$9:F$501,ROW(Calc!E473)-ROW(Calc!$B$7)))=0,$AD$3,INDEX(Database!F$9:F$501,ROW(Calc!E473)-ROW(Calc!$B$7))),"")</f>
        <v>Not Set</v>
      </c>
      <c r="G473" s="128" t="str">
        <f>IFERROR(IF(LEN(INDEX(Database!H$9:H$501,ROW(Calc!F473)-ROW(Calc!$B$7)))=0,$AD$3,INDEX(Database!H$9:H$501,ROW(Calc!F473)-ROW(Calc!$B$7))),"")</f>
        <v>Not Set</v>
      </c>
      <c r="H473" s="128" t="str">
        <f>IFERROR(IF(LEN(INDEX(Database!I$9:I$501,ROW(Calc!G473)-ROW(Calc!$B$7)))=0,$AD$3,INDEX(Database!I$9:I$501,ROW(Calc!G473)-ROW(Calc!$B$7))),"")</f>
        <v>Not Set</v>
      </c>
      <c r="I473" s="128" t="str">
        <f>IFERROR(IF(LEN(INDEX(Database!J$9:J$501,ROW(Calc!H473)-ROW(Calc!$B$7)))=0,$AD$3,INDEX(Database!J$9:J$501,ROW(Calc!H473)-ROW(Calc!$B$7))),"")</f>
        <v>Not Set</v>
      </c>
      <c r="J473" s="128" t="str">
        <f t="shared" si="68"/>
        <v>Not Set</v>
      </c>
      <c r="K473" s="124" t="str">
        <f>IFERROR(IF(LEN(INDEX(Database!E$9:E$501,ROW(Calc!I473)-ROW(Calc!$B$7)))=0,"",INDEX(Database!E$9:E$501,ROW(Calc!I473)-ROW(Calc!$B$7))),"")</f>
        <v/>
      </c>
      <c r="L473" s="129" t="str">
        <f>IFERROR(IF(LEN(INDEX(Database!K$9:K$501,ROW(Calc!K473)-ROW(Calc!$B$7)))=0,$AD$3,INDEX(Database!K$9:K$501,ROW(Calc!K473)-ROW(Calc!$B$7))),"")</f>
        <v>Not Set</v>
      </c>
      <c r="M473" s="130" t="str">
        <f>IFERROR(IF(LEN(INDEX(Database!L$9:L$501,ROW(Calc!L473)-ROW(Calc!$B$7)))=0,$AD$3,INDEX(Database!L$9:L$501,ROW(Calc!L473)-ROW(Calc!$B$7))),"")</f>
        <v>Not Set</v>
      </c>
      <c r="N473" s="131" t="str">
        <f>IFERROR(IF(LEN(INDEX(Database!M$9:M$501,ROW(Calc!M473)-ROW(Calc!$B$7)))=0,"",INDEX(Database!M$9:M$501,ROW(Calc!M473)-ROW(Calc!$B$7))),"")</f>
        <v/>
      </c>
      <c r="O473" s="132" t="str">
        <f t="shared" si="72"/>
        <v/>
      </c>
      <c r="P473" s="125" t="str">
        <f t="shared" si="69"/>
        <v>Not Set</v>
      </c>
      <c r="Q473" s="125" t="str">
        <f t="shared" si="70"/>
        <v>Not Set</v>
      </c>
      <c r="R473" s="125" t="str">
        <f>IFERROR(IF(G473=$AD$3,$AD$3,INDEX(Kanban_Helper!$C$317:$C$328,MATCH(MONTH(G473),Kanban_Helper!$B$317:$B$328,0))&amp;" - "&amp;YEAR(G473)),"$AD$3")</f>
        <v>Not Set</v>
      </c>
      <c r="S473" s="125" t="str">
        <f>IFERROR(IF(I473=$AD$3,$AD$3,INDEX(Kanban_Helper!$C$317:$C$328,MATCH(MONTH(I473),Kanban_Helper!$B$317:$B$328,0))&amp;" - "&amp;YEAR(I473)),$AD$3)</f>
        <v>Not Set</v>
      </c>
      <c r="T473" s="125" t="str">
        <f t="shared" ca="1" si="73"/>
        <v/>
      </c>
      <c r="U473" s="125" t="str">
        <f t="shared" ca="1" si="74"/>
        <v/>
      </c>
      <c r="V473" s="125" t="str">
        <f t="shared" si="71"/>
        <v>Not Set</v>
      </c>
      <c r="W473" s="126" t="str">
        <f t="shared" si="75"/>
        <v/>
      </c>
      <c r="X473" s="126" t="str">
        <f t="shared" si="76"/>
        <v/>
      </c>
      <c r="Y473" s="125" t="str">
        <f>IFERROR(IF(LEN(D473)=0,"",IF(SUBTOTAL(3,E473:E473)=0,MIN($Y$7:Y472)-1,SUBTOTAL(3,$E$8:E473))),"")</f>
        <v/>
      </c>
      <c r="Z473" s="17"/>
      <c r="AA473" s="10"/>
      <c r="AB473" s="10"/>
      <c r="AC473" s="10"/>
      <c r="AD473" s="10"/>
      <c r="AE473" s="10"/>
      <c r="AF473" s="10"/>
      <c r="AG473" s="10"/>
      <c r="AH473" s="10"/>
      <c r="AI473" s="10"/>
      <c r="AJ473" s="10"/>
      <c r="AK473" s="10"/>
      <c r="AL473" s="10"/>
      <c r="AM473" s="10"/>
      <c r="AN473" s="10"/>
    </row>
    <row r="474" spans="2:40" hidden="1" x14ac:dyDescent="0.35">
      <c r="B474" s="15"/>
      <c r="C474" s="127" t="str">
        <f>IFERROR(IF(LEN(INDEX(Database!C$9:C$501,ROW(Calc!A474)-ROW(Calc!$B$7)))=0,"",INDEX(Database!C$9:C$501,ROW(Calc!A474)-ROW(Calc!$B$7))),"")</f>
        <v/>
      </c>
      <c r="D474" s="70" t="str">
        <f>IFERROR(IF(LEN(INDEX(Database!D$9:D$501,ROW(Calc!B474)-ROW(Calc!$B$7)))=0,"",INDEX(Database!D$9:D$501,ROW(Calc!B474)-ROW(Calc!$B$7))),"")</f>
        <v/>
      </c>
      <c r="E474" s="124" t="str">
        <f>IFERROR(IF(LEN(INDEX(Database!G$9:G$501,ROW(Calc!D474)-ROW(Calc!$B$7)))=0,$AD$3,INDEX(Database!G$9:G$501,ROW(Calc!D474)-ROW(Calc!$B$7))),"")</f>
        <v>Not Set</v>
      </c>
      <c r="F474" s="124" t="str">
        <f>IFERROR(IF(LEN(INDEX(Database!F$9:F$501,ROW(Calc!E474)-ROW(Calc!$B$7)))=0,$AD$3,INDEX(Database!F$9:F$501,ROW(Calc!E474)-ROW(Calc!$B$7))),"")</f>
        <v>Not Set</v>
      </c>
      <c r="G474" s="128" t="str">
        <f>IFERROR(IF(LEN(INDEX(Database!H$9:H$501,ROW(Calc!F474)-ROW(Calc!$B$7)))=0,$AD$3,INDEX(Database!H$9:H$501,ROW(Calc!F474)-ROW(Calc!$B$7))),"")</f>
        <v>Not Set</v>
      </c>
      <c r="H474" s="128" t="str">
        <f>IFERROR(IF(LEN(INDEX(Database!I$9:I$501,ROW(Calc!G474)-ROW(Calc!$B$7)))=0,$AD$3,INDEX(Database!I$9:I$501,ROW(Calc!G474)-ROW(Calc!$B$7))),"")</f>
        <v>Not Set</v>
      </c>
      <c r="I474" s="128" t="str">
        <f>IFERROR(IF(LEN(INDEX(Database!J$9:J$501,ROW(Calc!H474)-ROW(Calc!$B$7)))=0,$AD$3,INDEX(Database!J$9:J$501,ROW(Calc!H474)-ROW(Calc!$B$7))),"")</f>
        <v>Not Set</v>
      </c>
      <c r="J474" s="128" t="str">
        <f t="shared" si="68"/>
        <v>Not Set</v>
      </c>
      <c r="K474" s="124" t="str">
        <f>IFERROR(IF(LEN(INDEX(Database!E$9:E$501,ROW(Calc!I474)-ROW(Calc!$B$7)))=0,"",INDEX(Database!E$9:E$501,ROW(Calc!I474)-ROW(Calc!$B$7))),"")</f>
        <v/>
      </c>
      <c r="L474" s="129" t="str">
        <f>IFERROR(IF(LEN(INDEX(Database!K$9:K$501,ROW(Calc!K474)-ROW(Calc!$B$7)))=0,$AD$3,INDEX(Database!K$9:K$501,ROW(Calc!K474)-ROW(Calc!$B$7))),"")</f>
        <v>Not Set</v>
      </c>
      <c r="M474" s="130" t="str">
        <f>IFERROR(IF(LEN(INDEX(Database!L$9:L$501,ROW(Calc!L474)-ROW(Calc!$B$7)))=0,$AD$3,INDEX(Database!L$9:L$501,ROW(Calc!L474)-ROW(Calc!$B$7))),"")</f>
        <v>Not Set</v>
      </c>
      <c r="N474" s="131" t="str">
        <f>IFERROR(IF(LEN(INDEX(Database!M$9:M$501,ROW(Calc!M474)-ROW(Calc!$B$7)))=0,"",INDEX(Database!M$9:M$501,ROW(Calc!M474)-ROW(Calc!$B$7))),"")</f>
        <v/>
      </c>
      <c r="O474" s="132" t="str">
        <f t="shared" si="72"/>
        <v/>
      </c>
      <c r="P474" s="125" t="str">
        <f t="shared" si="69"/>
        <v>Not Set</v>
      </c>
      <c r="Q474" s="125" t="str">
        <f t="shared" si="70"/>
        <v>Not Set</v>
      </c>
      <c r="R474" s="125" t="str">
        <f>IFERROR(IF(G474=$AD$3,$AD$3,INDEX(Kanban_Helper!$C$317:$C$328,MATCH(MONTH(G474),Kanban_Helper!$B$317:$B$328,0))&amp;" - "&amp;YEAR(G474)),"$AD$3")</f>
        <v>Not Set</v>
      </c>
      <c r="S474" s="125" t="str">
        <f>IFERROR(IF(I474=$AD$3,$AD$3,INDEX(Kanban_Helper!$C$317:$C$328,MATCH(MONTH(I474),Kanban_Helper!$B$317:$B$328,0))&amp;" - "&amp;YEAR(I474)),$AD$3)</f>
        <v>Not Set</v>
      </c>
      <c r="T474" s="125" t="str">
        <f t="shared" ca="1" si="73"/>
        <v/>
      </c>
      <c r="U474" s="125" t="str">
        <f t="shared" ca="1" si="74"/>
        <v/>
      </c>
      <c r="V474" s="125" t="str">
        <f t="shared" si="71"/>
        <v>Not Set</v>
      </c>
      <c r="W474" s="126" t="str">
        <f t="shared" si="75"/>
        <v/>
      </c>
      <c r="X474" s="126" t="str">
        <f t="shared" si="76"/>
        <v/>
      </c>
      <c r="Y474" s="125" t="str">
        <f>IFERROR(IF(LEN(D474)=0,"",IF(SUBTOTAL(3,E474:E474)=0,MIN($Y$7:Y473)-1,SUBTOTAL(3,$E$8:E474))),"")</f>
        <v/>
      </c>
      <c r="Z474" s="17"/>
      <c r="AA474" s="10"/>
      <c r="AB474" s="10"/>
      <c r="AC474" s="10"/>
      <c r="AD474" s="10"/>
      <c r="AE474" s="10"/>
      <c r="AF474" s="10"/>
      <c r="AG474" s="10"/>
      <c r="AH474" s="10"/>
      <c r="AI474" s="10"/>
      <c r="AJ474" s="10"/>
      <c r="AK474" s="10"/>
      <c r="AL474" s="10"/>
      <c r="AM474" s="10"/>
      <c r="AN474" s="10"/>
    </row>
    <row r="475" spans="2:40" hidden="1" x14ac:dyDescent="0.35">
      <c r="B475" s="15"/>
      <c r="C475" s="127" t="str">
        <f>IFERROR(IF(LEN(INDEX(Database!C$9:C$501,ROW(Calc!A475)-ROW(Calc!$B$7)))=0,"",INDEX(Database!C$9:C$501,ROW(Calc!A475)-ROW(Calc!$B$7))),"")</f>
        <v/>
      </c>
      <c r="D475" s="70" t="str">
        <f>IFERROR(IF(LEN(INDEX(Database!D$9:D$501,ROW(Calc!B475)-ROW(Calc!$B$7)))=0,"",INDEX(Database!D$9:D$501,ROW(Calc!B475)-ROW(Calc!$B$7))),"")</f>
        <v/>
      </c>
      <c r="E475" s="124" t="str">
        <f>IFERROR(IF(LEN(INDEX(Database!G$9:G$501,ROW(Calc!D475)-ROW(Calc!$B$7)))=0,$AD$3,INDEX(Database!G$9:G$501,ROW(Calc!D475)-ROW(Calc!$B$7))),"")</f>
        <v>Not Set</v>
      </c>
      <c r="F475" s="124" t="str">
        <f>IFERROR(IF(LEN(INDEX(Database!F$9:F$501,ROW(Calc!E475)-ROW(Calc!$B$7)))=0,$AD$3,INDEX(Database!F$9:F$501,ROW(Calc!E475)-ROW(Calc!$B$7))),"")</f>
        <v>Not Set</v>
      </c>
      <c r="G475" s="128" t="str">
        <f>IFERROR(IF(LEN(INDEX(Database!H$9:H$501,ROW(Calc!F475)-ROW(Calc!$B$7)))=0,$AD$3,INDEX(Database!H$9:H$501,ROW(Calc!F475)-ROW(Calc!$B$7))),"")</f>
        <v>Not Set</v>
      </c>
      <c r="H475" s="128" t="str">
        <f>IFERROR(IF(LEN(INDEX(Database!I$9:I$501,ROW(Calc!G475)-ROW(Calc!$B$7)))=0,$AD$3,INDEX(Database!I$9:I$501,ROW(Calc!G475)-ROW(Calc!$B$7))),"")</f>
        <v>Not Set</v>
      </c>
      <c r="I475" s="128" t="str">
        <f>IFERROR(IF(LEN(INDEX(Database!J$9:J$501,ROW(Calc!H475)-ROW(Calc!$B$7)))=0,$AD$3,INDEX(Database!J$9:J$501,ROW(Calc!H475)-ROW(Calc!$B$7))),"")</f>
        <v>Not Set</v>
      </c>
      <c r="J475" s="128" t="str">
        <f t="shared" si="68"/>
        <v>Not Set</v>
      </c>
      <c r="K475" s="124" t="str">
        <f>IFERROR(IF(LEN(INDEX(Database!E$9:E$501,ROW(Calc!I475)-ROW(Calc!$B$7)))=0,"",INDEX(Database!E$9:E$501,ROW(Calc!I475)-ROW(Calc!$B$7))),"")</f>
        <v/>
      </c>
      <c r="L475" s="129" t="str">
        <f>IFERROR(IF(LEN(INDEX(Database!K$9:K$501,ROW(Calc!K475)-ROW(Calc!$B$7)))=0,$AD$3,INDEX(Database!K$9:K$501,ROW(Calc!K475)-ROW(Calc!$B$7))),"")</f>
        <v>Not Set</v>
      </c>
      <c r="M475" s="130" t="str">
        <f>IFERROR(IF(LEN(INDEX(Database!L$9:L$501,ROW(Calc!L475)-ROW(Calc!$B$7)))=0,$AD$3,INDEX(Database!L$9:L$501,ROW(Calc!L475)-ROW(Calc!$B$7))),"")</f>
        <v>Not Set</v>
      </c>
      <c r="N475" s="131" t="str">
        <f>IFERROR(IF(LEN(INDEX(Database!M$9:M$501,ROW(Calc!M475)-ROW(Calc!$B$7)))=0,"",INDEX(Database!M$9:M$501,ROW(Calc!M475)-ROW(Calc!$B$7))),"")</f>
        <v/>
      </c>
      <c r="O475" s="132" t="str">
        <f t="shared" si="72"/>
        <v/>
      </c>
      <c r="P475" s="125" t="str">
        <f t="shared" si="69"/>
        <v>Not Set</v>
      </c>
      <c r="Q475" s="125" t="str">
        <f t="shared" si="70"/>
        <v>Not Set</v>
      </c>
      <c r="R475" s="125" t="str">
        <f>IFERROR(IF(G475=$AD$3,$AD$3,INDEX(Kanban_Helper!$C$317:$C$328,MATCH(MONTH(G475),Kanban_Helper!$B$317:$B$328,0))&amp;" - "&amp;YEAR(G475)),"$AD$3")</f>
        <v>Not Set</v>
      </c>
      <c r="S475" s="125" t="str">
        <f>IFERROR(IF(I475=$AD$3,$AD$3,INDEX(Kanban_Helper!$C$317:$C$328,MATCH(MONTH(I475),Kanban_Helper!$B$317:$B$328,0))&amp;" - "&amp;YEAR(I475)),$AD$3)</f>
        <v>Not Set</v>
      </c>
      <c r="T475" s="125" t="str">
        <f t="shared" ca="1" si="73"/>
        <v/>
      </c>
      <c r="U475" s="125" t="str">
        <f t="shared" ca="1" si="74"/>
        <v/>
      </c>
      <c r="V475" s="125" t="str">
        <f t="shared" si="71"/>
        <v>Not Set</v>
      </c>
      <c r="W475" s="126" t="str">
        <f t="shared" si="75"/>
        <v/>
      </c>
      <c r="X475" s="126" t="str">
        <f t="shared" si="76"/>
        <v/>
      </c>
      <c r="Y475" s="125" t="str">
        <f>IFERROR(IF(LEN(D475)=0,"",IF(SUBTOTAL(3,E475:E475)=0,MIN($Y$7:Y474)-1,SUBTOTAL(3,$E$8:E475))),"")</f>
        <v/>
      </c>
      <c r="Z475" s="17"/>
      <c r="AA475" s="10"/>
      <c r="AB475" s="10"/>
      <c r="AC475" s="10"/>
      <c r="AD475" s="10"/>
      <c r="AE475" s="10"/>
      <c r="AF475" s="10"/>
      <c r="AG475" s="10"/>
      <c r="AH475" s="10"/>
      <c r="AI475" s="10"/>
      <c r="AJ475" s="10"/>
      <c r="AK475" s="10"/>
      <c r="AL475" s="10"/>
      <c r="AM475" s="10"/>
      <c r="AN475" s="10"/>
    </row>
    <row r="476" spans="2:40" hidden="1" x14ac:dyDescent="0.35">
      <c r="B476" s="15"/>
      <c r="C476" s="127" t="str">
        <f>IFERROR(IF(LEN(INDEX(Database!C$9:C$501,ROW(Calc!A476)-ROW(Calc!$B$7)))=0,"",INDEX(Database!C$9:C$501,ROW(Calc!A476)-ROW(Calc!$B$7))),"")</f>
        <v/>
      </c>
      <c r="D476" s="70" t="str">
        <f>IFERROR(IF(LEN(INDEX(Database!D$9:D$501,ROW(Calc!B476)-ROW(Calc!$B$7)))=0,"",INDEX(Database!D$9:D$501,ROW(Calc!B476)-ROW(Calc!$B$7))),"")</f>
        <v/>
      </c>
      <c r="E476" s="124" t="str">
        <f>IFERROR(IF(LEN(INDEX(Database!G$9:G$501,ROW(Calc!D476)-ROW(Calc!$B$7)))=0,$AD$3,INDEX(Database!G$9:G$501,ROW(Calc!D476)-ROW(Calc!$B$7))),"")</f>
        <v>Not Set</v>
      </c>
      <c r="F476" s="124" t="str">
        <f>IFERROR(IF(LEN(INDEX(Database!F$9:F$501,ROW(Calc!E476)-ROW(Calc!$B$7)))=0,$AD$3,INDEX(Database!F$9:F$501,ROW(Calc!E476)-ROW(Calc!$B$7))),"")</f>
        <v>Not Set</v>
      </c>
      <c r="G476" s="128" t="str">
        <f>IFERROR(IF(LEN(INDEX(Database!H$9:H$501,ROW(Calc!F476)-ROW(Calc!$B$7)))=0,$AD$3,INDEX(Database!H$9:H$501,ROW(Calc!F476)-ROW(Calc!$B$7))),"")</f>
        <v>Not Set</v>
      </c>
      <c r="H476" s="128" t="str">
        <f>IFERROR(IF(LEN(INDEX(Database!I$9:I$501,ROW(Calc!G476)-ROW(Calc!$B$7)))=0,$AD$3,INDEX(Database!I$9:I$501,ROW(Calc!G476)-ROW(Calc!$B$7))),"")</f>
        <v>Not Set</v>
      </c>
      <c r="I476" s="128" t="str">
        <f>IFERROR(IF(LEN(INDEX(Database!J$9:J$501,ROW(Calc!H476)-ROW(Calc!$B$7)))=0,$AD$3,INDEX(Database!J$9:J$501,ROW(Calc!H476)-ROW(Calc!$B$7))),"")</f>
        <v>Not Set</v>
      </c>
      <c r="J476" s="128" t="str">
        <f t="shared" si="68"/>
        <v>Not Set</v>
      </c>
      <c r="K476" s="124" t="str">
        <f>IFERROR(IF(LEN(INDEX(Database!E$9:E$501,ROW(Calc!I476)-ROW(Calc!$B$7)))=0,"",INDEX(Database!E$9:E$501,ROW(Calc!I476)-ROW(Calc!$B$7))),"")</f>
        <v/>
      </c>
      <c r="L476" s="129" t="str">
        <f>IFERROR(IF(LEN(INDEX(Database!K$9:K$501,ROW(Calc!K476)-ROW(Calc!$B$7)))=0,$AD$3,INDEX(Database!K$9:K$501,ROW(Calc!K476)-ROW(Calc!$B$7))),"")</f>
        <v>Not Set</v>
      </c>
      <c r="M476" s="130" t="str">
        <f>IFERROR(IF(LEN(INDEX(Database!L$9:L$501,ROW(Calc!L476)-ROW(Calc!$B$7)))=0,$AD$3,INDEX(Database!L$9:L$501,ROW(Calc!L476)-ROW(Calc!$B$7))),"")</f>
        <v>Not Set</v>
      </c>
      <c r="N476" s="131" t="str">
        <f>IFERROR(IF(LEN(INDEX(Database!M$9:M$501,ROW(Calc!M476)-ROW(Calc!$B$7)))=0,"",INDEX(Database!M$9:M$501,ROW(Calc!M476)-ROW(Calc!$B$7))),"")</f>
        <v/>
      </c>
      <c r="O476" s="132" t="str">
        <f t="shared" si="72"/>
        <v/>
      </c>
      <c r="P476" s="125" t="str">
        <f t="shared" si="69"/>
        <v>Not Set</v>
      </c>
      <c r="Q476" s="125" t="str">
        <f t="shared" si="70"/>
        <v>Not Set</v>
      </c>
      <c r="R476" s="125" t="str">
        <f>IFERROR(IF(G476=$AD$3,$AD$3,INDEX(Kanban_Helper!$C$317:$C$328,MATCH(MONTH(G476),Kanban_Helper!$B$317:$B$328,0))&amp;" - "&amp;YEAR(G476)),"$AD$3")</f>
        <v>Not Set</v>
      </c>
      <c r="S476" s="125" t="str">
        <f>IFERROR(IF(I476=$AD$3,$AD$3,INDEX(Kanban_Helper!$C$317:$C$328,MATCH(MONTH(I476),Kanban_Helper!$B$317:$B$328,0))&amp;" - "&amp;YEAR(I476)),$AD$3)</f>
        <v>Not Set</v>
      </c>
      <c r="T476" s="125" t="str">
        <f t="shared" ca="1" si="73"/>
        <v/>
      </c>
      <c r="U476" s="125" t="str">
        <f t="shared" ca="1" si="74"/>
        <v/>
      </c>
      <c r="V476" s="125" t="str">
        <f t="shared" si="71"/>
        <v>Not Set</v>
      </c>
      <c r="W476" s="126" t="str">
        <f t="shared" si="75"/>
        <v/>
      </c>
      <c r="X476" s="126" t="str">
        <f t="shared" si="76"/>
        <v/>
      </c>
      <c r="Y476" s="125" t="str">
        <f>IFERROR(IF(LEN(D476)=0,"",IF(SUBTOTAL(3,E476:E476)=0,MIN($Y$7:Y475)-1,SUBTOTAL(3,$E$8:E476))),"")</f>
        <v/>
      </c>
      <c r="Z476" s="17"/>
      <c r="AA476" s="10"/>
      <c r="AB476" s="10"/>
      <c r="AC476" s="10"/>
      <c r="AD476" s="10"/>
      <c r="AE476" s="10"/>
      <c r="AF476" s="10"/>
      <c r="AG476" s="10"/>
      <c r="AH476" s="10"/>
      <c r="AI476" s="10"/>
      <c r="AJ476" s="10"/>
      <c r="AK476" s="10"/>
      <c r="AL476" s="10"/>
      <c r="AM476" s="10"/>
      <c r="AN476" s="10"/>
    </row>
    <row r="477" spans="2:40" hidden="1" x14ac:dyDescent="0.35">
      <c r="B477" s="15"/>
      <c r="C477" s="127" t="str">
        <f>IFERROR(IF(LEN(INDEX(Database!C$9:C$501,ROW(Calc!A477)-ROW(Calc!$B$7)))=0,"",INDEX(Database!C$9:C$501,ROW(Calc!A477)-ROW(Calc!$B$7))),"")</f>
        <v/>
      </c>
      <c r="D477" s="70" t="str">
        <f>IFERROR(IF(LEN(INDEX(Database!D$9:D$501,ROW(Calc!B477)-ROW(Calc!$B$7)))=0,"",INDEX(Database!D$9:D$501,ROW(Calc!B477)-ROW(Calc!$B$7))),"")</f>
        <v/>
      </c>
      <c r="E477" s="124" t="str">
        <f>IFERROR(IF(LEN(INDEX(Database!G$9:G$501,ROW(Calc!D477)-ROW(Calc!$B$7)))=0,$AD$3,INDEX(Database!G$9:G$501,ROW(Calc!D477)-ROW(Calc!$B$7))),"")</f>
        <v>Not Set</v>
      </c>
      <c r="F477" s="124" t="str">
        <f>IFERROR(IF(LEN(INDEX(Database!F$9:F$501,ROW(Calc!E477)-ROW(Calc!$B$7)))=0,$AD$3,INDEX(Database!F$9:F$501,ROW(Calc!E477)-ROW(Calc!$B$7))),"")</f>
        <v>Not Set</v>
      </c>
      <c r="G477" s="128" t="str">
        <f>IFERROR(IF(LEN(INDEX(Database!H$9:H$501,ROW(Calc!F477)-ROW(Calc!$B$7)))=0,$AD$3,INDEX(Database!H$9:H$501,ROW(Calc!F477)-ROW(Calc!$B$7))),"")</f>
        <v>Not Set</v>
      </c>
      <c r="H477" s="128" t="str">
        <f>IFERROR(IF(LEN(INDEX(Database!I$9:I$501,ROW(Calc!G477)-ROW(Calc!$B$7)))=0,$AD$3,INDEX(Database!I$9:I$501,ROW(Calc!G477)-ROW(Calc!$B$7))),"")</f>
        <v>Not Set</v>
      </c>
      <c r="I477" s="128" t="str">
        <f>IFERROR(IF(LEN(INDEX(Database!J$9:J$501,ROW(Calc!H477)-ROW(Calc!$B$7)))=0,$AD$3,INDEX(Database!J$9:J$501,ROW(Calc!H477)-ROW(Calc!$B$7))),"")</f>
        <v>Not Set</v>
      </c>
      <c r="J477" s="128" t="str">
        <f t="shared" si="68"/>
        <v>Not Set</v>
      </c>
      <c r="K477" s="124" t="str">
        <f>IFERROR(IF(LEN(INDEX(Database!E$9:E$501,ROW(Calc!I477)-ROW(Calc!$B$7)))=0,"",INDEX(Database!E$9:E$501,ROW(Calc!I477)-ROW(Calc!$B$7))),"")</f>
        <v/>
      </c>
      <c r="L477" s="129" t="str">
        <f>IFERROR(IF(LEN(INDEX(Database!K$9:K$501,ROW(Calc!K477)-ROW(Calc!$B$7)))=0,$AD$3,INDEX(Database!K$9:K$501,ROW(Calc!K477)-ROW(Calc!$B$7))),"")</f>
        <v>Not Set</v>
      </c>
      <c r="M477" s="130" t="str">
        <f>IFERROR(IF(LEN(INDEX(Database!L$9:L$501,ROW(Calc!L477)-ROW(Calc!$B$7)))=0,$AD$3,INDEX(Database!L$9:L$501,ROW(Calc!L477)-ROW(Calc!$B$7))),"")</f>
        <v>Not Set</v>
      </c>
      <c r="N477" s="131" t="str">
        <f>IFERROR(IF(LEN(INDEX(Database!M$9:M$501,ROW(Calc!M477)-ROW(Calc!$B$7)))=0,"",INDEX(Database!M$9:M$501,ROW(Calc!M477)-ROW(Calc!$B$7))),"")</f>
        <v/>
      </c>
      <c r="O477" s="132" t="str">
        <f t="shared" si="72"/>
        <v/>
      </c>
      <c r="P477" s="125" t="str">
        <f t="shared" si="69"/>
        <v>Not Set</v>
      </c>
      <c r="Q477" s="125" t="str">
        <f t="shared" si="70"/>
        <v>Not Set</v>
      </c>
      <c r="R477" s="125" t="str">
        <f>IFERROR(IF(G477=$AD$3,$AD$3,INDEX(Kanban_Helper!$C$317:$C$328,MATCH(MONTH(G477),Kanban_Helper!$B$317:$B$328,0))&amp;" - "&amp;YEAR(G477)),"$AD$3")</f>
        <v>Not Set</v>
      </c>
      <c r="S477" s="125" t="str">
        <f>IFERROR(IF(I477=$AD$3,$AD$3,INDEX(Kanban_Helper!$C$317:$C$328,MATCH(MONTH(I477),Kanban_Helper!$B$317:$B$328,0))&amp;" - "&amp;YEAR(I477)),$AD$3)</f>
        <v>Not Set</v>
      </c>
      <c r="T477" s="125" t="str">
        <f t="shared" ca="1" si="73"/>
        <v/>
      </c>
      <c r="U477" s="125" t="str">
        <f t="shared" ca="1" si="74"/>
        <v/>
      </c>
      <c r="V477" s="125" t="str">
        <f t="shared" si="71"/>
        <v>Not Set</v>
      </c>
      <c r="W477" s="126" t="str">
        <f t="shared" si="75"/>
        <v/>
      </c>
      <c r="X477" s="126" t="str">
        <f t="shared" si="76"/>
        <v/>
      </c>
      <c r="Y477" s="125" t="str">
        <f>IFERROR(IF(LEN(D477)=0,"",IF(SUBTOTAL(3,E477:E477)=0,MIN($Y$7:Y476)-1,SUBTOTAL(3,$E$8:E477))),"")</f>
        <v/>
      </c>
      <c r="Z477" s="17"/>
      <c r="AA477" s="10"/>
      <c r="AB477" s="10"/>
      <c r="AC477" s="10"/>
      <c r="AD477" s="10"/>
      <c r="AE477" s="10"/>
      <c r="AF477" s="10"/>
      <c r="AG477" s="10"/>
      <c r="AH477" s="10"/>
      <c r="AI477" s="10"/>
      <c r="AJ477" s="10"/>
      <c r="AK477" s="10"/>
      <c r="AL477" s="10"/>
      <c r="AM477" s="10"/>
      <c r="AN477" s="10"/>
    </row>
    <row r="478" spans="2:40" hidden="1" x14ac:dyDescent="0.35">
      <c r="B478" s="15"/>
      <c r="C478" s="127" t="str">
        <f>IFERROR(IF(LEN(INDEX(Database!C$9:C$501,ROW(Calc!A478)-ROW(Calc!$B$7)))=0,"",INDEX(Database!C$9:C$501,ROW(Calc!A478)-ROW(Calc!$B$7))),"")</f>
        <v/>
      </c>
      <c r="D478" s="70" t="str">
        <f>IFERROR(IF(LEN(INDEX(Database!D$9:D$501,ROW(Calc!B478)-ROW(Calc!$B$7)))=0,"",INDEX(Database!D$9:D$501,ROW(Calc!B478)-ROW(Calc!$B$7))),"")</f>
        <v/>
      </c>
      <c r="E478" s="124" t="str">
        <f>IFERROR(IF(LEN(INDEX(Database!G$9:G$501,ROW(Calc!D478)-ROW(Calc!$B$7)))=0,$AD$3,INDEX(Database!G$9:G$501,ROW(Calc!D478)-ROW(Calc!$B$7))),"")</f>
        <v>Not Set</v>
      </c>
      <c r="F478" s="124" t="str">
        <f>IFERROR(IF(LEN(INDEX(Database!F$9:F$501,ROW(Calc!E478)-ROW(Calc!$B$7)))=0,$AD$3,INDEX(Database!F$9:F$501,ROW(Calc!E478)-ROW(Calc!$B$7))),"")</f>
        <v>Not Set</v>
      </c>
      <c r="G478" s="128" t="str">
        <f>IFERROR(IF(LEN(INDEX(Database!H$9:H$501,ROW(Calc!F478)-ROW(Calc!$B$7)))=0,$AD$3,INDEX(Database!H$9:H$501,ROW(Calc!F478)-ROW(Calc!$B$7))),"")</f>
        <v>Not Set</v>
      </c>
      <c r="H478" s="128" t="str">
        <f>IFERROR(IF(LEN(INDEX(Database!I$9:I$501,ROW(Calc!G478)-ROW(Calc!$B$7)))=0,$AD$3,INDEX(Database!I$9:I$501,ROW(Calc!G478)-ROW(Calc!$B$7))),"")</f>
        <v>Not Set</v>
      </c>
      <c r="I478" s="128" t="str">
        <f>IFERROR(IF(LEN(INDEX(Database!J$9:J$501,ROW(Calc!H478)-ROW(Calc!$B$7)))=0,$AD$3,INDEX(Database!J$9:J$501,ROW(Calc!H478)-ROW(Calc!$B$7))),"")</f>
        <v>Not Set</v>
      </c>
      <c r="J478" s="128" t="str">
        <f t="shared" si="68"/>
        <v>Not Set</v>
      </c>
      <c r="K478" s="124" t="str">
        <f>IFERROR(IF(LEN(INDEX(Database!E$9:E$501,ROW(Calc!I478)-ROW(Calc!$B$7)))=0,"",INDEX(Database!E$9:E$501,ROW(Calc!I478)-ROW(Calc!$B$7))),"")</f>
        <v/>
      </c>
      <c r="L478" s="129" t="str">
        <f>IFERROR(IF(LEN(INDEX(Database!K$9:K$501,ROW(Calc!K478)-ROW(Calc!$B$7)))=0,$AD$3,INDEX(Database!K$9:K$501,ROW(Calc!K478)-ROW(Calc!$B$7))),"")</f>
        <v>Not Set</v>
      </c>
      <c r="M478" s="130" t="str">
        <f>IFERROR(IF(LEN(INDEX(Database!L$9:L$501,ROW(Calc!L478)-ROW(Calc!$B$7)))=0,$AD$3,INDEX(Database!L$9:L$501,ROW(Calc!L478)-ROW(Calc!$B$7))),"")</f>
        <v>Not Set</v>
      </c>
      <c r="N478" s="131" t="str">
        <f>IFERROR(IF(LEN(INDEX(Database!M$9:M$501,ROW(Calc!M478)-ROW(Calc!$B$7)))=0,"",INDEX(Database!M$9:M$501,ROW(Calc!M478)-ROW(Calc!$B$7))),"")</f>
        <v/>
      </c>
      <c r="O478" s="132" t="str">
        <f t="shared" si="72"/>
        <v/>
      </c>
      <c r="P478" s="125" t="str">
        <f t="shared" si="69"/>
        <v>Not Set</v>
      </c>
      <c r="Q478" s="125" t="str">
        <f t="shared" si="70"/>
        <v>Not Set</v>
      </c>
      <c r="R478" s="125" t="str">
        <f>IFERROR(IF(G478=$AD$3,$AD$3,INDEX(Kanban_Helper!$C$317:$C$328,MATCH(MONTH(G478),Kanban_Helper!$B$317:$B$328,0))&amp;" - "&amp;YEAR(G478)),"$AD$3")</f>
        <v>Not Set</v>
      </c>
      <c r="S478" s="125" t="str">
        <f>IFERROR(IF(I478=$AD$3,$AD$3,INDEX(Kanban_Helper!$C$317:$C$328,MATCH(MONTH(I478),Kanban_Helper!$B$317:$B$328,0))&amp;" - "&amp;YEAR(I478)),$AD$3)</f>
        <v>Not Set</v>
      </c>
      <c r="T478" s="125" t="str">
        <f t="shared" ca="1" si="73"/>
        <v/>
      </c>
      <c r="U478" s="125" t="str">
        <f t="shared" ca="1" si="74"/>
        <v/>
      </c>
      <c r="V478" s="125" t="str">
        <f t="shared" si="71"/>
        <v>Not Set</v>
      </c>
      <c r="W478" s="126" t="str">
        <f t="shared" si="75"/>
        <v/>
      </c>
      <c r="X478" s="126" t="str">
        <f t="shared" si="76"/>
        <v/>
      </c>
      <c r="Y478" s="125" t="str">
        <f>IFERROR(IF(LEN(D478)=0,"",IF(SUBTOTAL(3,E478:E478)=0,MIN($Y$7:Y477)-1,SUBTOTAL(3,$E$8:E478))),"")</f>
        <v/>
      </c>
      <c r="Z478" s="17"/>
      <c r="AA478" s="10"/>
      <c r="AB478" s="10"/>
      <c r="AC478" s="10"/>
      <c r="AD478" s="10"/>
      <c r="AE478" s="10"/>
      <c r="AF478" s="10"/>
      <c r="AG478" s="10"/>
      <c r="AH478" s="10"/>
      <c r="AI478" s="10"/>
      <c r="AJ478" s="10"/>
      <c r="AK478" s="10"/>
      <c r="AL478" s="10"/>
      <c r="AM478" s="10"/>
      <c r="AN478" s="10"/>
    </row>
    <row r="479" spans="2:40" hidden="1" x14ac:dyDescent="0.35">
      <c r="B479" s="15"/>
      <c r="C479" s="127" t="str">
        <f>IFERROR(IF(LEN(INDEX(Database!C$9:C$501,ROW(Calc!A479)-ROW(Calc!$B$7)))=0,"",INDEX(Database!C$9:C$501,ROW(Calc!A479)-ROW(Calc!$B$7))),"")</f>
        <v/>
      </c>
      <c r="D479" s="70" t="str">
        <f>IFERROR(IF(LEN(INDEX(Database!D$9:D$501,ROW(Calc!B479)-ROW(Calc!$B$7)))=0,"",INDEX(Database!D$9:D$501,ROW(Calc!B479)-ROW(Calc!$B$7))),"")</f>
        <v/>
      </c>
      <c r="E479" s="124" t="str">
        <f>IFERROR(IF(LEN(INDEX(Database!G$9:G$501,ROW(Calc!D479)-ROW(Calc!$B$7)))=0,$AD$3,INDEX(Database!G$9:G$501,ROW(Calc!D479)-ROW(Calc!$B$7))),"")</f>
        <v>Not Set</v>
      </c>
      <c r="F479" s="124" t="str">
        <f>IFERROR(IF(LEN(INDEX(Database!F$9:F$501,ROW(Calc!E479)-ROW(Calc!$B$7)))=0,$AD$3,INDEX(Database!F$9:F$501,ROW(Calc!E479)-ROW(Calc!$B$7))),"")</f>
        <v>Not Set</v>
      </c>
      <c r="G479" s="128" t="str">
        <f>IFERROR(IF(LEN(INDEX(Database!H$9:H$501,ROW(Calc!F479)-ROW(Calc!$B$7)))=0,$AD$3,INDEX(Database!H$9:H$501,ROW(Calc!F479)-ROW(Calc!$B$7))),"")</f>
        <v>Not Set</v>
      </c>
      <c r="H479" s="128" t="str">
        <f>IFERROR(IF(LEN(INDEX(Database!I$9:I$501,ROW(Calc!G479)-ROW(Calc!$B$7)))=0,$AD$3,INDEX(Database!I$9:I$501,ROW(Calc!G479)-ROW(Calc!$B$7))),"")</f>
        <v>Not Set</v>
      </c>
      <c r="I479" s="128" t="str">
        <f>IFERROR(IF(LEN(INDEX(Database!J$9:J$501,ROW(Calc!H479)-ROW(Calc!$B$7)))=0,$AD$3,INDEX(Database!J$9:J$501,ROW(Calc!H479)-ROW(Calc!$B$7))),"")</f>
        <v>Not Set</v>
      </c>
      <c r="J479" s="128" t="str">
        <f t="shared" si="68"/>
        <v>Not Set</v>
      </c>
      <c r="K479" s="124" t="str">
        <f>IFERROR(IF(LEN(INDEX(Database!E$9:E$501,ROW(Calc!I479)-ROW(Calc!$B$7)))=0,"",INDEX(Database!E$9:E$501,ROW(Calc!I479)-ROW(Calc!$B$7))),"")</f>
        <v/>
      </c>
      <c r="L479" s="129" t="str">
        <f>IFERROR(IF(LEN(INDEX(Database!K$9:K$501,ROW(Calc!K479)-ROW(Calc!$B$7)))=0,$AD$3,INDEX(Database!K$9:K$501,ROW(Calc!K479)-ROW(Calc!$B$7))),"")</f>
        <v>Not Set</v>
      </c>
      <c r="M479" s="130" t="str">
        <f>IFERROR(IF(LEN(INDEX(Database!L$9:L$501,ROW(Calc!L479)-ROW(Calc!$B$7)))=0,$AD$3,INDEX(Database!L$9:L$501,ROW(Calc!L479)-ROW(Calc!$B$7))),"")</f>
        <v>Not Set</v>
      </c>
      <c r="N479" s="131" t="str">
        <f>IFERROR(IF(LEN(INDEX(Database!M$9:M$501,ROW(Calc!M479)-ROW(Calc!$B$7)))=0,"",INDEX(Database!M$9:M$501,ROW(Calc!M479)-ROW(Calc!$B$7))),"")</f>
        <v/>
      </c>
      <c r="O479" s="132" t="str">
        <f t="shared" si="72"/>
        <v/>
      </c>
      <c r="P479" s="125" t="str">
        <f t="shared" si="69"/>
        <v>Not Set</v>
      </c>
      <c r="Q479" s="125" t="str">
        <f t="shared" si="70"/>
        <v>Not Set</v>
      </c>
      <c r="R479" s="125" t="str">
        <f>IFERROR(IF(G479=$AD$3,$AD$3,INDEX(Kanban_Helper!$C$317:$C$328,MATCH(MONTH(G479),Kanban_Helper!$B$317:$B$328,0))&amp;" - "&amp;YEAR(G479)),"$AD$3")</f>
        <v>Not Set</v>
      </c>
      <c r="S479" s="125" t="str">
        <f>IFERROR(IF(I479=$AD$3,$AD$3,INDEX(Kanban_Helper!$C$317:$C$328,MATCH(MONTH(I479),Kanban_Helper!$B$317:$B$328,0))&amp;" - "&amp;YEAR(I479)),$AD$3)</f>
        <v>Not Set</v>
      </c>
      <c r="T479" s="125" t="str">
        <f t="shared" ca="1" si="73"/>
        <v/>
      </c>
      <c r="U479" s="125" t="str">
        <f t="shared" ca="1" si="74"/>
        <v/>
      </c>
      <c r="V479" s="125" t="str">
        <f t="shared" si="71"/>
        <v>Not Set</v>
      </c>
      <c r="W479" s="126" t="str">
        <f t="shared" si="75"/>
        <v/>
      </c>
      <c r="X479" s="126" t="str">
        <f t="shared" si="76"/>
        <v/>
      </c>
      <c r="Y479" s="125" t="str">
        <f>IFERROR(IF(LEN(D479)=0,"",IF(SUBTOTAL(3,E479:E479)=0,MIN($Y$7:Y478)-1,SUBTOTAL(3,$E$8:E479))),"")</f>
        <v/>
      </c>
      <c r="Z479" s="17"/>
      <c r="AA479" s="10"/>
      <c r="AB479" s="10"/>
      <c r="AC479" s="10"/>
      <c r="AD479" s="10"/>
      <c r="AE479" s="10"/>
      <c r="AF479" s="10"/>
      <c r="AG479" s="10"/>
      <c r="AH479" s="10"/>
      <c r="AI479" s="10"/>
      <c r="AJ479" s="10"/>
      <c r="AK479" s="10"/>
      <c r="AL479" s="10"/>
      <c r="AM479" s="10"/>
      <c r="AN479" s="10"/>
    </row>
    <row r="480" spans="2:40" hidden="1" x14ac:dyDescent="0.35">
      <c r="B480" s="15"/>
      <c r="C480" s="127" t="str">
        <f>IFERROR(IF(LEN(INDEX(Database!C$9:C$501,ROW(Calc!A480)-ROW(Calc!$B$7)))=0,"",INDEX(Database!C$9:C$501,ROW(Calc!A480)-ROW(Calc!$B$7))),"")</f>
        <v/>
      </c>
      <c r="D480" s="70" t="str">
        <f>IFERROR(IF(LEN(INDEX(Database!D$9:D$501,ROW(Calc!B480)-ROW(Calc!$B$7)))=0,"",INDEX(Database!D$9:D$501,ROW(Calc!B480)-ROW(Calc!$B$7))),"")</f>
        <v/>
      </c>
      <c r="E480" s="124" t="str">
        <f>IFERROR(IF(LEN(INDEX(Database!G$9:G$501,ROW(Calc!D480)-ROW(Calc!$B$7)))=0,$AD$3,INDEX(Database!G$9:G$501,ROW(Calc!D480)-ROW(Calc!$B$7))),"")</f>
        <v>Not Set</v>
      </c>
      <c r="F480" s="124" t="str">
        <f>IFERROR(IF(LEN(INDEX(Database!F$9:F$501,ROW(Calc!E480)-ROW(Calc!$B$7)))=0,$AD$3,INDEX(Database!F$9:F$501,ROW(Calc!E480)-ROW(Calc!$B$7))),"")</f>
        <v>Not Set</v>
      </c>
      <c r="G480" s="128" t="str">
        <f>IFERROR(IF(LEN(INDEX(Database!H$9:H$501,ROW(Calc!F480)-ROW(Calc!$B$7)))=0,$AD$3,INDEX(Database!H$9:H$501,ROW(Calc!F480)-ROW(Calc!$B$7))),"")</f>
        <v>Not Set</v>
      </c>
      <c r="H480" s="128" t="str">
        <f>IFERROR(IF(LEN(INDEX(Database!I$9:I$501,ROW(Calc!G480)-ROW(Calc!$B$7)))=0,$AD$3,INDEX(Database!I$9:I$501,ROW(Calc!G480)-ROW(Calc!$B$7))),"")</f>
        <v>Not Set</v>
      </c>
      <c r="I480" s="128" t="str">
        <f>IFERROR(IF(LEN(INDEX(Database!J$9:J$501,ROW(Calc!H480)-ROW(Calc!$B$7)))=0,$AD$3,INDEX(Database!J$9:J$501,ROW(Calc!H480)-ROW(Calc!$B$7))),"")</f>
        <v>Not Set</v>
      </c>
      <c r="J480" s="128" t="str">
        <f t="shared" si="68"/>
        <v>Not Set</v>
      </c>
      <c r="K480" s="124" t="str">
        <f>IFERROR(IF(LEN(INDEX(Database!E$9:E$501,ROW(Calc!I480)-ROW(Calc!$B$7)))=0,"",INDEX(Database!E$9:E$501,ROW(Calc!I480)-ROW(Calc!$B$7))),"")</f>
        <v/>
      </c>
      <c r="L480" s="129" t="str">
        <f>IFERROR(IF(LEN(INDEX(Database!K$9:K$501,ROW(Calc!K480)-ROW(Calc!$B$7)))=0,$AD$3,INDEX(Database!K$9:K$501,ROW(Calc!K480)-ROW(Calc!$B$7))),"")</f>
        <v>Not Set</v>
      </c>
      <c r="M480" s="130" t="str">
        <f>IFERROR(IF(LEN(INDEX(Database!L$9:L$501,ROW(Calc!L480)-ROW(Calc!$B$7)))=0,$AD$3,INDEX(Database!L$9:L$501,ROW(Calc!L480)-ROW(Calc!$B$7))),"")</f>
        <v>Not Set</v>
      </c>
      <c r="N480" s="131" t="str">
        <f>IFERROR(IF(LEN(INDEX(Database!M$9:M$501,ROW(Calc!M480)-ROW(Calc!$B$7)))=0,"",INDEX(Database!M$9:M$501,ROW(Calc!M480)-ROW(Calc!$B$7))),"")</f>
        <v/>
      </c>
      <c r="O480" s="132" t="str">
        <f t="shared" si="72"/>
        <v/>
      </c>
      <c r="P480" s="125" t="str">
        <f t="shared" si="69"/>
        <v>Not Set</v>
      </c>
      <c r="Q480" s="125" t="str">
        <f t="shared" si="70"/>
        <v>Not Set</v>
      </c>
      <c r="R480" s="125" t="str">
        <f>IFERROR(IF(G480=$AD$3,$AD$3,INDEX(Kanban_Helper!$C$317:$C$328,MATCH(MONTH(G480),Kanban_Helper!$B$317:$B$328,0))&amp;" - "&amp;YEAR(G480)),"$AD$3")</f>
        <v>Not Set</v>
      </c>
      <c r="S480" s="125" t="str">
        <f>IFERROR(IF(I480=$AD$3,$AD$3,INDEX(Kanban_Helper!$C$317:$C$328,MATCH(MONTH(I480),Kanban_Helper!$B$317:$B$328,0))&amp;" - "&amp;YEAR(I480)),$AD$3)</f>
        <v>Not Set</v>
      </c>
      <c r="T480" s="125" t="str">
        <f t="shared" ca="1" si="73"/>
        <v/>
      </c>
      <c r="U480" s="125" t="str">
        <f t="shared" ca="1" si="74"/>
        <v/>
      </c>
      <c r="V480" s="125" t="str">
        <f t="shared" si="71"/>
        <v>Not Set</v>
      </c>
      <c r="W480" s="126" t="str">
        <f t="shared" si="75"/>
        <v/>
      </c>
      <c r="X480" s="126" t="str">
        <f t="shared" si="76"/>
        <v/>
      </c>
      <c r="Y480" s="125" t="str">
        <f>IFERROR(IF(LEN(D480)=0,"",IF(SUBTOTAL(3,E480:E480)=0,MIN($Y$7:Y479)-1,SUBTOTAL(3,$E$8:E480))),"")</f>
        <v/>
      </c>
      <c r="Z480" s="17"/>
      <c r="AA480" s="10"/>
      <c r="AB480" s="10"/>
      <c r="AC480" s="10"/>
      <c r="AD480" s="10"/>
      <c r="AE480" s="10"/>
      <c r="AF480" s="10"/>
      <c r="AG480" s="10"/>
      <c r="AH480" s="10"/>
      <c r="AI480" s="10"/>
      <c r="AJ480" s="10"/>
      <c r="AK480" s="10"/>
      <c r="AL480" s="10"/>
      <c r="AM480" s="10"/>
      <c r="AN480" s="10"/>
    </row>
    <row r="481" spans="2:40" hidden="1" x14ac:dyDescent="0.35">
      <c r="B481" s="15"/>
      <c r="C481" s="127" t="str">
        <f>IFERROR(IF(LEN(INDEX(Database!C$9:C$501,ROW(Calc!A481)-ROW(Calc!$B$7)))=0,"",INDEX(Database!C$9:C$501,ROW(Calc!A481)-ROW(Calc!$B$7))),"")</f>
        <v/>
      </c>
      <c r="D481" s="70" t="str">
        <f>IFERROR(IF(LEN(INDEX(Database!D$9:D$501,ROW(Calc!B481)-ROW(Calc!$B$7)))=0,"",INDEX(Database!D$9:D$501,ROW(Calc!B481)-ROW(Calc!$B$7))),"")</f>
        <v/>
      </c>
      <c r="E481" s="124" t="str">
        <f>IFERROR(IF(LEN(INDEX(Database!G$9:G$501,ROW(Calc!D481)-ROW(Calc!$B$7)))=0,$AD$3,INDEX(Database!G$9:G$501,ROW(Calc!D481)-ROW(Calc!$B$7))),"")</f>
        <v>Not Set</v>
      </c>
      <c r="F481" s="124" t="str">
        <f>IFERROR(IF(LEN(INDEX(Database!F$9:F$501,ROW(Calc!E481)-ROW(Calc!$B$7)))=0,$AD$3,INDEX(Database!F$9:F$501,ROW(Calc!E481)-ROW(Calc!$B$7))),"")</f>
        <v>Not Set</v>
      </c>
      <c r="G481" s="128" t="str">
        <f>IFERROR(IF(LEN(INDEX(Database!H$9:H$501,ROW(Calc!F481)-ROW(Calc!$B$7)))=0,$AD$3,INDEX(Database!H$9:H$501,ROW(Calc!F481)-ROW(Calc!$B$7))),"")</f>
        <v>Not Set</v>
      </c>
      <c r="H481" s="128" t="str">
        <f>IFERROR(IF(LEN(INDEX(Database!I$9:I$501,ROW(Calc!G481)-ROW(Calc!$B$7)))=0,$AD$3,INDEX(Database!I$9:I$501,ROW(Calc!G481)-ROW(Calc!$B$7))),"")</f>
        <v>Not Set</v>
      </c>
      <c r="I481" s="128" t="str">
        <f>IFERROR(IF(LEN(INDEX(Database!J$9:J$501,ROW(Calc!H481)-ROW(Calc!$B$7)))=0,$AD$3,INDEX(Database!J$9:J$501,ROW(Calc!H481)-ROW(Calc!$B$7))),"")</f>
        <v>Not Set</v>
      </c>
      <c r="J481" s="128" t="str">
        <f t="shared" si="68"/>
        <v>Not Set</v>
      </c>
      <c r="K481" s="124" t="str">
        <f>IFERROR(IF(LEN(INDEX(Database!E$9:E$501,ROW(Calc!I481)-ROW(Calc!$B$7)))=0,"",INDEX(Database!E$9:E$501,ROW(Calc!I481)-ROW(Calc!$B$7))),"")</f>
        <v/>
      </c>
      <c r="L481" s="129" t="str">
        <f>IFERROR(IF(LEN(INDEX(Database!K$9:K$501,ROW(Calc!K481)-ROW(Calc!$B$7)))=0,$AD$3,INDEX(Database!K$9:K$501,ROW(Calc!K481)-ROW(Calc!$B$7))),"")</f>
        <v>Not Set</v>
      </c>
      <c r="M481" s="130" t="str">
        <f>IFERROR(IF(LEN(INDEX(Database!L$9:L$501,ROW(Calc!L481)-ROW(Calc!$B$7)))=0,$AD$3,INDEX(Database!L$9:L$501,ROW(Calc!L481)-ROW(Calc!$B$7))),"")</f>
        <v>Not Set</v>
      </c>
      <c r="N481" s="131" t="str">
        <f>IFERROR(IF(LEN(INDEX(Database!M$9:M$501,ROW(Calc!M481)-ROW(Calc!$B$7)))=0,"",INDEX(Database!M$9:M$501,ROW(Calc!M481)-ROW(Calc!$B$7))),"")</f>
        <v/>
      </c>
      <c r="O481" s="132" t="str">
        <f t="shared" si="72"/>
        <v/>
      </c>
      <c r="P481" s="125" t="str">
        <f t="shared" si="69"/>
        <v>Not Set</v>
      </c>
      <c r="Q481" s="125" t="str">
        <f t="shared" si="70"/>
        <v>Not Set</v>
      </c>
      <c r="R481" s="125" t="str">
        <f>IFERROR(IF(G481=$AD$3,$AD$3,INDEX(Kanban_Helper!$C$317:$C$328,MATCH(MONTH(G481),Kanban_Helper!$B$317:$B$328,0))&amp;" - "&amp;YEAR(G481)),"$AD$3")</f>
        <v>Not Set</v>
      </c>
      <c r="S481" s="125" t="str">
        <f>IFERROR(IF(I481=$AD$3,$AD$3,INDEX(Kanban_Helper!$C$317:$C$328,MATCH(MONTH(I481),Kanban_Helper!$B$317:$B$328,0))&amp;" - "&amp;YEAR(I481)),$AD$3)</f>
        <v>Not Set</v>
      </c>
      <c r="T481" s="125" t="str">
        <f t="shared" ca="1" si="73"/>
        <v/>
      </c>
      <c r="U481" s="125" t="str">
        <f t="shared" ca="1" si="74"/>
        <v/>
      </c>
      <c r="V481" s="125" t="str">
        <f t="shared" si="71"/>
        <v>Not Set</v>
      </c>
      <c r="W481" s="126" t="str">
        <f t="shared" si="75"/>
        <v/>
      </c>
      <c r="X481" s="126" t="str">
        <f t="shared" si="76"/>
        <v/>
      </c>
      <c r="Y481" s="125" t="str">
        <f>IFERROR(IF(LEN(D481)=0,"",IF(SUBTOTAL(3,E481:E481)=0,MIN($Y$7:Y480)-1,SUBTOTAL(3,$E$8:E481))),"")</f>
        <v/>
      </c>
      <c r="Z481" s="17"/>
      <c r="AA481" s="10"/>
      <c r="AB481" s="10"/>
      <c r="AC481" s="10"/>
      <c r="AD481" s="10"/>
      <c r="AE481" s="10"/>
      <c r="AF481" s="10"/>
      <c r="AG481" s="10"/>
      <c r="AH481" s="10"/>
      <c r="AI481" s="10"/>
      <c r="AJ481" s="10"/>
      <c r="AK481" s="10"/>
      <c r="AL481" s="10"/>
      <c r="AM481" s="10"/>
      <c r="AN481" s="10"/>
    </row>
    <row r="482" spans="2:40" hidden="1" x14ac:dyDescent="0.35">
      <c r="B482" s="15"/>
      <c r="C482" s="127" t="str">
        <f>IFERROR(IF(LEN(INDEX(Database!C$9:C$501,ROW(Calc!A482)-ROW(Calc!$B$7)))=0,"",INDEX(Database!C$9:C$501,ROW(Calc!A482)-ROW(Calc!$B$7))),"")</f>
        <v/>
      </c>
      <c r="D482" s="70" t="str">
        <f>IFERROR(IF(LEN(INDEX(Database!D$9:D$501,ROW(Calc!B482)-ROW(Calc!$B$7)))=0,"",INDEX(Database!D$9:D$501,ROW(Calc!B482)-ROW(Calc!$B$7))),"")</f>
        <v/>
      </c>
      <c r="E482" s="124" t="str">
        <f>IFERROR(IF(LEN(INDEX(Database!G$9:G$501,ROW(Calc!D482)-ROW(Calc!$B$7)))=0,$AD$3,INDEX(Database!G$9:G$501,ROW(Calc!D482)-ROW(Calc!$B$7))),"")</f>
        <v>Not Set</v>
      </c>
      <c r="F482" s="124" t="str">
        <f>IFERROR(IF(LEN(INDEX(Database!F$9:F$501,ROW(Calc!E482)-ROW(Calc!$B$7)))=0,$AD$3,INDEX(Database!F$9:F$501,ROW(Calc!E482)-ROW(Calc!$B$7))),"")</f>
        <v>Not Set</v>
      </c>
      <c r="G482" s="128" t="str">
        <f>IFERROR(IF(LEN(INDEX(Database!H$9:H$501,ROW(Calc!F482)-ROW(Calc!$B$7)))=0,$AD$3,INDEX(Database!H$9:H$501,ROW(Calc!F482)-ROW(Calc!$B$7))),"")</f>
        <v>Not Set</v>
      </c>
      <c r="H482" s="128" t="str">
        <f>IFERROR(IF(LEN(INDEX(Database!I$9:I$501,ROW(Calc!G482)-ROW(Calc!$B$7)))=0,$AD$3,INDEX(Database!I$9:I$501,ROW(Calc!G482)-ROW(Calc!$B$7))),"")</f>
        <v>Not Set</v>
      </c>
      <c r="I482" s="128" t="str">
        <f>IFERROR(IF(LEN(INDEX(Database!J$9:J$501,ROW(Calc!H482)-ROW(Calc!$B$7)))=0,$AD$3,INDEX(Database!J$9:J$501,ROW(Calc!H482)-ROW(Calc!$B$7))),"")</f>
        <v>Not Set</v>
      </c>
      <c r="J482" s="128" t="str">
        <f t="shared" si="68"/>
        <v>Not Set</v>
      </c>
      <c r="K482" s="124" t="str">
        <f>IFERROR(IF(LEN(INDEX(Database!E$9:E$501,ROW(Calc!I482)-ROW(Calc!$B$7)))=0,"",INDEX(Database!E$9:E$501,ROW(Calc!I482)-ROW(Calc!$B$7))),"")</f>
        <v/>
      </c>
      <c r="L482" s="129" t="str">
        <f>IFERROR(IF(LEN(INDEX(Database!K$9:K$501,ROW(Calc!K482)-ROW(Calc!$B$7)))=0,$AD$3,INDEX(Database!K$9:K$501,ROW(Calc!K482)-ROW(Calc!$B$7))),"")</f>
        <v>Not Set</v>
      </c>
      <c r="M482" s="130" t="str">
        <f>IFERROR(IF(LEN(INDEX(Database!L$9:L$501,ROW(Calc!L482)-ROW(Calc!$B$7)))=0,$AD$3,INDEX(Database!L$9:L$501,ROW(Calc!L482)-ROW(Calc!$B$7))),"")</f>
        <v>Not Set</v>
      </c>
      <c r="N482" s="131" t="str">
        <f>IFERROR(IF(LEN(INDEX(Database!M$9:M$501,ROW(Calc!M482)-ROW(Calc!$B$7)))=0,"",INDEX(Database!M$9:M$501,ROW(Calc!M482)-ROW(Calc!$B$7))),"")</f>
        <v/>
      </c>
      <c r="O482" s="132" t="str">
        <f t="shared" si="72"/>
        <v/>
      </c>
      <c r="P482" s="125" t="str">
        <f t="shared" si="69"/>
        <v>Not Set</v>
      </c>
      <c r="Q482" s="125" t="str">
        <f t="shared" si="70"/>
        <v>Not Set</v>
      </c>
      <c r="R482" s="125" t="str">
        <f>IFERROR(IF(G482=$AD$3,$AD$3,INDEX(Kanban_Helper!$C$317:$C$328,MATCH(MONTH(G482),Kanban_Helper!$B$317:$B$328,0))&amp;" - "&amp;YEAR(G482)),"$AD$3")</f>
        <v>Not Set</v>
      </c>
      <c r="S482" s="125" t="str">
        <f>IFERROR(IF(I482=$AD$3,$AD$3,INDEX(Kanban_Helper!$C$317:$C$328,MATCH(MONTH(I482),Kanban_Helper!$B$317:$B$328,0))&amp;" - "&amp;YEAR(I482)),$AD$3)</f>
        <v>Not Set</v>
      </c>
      <c r="T482" s="125" t="str">
        <f t="shared" ca="1" si="73"/>
        <v/>
      </c>
      <c r="U482" s="125" t="str">
        <f t="shared" ca="1" si="74"/>
        <v/>
      </c>
      <c r="V482" s="125" t="str">
        <f t="shared" si="71"/>
        <v>Not Set</v>
      </c>
      <c r="W482" s="126" t="str">
        <f t="shared" si="75"/>
        <v/>
      </c>
      <c r="X482" s="126" t="str">
        <f t="shared" si="76"/>
        <v/>
      </c>
      <c r="Y482" s="125" t="str">
        <f>IFERROR(IF(LEN(D482)=0,"",IF(SUBTOTAL(3,E482:E482)=0,MIN($Y$7:Y481)-1,SUBTOTAL(3,$E$8:E482))),"")</f>
        <v/>
      </c>
      <c r="Z482" s="17"/>
      <c r="AA482" s="10"/>
      <c r="AB482" s="10"/>
      <c r="AC482" s="10"/>
      <c r="AD482" s="10"/>
      <c r="AE482" s="10"/>
      <c r="AF482" s="10"/>
      <c r="AG482" s="10"/>
      <c r="AH482" s="10"/>
      <c r="AI482" s="10"/>
      <c r="AJ482" s="10"/>
      <c r="AK482" s="10"/>
      <c r="AL482" s="10"/>
      <c r="AM482" s="10"/>
      <c r="AN482" s="10"/>
    </row>
    <row r="483" spans="2:40" hidden="1" x14ac:dyDescent="0.35">
      <c r="B483" s="15"/>
      <c r="C483" s="127" t="str">
        <f>IFERROR(IF(LEN(INDEX(Database!C$9:C$501,ROW(Calc!A483)-ROW(Calc!$B$7)))=0,"",INDEX(Database!C$9:C$501,ROW(Calc!A483)-ROW(Calc!$B$7))),"")</f>
        <v/>
      </c>
      <c r="D483" s="70" t="str">
        <f>IFERROR(IF(LEN(INDEX(Database!D$9:D$501,ROW(Calc!B483)-ROW(Calc!$B$7)))=0,"",INDEX(Database!D$9:D$501,ROW(Calc!B483)-ROW(Calc!$B$7))),"")</f>
        <v/>
      </c>
      <c r="E483" s="124" t="str">
        <f>IFERROR(IF(LEN(INDEX(Database!G$9:G$501,ROW(Calc!D483)-ROW(Calc!$B$7)))=0,$AD$3,INDEX(Database!G$9:G$501,ROW(Calc!D483)-ROW(Calc!$B$7))),"")</f>
        <v>Not Set</v>
      </c>
      <c r="F483" s="124" t="str">
        <f>IFERROR(IF(LEN(INDEX(Database!F$9:F$501,ROW(Calc!E483)-ROW(Calc!$B$7)))=0,$AD$3,INDEX(Database!F$9:F$501,ROW(Calc!E483)-ROW(Calc!$B$7))),"")</f>
        <v>Not Set</v>
      </c>
      <c r="G483" s="128" t="str">
        <f>IFERROR(IF(LEN(INDEX(Database!H$9:H$501,ROW(Calc!F483)-ROW(Calc!$B$7)))=0,$AD$3,INDEX(Database!H$9:H$501,ROW(Calc!F483)-ROW(Calc!$B$7))),"")</f>
        <v>Not Set</v>
      </c>
      <c r="H483" s="128" t="str">
        <f>IFERROR(IF(LEN(INDEX(Database!I$9:I$501,ROW(Calc!G483)-ROW(Calc!$B$7)))=0,$AD$3,INDEX(Database!I$9:I$501,ROW(Calc!G483)-ROW(Calc!$B$7))),"")</f>
        <v>Not Set</v>
      </c>
      <c r="I483" s="128" t="str">
        <f>IFERROR(IF(LEN(INDEX(Database!J$9:J$501,ROW(Calc!H483)-ROW(Calc!$B$7)))=0,$AD$3,INDEX(Database!J$9:J$501,ROW(Calc!H483)-ROW(Calc!$B$7))),"")</f>
        <v>Not Set</v>
      </c>
      <c r="J483" s="128" t="str">
        <f t="shared" si="68"/>
        <v>Not Set</v>
      </c>
      <c r="K483" s="124" t="str">
        <f>IFERROR(IF(LEN(INDEX(Database!E$9:E$501,ROW(Calc!I483)-ROW(Calc!$B$7)))=0,"",INDEX(Database!E$9:E$501,ROW(Calc!I483)-ROW(Calc!$B$7))),"")</f>
        <v/>
      </c>
      <c r="L483" s="129" t="str">
        <f>IFERROR(IF(LEN(INDEX(Database!K$9:K$501,ROW(Calc!K483)-ROW(Calc!$B$7)))=0,$AD$3,INDEX(Database!K$9:K$501,ROW(Calc!K483)-ROW(Calc!$B$7))),"")</f>
        <v>Not Set</v>
      </c>
      <c r="M483" s="130" t="str">
        <f>IFERROR(IF(LEN(INDEX(Database!L$9:L$501,ROW(Calc!L483)-ROW(Calc!$B$7)))=0,$AD$3,INDEX(Database!L$9:L$501,ROW(Calc!L483)-ROW(Calc!$B$7))),"")</f>
        <v>Not Set</v>
      </c>
      <c r="N483" s="131" t="str">
        <f>IFERROR(IF(LEN(INDEX(Database!M$9:M$501,ROW(Calc!M483)-ROW(Calc!$B$7)))=0,"",INDEX(Database!M$9:M$501,ROW(Calc!M483)-ROW(Calc!$B$7))),"")</f>
        <v/>
      </c>
      <c r="O483" s="132" t="str">
        <f t="shared" si="72"/>
        <v/>
      </c>
      <c r="P483" s="125" t="str">
        <f t="shared" si="69"/>
        <v>Not Set</v>
      </c>
      <c r="Q483" s="125" t="str">
        <f t="shared" si="70"/>
        <v>Not Set</v>
      </c>
      <c r="R483" s="125" t="str">
        <f>IFERROR(IF(G483=$AD$3,$AD$3,INDEX(Kanban_Helper!$C$317:$C$328,MATCH(MONTH(G483),Kanban_Helper!$B$317:$B$328,0))&amp;" - "&amp;YEAR(G483)),"$AD$3")</f>
        <v>Not Set</v>
      </c>
      <c r="S483" s="125" t="str">
        <f>IFERROR(IF(I483=$AD$3,$AD$3,INDEX(Kanban_Helper!$C$317:$C$328,MATCH(MONTH(I483),Kanban_Helper!$B$317:$B$328,0))&amp;" - "&amp;YEAR(I483)),$AD$3)</f>
        <v>Not Set</v>
      </c>
      <c r="T483" s="125" t="str">
        <f t="shared" ca="1" si="73"/>
        <v/>
      </c>
      <c r="U483" s="125" t="str">
        <f t="shared" ca="1" si="74"/>
        <v/>
      </c>
      <c r="V483" s="125" t="str">
        <f t="shared" si="71"/>
        <v>Not Set</v>
      </c>
      <c r="W483" s="126" t="str">
        <f t="shared" si="75"/>
        <v/>
      </c>
      <c r="X483" s="126" t="str">
        <f t="shared" si="76"/>
        <v/>
      </c>
      <c r="Y483" s="125" t="str">
        <f>IFERROR(IF(LEN(D483)=0,"",IF(SUBTOTAL(3,E483:E483)=0,MIN($Y$7:Y482)-1,SUBTOTAL(3,$E$8:E483))),"")</f>
        <v/>
      </c>
      <c r="Z483" s="17"/>
      <c r="AA483" s="10"/>
      <c r="AB483" s="10"/>
      <c r="AC483" s="10"/>
      <c r="AD483" s="10"/>
      <c r="AE483" s="10"/>
      <c r="AF483" s="10"/>
      <c r="AG483" s="10"/>
      <c r="AH483" s="10"/>
      <c r="AI483" s="10"/>
      <c r="AJ483" s="10"/>
      <c r="AK483" s="10"/>
      <c r="AL483" s="10"/>
      <c r="AM483" s="10"/>
      <c r="AN483" s="10"/>
    </row>
    <row r="484" spans="2:40" hidden="1" x14ac:dyDescent="0.35">
      <c r="B484" s="15"/>
      <c r="C484" s="127" t="str">
        <f>IFERROR(IF(LEN(INDEX(Database!C$9:C$501,ROW(Calc!A484)-ROW(Calc!$B$7)))=0,"",INDEX(Database!C$9:C$501,ROW(Calc!A484)-ROW(Calc!$B$7))),"")</f>
        <v/>
      </c>
      <c r="D484" s="70" t="str">
        <f>IFERROR(IF(LEN(INDEX(Database!D$9:D$501,ROW(Calc!B484)-ROW(Calc!$B$7)))=0,"",INDEX(Database!D$9:D$501,ROW(Calc!B484)-ROW(Calc!$B$7))),"")</f>
        <v/>
      </c>
      <c r="E484" s="124" t="str">
        <f>IFERROR(IF(LEN(INDEX(Database!G$9:G$501,ROW(Calc!D484)-ROW(Calc!$B$7)))=0,$AD$3,INDEX(Database!G$9:G$501,ROW(Calc!D484)-ROW(Calc!$B$7))),"")</f>
        <v>Not Set</v>
      </c>
      <c r="F484" s="124" t="str">
        <f>IFERROR(IF(LEN(INDEX(Database!F$9:F$501,ROW(Calc!E484)-ROW(Calc!$B$7)))=0,$AD$3,INDEX(Database!F$9:F$501,ROW(Calc!E484)-ROW(Calc!$B$7))),"")</f>
        <v>Not Set</v>
      </c>
      <c r="G484" s="128" t="str">
        <f>IFERROR(IF(LEN(INDEX(Database!H$9:H$501,ROW(Calc!F484)-ROW(Calc!$B$7)))=0,$AD$3,INDEX(Database!H$9:H$501,ROW(Calc!F484)-ROW(Calc!$B$7))),"")</f>
        <v>Not Set</v>
      </c>
      <c r="H484" s="128" t="str">
        <f>IFERROR(IF(LEN(INDEX(Database!I$9:I$501,ROW(Calc!G484)-ROW(Calc!$B$7)))=0,$AD$3,INDEX(Database!I$9:I$501,ROW(Calc!G484)-ROW(Calc!$B$7))),"")</f>
        <v>Not Set</v>
      </c>
      <c r="I484" s="128" t="str">
        <f>IFERROR(IF(LEN(INDEX(Database!J$9:J$501,ROW(Calc!H484)-ROW(Calc!$B$7)))=0,$AD$3,INDEX(Database!J$9:J$501,ROW(Calc!H484)-ROW(Calc!$B$7))),"")</f>
        <v>Not Set</v>
      </c>
      <c r="J484" s="128" t="str">
        <f t="shared" si="68"/>
        <v>Not Set</v>
      </c>
      <c r="K484" s="124" t="str">
        <f>IFERROR(IF(LEN(INDEX(Database!E$9:E$501,ROW(Calc!I484)-ROW(Calc!$B$7)))=0,"",INDEX(Database!E$9:E$501,ROW(Calc!I484)-ROW(Calc!$B$7))),"")</f>
        <v/>
      </c>
      <c r="L484" s="129" t="str">
        <f>IFERROR(IF(LEN(INDEX(Database!K$9:K$501,ROW(Calc!K484)-ROW(Calc!$B$7)))=0,$AD$3,INDEX(Database!K$9:K$501,ROW(Calc!K484)-ROW(Calc!$B$7))),"")</f>
        <v>Not Set</v>
      </c>
      <c r="M484" s="130" t="str">
        <f>IFERROR(IF(LEN(INDEX(Database!L$9:L$501,ROW(Calc!L484)-ROW(Calc!$B$7)))=0,$AD$3,INDEX(Database!L$9:L$501,ROW(Calc!L484)-ROW(Calc!$B$7))),"")</f>
        <v>Not Set</v>
      </c>
      <c r="N484" s="131" t="str">
        <f>IFERROR(IF(LEN(INDEX(Database!M$9:M$501,ROW(Calc!M484)-ROW(Calc!$B$7)))=0,"",INDEX(Database!M$9:M$501,ROW(Calc!M484)-ROW(Calc!$B$7))),"")</f>
        <v/>
      </c>
      <c r="O484" s="132" t="str">
        <f t="shared" si="72"/>
        <v/>
      </c>
      <c r="P484" s="125" t="str">
        <f t="shared" si="69"/>
        <v>Not Set</v>
      </c>
      <c r="Q484" s="125" t="str">
        <f t="shared" si="70"/>
        <v>Not Set</v>
      </c>
      <c r="R484" s="125" t="str">
        <f>IFERROR(IF(G484=$AD$3,$AD$3,INDEX(Kanban_Helper!$C$317:$C$328,MATCH(MONTH(G484),Kanban_Helper!$B$317:$B$328,0))&amp;" - "&amp;YEAR(G484)),"$AD$3")</f>
        <v>Not Set</v>
      </c>
      <c r="S484" s="125" t="str">
        <f>IFERROR(IF(I484=$AD$3,$AD$3,INDEX(Kanban_Helper!$C$317:$C$328,MATCH(MONTH(I484),Kanban_Helper!$B$317:$B$328,0))&amp;" - "&amp;YEAR(I484)),$AD$3)</f>
        <v>Not Set</v>
      </c>
      <c r="T484" s="125" t="str">
        <f t="shared" ca="1" si="73"/>
        <v/>
      </c>
      <c r="U484" s="125" t="str">
        <f t="shared" ca="1" si="74"/>
        <v/>
      </c>
      <c r="V484" s="125" t="str">
        <f t="shared" si="71"/>
        <v>Not Set</v>
      </c>
      <c r="W484" s="126" t="str">
        <f t="shared" si="75"/>
        <v/>
      </c>
      <c r="X484" s="126" t="str">
        <f t="shared" si="76"/>
        <v/>
      </c>
      <c r="Y484" s="125" t="str">
        <f>IFERROR(IF(LEN(D484)=0,"",IF(SUBTOTAL(3,E484:E484)=0,MIN($Y$7:Y483)-1,SUBTOTAL(3,$E$8:E484))),"")</f>
        <v/>
      </c>
      <c r="Z484" s="17"/>
      <c r="AA484" s="10"/>
      <c r="AB484" s="10"/>
      <c r="AC484" s="10"/>
      <c r="AD484" s="10"/>
      <c r="AE484" s="10"/>
      <c r="AF484" s="10"/>
      <c r="AG484" s="10"/>
      <c r="AH484" s="10"/>
      <c r="AI484" s="10"/>
      <c r="AJ484" s="10"/>
      <c r="AK484" s="10"/>
      <c r="AL484" s="10"/>
      <c r="AM484" s="10"/>
      <c r="AN484" s="10"/>
    </row>
    <row r="485" spans="2:40" hidden="1" x14ac:dyDescent="0.35">
      <c r="B485" s="15"/>
      <c r="C485" s="127" t="str">
        <f>IFERROR(IF(LEN(INDEX(Database!C$9:C$501,ROW(Calc!A485)-ROW(Calc!$B$7)))=0,"",INDEX(Database!C$9:C$501,ROW(Calc!A485)-ROW(Calc!$B$7))),"")</f>
        <v/>
      </c>
      <c r="D485" s="70" t="str">
        <f>IFERROR(IF(LEN(INDEX(Database!D$9:D$501,ROW(Calc!B485)-ROW(Calc!$B$7)))=0,"",INDEX(Database!D$9:D$501,ROW(Calc!B485)-ROW(Calc!$B$7))),"")</f>
        <v/>
      </c>
      <c r="E485" s="124" t="str">
        <f>IFERROR(IF(LEN(INDEX(Database!G$9:G$501,ROW(Calc!D485)-ROW(Calc!$B$7)))=0,$AD$3,INDEX(Database!G$9:G$501,ROW(Calc!D485)-ROW(Calc!$B$7))),"")</f>
        <v>Not Set</v>
      </c>
      <c r="F485" s="124" t="str">
        <f>IFERROR(IF(LEN(INDEX(Database!F$9:F$501,ROW(Calc!E485)-ROW(Calc!$B$7)))=0,$AD$3,INDEX(Database!F$9:F$501,ROW(Calc!E485)-ROW(Calc!$B$7))),"")</f>
        <v>Not Set</v>
      </c>
      <c r="G485" s="128" t="str">
        <f>IFERROR(IF(LEN(INDEX(Database!H$9:H$501,ROW(Calc!F485)-ROW(Calc!$B$7)))=0,$AD$3,INDEX(Database!H$9:H$501,ROW(Calc!F485)-ROW(Calc!$B$7))),"")</f>
        <v>Not Set</v>
      </c>
      <c r="H485" s="128" t="str">
        <f>IFERROR(IF(LEN(INDEX(Database!I$9:I$501,ROW(Calc!G485)-ROW(Calc!$B$7)))=0,$AD$3,INDEX(Database!I$9:I$501,ROW(Calc!G485)-ROW(Calc!$B$7))),"")</f>
        <v>Not Set</v>
      </c>
      <c r="I485" s="128" t="str">
        <f>IFERROR(IF(LEN(INDEX(Database!J$9:J$501,ROW(Calc!H485)-ROW(Calc!$B$7)))=0,$AD$3,INDEX(Database!J$9:J$501,ROW(Calc!H485)-ROW(Calc!$B$7))),"")</f>
        <v>Not Set</v>
      </c>
      <c r="J485" s="128" t="str">
        <f t="shared" si="68"/>
        <v>Not Set</v>
      </c>
      <c r="K485" s="124" t="str">
        <f>IFERROR(IF(LEN(INDEX(Database!E$9:E$501,ROW(Calc!I485)-ROW(Calc!$B$7)))=0,"",INDEX(Database!E$9:E$501,ROW(Calc!I485)-ROW(Calc!$B$7))),"")</f>
        <v/>
      </c>
      <c r="L485" s="129" t="str">
        <f>IFERROR(IF(LEN(INDEX(Database!K$9:K$501,ROW(Calc!K485)-ROW(Calc!$B$7)))=0,$AD$3,INDEX(Database!K$9:K$501,ROW(Calc!K485)-ROW(Calc!$B$7))),"")</f>
        <v>Not Set</v>
      </c>
      <c r="M485" s="130" t="str">
        <f>IFERROR(IF(LEN(INDEX(Database!L$9:L$501,ROW(Calc!L485)-ROW(Calc!$B$7)))=0,$AD$3,INDEX(Database!L$9:L$501,ROW(Calc!L485)-ROW(Calc!$B$7))),"")</f>
        <v>Not Set</v>
      </c>
      <c r="N485" s="131" t="str">
        <f>IFERROR(IF(LEN(INDEX(Database!M$9:M$501,ROW(Calc!M485)-ROW(Calc!$B$7)))=0,"",INDEX(Database!M$9:M$501,ROW(Calc!M485)-ROW(Calc!$B$7))),"")</f>
        <v/>
      </c>
      <c r="O485" s="132" t="str">
        <f t="shared" si="72"/>
        <v/>
      </c>
      <c r="P485" s="125" t="str">
        <f t="shared" si="69"/>
        <v>Not Set</v>
      </c>
      <c r="Q485" s="125" t="str">
        <f t="shared" si="70"/>
        <v>Not Set</v>
      </c>
      <c r="R485" s="125" t="str">
        <f>IFERROR(IF(G485=$AD$3,$AD$3,INDEX(Kanban_Helper!$C$317:$C$328,MATCH(MONTH(G485),Kanban_Helper!$B$317:$B$328,0))&amp;" - "&amp;YEAR(G485)),"$AD$3")</f>
        <v>Not Set</v>
      </c>
      <c r="S485" s="125" t="str">
        <f>IFERROR(IF(I485=$AD$3,$AD$3,INDEX(Kanban_Helper!$C$317:$C$328,MATCH(MONTH(I485),Kanban_Helper!$B$317:$B$328,0))&amp;" - "&amp;YEAR(I485)),$AD$3)</f>
        <v>Not Set</v>
      </c>
      <c r="T485" s="125" t="str">
        <f t="shared" ca="1" si="73"/>
        <v/>
      </c>
      <c r="U485" s="125" t="str">
        <f t="shared" ca="1" si="74"/>
        <v/>
      </c>
      <c r="V485" s="125" t="str">
        <f t="shared" si="71"/>
        <v>Not Set</v>
      </c>
      <c r="W485" s="126" t="str">
        <f t="shared" si="75"/>
        <v/>
      </c>
      <c r="X485" s="126" t="str">
        <f t="shared" si="76"/>
        <v/>
      </c>
      <c r="Y485" s="125" t="str">
        <f>IFERROR(IF(LEN(D485)=0,"",IF(SUBTOTAL(3,E485:E485)=0,MIN($Y$7:Y484)-1,SUBTOTAL(3,$E$8:E485))),"")</f>
        <v/>
      </c>
      <c r="Z485" s="17"/>
      <c r="AA485" s="10"/>
      <c r="AB485" s="10"/>
      <c r="AC485" s="10"/>
      <c r="AD485" s="10"/>
      <c r="AE485" s="10"/>
      <c r="AF485" s="10"/>
      <c r="AG485" s="10"/>
      <c r="AH485" s="10"/>
      <c r="AI485" s="10"/>
      <c r="AJ485" s="10"/>
      <c r="AK485" s="10"/>
      <c r="AL485" s="10"/>
      <c r="AM485" s="10"/>
      <c r="AN485" s="10"/>
    </row>
    <row r="486" spans="2:40" hidden="1" x14ac:dyDescent="0.35">
      <c r="B486" s="15"/>
      <c r="C486" s="127" t="str">
        <f>IFERROR(IF(LEN(INDEX(Database!C$9:C$501,ROW(Calc!A486)-ROW(Calc!$B$7)))=0,"",INDEX(Database!C$9:C$501,ROW(Calc!A486)-ROW(Calc!$B$7))),"")</f>
        <v/>
      </c>
      <c r="D486" s="70" t="str">
        <f>IFERROR(IF(LEN(INDEX(Database!D$9:D$501,ROW(Calc!B486)-ROW(Calc!$B$7)))=0,"",INDEX(Database!D$9:D$501,ROW(Calc!B486)-ROW(Calc!$B$7))),"")</f>
        <v/>
      </c>
      <c r="E486" s="124" t="str">
        <f>IFERROR(IF(LEN(INDEX(Database!G$9:G$501,ROW(Calc!D486)-ROW(Calc!$B$7)))=0,$AD$3,INDEX(Database!G$9:G$501,ROW(Calc!D486)-ROW(Calc!$B$7))),"")</f>
        <v>Not Set</v>
      </c>
      <c r="F486" s="124" t="str">
        <f>IFERROR(IF(LEN(INDEX(Database!F$9:F$501,ROW(Calc!E486)-ROW(Calc!$B$7)))=0,$AD$3,INDEX(Database!F$9:F$501,ROW(Calc!E486)-ROW(Calc!$B$7))),"")</f>
        <v>Not Set</v>
      </c>
      <c r="G486" s="128" t="str">
        <f>IFERROR(IF(LEN(INDEX(Database!H$9:H$501,ROW(Calc!F486)-ROW(Calc!$B$7)))=0,$AD$3,INDEX(Database!H$9:H$501,ROW(Calc!F486)-ROW(Calc!$B$7))),"")</f>
        <v>Not Set</v>
      </c>
      <c r="H486" s="128" t="str">
        <f>IFERROR(IF(LEN(INDEX(Database!I$9:I$501,ROW(Calc!G486)-ROW(Calc!$B$7)))=0,$AD$3,INDEX(Database!I$9:I$501,ROW(Calc!G486)-ROW(Calc!$B$7))),"")</f>
        <v>Not Set</v>
      </c>
      <c r="I486" s="128" t="str">
        <f>IFERROR(IF(LEN(INDEX(Database!J$9:J$501,ROW(Calc!H486)-ROW(Calc!$B$7)))=0,$AD$3,INDEX(Database!J$9:J$501,ROW(Calc!H486)-ROW(Calc!$B$7))),"")</f>
        <v>Not Set</v>
      </c>
      <c r="J486" s="128" t="str">
        <f t="shared" si="68"/>
        <v>Not Set</v>
      </c>
      <c r="K486" s="124" t="str">
        <f>IFERROR(IF(LEN(INDEX(Database!E$9:E$501,ROW(Calc!I486)-ROW(Calc!$B$7)))=0,"",INDEX(Database!E$9:E$501,ROW(Calc!I486)-ROW(Calc!$B$7))),"")</f>
        <v/>
      </c>
      <c r="L486" s="129" t="str">
        <f>IFERROR(IF(LEN(INDEX(Database!K$9:K$501,ROW(Calc!K486)-ROW(Calc!$B$7)))=0,$AD$3,INDEX(Database!K$9:K$501,ROW(Calc!K486)-ROW(Calc!$B$7))),"")</f>
        <v>Not Set</v>
      </c>
      <c r="M486" s="130" t="str">
        <f>IFERROR(IF(LEN(INDEX(Database!L$9:L$501,ROW(Calc!L486)-ROW(Calc!$B$7)))=0,$AD$3,INDEX(Database!L$9:L$501,ROW(Calc!L486)-ROW(Calc!$B$7))),"")</f>
        <v>Not Set</v>
      </c>
      <c r="N486" s="131" t="str">
        <f>IFERROR(IF(LEN(INDEX(Database!M$9:M$501,ROW(Calc!M486)-ROW(Calc!$B$7)))=0,"",INDEX(Database!M$9:M$501,ROW(Calc!M486)-ROW(Calc!$B$7))),"")</f>
        <v/>
      </c>
      <c r="O486" s="132" t="str">
        <f t="shared" si="72"/>
        <v/>
      </c>
      <c r="P486" s="125" t="str">
        <f t="shared" si="69"/>
        <v>Not Set</v>
      </c>
      <c r="Q486" s="125" t="str">
        <f t="shared" si="70"/>
        <v>Not Set</v>
      </c>
      <c r="R486" s="125" t="str">
        <f>IFERROR(IF(G486=$AD$3,$AD$3,INDEX(Kanban_Helper!$C$317:$C$328,MATCH(MONTH(G486),Kanban_Helper!$B$317:$B$328,0))&amp;" - "&amp;YEAR(G486)),"$AD$3")</f>
        <v>Not Set</v>
      </c>
      <c r="S486" s="125" t="str">
        <f>IFERROR(IF(I486=$AD$3,$AD$3,INDEX(Kanban_Helper!$C$317:$C$328,MATCH(MONTH(I486),Kanban_Helper!$B$317:$B$328,0))&amp;" - "&amp;YEAR(I486)),$AD$3)</f>
        <v>Not Set</v>
      </c>
      <c r="T486" s="125" t="str">
        <f t="shared" ca="1" si="73"/>
        <v/>
      </c>
      <c r="U486" s="125" t="str">
        <f t="shared" ca="1" si="74"/>
        <v/>
      </c>
      <c r="V486" s="125" t="str">
        <f t="shared" si="71"/>
        <v>Not Set</v>
      </c>
      <c r="W486" s="126" t="str">
        <f t="shared" si="75"/>
        <v/>
      </c>
      <c r="X486" s="126" t="str">
        <f t="shared" si="76"/>
        <v/>
      </c>
      <c r="Y486" s="125" t="str">
        <f>IFERROR(IF(LEN(D486)=0,"",IF(SUBTOTAL(3,E486:E486)=0,MIN($Y$7:Y485)-1,SUBTOTAL(3,$E$8:E486))),"")</f>
        <v/>
      </c>
      <c r="Z486" s="17"/>
      <c r="AA486" s="10"/>
      <c r="AB486" s="10"/>
      <c r="AC486" s="10"/>
      <c r="AD486" s="10"/>
      <c r="AE486" s="10"/>
      <c r="AF486" s="10"/>
      <c r="AG486" s="10"/>
      <c r="AH486" s="10"/>
      <c r="AI486" s="10"/>
      <c r="AJ486" s="10"/>
      <c r="AK486" s="10"/>
      <c r="AL486" s="10"/>
      <c r="AM486" s="10"/>
      <c r="AN486" s="10"/>
    </row>
    <row r="487" spans="2:40" hidden="1" x14ac:dyDescent="0.35">
      <c r="B487" s="15"/>
      <c r="C487" s="127" t="str">
        <f>IFERROR(IF(LEN(INDEX(Database!C$9:C$501,ROW(Calc!A487)-ROW(Calc!$B$7)))=0,"",INDEX(Database!C$9:C$501,ROW(Calc!A487)-ROW(Calc!$B$7))),"")</f>
        <v/>
      </c>
      <c r="D487" s="70" t="str">
        <f>IFERROR(IF(LEN(INDEX(Database!D$9:D$501,ROW(Calc!B487)-ROW(Calc!$B$7)))=0,"",INDEX(Database!D$9:D$501,ROW(Calc!B487)-ROW(Calc!$B$7))),"")</f>
        <v/>
      </c>
      <c r="E487" s="124" t="str">
        <f>IFERROR(IF(LEN(INDEX(Database!G$9:G$501,ROW(Calc!D487)-ROW(Calc!$B$7)))=0,$AD$3,INDEX(Database!G$9:G$501,ROW(Calc!D487)-ROW(Calc!$B$7))),"")</f>
        <v>Not Set</v>
      </c>
      <c r="F487" s="124" t="str">
        <f>IFERROR(IF(LEN(INDEX(Database!F$9:F$501,ROW(Calc!E487)-ROW(Calc!$B$7)))=0,$AD$3,INDEX(Database!F$9:F$501,ROW(Calc!E487)-ROW(Calc!$B$7))),"")</f>
        <v>Not Set</v>
      </c>
      <c r="G487" s="128" t="str">
        <f>IFERROR(IF(LEN(INDEX(Database!H$9:H$501,ROW(Calc!F487)-ROW(Calc!$B$7)))=0,$AD$3,INDEX(Database!H$9:H$501,ROW(Calc!F487)-ROW(Calc!$B$7))),"")</f>
        <v>Not Set</v>
      </c>
      <c r="H487" s="128" t="str">
        <f>IFERROR(IF(LEN(INDEX(Database!I$9:I$501,ROW(Calc!G487)-ROW(Calc!$B$7)))=0,$AD$3,INDEX(Database!I$9:I$501,ROW(Calc!G487)-ROW(Calc!$B$7))),"")</f>
        <v>Not Set</v>
      </c>
      <c r="I487" s="128" t="str">
        <f>IFERROR(IF(LEN(INDEX(Database!J$9:J$501,ROW(Calc!H487)-ROW(Calc!$B$7)))=0,$AD$3,INDEX(Database!J$9:J$501,ROW(Calc!H487)-ROW(Calc!$B$7))),"")</f>
        <v>Not Set</v>
      </c>
      <c r="J487" s="128" t="str">
        <f t="shared" si="68"/>
        <v>Not Set</v>
      </c>
      <c r="K487" s="124" t="str">
        <f>IFERROR(IF(LEN(INDEX(Database!E$9:E$501,ROW(Calc!I487)-ROW(Calc!$B$7)))=0,"",INDEX(Database!E$9:E$501,ROW(Calc!I487)-ROW(Calc!$B$7))),"")</f>
        <v/>
      </c>
      <c r="L487" s="129" t="str">
        <f>IFERROR(IF(LEN(INDEX(Database!K$9:K$501,ROW(Calc!K487)-ROW(Calc!$B$7)))=0,$AD$3,INDEX(Database!K$9:K$501,ROW(Calc!K487)-ROW(Calc!$B$7))),"")</f>
        <v>Not Set</v>
      </c>
      <c r="M487" s="130" t="str">
        <f>IFERROR(IF(LEN(INDEX(Database!L$9:L$501,ROW(Calc!L487)-ROW(Calc!$B$7)))=0,$AD$3,INDEX(Database!L$9:L$501,ROW(Calc!L487)-ROW(Calc!$B$7))),"")</f>
        <v>Not Set</v>
      </c>
      <c r="N487" s="131" t="str">
        <f>IFERROR(IF(LEN(INDEX(Database!M$9:M$501,ROW(Calc!M487)-ROW(Calc!$B$7)))=0,"",INDEX(Database!M$9:M$501,ROW(Calc!M487)-ROW(Calc!$B$7))),"")</f>
        <v/>
      </c>
      <c r="O487" s="132" t="str">
        <f t="shared" si="72"/>
        <v/>
      </c>
      <c r="P487" s="125" t="str">
        <f t="shared" si="69"/>
        <v>Not Set</v>
      </c>
      <c r="Q487" s="125" t="str">
        <f t="shared" si="70"/>
        <v>Not Set</v>
      </c>
      <c r="R487" s="125" t="str">
        <f>IFERROR(IF(G487=$AD$3,$AD$3,INDEX(Kanban_Helper!$C$317:$C$328,MATCH(MONTH(G487),Kanban_Helper!$B$317:$B$328,0))&amp;" - "&amp;YEAR(G487)),"$AD$3")</f>
        <v>Not Set</v>
      </c>
      <c r="S487" s="125" t="str">
        <f>IFERROR(IF(I487=$AD$3,$AD$3,INDEX(Kanban_Helper!$C$317:$C$328,MATCH(MONTH(I487),Kanban_Helper!$B$317:$B$328,0))&amp;" - "&amp;YEAR(I487)),$AD$3)</f>
        <v>Not Set</v>
      </c>
      <c r="T487" s="125" t="str">
        <f t="shared" ca="1" si="73"/>
        <v/>
      </c>
      <c r="U487" s="125" t="str">
        <f t="shared" ca="1" si="74"/>
        <v/>
      </c>
      <c r="V487" s="125" t="str">
        <f t="shared" si="71"/>
        <v>Not Set</v>
      </c>
      <c r="W487" s="126" t="str">
        <f t="shared" si="75"/>
        <v/>
      </c>
      <c r="X487" s="126" t="str">
        <f t="shared" si="76"/>
        <v/>
      </c>
      <c r="Y487" s="125" t="str">
        <f>IFERROR(IF(LEN(D487)=0,"",IF(SUBTOTAL(3,E487:E487)=0,MIN($Y$7:Y486)-1,SUBTOTAL(3,$E$8:E487))),"")</f>
        <v/>
      </c>
      <c r="Z487" s="17"/>
      <c r="AA487" s="10"/>
      <c r="AB487" s="10"/>
      <c r="AC487" s="10"/>
      <c r="AD487" s="10"/>
      <c r="AE487" s="10"/>
      <c r="AF487" s="10"/>
      <c r="AG487" s="10"/>
      <c r="AH487" s="10"/>
      <c r="AI487" s="10"/>
      <c r="AJ487" s="10"/>
      <c r="AK487" s="10"/>
      <c r="AL487" s="10"/>
      <c r="AM487" s="10"/>
      <c r="AN487" s="10"/>
    </row>
    <row r="488" spans="2:40" hidden="1" x14ac:dyDescent="0.35">
      <c r="B488" s="15"/>
      <c r="C488" s="127" t="str">
        <f>IFERROR(IF(LEN(INDEX(Database!C$9:C$501,ROW(Calc!A488)-ROW(Calc!$B$7)))=0,"",INDEX(Database!C$9:C$501,ROW(Calc!A488)-ROW(Calc!$B$7))),"")</f>
        <v/>
      </c>
      <c r="D488" s="70" t="str">
        <f>IFERROR(IF(LEN(INDEX(Database!D$9:D$501,ROW(Calc!B488)-ROW(Calc!$B$7)))=0,"",INDEX(Database!D$9:D$501,ROW(Calc!B488)-ROW(Calc!$B$7))),"")</f>
        <v/>
      </c>
      <c r="E488" s="124" t="str">
        <f>IFERROR(IF(LEN(INDEX(Database!G$9:G$501,ROW(Calc!D488)-ROW(Calc!$B$7)))=0,$AD$3,INDEX(Database!G$9:G$501,ROW(Calc!D488)-ROW(Calc!$B$7))),"")</f>
        <v>Not Set</v>
      </c>
      <c r="F488" s="124" t="str">
        <f>IFERROR(IF(LEN(INDEX(Database!F$9:F$501,ROW(Calc!E488)-ROW(Calc!$B$7)))=0,$AD$3,INDEX(Database!F$9:F$501,ROW(Calc!E488)-ROW(Calc!$B$7))),"")</f>
        <v>Not Set</v>
      </c>
      <c r="G488" s="128" t="str">
        <f>IFERROR(IF(LEN(INDEX(Database!H$9:H$501,ROW(Calc!F488)-ROW(Calc!$B$7)))=0,$AD$3,INDEX(Database!H$9:H$501,ROW(Calc!F488)-ROW(Calc!$B$7))),"")</f>
        <v>Not Set</v>
      </c>
      <c r="H488" s="128" t="str">
        <f>IFERROR(IF(LEN(INDEX(Database!I$9:I$501,ROW(Calc!G488)-ROW(Calc!$B$7)))=0,$AD$3,INDEX(Database!I$9:I$501,ROW(Calc!G488)-ROW(Calc!$B$7))),"")</f>
        <v>Not Set</v>
      </c>
      <c r="I488" s="128" t="str">
        <f>IFERROR(IF(LEN(INDEX(Database!J$9:J$501,ROW(Calc!H488)-ROW(Calc!$B$7)))=0,$AD$3,INDEX(Database!J$9:J$501,ROW(Calc!H488)-ROW(Calc!$B$7))),"")</f>
        <v>Not Set</v>
      </c>
      <c r="J488" s="128" t="str">
        <f t="shared" si="68"/>
        <v>Not Set</v>
      </c>
      <c r="K488" s="124" t="str">
        <f>IFERROR(IF(LEN(INDEX(Database!E$9:E$501,ROW(Calc!I488)-ROW(Calc!$B$7)))=0,"",INDEX(Database!E$9:E$501,ROW(Calc!I488)-ROW(Calc!$B$7))),"")</f>
        <v/>
      </c>
      <c r="L488" s="129" t="str">
        <f>IFERROR(IF(LEN(INDEX(Database!K$9:K$501,ROW(Calc!K488)-ROW(Calc!$B$7)))=0,$AD$3,INDEX(Database!K$9:K$501,ROW(Calc!K488)-ROW(Calc!$B$7))),"")</f>
        <v>Not Set</v>
      </c>
      <c r="M488" s="130" t="str">
        <f>IFERROR(IF(LEN(INDEX(Database!L$9:L$501,ROW(Calc!L488)-ROW(Calc!$B$7)))=0,$AD$3,INDEX(Database!L$9:L$501,ROW(Calc!L488)-ROW(Calc!$B$7))),"")</f>
        <v>Not Set</v>
      </c>
      <c r="N488" s="131" t="str">
        <f>IFERROR(IF(LEN(INDEX(Database!M$9:M$501,ROW(Calc!M488)-ROW(Calc!$B$7)))=0,"",INDEX(Database!M$9:M$501,ROW(Calc!M488)-ROW(Calc!$B$7))),"")</f>
        <v/>
      </c>
      <c r="O488" s="132" t="str">
        <f t="shared" si="72"/>
        <v/>
      </c>
      <c r="P488" s="125" t="str">
        <f t="shared" si="69"/>
        <v>Not Set</v>
      </c>
      <c r="Q488" s="125" t="str">
        <f t="shared" si="70"/>
        <v>Not Set</v>
      </c>
      <c r="R488" s="125" t="str">
        <f>IFERROR(IF(G488=$AD$3,$AD$3,INDEX(Kanban_Helper!$C$317:$C$328,MATCH(MONTH(G488),Kanban_Helper!$B$317:$B$328,0))&amp;" - "&amp;YEAR(G488)),"$AD$3")</f>
        <v>Not Set</v>
      </c>
      <c r="S488" s="125" t="str">
        <f>IFERROR(IF(I488=$AD$3,$AD$3,INDEX(Kanban_Helper!$C$317:$C$328,MATCH(MONTH(I488),Kanban_Helper!$B$317:$B$328,0))&amp;" - "&amp;YEAR(I488)),$AD$3)</f>
        <v>Not Set</v>
      </c>
      <c r="T488" s="125" t="str">
        <f t="shared" ca="1" si="73"/>
        <v/>
      </c>
      <c r="U488" s="125" t="str">
        <f t="shared" ca="1" si="74"/>
        <v/>
      </c>
      <c r="V488" s="125" t="str">
        <f t="shared" si="71"/>
        <v>Not Set</v>
      </c>
      <c r="W488" s="126" t="str">
        <f t="shared" si="75"/>
        <v/>
      </c>
      <c r="X488" s="126" t="str">
        <f t="shared" si="76"/>
        <v/>
      </c>
      <c r="Y488" s="125" t="str">
        <f>IFERROR(IF(LEN(D488)=0,"",IF(SUBTOTAL(3,E488:E488)=0,MIN($Y$7:Y487)-1,SUBTOTAL(3,$E$8:E488))),"")</f>
        <v/>
      </c>
      <c r="Z488" s="17"/>
      <c r="AA488" s="10"/>
      <c r="AB488" s="10"/>
      <c r="AC488" s="10"/>
      <c r="AD488" s="10"/>
      <c r="AE488" s="10"/>
      <c r="AF488" s="10"/>
      <c r="AG488" s="10"/>
      <c r="AH488" s="10"/>
      <c r="AI488" s="10"/>
      <c r="AJ488" s="10"/>
      <c r="AK488" s="10"/>
      <c r="AL488" s="10"/>
      <c r="AM488" s="10"/>
      <c r="AN488" s="10"/>
    </row>
    <row r="489" spans="2:40" hidden="1" x14ac:dyDescent="0.35">
      <c r="B489" s="15"/>
      <c r="C489" s="127" t="str">
        <f>IFERROR(IF(LEN(INDEX(Database!C$9:C$501,ROW(Calc!A489)-ROW(Calc!$B$7)))=0,"",INDEX(Database!C$9:C$501,ROW(Calc!A489)-ROW(Calc!$B$7))),"")</f>
        <v/>
      </c>
      <c r="D489" s="70" t="str">
        <f>IFERROR(IF(LEN(INDEX(Database!D$9:D$501,ROW(Calc!B489)-ROW(Calc!$B$7)))=0,"",INDEX(Database!D$9:D$501,ROW(Calc!B489)-ROW(Calc!$B$7))),"")</f>
        <v/>
      </c>
      <c r="E489" s="124" t="str">
        <f>IFERROR(IF(LEN(INDEX(Database!G$9:G$501,ROW(Calc!D489)-ROW(Calc!$B$7)))=0,$AD$3,INDEX(Database!G$9:G$501,ROW(Calc!D489)-ROW(Calc!$B$7))),"")</f>
        <v>Not Set</v>
      </c>
      <c r="F489" s="124" t="str">
        <f>IFERROR(IF(LEN(INDEX(Database!F$9:F$501,ROW(Calc!E489)-ROW(Calc!$B$7)))=0,$AD$3,INDEX(Database!F$9:F$501,ROW(Calc!E489)-ROW(Calc!$B$7))),"")</f>
        <v>Not Set</v>
      </c>
      <c r="G489" s="128" t="str">
        <f>IFERROR(IF(LEN(INDEX(Database!H$9:H$501,ROW(Calc!F489)-ROW(Calc!$B$7)))=0,$AD$3,INDEX(Database!H$9:H$501,ROW(Calc!F489)-ROW(Calc!$B$7))),"")</f>
        <v>Not Set</v>
      </c>
      <c r="H489" s="128" t="str">
        <f>IFERROR(IF(LEN(INDEX(Database!I$9:I$501,ROW(Calc!G489)-ROW(Calc!$B$7)))=0,$AD$3,INDEX(Database!I$9:I$501,ROW(Calc!G489)-ROW(Calc!$B$7))),"")</f>
        <v>Not Set</v>
      </c>
      <c r="I489" s="128" t="str">
        <f>IFERROR(IF(LEN(INDEX(Database!J$9:J$501,ROW(Calc!H489)-ROW(Calc!$B$7)))=0,$AD$3,INDEX(Database!J$9:J$501,ROW(Calc!H489)-ROW(Calc!$B$7))),"")</f>
        <v>Not Set</v>
      </c>
      <c r="J489" s="128" t="str">
        <f t="shared" si="68"/>
        <v>Not Set</v>
      </c>
      <c r="K489" s="124" t="str">
        <f>IFERROR(IF(LEN(INDEX(Database!E$9:E$501,ROW(Calc!I489)-ROW(Calc!$B$7)))=0,"",INDEX(Database!E$9:E$501,ROW(Calc!I489)-ROW(Calc!$B$7))),"")</f>
        <v/>
      </c>
      <c r="L489" s="129" t="str">
        <f>IFERROR(IF(LEN(INDEX(Database!K$9:K$501,ROW(Calc!K489)-ROW(Calc!$B$7)))=0,$AD$3,INDEX(Database!K$9:K$501,ROW(Calc!K489)-ROW(Calc!$B$7))),"")</f>
        <v>Not Set</v>
      </c>
      <c r="M489" s="130" t="str">
        <f>IFERROR(IF(LEN(INDEX(Database!L$9:L$501,ROW(Calc!L489)-ROW(Calc!$B$7)))=0,$AD$3,INDEX(Database!L$9:L$501,ROW(Calc!L489)-ROW(Calc!$B$7))),"")</f>
        <v>Not Set</v>
      </c>
      <c r="N489" s="131" t="str">
        <f>IFERROR(IF(LEN(INDEX(Database!M$9:M$501,ROW(Calc!M489)-ROW(Calc!$B$7)))=0,"",INDEX(Database!M$9:M$501,ROW(Calc!M489)-ROW(Calc!$B$7))),"")</f>
        <v/>
      </c>
      <c r="O489" s="132" t="str">
        <f t="shared" si="72"/>
        <v/>
      </c>
      <c r="P489" s="125" t="str">
        <f t="shared" si="69"/>
        <v>Not Set</v>
      </c>
      <c r="Q489" s="125" t="str">
        <f t="shared" si="70"/>
        <v>Not Set</v>
      </c>
      <c r="R489" s="125" t="str">
        <f>IFERROR(IF(G489=$AD$3,$AD$3,INDEX(Kanban_Helper!$C$317:$C$328,MATCH(MONTH(G489),Kanban_Helper!$B$317:$B$328,0))&amp;" - "&amp;YEAR(G489)),"$AD$3")</f>
        <v>Not Set</v>
      </c>
      <c r="S489" s="125" t="str">
        <f>IFERROR(IF(I489=$AD$3,$AD$3,INDEX(Kanban_Helper!$C$317:$C$328,MATCH(MONTH(I489),Kanban_Helper!$B$317:$B$328,0))&amp;" - "&amp;YEAR(I489)),$AD$3)</f>
        <v>Not Set</v>
      </c>
      <c r="T489" s="125" t="str">
        <f t="shared" ca="1" si="73"/>
        <v/>
      </c>
      <c r="U489" s="125" t="str">
        <f t="shared" ca="1" si="74"/>
        <v/>
      </c>
      <c r="V489" s="125" t="str">
        <f t="shared" si="71"/>
        <v>Not Set</v>
      </c>
      <c r="W489" s="126" t="str">
        <f t="shared" si="75"/>
        <v/>
      </c>
      <c r="X489" s="126" t="str">
        <f t="shared" si="76"/>
        <v/>
      </c>
      <c r="Y489" s="125" t="str">
        <f>IFERROR(IF(LEN(D489)=0,"",IF(SUBTOTAL(3,E489:E489)=0,MIN($Y$7:Y488)-1,SUBTOTAL(3,$E$8:E489))),"")</f>
        <v/>
      </c>
      <c r="Z489" s="17"/>
      <c r="AA489" s="10"/>
      <c r="AB489" s="10"/>
      <c r="AC489" s="10"/>
      <c r="AD489" s="10"/>
      <c r="AE489" s="10"/>
      <c r="AF489" s="10"/>
      <c r="AG489" s="10"/>
      <c r="AH489" s="10"/>
      <c r="AI489" s="10"/>
      <c r="AJ489" s="10"/>
      <c r="AK489" s="10"/>
      <c r="AL489" s="10"/>
      <c r="AM489" s="10"/>
      <c r="AN489" s="10"/>
    </row>
    <row r="490" spans="2:40" hidden="1" x14ac:dyDescent="0.35">
      <c r="B490" s="15"/>
      <c r="C490" s="127" t="str">
        <f>IFERROR(IF(LEN(INDEX(Database!C$9:C$501,ROW(Calc!A490)-ROW(Calc!$B$7)))=0,"",INDEX(Database!C$9:C$501,ROW(Calc!A490)-ROW(Calc!$B$7))),"")</f>
        <v/>
      </c>
      <c r="D490" s="70" t="str">
        <f>IFERROR(IF(LEN(INDEX(Database!D$9:D$501,ROW(Calc!B490)-ROW(Calc!$B$7)))=0,"",INDEX(Database!D$9:D$501,ROW(Calc!B490)-ROW(Calc!$B$7))),"")</f>
        <v/>
      </c>
      <c r="E490" s="124" t="str">
        <f>IFERROR(IF(LEN(INDEX(Database!G$9:G$501,ROW(Calc!D490)-ROW(Calc!$B$7)))=0,$AD$3,INDEX(Database!G$9:G$501,ROW(Calc!D490)-ROW(Calc!$B$7))),"")</f>
        <v>Not Set</v>
      </c>
      <c r="F490" s="124" t="str">
        <f>IFERROR(IF(LEN(INDEX(Database!F$9:F$501,ROW(Calc!E490)-ROW(Calc!$B$7)))=0,$AD$3,INDEX(Database!F$9:F$501,ROW(Calc!E490)-ROW(Calc!$B$7))),"")</f>
        <v>Not Set</v>
      </c>
      <c r="G490" s="128" t="str">
        <f>IFERROR(IF(LEN(INDEX(Database!H$9:H$501,ROW(Calc!F490)-ROW(Calc!$B$7)))=0,$AD$3,INDEX(Database!H$9:H$501,ROW(Calc!F490)-ROW(Calc!$B$7))),"")</f>
        <v>Not Set</v>
      </c>
      <c r="H490" s="128" t="str">
        <f>IFERROR(IF(LEN(INDEX(Database!I$9:I$501,ROW(Calc!G490)-ROW(Calc!$B$7)))=0,$AD$3,INDEX(Database!I$9:I$501,ROW(Calc!G490)-ROW(Calc!$B$7))),"")</f>
        <v>Not Set</v>
      </c>
      <c r="I490" s="128" t="str">
        <f>IFERROR(IF(LEN(INDEX(Database!J$9:J$501,ROW(Calc!H490)-ROW(Calc!$B$7)))=0,$AD$3,INDEX(Database!J$9:J$501,ROW(Calc!H490)-ROW(Calc!$B$7))),"")</f>
        <v>Not Set</v>
      </c>
      <c r="J490" s="128" t="str">
        <f t="shared" si="68"/>
        <v>Not Set</v>
      </c>
      <c r="K490" s="124" t="str">
        <f>IFERROR(IF(LEN(INDEX(Database!E$9:E$501,ROW(Calc!I490)-ROW(Calc!$B$7)))=0,"",INDEX(Database!E$9:E$501,ROW(Calc!I490)-ROW(Calc!$B$7))),"")</f>
        <v/>
      </c>
      <c r="L490" s="129" t="str">
        <f>IFERROR(IF(LEN(INDEX(Database!K$9:K$501,ROW(Calc!K490)-ROW(Calc!$B$7)))=0,$AD$3,INDEX(Database!K$9:K$501,ROW(Calc!K490)-ROW(Calc!$B$7))),"")</f>
        <v>Not Set</v>
      </c>
      <c r="M490" s="130" t="str">
        <f>IFERROR(IF(LEN(INDEX(Database!L$9:L$501,ROW(Calc!L490)-ROW(Calc!$B$7)))=0,$AD$3,INDEX(Database!L$9:L$501,ROW(Calc!L490)-ROW(Calc!$B$7))),"")</f>
        <v>Not Set</v>
      </c>
      <c r="N490" s="131" t="str">
        <f>IFERROR(IF(LEN(INDEX(Database!M$9:M$501,ROW(Calc!M490)-ROW(Calc!$B$7)))=0,"",INDEX(Database!M$9:M$501,ROW(Calc!M490)-ROW(Calc!$B$7))),"")</f>
        <v/>
      </c>
      <c r="O490" s="132" t="str">
        <f t="shared" si="72"/>
        <v/>
      </c>
      <c r="P490" s="125" t="str">
        <f t="shared" si="69"/>
        <v>Not Set</v>
      </c>
      <c r="Q490" s="125" t="str">
        <f t="shared" si="70"/>
        <v>Not Set</v>
      </c>
      <c r="R490" s="125" t="str">
        <f>IFERROR(IF(G490=$AD$3,$AD$3,INDEX(Kanban_Helper!$C$317:$C$328,MATCH(MONTH(G490),Kanban_Helper!$B$317:$B$328,0))&amp;" - "&amp;YEAR(G490)),"$AD$3")</f>
        <v>Not Set</v>
      </c>
      <c r="S490" s="125" t="str">
        <f>IFERROR(IF(I490=$AD$3,$AD$3,INDEX(Kanban_Helper!$C$317:$C$328,MATCH(MONTH(I490),Kanban_Helper!$B$317:$B$328,0))&amp;" - "&amp;YEAR(I490)),$AD$3)</f>
        <v>Not Set</v>
      </c>
      <c r="T490" s="125" t="str">
        <f t="shared" ca="1" si="73"/>
        <v/>
      </c>
      <c r="U490" s="125" t="str">
        <f t="shared" ca="1" si="74"/>
        <v/>
      </c>
      <c r="V490" s="125" t="str">
        <f t="shared" si="71"/>
        <v>Not Set</v>
      </c>
      <c r="W490" s="126" t="str">
        <f t="shared" si="75"/>
        <v/>
      </c>
      <c r="X490" s="126" t="str">
        <f t="shared" si="76"/>
        <v/>
      </c>
      <c r="Y490" s="125" t="str">
        <f>IFERROR(IF(LEN(D490)=0,"",IF(SUBTOTAL(3,E490:E490)=0,MIN($Y$7:Y489)-1,SUBTOTAL(3,$E$8:E490))),"")</f>
        <v/>
      </c>
      <c r="Z490" s="17"/>
      <c r="AA490" s="10"/>
      <c r="AB490" s="10"/>
      <c r="AC490" s="10"/>
      <c r="AD490" s="10"/>
      <c r="AE490" s="10"/>
      <c r="AF490" s="10"/>
      <c r="AG490" s="10"/>
      <c r="AH490" s="10"/>
      <c r="AI490" s="10"/>
      <c r="AJ490" s="10"/>
      <c r="AK490" s="10"/>
      <c r="AL490" s="10"/>
      <c r="AM490" s="10"/>
      <c r="AN490" s="10"/>
    </row>
    <row r="491" spans="2:40" hidden="1" x14ac:dyDescent="0.35">
      <c r="B491" s="15"/>
      <c r="C491" s="127" t="str">
        <f>IFERROR(IF(LEN(INDEX(Database!C$9:C$501,ROW(Calc!A491)-ROW(Calc!$B$7)))=0,"",INDEX(Database!C$9:C$501,ROW(Calc!A491)-ROW(Calc!$B$7))),"")</f>
        <v/>
      </c>
      <c r="D491" s="70" t="str">
        <f>IFERROR(IF(LEN(INDEX(Database!D$9:D$501,ROW(Calc!B491)-ROW(Calc!$B$7)))=0,"",INDEX(Database!D$9:D$501,ROW(Calc!B491)-ROW(Calc!$B$7))),"")</f>
        <v/>
      </c>
      <c r="E491" s="124" t="str">
        <f>IFERROR(IF(LEN(INDEX(Database!G$9:G$501,ROW(Calc!D491)-ROW(Calc!$B$7)))=0,$AD$3,INDEX(Database!G$9:G$501,ROW(Calc!D491)-ROW(Calc!$B$7))),"")</f>
        <v>Not Set</v>
      </c>
      <c r="F491" s="124" t="str">
        <f>IFERROR(IF(LEN(INDEX(Database!F$9:F$501,ROW(Calc!E491)-ROW(Calc!$B$7)))=0,$AD$3,INDEX(Database!F$9:F$501,ROW(Calc!E491)-ROW(Calc!$B$7))),"")</f>
        <v>Not Set</v>
      </c>
      <c r="G491" s="128" t="str">
        <f>IFERROR(IF(LEN(INDEX(Database!H$9:H$501,ROW(Calc!F491)-ROW(Calc!$B$7)))=0,$AD$3,INDEX(Database!H$9:H$501,ROW(Calc!F491)-ROW(Calc!$B$7))),"")</f>
        <v>Not Set</v>
      </c>
      <c r="H491" s="128" t="str">
        <f>IFERROR(IF(LEN(INDEX(Database!I$9:I$501,ROW(Calc!G491)-ROW(Calc!$B$7)))=0,$AD$3,INDEX(Database!I$9:I$501,ROW(Calc!G491)-ROW(Calc!$B$7))),"")</f>
        <v>Not Set</v>
      </c>
      <c r="I491" s="128" t="str">
        <f>IFERROR(IF(LEN(INDEX(Database!J$9:J$501,ROW(Calc!H491)-ROW(Calc!$B$7)))=0,$AD$3,INDEX(Database!J$9:J$501,ROW(Calc!H491)-ROW(Calc!$B$7))),"")</f>
        <v>Not Set</v>
      </c>
      <c r="J491" s="128" t="str">
        <f t="shared" si="68"/>
        <v>Not Set</v>
      </c>
      <c r="K491" s="124" t="str">
        <f>IFERROR(IF(LEN(INDEX(Database!E$9:E$501,ROW(Calc!I491)-ROW(Calc!$B$7)))=0,"",INDEX(Database!E$9:E$501,ROW(Calc!I491)-ROW(Calc!$B$7))),"")</f>
        <v/>
      </c>
      <c r="L491" s="129" t="str">
        <f>IFERROR(IF(LEN(INDEX(Database!K$9:K$501,ROW(Calc!K491)-ROW(Calc!$B$7)))=0,$AD$3,INDEX(Database!K$9:K$501,ROW(Calc!K491)-ROW(Calc!$B$7))),"")</f>
        <v>Not Set</v>
      </c>
      <c r="M491" s="130" t="str">
        <f>IFERROR(IF(LEN(INDEX(Database!L$9:L$501,ROW(Calc!L491)-ROW(Calc!$B$7)))=0,$AD$3,INDEX(Database!L$9:L$501,ROW(Calc!L491)-ROW(Calc!$B$7))),"")</f>
        <v>Not Set</v>
      </c>
      <c r="N491" s="131" t="str">
        <f>IFERROR(IF(LEN(INDEX(Database!M$9:M$501,ROW(Calc!M491)-ROW(Calc!$B$7)))=0,"",INDEX(Database!M$9:M$501,ROW(Calc!M491)-ROW(Calc!$B$7))),"")</f>
        <v/>
      </c>
      <c r="O491" s="132" t="str">
        <f t="shared" si="72"/>
        <v/>
      </c>
      <c r="P491" s="125" t="str">
        <f t="shared" si="69"/>
        <v>Not Set</v>
      </c>
      <c r="Q491" s="125" t="str">
        <f t="shared" si="70"/>
        <v>Not Set</v>
      </c>
      <c r="R491" s="125" t="str">
        <f>IFERROR(IF(G491=$AD$3,$AD$3,INDEX(Kanban_Helper!$C$317:$C$328,MATCH(MONTH(G491),Kanban_Helper!$B$317:$B$328,0))&amp;" - "&amp;YEAR(G491)),"$AD$3")</f>
        <v>Not Set</v>
      </c>
      <c r="S491" s="125" t="str">
        <f>IFERROR(IF(I491=$AD$3,$AD$3,INDEX(Kanban_Helper!$C$317:$C$328,MATCH(MONTH(I491),Kanban_Helper!$B$317:$B$328,0))&amp;" - "&amp;YEAR(I491)),$AD$3)</f>
        <v>Not Set</v>
      </c>
      <c r="T491" s="125" t="str">
        <f t="shared" ca="1" si="73"/>
        <v/>
      </c>
      <c r="U491" s="125" t="str">
        <f t="shared" ca="1" si="74"/>
        <v/>
      </c>
      <c r="V491" s="125" t="str">
        <f t="shared" si="71"/>
        <v>Not Set</v>
      </c>
      <c r="W491" s="126" t="str">
        <f t="shared" si="75"/>
        <v/>
      </c>
      <c r="X491" s="126" t="str">
        <f t="shared" si="76"/>
        <v/>
      </c>
      <c r="Y491" s="125" t="str">
        <f>IFERROR(IF(LEN(D491)=0,"",IF(SUBTOTAL(3,E491:E491)=0,MIN($Y$7:Y490)-1,SUBTOTAL(3,$E$8:E491))),"")</f>
        <v/>
      </c>
      <c r="Z491" s="17"/>
      <c r="AA491" s="10"/>
      <c r="AB491" s="10"/>
      <c r="AC491" s="10"/>
      <c r="AD491" s="10"/>
      <c r="AE491" s="10"/>
      <c r="AF491" s="10"/>
      <c r="AG491" s="10"/>
      <c r="AH491" s="10"/>
      <c r="AI491" s="10"/>
      <c r="AJ491" s="10"/>
      <c r="AK491" s="10"/>
      <c r="AL491" s="10"/>
      <c r="AM491" s="10"/>
      <c r="AN491" s="10"/>
    </row>
    <row r="492" spans="2:40" hidden="1" x14ac:dyDescent="0.35">
      <c r="B492" s="15"/>
      <c r="C492" s="127" t="str">
        <f>IFERROR(IF(LEN(INDEX(Database!C$9:C$501,ROW(Calc!A492)-ROW(Calc!$B$7)))=0,"",INDEX(Database!C$9:C$501,ROW(Calc!A492)-ROW(Calc!$B$7))),"")</f>
        <v/>
      </c>
      <c r="D492" s="70" t="str">
        <f>IFERROR(IF(LEN(INDEX(Database!D$9:D$501,ROW(Calc!B492)-ROW(Calc!$B$7)))=0,"",INDEX(Database!D$9:D$501,ROW(Calc!B492)-ROW(Calc!$B$7))),"")</f>
        <v/>
      </c>
      <c r="E492" s="124" t="str">
        <f>IFERROR(IF(LEN(INDEX(Database!G$9:G$501,ROW(Calc!D492)-ROW(Calc!$B$7)))=0,$AD$3,INDEX(Database!G$9:G$501,ROW(Calc!D492)-ROW(Calc!$B$7))),"")</f>
        <v>Not Set</v>
      </c>
      <c r="F492" s="124" t="str">
        <f>IFERROR(IF(LEN(INDEX(Database!F$9:F$501,ROW(Calc!E492)-ROW(Calc!$B$7)))=0,$AD$3,INDEX(Database!F$9:F$501,ROW(Calc!E492)-ROW(Calc!$B$7))),"")</f>
        <v>Not Set</v>
      </c>
      <c r="G492" s="128" t="str">
        <f>IFERROR(IF(LEN(INDEX(Database!H$9:H$501,ROW(Calc!F492)-ROW(Calc!$B$7)))=0,$AD$3,INDEX(Database!H$9:H$501,ROW(Calc!F492)-ROW(Calc!$B$7))),"")</f>
        <v>Not Set</v>
      </c>
      <c r="H492" s="128" t="str">
        <f>IFERROR(IF(LEN(INDEX(Database!I$9:I$501,ROW(Calc!G492)-ROW(Calc!$B$7)))=0,$AD$3,INDEX(Database!I$9:I$501,ROW(Calc!G492)-ROW(Calc!$B$7))),"")</f>
        <v>Not Set</v>
      </c>
      <c r="I492" s="128" t="str">
        <f>IFERROR(IF(LEN(INDEX(Database!J$9:J$501,ROW(Calc!H492)-ROW(Calc!$B$7)))=0,$AD$3,INDEX(Database!J$9:J$501,ROW(Calc!H492)-ROW(Calc!$B$7))),"")</f>
        <v>Not Set</v>
      </c>
      <c r="J492" s="128" t="str">
        <f t="shared" si="68"/>
        <v>Not Set</v>
      </c>
      <c r="K492" s="124" t="str">
        <f>IFERROR(IF(LEN(INDEX(Database!E$9:E$501,ROW(Calc!I492)-ROW(Calc!$B$7)))=0,"",INDEX(Database!E$9:E$501,ROW(Calc!I492)-ROW(Calc!$B$7))),"")</f>
        <v/>
      </c>
      <c r="L492" s="129" t="str">
        <f>IFERROR(IF(LEN(INDEX(Database!K$9:K$501,ROW(Calc!K492)-ROW(Calc!$B$7)))=0,$AD$3,INDEX(Database!K$9:K$501,ROW(Calc!K492)-ROW(Calc!$B$7))),"")</f>
        <v>Not Set</v>
      </c>
      <c r="M492" s="130" t="str">
        <f>IFERROR(IF(LEN(INDEX(Database!L$9:L$501,ROW(Calc!L492)-ROW(Calc!$B$7)))=0,$AD$3,INDEX(Database!L$9:L$501,ROW(Calc!L492)-ROW(Calc!$B$7))),"")</f>
        <v>Not Set</v>
      </c>
      <c r="N492" s="131" t="str">
        <f>IFERROR(IF(LEN(INDEX(Database!M$9:M$501,ROW(Calc!M492)-ROW(Calc!$B$7)))=0,"",INDEX(Database!M$9:M$501,ROW(Calc!M492)-ROW(Calc!$B$7))),"")</f>
        <v/>
      </c>
      <c r="O492" s="132" t="str">
        <f t="shared" si="72"/>
        <v/>
      </c>
      <c r="P492" s="125" t="str">
        <f t="shared" si="69"/>
        <v>Not Set</v>
      </c>
      <c r="Q492" s="125" t="str">
        <f t="shared" si="70"/>
        <v>Not Set</v>
      </c>
      <c r="R492" s="125" t="str">
        <f>IFERROR(IF(G492=$AD$3,$AD$3,INDEX(Kanban_Helper!$C$317:$C$328,MATCH(MONTH(G492),Kanban_Helper!$B$317:$B$328,0))&amp;" - "&amp;YEAR(G492)),"$AD$3")</f>
        <v>Not Set</v>
      </c>
      <c r="S492" s="125" t="str">
        <f>IFERROR(IF(I492=$AD$3,$AD$3,INDEX(Kanban_Helper!$C$317:$C$328,MATCH(MONTH(I492),Kanban_Helper!$B$317:$B$328,0))&amp;" - "&amp;YEAR(I492)),$AD$3)</f>
        <v>Not Set</v>
      </c>
      <c r="T492" s="125" t="str">
        <f t="shared" ca="1" si="73"/>
        <v/>
      </c>
      <c r="U492" s="125" t="str">
        <f t="shared" ca="1" si="74"/>
        <v/>
      </c>
      <c r="V492" s="125" t="str">
        <f t="shared" si="71"/>
        <v>Not Set</v>
      </c>
      <c r="W492" s="126" t="str">
        <f t="shared" si="75"/>
        <v/>
      </c>
      <c r="X492" s="126" t="str">
        <f t="shared" si="76"/>
        <v/>
      </c>
      <c r="Y492" s="125" t="str">
        <f>IFERROR(IF(LEN(D492)=0,"",IF(SUBTOTAL(3,E492:E492)=0,MIN($Y$7:Y491)-1,SUBTOTAL(3,$E$8:E492))),"")</f>
        <v/>
      </c>
      <c r="Z492" s="17"/>
      <c r="AA492" s="10"/>
      <c r="AB492" s="10"/>
      <c r="AC492" s="10"/>
      <c r="AD492" s="10"/>
      <c r="AE492" s="10"/>
      <c r="AF492" s="10"/>
      <c r="AG492" s="10"/>
      <c r="AH492" s="10"/>
      <c r="AI492" s="10"/>
      <c r="AJ492" s="10"/>
      <c r="AK492" s="10"/>
      <c r="AL492" s="10"/>
      <c r="AM492" s="10"/>
      <c r="AN492" s="10"/>
    </row>
    <row r="493" spans="2:40" hidden="1" x14ac:dyDescent="0.35">
      <c r="B493" s="15"/>
      <c r="C493" s="127" t="str">
        <f>IFERROR(IF(LEN(INDEX(Database!C$9:C$501,ROW(Calc!A493)-ROW(Calc!$B$7)))=0,"",INDEX(Database!C$9:C$501,ROW(Calc!A493)-ROW(Calc!$B$7))),"")</f>
        <v/>
      </c>
      <c r="D493" s="70" t="str">
        <f>IFERROR(IF(LEN(INDEX(Database!D$9:D$501,ROW(Calc!B493)-ROW(Calc!$B$7)))=0,"",INDEX(Database!D$9:D$501,ROW(Calc!B493)-ROW(Calc!$B$7))),"")</f>
        <v/>
      </c>
      <c r="E493" s="124" t="str">
        <f>IFERROR(IF(LEN(INDEX(Database!G$9:G$501,ROW(Calc!D493)-ROW(Calc!$B$7)))=0,$AD$3,INDEX(Database!G$9:G$501,ROW(Calc!D493)-ROW(Calc!$B$7))),"")</f>
        <v>Not Set</v>
      </c>
      <c r="F493" s="124" t="str">
        <f>IFERROR(IF(LEN(INDEX(Database!F$9:F$501,ROW(Calc!E493)-ROW(Calc!$B$7)))=0,$AD$3,INDEX(Database!F$9:F$501,ROW(Calc!E493)-ROW(Calc!$B$7))),"")</f>
        <v>Not Set</v>
      </c>
      <c r="G493" s="128" t="str">
        <f>IFERROR(IF(LEN(INDEX(Database!H$9:H$501,ROW(Calc!F493)-ROW(Calc!$B$7)))=0,$AD$3,INDEX(Database!H$9:H$501,ROW(Calc!F493)-ROW(Calc!$B$7))),"")</f>
        <v>Not Set</v>
      </c>
      <c r="H493" s="128" t="str">
        <f>IFERROR(IF(LEN(INDEX(Database!I$9:I$501,ROW(Calc!G493)-ROW(Calc!$B$7)))=0,$AD$3,INDEX(Database!I$9:I$501,ROW(Calc!G493)-ROW(Calc!$B$7))),"")</f>
        <v>Not Set</v>
      </c>
      <c r="I493" s="128" t="str">
        <f>IFERROR(IF(LEN(INDEX(Database!J$9:J$501,ROW(Calc!H493)-ROW(Calc!$B$7)))=0,$AD$3,INDEX(Database!J$9:J$501,ROW(Calc!H493)-ROW(Calc!$B$7))),"")</f>
        <v>Not Set</v>
      </c>
      <c r="J493" s="128" t="str">
        <f t="shared" si="68"/>
        <v>Not Set</v>
      </c>
      <c r="K493" s="124" t="str">
        <f>IFERROR(IF(LEN(INDEX(Database!E$9:E$501,ROW(Calc!I493)-ROW(Calc!$B$7)))=0,"",INDEX(Database!E$9:E$501,ROW(Calc!I493)-ROW(Calc!$B$7))),"")</f>
        <v/>
      </c>
      <c r="L493" s="129" t="str">
        <f>IFERROR(IF(LEN(INDEX(Database!K$9:K$501,ROW(Calc!K493)-ROW(Calc!$B$7)))=0,$AD$3,INDEX(Database!K$9:K$501,ROW(Calc!K493)-ROW(Calc!$B$7))),"")</f>
        <v>Not Set</v>
      </c>
      <c r="M493" s="130" t="str">
        <f>IFERROR(IF(LEN(INDEX(Database!L$9:L$501,ROW(Calc!L493)-ROW(Calc!$B$7)))=0,$AD$3,INDEX(Database!L$9:L$501,ROW(Calc!L493)-ROW(Calc!$B$7))),"")</f>
        <v>Not Set</v>
      </c>
      <c r="N493" s="131" t="str">
        <f>IFERROR(IF(LEN(INDEX(Database!M$9:M$501,ROW(Calc!M493)-ROW(Calc!$B$7)))=0,"",INDEX(Database!M$9:M$501,ROW(Calc!M493)-ROW(Calc!$B$7))),"")</f>
        <v/>
      </c>
      <c r="O493" s="132" t="str">
        <f t="shared" si="72"/>
        <v/>
      </c>
      <c r="P493" s="125" t="str">
        <f t="shared" si="69"/>
        <v>Not Set</v>
      </c>
      <c r="Q493" s="125" t="str">
        <f t="shared" si="70"/>
        <v>Not Set</v>
      </c>
      <c r="R493" s="125" t="str">
        <f>IFERROR(IF(G493=$AD$3,$AD$3,INDEX(Kanban_Helper!$C$317:$C$328,MATCH(MONTH(G493),Kanban_Helper!$B$317:$B$328,0))&amp;" - "&amp;YEAR(G493)),"$AD$3")</f>
        <v>Not Set</v>
      </c>
      <c r="S493" s="125" t="str">
        <f>IFERROR(IF(I493=$AD$3,$AD$3,INDEX(Kanban_Helper!$C$317:$C$328,MATCH(MONTH(I493),Kanban_Helper!$B$317:$B$328,0))&amp;" - "&amp;YEAR(I493)),$AD$3)</f>
        <v>Not Set</v>
      </c>
      <c r="T493" s="125" t="str">
        <f t="shared" ca="1" si="73"/>
        <v/>
      </c>
      <c r="U493" s="125" t="str">
        <f t="shared" ca="1" si="74"/>
        <v/>
      </c>
      <c r="V493" s="125" t="str">
        <f t="shared" si="71"/>
        <v>Not Set</v>
      </c>
      <c r="W493" s="126" t="str">
        <f t="shared" si="75"/>
        <v/>
      </c>
      <c r="X493" s="126" t="str">
        <f t="shared" si="76"/>
        <v/>
      </c>
      <c r="Y493" s="125" t="str">
        <f>IFERROR(IF(LEN(D493)=0,"",IF(SUBTOTAL(3,E493:E493)=0,MIN($Y$7:Y492)-1,SUBTOTAL(3,$E$8:E493))),"")</f>
        <v/>
      </c>
      <c r="Z493" s="17"/>
      <c r="AA493" s="10"/>
      <c r="AB493" s="10"/>
      <c r="AC493" s="10"/>
      <c r="AD493" s="10"/>
      <c r="AE493" s="10"/>
      <c r="AF493" s="10"/>
      <c r="AG493" s="10"/>
      <c r="AH493" s="10"/>
      <c r="AI493" s="10"/>
      <c r="AJ493" s="10"/>
      <c r="AK493" s="10"/>
      <c r="AL493" s="10"/>
      <c r="AM493" s="10"/>
      <c r="AN493" s="10"/>
    </row>
    <row r="494" spans="2:40" hidden="1" x14ac:dyDescent="0.35">
      <c r="B494" s="15"/>
      <c r="C494" s="127" t="str">
        <f>IFERROR(IF(LEN(INDEX(Database!C$9:C$501,ROW(Calc!A494)-ROW(Calc!$B$7)))=0,"",INDEX(Database!C$9:C$501,ROW(Calc!A494)-ROW(Calc!$B$7))),"")</f>
        <v/>
      </c>
      <c r="D494" s="70" t="str">
        <f>IFERROR(IF(LEN(INDEX(Database!D$9:D$501,ROW(Calc!B494)-ROW(Calc!$B$7)))=0,"",INDEX(Database!D$9:D$501,ROW(Calc!B494)-ROW(Calc!$B$7))),"")</f>
        <v/>
      </c>
      <c r="E494" s="124" t="str">
        <f>IFERROR(IF(LEN(INDEX(Database!G$9:G$501,ROW(Calc!D494)-ROW(Calc!$B$7)))=0,$AD$3,INDEX(Database!G$9:G$501,ROW(Calc!D494)-ROW(Calc!$B$7))),"")</f>
        <v>Not Set</v>
      </c>
      <c r="F494" s="124" t="str">
        <f>IFERROR(IF(LEN(INDEX(Database!F$9:F$501,ROW(Calc!E494)-ROW(Calc!$B$7)))=0,$AD$3,INDEX(Database!F$9:F$501,ROW(Calc!E494)-ROW(Calc!$B$7))),"")</f>
        <v>Not Set</v>
      </c>
      <c r="G494" s="128" t="str">
        <f>IFERROR(IF(LEN(INDEX(Database!H$9:H$501,ROW(Calc!F494)-ROW(Calc!$B$7)))=0,$AD$3,INDEX(Database!H$9:H$501,ROW(Calc!F494)-ROW(Calc!$B$7))),"")</f>
        <v>Not Set</v>
      </c>
      <c r="H494" s="128" t="str">
        <f>IFERROR(IF(LEN(INDEX(Database!I$9:I$501,ROW(Calc!G494)-ROW(Calc!$B$7)))=0,$AD$3,INDEX(Database!I$9:I$501,ROW(Calc!G494)-ROW(Calc!$B$7))),"")</f>
        <v>Not Set</v>
      </c>
      <c r="I494" s="128" t="str">
        <f>IFERROR(IF(LEN(INDEX(Database!J$9:J$501,ROW(Calc!H494)-ROW(Calc!$B$7)))=0,$AD$3,INDEX(Database!J$9:J$501,ROW(Calc!H494)-ROW(Calc!$B$7))),"")</f>
        <v>Not Set</v>
      </c>
      <c r="J494" s="128" t="str">
        <f t="shared" si="68"/>
        <v>Not Set</v>
      </c>
      <c r="K494" s="124" t="str">
        <f>IFERROR(IF(LEN(INDEX(Database!E$9:E$501,ROW(Calc!I494)-ROW(Calc!$B$7)))=0,"",INDEX(Database!E$9:E$501,ROW(Calc!I494)-ROW(Calc!$B$7))),"")</f>
        <v/>
      </c>
      <c r="L494" s="129" t="str">
        <f>IFERROR(IF(LEN(INDEX(Database!K$9:K$501,ROW(Calc!K494)-ROW(Calc!$B$7)))=0,$AD$3,INDEX(Database!K$9:K$501,ROW(Calc!K494)-ROW(Calc!$B$7))),"")</f>
        <v>Not Set</v>
      </c>
      <c r="M494" s="130" t="str">
        <f>IFERROR(IF(LEN(INDEX(Database!L$9:L$501,ROW(Calc!L494)-ROW(Calc!$B$7)))=0,$AD$3,INDEX(Database!L$9:L$501,ROW(Calc!L494)-ROW(Calc!$B$7))),"")</f>
        <v>Not Set</v>
      </c>
      <c r="N494" s="131" t="str">
        <f>IFERROR(IF(LEN(INDEX(Database!M$9:M$501,ROW(Calc!M494)-ROW(Calc!$B$7)))=0,"",INDEX(Database!M$9:M$501,ROW(Calc!M494)-ROW(Calc!$B$7))),"")</f>
        <v/>
      </c>
      <c r="O494" s="132" t="str">
        <f t="shared" si="72"/>
        <v/>
      </c>
      <c r="P494" s="125" t="str">
        <f t="shared" si="69"/>
        <v>Not Set</v>
      </c>
      <c r="Q494" s="125" t="str">
        <f t="shared" si="70"/>
        <v>Not Set</v>
      </c>
      <c r="R494" s="125" t="str">
        <f>IFERROR(IF(G494=$AD$3,$AD$3,INDEX(Kanban_Helper!$C$317:$C$328,MATCH(MONTH(G494),Kanban_Helper!$B$317:$B$328,0))&amp;" - "&amp;YEAR(G494)),"$AD$3")</f>
        <v>Not Set</v>
      </c>
      <c r="S494" s="125" t="str">
        <f>IFERROR(IF(I494=$AD$3,$AD$3,INDEX(Kanban_Helper!$C$317:$C$328,MATCH(MONTH(I494),Kanban_Helper!$B$317:$B$328,0))&amp;" - "&amp;YEAR(I494)),$AD$3)</f>
        <v>Not Set</v>
      </c>
      <c r="T494" s="125" t="str">
        <f t="shared" ca="1" si="73"/>
        <v/>
      </c>
      <c r="U494" s="125" t="str">
        <f t="shared" ca="1" si="74"/>
        <v/>
      </c>
      <c r="V494" s="125" t="str">
        <f t="shared" si="71"/>
        <v>Not Set</v>
      </c>
      <c r="W494" s="126" t="str">
        <f t="shared" si="75"/>
        <v/>
      </c>
      <c r="X494" s="126" t="str">
        <f t="shared" si="76"/>
        <v/>
      </c>
      <c r="Y494" s="125" t="str">
        <f>IFERROR(IF(LEN(D494)=0,"",IF(SUBTOTAL(3,E494:E494)=0,MIN($Y$7:Y493)-1,SUBTOTAL(3,$E$8:E494))),"")</f>
        <v/>
      </c>
      <c r="Z494" s="17"/>
      <c r="AA494" s="10"/>
      <c r="AB494" s="10"/>
      <c r="AC494" s="10"/>
      <c r="AD494" s="10"/>
      <c r="AE494" s="10"/>
      <c r="AF494" s="10"/>
      <c r="AG494" s="10"/>
      <c r="AH494" s="10"/>
      <c r="AI494" s="10"/>
      <c r="AJ494" s="10"/>
      <c r="AK494" s="10"/>
      <c r="AL494" s="10"/>
      <c r="AM494" s="10"/>
      <c r="AN494" s="10"/>
    </row>
    <row r="495" spans="2:40" hidden="1" x14ac:dyDescent="0.35">
      <c r="B495" s="15"/>
      <c r="C495" s="127" t="str">
        <f>IFERROR(IF(LEN(INDEX(Database!C$9:C$501,ROW(Calc!A495)-ROW(Calc!$B$7)))=0,"",INDEX(Database!C$9:C$501,ROW(Calc!A495)-ROW(Calc!$B$7))),"")</f>
        <v/>
      </c>
      <c r="D495" s="70" t="str">
        <f>IFERROR(IF(LEN(INDEX(Database!D$9:D$501,ROW(Calc!B495)-ROW(Calc!$B$7)))=0,"",INDEX(Database!D$9:D$501,ROW(Calc!B495)-ROW(Calc!$B$7))),"")</f>
        <v/>
      </c>
      <c r="E495" s="124" t="str">
        <f>IFERROR(IF(LEN(INDEX(Database!G$9:G$501,ROW(Calc!D495)-ROW(Calc!$B$7)))=0,$AD$3,INDEX(Database!G$9:G$501,ROW(Calc!D495)-ROW(Calc!$B$7))),"")</f>
        <v>Not Set</v>
      </c>
      <c r="F495" s="124" t="str">
        <f>IFERROR(IF(LEN(INDEX(Database!F$9:F$501,ROW(Calc!E495)-ROW(Calc!$B$7)))=0,$AD$3,INDEX(Database!F$9:F$501,ROW(Calc!E495)-ROW(Calc!$B$7))),"")</f>
        <v>Not Set</v>
      </c>
      <c r="G495" s="128" t="str">
        <f>IFERROR(IF(LEN(INDEX(Database!H$9:H$501,ROW(Calc!F495)-ROW(Calc!$B$7)))=0,$AD$3,INDEX(Database!H$9:H$501,ROW(Calc!F495)-ROW(Calc!$B$7))),"")</f>
        <v>Not Set</v>
      </c>
      <c r="H495" s="128" t="str">
        <f>IFERROR(IF(LEN(INDEX(Database!I$9:I$501,ROW(Calc!G495)-ROW(Calc!$B$7)))=0,$AD$3,INDEX(Database!I$9:I$501,ROW(Calc!G495)-ROW(Calc!$B$7))),"")</f>
        <v>Not Set</v>
      </c>
      <c r="I495" s="128" t="str">
        <f>IFERROR(IF(LEN(INDEX(Database!J$9:J$501,ROW(Calc!H495)-ROW(Calc!$B$7)))=0,$AD$3,INDEX(Database!J$9:J$501,ROW(Calc!H495)-ROW(Calc!$B$7))),"")</f>
        <v>Not Set</v>
      </c>
      <c r="J495" s="128" t="str">
        <f t="shared" si="68"/>
        <v>Not Set</v>
      </c>
      <c r="K495" s="124" t="str">
        <f>IFERROR(IF(LEN(INDEX(Database!E$9:E$501,ROW(Calc!I495)-ROW(Calc!$B$7)))=0,"",INDEX(Database!E$9:E$501,ROW(Calc!I495)-ROW(Calc!$B$7))),"")</f>
        <v/>
      </c>
      <c r="L495" s="129" t="str">
        <f>IFERROR(IF(LEN(INDEX(Database!K$9:K$501,ROW(Calc!K495)-ROW(Calc!$B$7)))=0,$AD$3,INDEX(Database!K$9:K$501,ROW(Calc!K495)-ROW(Calc!$B$7))),"")</f>
        <v>Not Set</v>
      </c>
      <c r="M495" s="130" t="str">
        <f>IFERROR(IF(LEN(INDEX(Database!L$9:L$501,ROW(Calc!L495)-ROW(Calc!$B$7)))=0,$AD$3,INDEX(Database!L$9:L$501,ROW(Calc!L495)-ROW(Calc!$B$7))),"")</f>
        <v>Not Set</v>
      </c>
      <c r="N495" s="131" t="str">
        <f>IFERROR(IF(LEN(INDEX(Database!M$9:M$501,ROW(Calc!M495)-ROW(Calc!$B$7)))=0,"",INDEX(Database!M$9:M$501,ROW(Calc!M495)-ROW(Calc!$B$7))),"")</f>
        <v/>
      </c>
      <c r="O495" s="132" t="str">
        <f t="shared" si="72"/>
        <v/>
      </c>
      <c r="P495" s="125" t="str">
        <f t="shared" si="69"/>
        <v>Not Set</v>
      </c>
      <c r="Q495" s="125" t="str">
        <f t="shared" si="70"/>
        <v>Not Set</v>
      </c>
      <c r="R495" s="125" t="str">
        <f>IFERROR(IF(G495=$AD$3,$AD$3,INDEX(Kanban_Helper!$C$317:$C$328,MATCH(MONTH(G495),Kanban_Helper!$B$317:$B$328,0))&amp;" - "&amp;YEAR(G495)),"$AD$3")</f>
        <v>Not Set</v>
      </c>
      <c r="S495" s="125" t="str">
        <f>IFERROR(IF(I495=$AD$3,$AD$3,INDEX(Kanban_Helper!$C$317:$C$328,MATCH(MONTH(I495),Kanban_Helper!$B$317:$B$328,0))&amp;" - "&amp;YEAR(I495)),$AD$3)</f>
        <v>Not Set</v>
      </c>
      <c r="T495" s="125" t="str">
        <f t="shared" ca="1" si="73"/>
        <v/>
      </c>
      <c r="U495" s="125" t="str">
        <f t="shared" ca="1" si="74"/>
        <v/>
      </c>
      <c r="V495" s="125" t="str">
        <f t="shared" si="71"/>
        <v>Not Set</v>
      </c>
      <c r="W495" s="126" t="str">
        <f t="shared" si="75"/>
        <v/>
      </c>
      <c r="X495" s="126" t="str">
        <f t="shared" si="76"/>
        <v/>
      </c>
      <c r="Y495" s="125" t="str">
        <f>IFERROR(IF(LEN(D495)=0,"",IF(SUBTOTAL(3,E495:E495)=0,MIN($Y$7:Y494)-1,SUBTOTAL(3,$E$8:E495))),"")</f>
        <v/>
      </c>
      <c r="Z495" s="17"/>
      <c r="AA495" s="10"/>
      <c r="AB495" s="10"/>
      <c r="AC495" s="10"/>
      <c r="AD495" s="10"/>
      <c r="AE495" s="10"/>
      <c r="AF495" s="10"/>
      <c r="AG495" s="10"/>
      <c r="AH495" s="10"/>
      <c r="AI495" s="10"/>
      <c r="AJ495" s="10"/>
      <c r="AK495" s="10"/>
      <c r="AL495" s="10"/>
      <c r="AM495" s="10"/>
      <c r="AN495" s="10"/>
    </row>
    <row r="496" spans="2:40" hidden="1" x14ac:dyDescent="0.35">
      <c r="B496" s="15"/>
      <c r="C496" s="127" t="str">
        <f>IFERROR(IF(LEN(INDEX(Database!C$9:C$501,ROW(Calc!A496)-ROW(Calc!$B$7)))=0,"",INDEX(Database!C$9:C$501,ROW(Calc!A496)-ROW(Calc!$B$7))),"")</f>
        <v/>
      </c>
      <c r="D496" s="70" t="str">
        <f>IFERROR(IF(LEN(INDEX(Database!D$9:D$501,ROW(Calc!B496)-ROW(Calc!$B$7)))=0,"",INDEX(Database!D$9:D$501,ROW(Calc!B496)-ROW(Calc!$B$7))),"")</f>
        <v/>
      </c>
      <c r="E496" s="124" t="str">
        <f>IFERROR(IF(LEN(INDEX(Database!G$9:G$501,ROW(Calc!D496)-ROW(Calc!$B$7)))=0,$AD$3,INDEX(Database!G$9:G$501,ROW(Calc!D496)-ROW(Calc!$B$7))),"")</f>
        <v>Not Set</v>
      </c>
      <c r="F496" s="124" t="str">
        <f>IFERROR(IF(LEN(INDEX(Database!F$9:F$501,ROW(Calc!E496)-ROW(Calc!$B$7)))=0,$AD$3,INDEX(Database!F$9:F$501,ROW(Calc!E496)-ROW(Calc!$B$7))),"")</f>
        <v>Not Set</v>
      </c>
      <c r="G496" s="128" t="str">
        <f>IFERROR(IF(LEN(INDEX(Database!H$9:H$501,ROW(Calc!F496)-ROW(Calc!$B$7)))=0,$AD$3,INDEX(Database!H$9:H$501,ROW(Calc!F496)-ROW(Calc!$B$7))),"")</f>
        <v>Not Set</v>
      </c>
      <c r="H496" s="128" t="str">
        <f>IFERROR(IF(LEN(INDEX(Database!I$9:I$501,ROW(Calc!G496)-ROW(Calc!$B$7)))=0,$AD$3,INDEX(Database!I$9:I$501,ROW(Calc!G496)-ROW(Calc!$B$7))),"")</f>
        <v>Not Set</v>
      </c>
      <c r="I496" s="128" t="str">
        <f>IFERROR(IF(LEN(INDEX(Database!J$9:J$501,ROW(Calc!H496)-ROW(Calc!$B$7)))=0,$AD$3,INDEX(Database!J$9:J$501,ROW(Calc!H496)-ROW(Calc!$B$7))),"")</f>
        <v>Not Set</v>
      </c>
      <c r="J496" s="128" t="str">
        <f t="shared" si="68"/>
        <v>Not Set</v>
      </c>
      <c r="K496" s="124" t="str">
        <f>IFERROR(IF(LEN(INDEX(Database!E$9:E$501,ROW(Calc!I496)-ROW(Calc!$B$7)))=0,"",INDEX(Database!E$9:E$501,ROW(Calc!I496)-ROW(Calc!$B$7))),"")</f>
        <v/>
      </c>
      <c r="L496" s="129" t="str">
        <f>IFERROR(IF(LEN(INDEX(Database!K$9:K$501,ROW(Calc!K496)-ROW(Calc!$B$7)))=0,$AD$3,INDEX(Database!K$9:K$501,ROW(Calc!K496)-ROW(Calc!$B$7))),"")</f>
        <v>Not Set</v>
      </c>
      <c r="M496" s="130" t="str">
        <f>IFERROR(IF(LEN(INDEX(Database!L$9:L$501,ROW(Calc!L496)-ROW(Calc!$B$7)))=0,$AD$3,INDEX(Database!L$9:L$501,ROW(Calc!L496)-ROW(Calc!$B$7))),"")</f>
        <v>Not Set</v>
      </c>
      <c r="N496" s="131" t="str">
        <f>IFERROR(IF(LEN(INDEX(Database!M$9:M$501,ROW(Calc!M496)-ROW(Calc!$B$7)))=0,"",INDEX(Database!M$9:M$501,ROW(Calc!M496)-ROW(Calc!$B$7))),"")</f>
        <v/>
      </c>
      <c r="O496" s="132" t="str">
        <f t="shared" si="72"/>
        <v/>
      </c>
      <c r="P496" s="125" t="str">
        <f t="shared" si="69"/>
        <v>Not Set</v>
      </c>
      <c r="Q496" s="125" t="str">
        <f t="shared" si="70"/>
        <v>Not Set</v>
      </c>
      <c r="R496" s="125" t="str">
        <f>IFERROR(IF(G496=$AD$3,$AD$3,INDEX(Kanban_Helper!$C$317:$C$328,MATCH(MONTH(G496),Kanban_Helper!$B$317:$B$328,0))&amp;" - "&amp;YEAR(G496)),"$AD$3")</f>
        <v>Not Set</v>
      </c>
      <c r="S496" s="125" t="str">
        <f>IFERROR(IF(I496=$AD$3,$AD$3,INDEX(Kanban_Helper!$C$317:$C$328,MATCH(MONTH(I496),Kanban_Helper!$B$317:$B$328,0))&amp;" - "&amp;YEAR(I496)),$AD$3)</f>
        <v>Not Set</v>
      </c>
      <c r="T496" s="125" t="str">
        <f t="shared" ca="1" si="73"/>
        <v/>
      </c>
      <c r="U496" s="125" t="str">
        <f t="shared" ca="1" si="74"/>
        <v/>
      </c>
      <c r="V496" s="125" t="str">
        <f t="shared" si="71"/>
        <v>Not Set</v>
      </c>
      <c r="W496" s="126" t="str">
        <f t="shared" si="75"/>
        <v/>
      </c>
      <c r="X496" s="126" t="str">
        <f t="shared" si="76"/>
        <v/>
      </c>
      <c r="Y496" s="125" t="str">
        <f>IFERROR(IF(LEN(D496)=0,"",IF(SUBTOTAL(3,E496:E496)=0,MIN($Y$7:Y495)-1,SUBTOTAL(3,$E$8:E496))),"")</f>
        <v/>
      </c>
      <c r="Z496" s="17"/>
      <c r="AA496" s="10"/>
      <c r="AB496" s="10"/>
      <c r="AC496" s="10"/>
      <c r="AD496" s="10"/>
      <c r="AE496" s="10"/>
      <c r="AF496" s="10"/>
      <c r="AG496" s="10"/>
      <c r="AH496" s="10"/>
      <c r="AI496" s="10"/>
      <c r="AJ496" s="10"/>
      <c r="AK496" s="10"/>
      <c r="AL496" s="10"/>
      <c r="AM496" s="10"/>
      <c r="AN496" s="10"/>
    </row>
    <row r="497" spans="2:40" hidden="1" x14ac:dyDescent="0.35">
      <c r="B497" s="15"/>
      <c r="C497" s="127" t="str">
        <f>IFERROR(IF(LEN(INDEX(Database!C$9:C$501,ROW(Calc!A497)-ROW(Calc!$B$7)))=0,"",INDEX(Database!C$9:C$501,ROW(Calc!A497)-ROW(Calc!$B$7))),"")</f>
        <v/>
      </c>
      <c r="D497" s="70" t="str">
        <f>IFERROR(IF(LEN(INDEX(Database!D$9:D$501,ROW(Calc!B497)-ROW(Calc!$B$7)))=0,"",INDEX(Database!D$9:D$501,ROW(Calc!B497)-ROW(Calc!$B$7))),"")</f>
        <v/>
      </c>
      <c r="E497" s="124" t="str">
        <f>IFERROR(IF(LEN(INDEX(Database!G$9:G$501,ROW(Calc!D497)-ROW(Calc!$B$7)))=0,$AD$3,INDEX(Database!G$9:G$501,ROW(Calc!D497)-ROW(Calc!$B$7))),"")</f>
        <v>Not Set</v>
      </c>
      <c r="F497" s="124" t="str">
        <f>IFERROR(IF(LEN(INDEX(Database!F$9:F$501,ROW(Calc!E497)-ROW(Calc!$B$7)))=0,$AD$3,INDEX(Database!F$9:F$501,ROW(Calc!E497)-ROW(Calc!$B$7))),"")</f>
        <v>Not Set</v>
      </c>
      <c r="G497" s="128" t="str">
        <f>IFERROR(IF(LEN(INDEX(Database!H$9:H$501,ROW(Calc!F497)-ROW(Calc!$B$7)))=0,$AD$3,INDEX(Database!H$9:H$501,ROW(Calc!F497)-ROW(Calc!$B$7))),"")</f>
        <v>Not Set</v>
      </c>
      <c r="H497" s="128" t="str">
        <f>IFERROR(IF(LEN(INDEX(Database!I$9:I$501,ROW(Calc!G497)-ROW(Calc!$B$7)))=0,$AD$3,INDEX(Database!I$9:I$501,ROW(Calc!G497)-ROW(Calc!$B$7))),"")</f>
        <v>Not Set</v>
      </c>
      <c r="I497" s="128" t="str">
        <f>IFERROR(IF(LEN(INDEX(Database!J$9:J$501,ROW(Calc!H497)-ROW(Calc!$B$7)))=0,$AD$3,INDEX(Database!J$9:J$501,ROW(Calc!H497)-ROW(Calc!$B$7))),"")</f>
        <v>Not Set</v>
      </c>
      <c r="J497" s="128" t="str">
        <f t="shared" si="68"/>
        <v>Not Set</v>
      </c>
      <c r="K497" s="124" t="str">
        <f>IFERROR(IF(LEN(INDEX(Database!E$9:E$501,ROW(Calc!I497)-ROW(Calc!$B$7)))=0,"",INDEX(Database!E$9:E$501,ROW(Calc!I497)-ROW(Calc!$B$7))),"")</f>
        <v/>
      </c>
      <c r="L497" s="129" t="str">
        <f>IFERROR(IF(LEN(INDEX(Database!K$9:K$501,ROW(Calc!K497)-ROW(Calc!$B$7)))=0,$AD$3,INDEX(Database!K$9:K$501,ROW(Calc!K497)-ROW(Calc!$B$7))),"")</f>
        <v>Not Set</v>
      </c>
      <c r="M497" s="130" t="str">
        <f>IFERROR(IF(LEN(INDEX(Database!L$9:L$501,ROW(Calc!L497)-ROW(Calc!$B$7)))=0,$AD$3,INDEX(Database!L$9:L$501,ROW(Calc!L497)-ROW(Calc!$B$7))),"")</f>
        <v>Not Set</v>
      </c>
      <c r="N497" s="131" t="str">
        <f>IFERROR(IF(LEN(INDEX(Database!M$9:M$501,ROW(Calc!M497)-ROW(Calc!$B$7)))=0,"",INDEX(Database!M$9:M$501,ROW(Calc!M497)-ROW(Calc!$B$7))),"")</f>
        <v/>
      </c>
      <c r="O497" s="132" t="str">
        <f t="shared" si="72"/>
        <v/>
      </c>
      <c r="P497" s="125" t="str">
        <f t="shared" si="69"/>
        <v>Not Set</v>
      </c>
      <c r="Q497" s="125" t="str">
        <f t="shared" si="70"/>
        <v>Not Set</v>
      </c>
      <c r="R497" s="125" t="str">
        <f>IFERROR(IF(G497=$AD$3,$AD$3,INDEX(Kanban_Helper!$C$317:$C$328,MATCH(MONTH(G497),Kanban_Helper!$B$317:$B$328,0))&amp;" - "&amp;YEAR(G497)),"$AD$3")</f>
        <v>Not Set</v>
      </c>
      <c r="S497" s="125" t="str">
        <f>IFERROR(IF(I497=$AD$3,$AD$3,INDEX(Kanban_Helper!$C$317:$C$328,MATCH(MONTH(I497),Kanban_Helper!$B$317:$B$328,0))&amp;" - "&amp;YEAR(I497)),$AD$3)</f>
        <v>Not Set</v>
      </c>
      <c r="T497" s="125" t="str">
        <f t="shared" ca="1" si="73"/>
        <v/>
      </c>
      <c r="U497" s="125" t="str">
        <f t="shared" ca="1" si="74"/>
        <v/>
      </c>
      <c r="V497" s="125" t="str">
        <f t="shared" si="71"/>
        <v>Not Set</v>
      </c>
      <c r="W497" s="126" t="str">
        <f t="shared" si="75"/>
        <v/>
      </c>
      <c r="X497" s="126" t="str">
        <f t="shared" si="76"/>
        <v/>
      </c>
      <c r="Y497" s="125" t="str">
        <f>IFERROR(IF(LEN(D497)=0,"",IF(SUBTOTAL(3,E497:E497)=0,MIN($Y$7:Y496)-1,SUBTOTAL(3,$E$8:E497))),"")</f>
        <v/>
      </c>
      <c r="Z497" s="17"/>
      <c r="AA497" s="10"/>
      <c r="AB497" s="10"/>
      <c r="AC497" s="10"/>
      <c r="AD497" s="10"/>
      <c r="AE497" s="10"/>
      <c r="AF497" s="10"/>
      <c r="AG497" s="10"/>
      <c r="AH497" s="10"/>
      <c r="AI497" s="10"/>
      <c r="AJ497" s="10"/>
      <c r="AK497" s="10"/>
      <c r="AL497" s="10"/>
      <c r="AM497" s="10"/>
      <c r="AN497" s="10"/>
    </row>
    <row r="498" spans="2:40" hidden="1" x14ac:dyDescent="0.35">
      <c r="B498" s="15"/>
      <c r="C498" s="127" t="str">
        <f>IFERROR(IF(LEN(INDEX(Database!C$9:C$501,ROW(Calc!A498)-ROW(Calc!$B$7)))=0,"",INDEX(Database!C$9:C$501,ROW(Calc!A498)-ROW(Calc!$B$7))),"")</f>
        <v/>
      </c>
      <c r="D498" s="70" t="str">
        <f>IFERROR(IF(LEN(INDEX(Database!D$9:D$501,ROW(Calc!B498)-ROW(Calc!$B$7)))=0,"",INDEX(Database!D$9:D$501,ROW(Calc!B498)-ROW(Calc!$B$7))),"")</f>
        <v/>
      </c>
      <c r="E498" s="124" t="str">
        <f>IFERROR(IF(LEN(INDEX(Database!G$9:G$501,ROW(Calc!D498)-ROW(Calc!$B$7)))=0,$AD$3,INDEX(Database!G$9:G$501,ROW(Calc!D498)-ROW(Calc!$B$7))),"")</f>
        <v>Not Set</v>
      </c>
      <c r="F498" s="124" t="str">
        <f>IFERROR(IF(LEN(INDEX(Database!F$9:F$501,ROW(Calc!E498)-ROW(Calc!$B$7)))=0,$AD$3,INDEX(Database!F$9:F$501,ROW(Calc!E498)-ROW(Calc!$B$7))),"")</f>
        <v>Not Set</v>
      </c>
      <c r="G498" s="128" t="str">
        <f>IFERROR(IF(LEN(INDEX(Database!H$9:H$501,ROW(Calc!F498)-ROW(Calc!$B$7)))=0,$AD$3,INDEX(Database!H$9:H$501,ROW(Calc!F498)-ROW(Calc!$B$7))),"")</f>
        <v>Not Set</v>
      </c>
      <c r="H498" s="128" t="str">
        <f>IFERROR(IF(LEN(INDEX(Database!I$9:I$501,ROW(Calc!G498)-ROW(Calc!$B$7)))=0,$AD$3,INDEX(Database!I$9:I$501,ROW(Calc!G498)-ROW(Calc!$B$7))),"")</f>
        <v>Not Set</v>
      </c>
      <c r="I498" s="128" t="str">
        <f>IFERROR(IF(LEN(INDEX(Database!J$9:J$501,ROW(Calc!H498)-ROW(Calc!$B$7)))=0,$AD$3,INDEX(Database!J$9:J$501,ROW(Calc!H498)-ROW(Calc!$B$7))),"")</f>
        <v>Not Set</v>
      </c>
      <c r="J498" s="128" t="str">
        <f t="shared" si="68"/>
        <v>Not Set</v>
      </c>
      <c r="K498" s="124" t="str">
        <f>IFERROR(IF(LEN(INDEX(Database!E$9:E$501,ROW(Calc!I498)-ROW(Calc!$B$7)))=0,"",INDEX(Database!E$9:E$501,ROW(Calc!I498)-ROW(Calc!$B$7))),"")</f>
        <v/>
      </c>
      <c r="L498" s="129" t="str">
        <f>IFERROR(IF(LEN(INDEX(Database!K$9:K$501,ROW(Calc!K498)-ROW(Calc!$B$7)))=0,$AD$3,INDEX(Database!K$9:K$501,ROW(Calc!K498)-ROW(Calc!$B$7))),"")</f>
        <v>Not Set</v>
      </c>
      <c r="M498" s="130" t="str">
        <f>IFERROR(IF(LEN(INDEX(Database!L$9:L$501,ROW(Calc!L498)-ROW(Calc!$B$7)))=0,$AD$3,INDEX(Database!L$9:L$501,ROW(Calc!L498)-ROW(Calc!$B$7))),"")</f>
        <v>Not Set</v>
      </c>
      <c r="N498" s="131" t="str">
        <f>IFERROR(IF(LEN(INDEX(Database!M$9:M$501,ROW(Calc!M498)-ROW(Calc!$B$7)))=0,"",INDEX(Database!M$9:M$501,ROW(Calc!M498)-ROW(Calc!$B$7))),"")</f>
        <v/>
      </c>
      <c r="O498" s="132" t="str">
        <f t="shared" si="72"/>
        <v/>
      </c>
      <c r="P498" s="125" t="str">
        <f t="shared" si="69"/>
        <v>Not Set</v>
      </c>
      <c r="Q498" s="125" t="str">
        <f t="shared" si="70"/>
        <v>Not Set</v>
      </c>
      <c r="R498" s="125" t="str">
        <f>IFERROR(IF(G498=$AD$3,$AD$3,INDEX(Kanban_Helper!$C$317:$C$328,MATCH(MONTH(G498),Kanban_Helper!$B$317:$B$328,0))&amp;" - "&amp;YEAR(G498)),"$AD$3")</f>
        <v>Not Set</v>
      </c>
      <c r="S498" s="125" t="str">
        <f>IFERROR(IF(I498=$AD$3,$AD$3,INDEX(Kanban_Helper!$C$317:$C$328,MATCH(MONTH(I498),Kanban_Helper!$B$317:$B$328,0))&amp;" - "&amp;YEAR(I498)),$AD$3)</f>
        <v>Not Set</v>
      </c>
      <c r="T498" s="125" t="str">
        <f t="shared" ca="1" si="73"/>
        <v/>
      </c>
      <c r="U498" s="125" t="str">
        <f t="shared" ca="1" si="74"/>
        <v/>
      </c>
      <c r="V498" s="125" t="str">
        <f t="shared" si="71"/>
        <v>Not Set</v>
      </c>
      <c r="W498" s="126" t="str">
        <f t="shared" si="75"/>
        <v/>
      </c>
      <c r="X498" s="126" t="str">
        <f t="shared" si="76"/>
        <v/>
      </c>
      <c r="Y498" s="125" t="str">
        <f>IFERROR(IF(LEN(D498)=0,"",IF(SUBTOTAL(3,E498:E498)=0,MIN($Y$7:Y497)-1,SUBTOTAL(3,$E$8:E498))),"")</f>
        <v/>
      </c>
      <c r="Z498" s="17"/>
      <c r="AA498" s="10"/>
      <c r="AB498" s="10"/>
      <c r="AC498" s="10"/>
      <c r="AD498" s="10"/>
      <c r="AE498" s="10"/>
      <c r="AF498" s="10"/>
      <c r="AG498" s="10"/>
      <c r="AH498" s="10"/>
      <c r="AI498" s="10"/>
      <c r="AJ498" s="10"/>
      <c r="AK498" s="10"/>
      <c r="AL498" s="10"/>
      <c r="AM498" s="10"/>
      <c r="AN498" s="10"/>
    </row>
    <row r="499" spans="2:40" hidden="1" x14ac:dyDescent="0.35">
      <c r="B499" s="15"/>
      <c r="C499" s="127" t="str">
        <f>IFERROR(IF(LEN(INDEX(Database!C$9:C$501,ROW(Calc!A499)-ROW(Calc!$B$7)))=0,"",INDEX(Database!C$9:C$501,ROW(Calc!A499)-ROW(Calc!$B$7))),"")</f>
        <v/>
      </c>
      <c r="D499" s="70" t="str">
        <f>IFERROR(IF(LEN(INDEX(Database!D$9:D$501,ROW(Calc!B499)-ROW(Calc!$B$7)))=0,"",INDEX(Database!D$9:D$501,ROW(Calc!B499)-ROW(Calc!$B$7))),"")</f>
        <v/>
      </c>
      <c r="E499" s="124" t="str">
        <f>IFERROR(IF(LEN(INDEX(Database!G$9:G$501,ROW(Calc!D499)-ROW(Calc!$B$7)))=0,$AD$3,INDEX(Database!G$9:G$501,ROW(Calc!D499)-ROW(Calc!$B$7))),"")</f>
        <v>Not Set</v>
      </c>
      <c r="F499" s="124" t="str">
        <f>IFERROR(IF(LEN(INDEX(Database!F$9:F$501,ROW(Calc!E499)-ROW(Calc!$B$7)))=0,$AD$3,INDEX(Database!F$9:F$501,ROW(Calc!E499)-ROW(Calc!$B$7))),"")</f>
        <v>Not Set</v>
      </c>
      <c r="G499" s="128" t="str">
        <f>IFERROR(IF(LEN(INDEX(Database!H$9:H$501,ROW(Calc!F499)-ROW(Calc!$B$7)))=0,$AD$3,INDEX(Database!H$9:H$501,ROW(Calc!F499)-ROW(Calc!$B$7))),"")</f>
        <v>Not Set</v>
      </c>
      <c r="H499" s="128" t="str">
        <f>IFERROR(IF(LEN(INDEX(Database!I$9:I$501,ROW(Calc!G499)-ROW(Calc!$B$7)))=0,$AD$3,INDEX(Database!I$9:I$501,ROW(Calc!G499)-ROW(Calc!$B$7))),"")</f>
        <v>Not Set</v>
      </c>
      <c r="I499" s="128" t="str">
        <f>IFERROR(IF(LEN(INDEX(Database!J$9:J$501,ROW(Calc!H499)-ROW(Calc!$B$7)))=0,$AD$3,INDEX(Database!J$9:J$501,ROW(Calc!H499)-ROW(Calc!$B$7))),"")</f>
        <v>Not Set</v>
      </c>
      <c r="J499" s="128" t="str">
        <f t="shared" si="68"/>
        <v>Not Set</v>
      </c>
      <c r="K499" s="124" t="str">
        <f>IFERROR(IF(LEN(INDEX(Database!E$9:E$501,ROW(Calc!I499)-ROW(Calc!$B$7)))=0,"",INDEX(Database!E$9:E$501,ROW(Calc!I499)-ROW(Calc!$B$7))),"")</f>
        <v/>
      </c>
      <c r="L499" s="129" t="str">
        <f>IFERROR(IF(LEN(INDEX(Database!K$9:K$501,ROW(Calc!K499)-ROW(Calc!$B$7)))=0,$AD$3,INDEX(Database!K$9:K$501,ROW(Calc!K499)-ROW(Calc!$B$7))),"")</f>
        <v>Not Set</v>
      </c>
      <c r="M499" s="130" t="str">
        <f>IFERROR(IF(LEN(INDEX(Database!L$9:L$501,ROW(Calc!L499)-ROW(Calc!$B$7)))=0,$AD$3,INDEX(Database!L$9:L$501,ROW(Calc!L499)-ROW(Calc!$B$7))),"")</f>
        <v>Not Set</v>
      </c>
      <c r="N499" s="131" t="str">
        <f>IFERROR(IF(LEN(INDEX(Database!M$9:M$501,ROW(Calc!M499)-ROW(Calc!$B$7)))=0,"",INDEX(Database!M$9:M$501,ROW(Calc!M499)-ROW(Calc!$B$7))),"")</f>
        <v/>
      </c>
      <c r="O499" s="132" t="str">
        <f t="shared" si="72"/>
        <v/>
      </c>
      <c r="P499" s="125" t="str">
        <f t="shared" si="69"/>
        <v>Not Set</v>
      </c>
      <c r="Q499" s="125" t="str">
        <f t="shared" si="70"/>
        <v>Not Set</v>
      </c>
      <c r="R499" s="125" t="str">
        <f>IFERROR(IF(G499=$AD$3,$AD$3,INDEX(Kanban_Helper!$C$317:$C$328,MATCH(MONTH(G499),Kanban_Helper!$B$317:$B$328,0))&amp;" - "&amp;YEAR(G499)),"$AD$3")</f>
        <v>Not Set</v>
      </c>
      <c r="S499" s="125" t="str">
        <f>IFERROR(IF(I499=$AD$3,$AD$3,INDEX(Kanban_Helper!$C$317:$C$328,MATCH(MONTH(I499),Kanban_Helper!$B$317:$B$328,0))&amp;" - "&amp;YEAR(I499)),$AD$3)</f>
        <v>Not Set</v>
      </c>
      <c r="T499" s="125" t="str">
        <f t="shared" ca="1" si="73"/>
        <v/>
      </c>
      <c r="U499" s="125" t="str">
        <f t="shared" ca="1" si="74"/>
        <v/>
      </c>
      <c r="V499" s="125" t="str">
        <f t="shared" si="71"/>
        <v>Not Set</v>
      </c>
      <c r="W499" s="126" t="str">
        <f t="shared" si="75"/>
        <v/>
      </c>
      <c r="X499" s="126" t="str">
        <f t="shared" si="76"/>
        <v/>
      </c>
      <c r="Y499" s="125" t="str">
        <f>IFERROR(IF(LEN(D499)=0,"",IF(SUBTOTAL(3,E499:E499)=0,MIN($Y$7:Y498)-1,SUBTOTAL(3,$E$8:E499))),"")</f>
        <v/>
      </c>
      <c r="Z499" s="17"/>
      <c r="AA499" s="10"/>
      <c r="AB499" s="10"/>
      <c r="AC499" s="10"/>
      <c r="AD499" s="10"/>
      <c r="AE499" s="10"/>
      <c r="AF499" s="10"/>
      <c r="AG499" s="10"/>
      <c r="AH499" s="10"/>
      <c r="AI499" s="10"/>
      <c r="AJ499" s="10"/>
      <c r="AK499" s="10"/>
      <c r="AL499" s="10"/>
      <c r="AM499" s="10"/>
      <c r="AN499" s="10"/>
    </row>
    <row r="500" spans="2:40" hidden="1" x14ac:dyDescent="0.35">
      <c r="B500" s="15"/>
      <c r="C500" s="127" t="str">
        <f>IFERROR(IF(LEN(INDEX(Database!C$9:C$501,ROW(Calc!A500)-ROW(Calc!$B$7)))=0,"",INDEX(Database!C$9:C$501,ROW(Calc!A500)-ROW(Calc!$B$7))),"")</f>
        <v/>
      </c>
      <c r="D500" s="70" t="str">
        <f>IFERROR(IF(LEN(INDEX(Database!D$9:D$501,ROW(Calc!B500)-ROW(Calc!$B$7)))=0,"",INDEX(Database!D$9:D$501,ROW(Calc!B500)-ROW(Calc!$B$7))),"")</f>
        <v/>
      </c>
      <c r="E500" s="124" t="str">
        <f>IFERROR(IF(LEN(INDEX(Database!G$9:G$501,ROW(Calc!D500)-ROW(Calc!$B$7)))=0,$AD$3,INDEX(Database!G$9:G$501,ROW(Calc!D500)-ROW(Calc!$B$7))),"")</f>
        <v>Not Set</v>
      </c>
      <c r="F500" s="124" t="str">
        <f>IFERROR(IF(LEN(INDEX(Database!F$9:F$501,ROW(Calc!E500)-ROW(Calc!$B$7)))=0,$AD$3,INDEX(Database!F$9:F$501,ROW(Calc!E500)-ROW(Calc!$B$7))),"")</f>
        <v>Not Set</v>
      </c>
      <c r="G500" s="128" t="str">
        <f>IFERROR(IF(LEN(INDEX(Database!H$9:H$501,ROW(Calc!F500)-ROW(Calc!$B$7)))=0,$AD$3,INDEX(Database!H$9:H$501,ROW(Calc!F500)-ROW(Calc!$B$7))),"")</f>
        <v>Not Set</v>
      </c>
      <c r="H500" s="128" t="str">
        <f>IFERROR(IF(LEN(INDEX(Database!I$9:I$501,ROW(Calc!G500)-ROW(Calc!$B$7)))=0,$AD$3,INDEX(Database!I$9:I$501,ROW(Calc!G500)-ROW(Calc!$B$7))),"")</f>
        <v>Not Set</v>
      </c>
      <c r="I500" s="128" t="str">
        <f>IFERROR(IF(LEN(INDEX(Database!J$9:J$501,ROW(Calc!H500)-ROW(Calc!$B$7)))=0,$AD$3,INDEX(Database!J$9:J$501,ROW(Calc!H500)-ROW(Calc!$B$7))),"")</f>
        <v>Not Set</v>
      </c>
      <c r="J500" s="128" t="str">
        <f t="shared" si="68"/>
        <v>Not Set</v>
      </c>
      <c r="K500" s="124" t="str">
        <f>IFERROR(IF(LEN(INDEX(Database!E$9:E$501,ROW(Calc!I500)-ROW(Calc!$B$7)))=0,"",INDEX(Database!E$9:E$501,ROW(Calc!I500)-ROW(Calc!$B$7))),"")</f>
        <v/>
      </c>
      <c r="L500" s="129" t="str">
        <f>IFERROR(IF(LEN(INDEX(Database!K$9:K$501,ROW(Calc!K500)-ROW(Calc!$B$7)))=0,$AD$3,INDEX(Database!K$9:K$501,ROW(Calc!K500)-ROW(Calc!$B$7))),"")</f>
        <v>Not Set</v>
      </c>
      <c r="M500" s="130" t="str">
        <f>IFERROR(IF(LEN(INDEX(Database!L$9:L$501,ROW(Calc!L500)-ROW(Calc!$B$7)))=0,$AD$3,INDEX(Database!L$9:L$501,ROW(Calc!L500)-ROW(Calc!$B$7))),"")</f>
        <v>Not Set</v>
      </c>
      <c r="N500" s="131" t="str">
        <f>IFERROR(IF(LEN(INDEX(Database!M$9:M$501,ROW(Calc!M500)-ROW(Calc!$B$7)))=0,"",INDEX(Database!M$9:M$501,ROW(Calc!M500)-ROW(Calc!$B$7))),"")</f>
        <v/>
      </c>
      <c r="O500" s="132" t="str">
        <f t="shared" si="72"/>
        <v/>
      </c>
      <c r="P500" s="125" t="str">
        <f t="shared" si="69"/>
        <v>Not Set</v>
      </c>
      <c r="Q500" s="125" t="str">
        <f t="shared" si="70"/>
        <v>Not Set</v>
      </c>
      <c r="R500" s="125" t="str">
        <f>IFERROR(IF(G500=$AD$3,$AD$3,INDEX(Kanban_Helper!$C$317:$C$328,MATCH(MONTH(G500),Kanban_Helper!$B$317:$B$328,0))&amp;" - "&amp;YEAR(G500)),"$AD$3")</f>
        <v>Not Set</v>
      </c>
      <c r="S500" s="125" t="str">
        <f>IFERROR(IF(I500=$AD$3,$AD$3,INDEX(Kanban_Helper!$C$317:$C$328,MATCH(MONTH(I500),Kanban_Helper!$B$317:$B$328,0))&amp;" - "&amp;YEAR(I500)),$AD$3)</f>
        <v>Not Set</v>
      </c>
      <c r="T500" s="125" t="str">
        <f t="shared" ca="1" si="73"/>
        <v/>
      </c>
      <c r="U500" s="125" t="str">
        <f t="shared" ca="1" si="74"/>
        <v/>
      </c>
      <c r="V500" s="125" t="str">
        <f t="shared" si="71"/>
        <v>Not Set</v>
      </c>
      <c r="W500" s="126" t="str">
        <f t="shared" si="75"/>
        <v/>
      </c>
      <c r="X500" s="126" t="str">
        <f t="shared" si="76"/>
        <v/>
      </c>
      <c r="Y500" s="125" t="str">
        <f>IFERROR(IF(LEN(D500)=0,"",IF(SUBTOTAL(3,E500:E500)=0,MIN($Y$7:Y499)-1,SUBTOTAL(3,$E$8:E500))),"")</f>
        <v/>
      </c>
      <c r="Z500" s="17"/>
      <c r="AA500" s="10"/>
      <c r="AB500" s="10"/>
      <c r="AC500" s="10"/>
      <c r="AD500" s="10"/>
      <c r="AE500" s="10"/>
      <c r="AF500" s="10"/>
      <c r="AG500" s="10"/>
      <c r="AH500" s="10"/>
      <c r="AI500" s="10"/>
      <c r="AJ500" s="10"/>
      <c r="AK500" s="10"/>
      <c r="AL500" s="10"/>
      <c r="AM500" s="10"/>
      <c r="AN500" s="10"/>
    </row>
    <row r="501" spans="2:40" ht="19.5" customHeight="1" x14ac:dyDescent="0.35">
      <c r="B501" s="19"/>
      <c r="C501" s="20"/>
      <c r="D501" s="20"/>
      <c r="E501" s="20"/>
      <c r="F501" s="20"/>
      <c r="G501" s="20"/>
      <c r="H501" s="20"/>
      <c r="I501" s="20"/>
      <c r="J501" s="20"/>
      <c r="K501" s="20"/>
      <c r="L501" s="57"/>
      <c r="M501" s="20"/>
      <c r="N501" s="20"/>
      <c r="O501" s="20"/>
      <c r="P501" s="20"/>
      <c r="Q501" s="20"/>
      <c r="R501" s="20"/>
      <c r="S501" s="20"/>
      <c r="T501" s="20"/>
      <c r="U501" s="20"/>
      <c r="V501" s="20"/>
      <c r="W501" s="20"/>
      <c r="X501" s="20"/>
      <c r="Y501" s="20"/>
      <c r="Z501" s="21"/>
      <c r="AA501" s="10"/>
      <c r="AB501" s="10"/>
      <c r="AC501" s="10"/>
      <c r="AD501" s="10"/>
      <c r="AE501" s="10"/>
      <c r="AF501" s="10"/>
      <c r="AG501" s="10"/>
      <c r="AH501" s="10"/>
      <c r="AI501" s="10"/>
      <c r="AJ501" s="10"/>
      <c r="AK501" s="10"/>
      <c r="AL501" s="10"/>
      <c r="AM501" s="10"/>
      <c r="AN501" s="10"/>
    </row>
    <row r="502" spans="2:40" ht="7.15" customHeight="1" x14ac:dyDescent="0.35">
      <c r="M502" s="18"/>
      <c r="N502" s="18"/>
      <c r="O502" s="18"/>
      <c r="P502" s="18"/>
      <c r="Q502" s="18"/>
      <c r="R502" s="18"/>
      <c r="S502" s="18"/>
      <c r="T502" s="18"/>
      <c r="U502" s="18"/>
    </row>
    <row r="503" spans="2:40" x14ac:dyDescent="0.35">
      <c r="M503" s="18"/>
      <c r="N503" s="18"/>
      <c r="O503" s="18"/>
      <c r="P503" s="18"/>
      <c r="Q503" s="18"/>
      <c r="R503" s="18"/>
      <c r="S503" s="18"/>
      <c r="T503" s="18"/>
      <c r="U503" s="18"/>
    </row>
    <row r="504" spans="2:40" x14ac:dyDescent="0.35">
      <c r="M504" s="18"/>
      <c r="N504" s="18"/>
      <c r="O504" s="18"/>
      <c r="P504" s="18"/>
      <c r="Q504" s="18"/>
      <c r="R504" s="18"/>
      <c r="S504" s="18"/>
      <c r="T504" s="18"/>
      <c r="U504" s="18"/>
    </row>
  </sheetData>
  <phoneticPr fontId="17" type="noConversion"/>
  <printOptions horizontalCentered="1"/>
  <pageMargins left="0.31496062992125984" right="0.31496062992125984" top="0.31496062992125984" bottom="0.31496062992125984" header="0.31496062992125984" footer="0.31496062992125984"/>
  <pageSetup paperSize="9" scale="73" orientation="landscape"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F70A9C-1F2A-4DB8-BCD6-27E68204CAA0}">
  <sheetPr codeName="Sheet3"/>
  <dimension ref="B1:CO479"/>
  <sheetViews>
    <sheetView showGridLines="0" showRowColHeaders="0" zoomScale="85" zoomScaleNormal="85" workbookViewId="0"/>
  </sheetViews>
  <sheetFormatPr defaultRowHeight="14.5" x14ac:dyDescent="0.35"/>
  <cols>
    <col min="2" max="2" width="13.1796875" bestFit="1" customWidth="1"/>
    <col min="3" max="6" width="16" style="133" customWidth="1"/>
    <col min="7" max="7" width="19.54296875" customWidth="1"/>
    <col min="8" max="15" width="19.54296875" hidden="1" customWidth="1"/>
    <col min="16" max="16" width="19.54296875" customWidth="1"/>
    <col min="17" max="17" width="13.26953125" bestFit="1" customWidth="1"/>
    <col min="18" max="18" width="9.1796875" style="133"/>
    <col min="19" max="19" width="13.26953125" style="133" bestFit="1" customWidth="1"/>
    <col min="21" max="34" width="9.1796875" hidden="1" customWidth="1"/>
    <col min="36" max="36" width="13.81640625" bestFit="1" customWidth="1"/>
    <col min="37" max="43" width="16.1796875" style="133" customWidth="1"/>
    <col min="44" max="55" width="16.1796875" style="133" hidden="1" customWidth="1"/>
    <col min="56" max="57" width="9.1796875" style="133" hidden="1" customWidth="1"/>
    <col min="58" max="58" width="9.1796875" hidden="1" customWidth="1"/>
    <col min="60" max="60" width="16.453125" bestFit="1" customWidth="1"/>
    <col min="61" max="61" width="17.81640625" bestFit="1" customWidth="1"/>
    <col min="62" max="63" width="16.26953125" customWidth="1"/>
    <col min="64" max="74" width="16.26953125" hidden="1" customWidth="1"/>
    <col min="75" max="75" width="16.26953125" customWidth="1"/>
    <col min="76" max="78" width="16.26953125" bestFit="1" customWidth="1"/>
    <col min="79" max="90" width="16.26953125" hidden="1" customWidth="1"/>
    <col min="91" max="91" width="11.26953125" customWidth="1"/>
    <col min="92" max="92" width="11.453125" style="136" bestFit="1" customWidth="1"/>
    <col min="93" max="93" width="10.1796875" style="136" bestFit="1" customWidth="1"/>
  </cols>
  <sheetData>
    <row r="1" spans="2:93" x14ac:dyDescent="0.35">
      <c r="C1"/>
      <c r="D1"/>
      <c r="E1"/>
      <c r="F1"/>
      <c r="R1"/>
      <c r="S1"/>
      <c r="AK1"/>
      <c r="AL1"/>
      <c r="AM1"/>
      <c r="AN1"/>
      <c r="AO1"/>
      <c r="AP1"/>
      <c r="AQ1"/>
      <c r="AR1"/>
      <c r="AS1"/>
      <c r="AT1"/>
      <c r="AU1"/>
      <c r="AV1"/>
      <c r="AW1"/>
      <c r="AX1"/>
      <c r="AY1"/>
      <c r="AZ1"/>
      <c r="BA1"/>
      <c r="BB1"/>
      <c r="BC1"/>
      <c r="BD1"/>
      <c r="BE1"/>
      <c r="CN1" s="133"/>
      <c r="CO1" s="133"/>
    </row>
    <row r="2" spans="2:93" x14ac:dyDescent="0.35">
      <c r="C2"/>
      <c r="D2"/>
      <c r="E2"/>
      <c r="F2"/>
      <c r="R2"/>
      <c r="S2"/>
      <c r="AK2"/>
      <c r="AL2"/>
      <c r="AM2"/>
      <c r="AN2"/>
      <c r="AO2"/>
      <c r="AP2"/>
      <c r="AQ2"/>
      <c r="AR2"/>
      <c r="AS2"/>
      <c r="AT2"/>
      <c r="AU2"/>
      <c r="AV2"/>
      <c r="AW2"/>
      <c r="AX2"/>
      <c r="AY2"/>
      <c r="AZ2"/>
      <c r="BA2"/>
      <c r="BB2"/>
      <c r="BC2"/>
      <c r="BD2"/>
      <c r="BE2"/>
      <c r="CN2" s="133"/>
      <c r="CO2" s="133"/>
    </row>
    <row r="3" spans="2:93" x14ac:dyDescent="0.35">
      <c r="C3"/>
      <c r="D3"/>
      <c r="E3"/>
      <c r="F3"/>
      <c r="R3"/>
      <c r="S3"/>
      <c r="AK3"/>
      <c r="AL3"/>
      <c r="AM3"/>
      <c r="AN3"/>
      <c r="AO3"/>
      <c r="AP3"/>
      <c r="AQ3"/>
      <c r="AR3"/>
      <c r="AS3"/>
      <c r="AT3"/>
      <c r="AU3"/>
      <c r="AV3"/>
      <c r="AW3"/>
      <c r="AX3"/>
      <c r="AY3"/>
      <c r="AZ3"/>
      <c r="BA3"/>
      <c r="BB3"/>
      <c r="BC3"/>
      <c r="BD3"/>
      <c r="BE3"/>
      <c r="CN3" s="133"/>
      <c r="CO3" s="133"/>
    </row>
    <row r="4" spans="2:93" x14ac:dyDescent="0.35">
      <c r="B4" s="42" t="s">
        <v>27</v>
      </c>
      <c r="C4" t="s">
        <v>73</v>
      </c>
      <c r="D4"/>
      <c r="E4"/>
      <c r="F4"/>
      <c r="Q4" s="42" t="s">
        <v>33</v>
      </c>
      <c r="R4" s="133" t="s">
        <v>39</v>
      </c>
      <c r="S4" s="133" t="s">
        <v>40</v>
      </c>
      <c r="AJ4" s="42" t="s">
        <v>35</v>
      </c>
      <c r="AK4" s="42" t="s">
        <v>36</v>
      </c>
      <c r="AL4"/>
      <c r="AM4"/>
      <c r="AN4"/>
      <c r="AO4"/>
      <c r="AP4"/>
      <c r="AQ4"/>
      <c r="AR4"/>
      <c r="AS4"/>
      <c r="AT4"/>
      <c r="AU4"/>
      <c r="AV4"/>
      <c r="AW4"/>
      <c r="AX4"/>
      <c r="AY4"/>
      <c r="AZ4"/>
      <c r="BA4"/>
      <c r="BB4"/>
      <c r="BC4"/>
      <c r="BD4"/>
      <c r="BE4"/>
      <c r="BH4" s="42" t="s">
        <v>27</v>
      </c>
      <c r="BI4" t="s">
        <v>73</v>
      </c>
      <c r="BX4" s="42" t="s">
        <v>33</v>
      </c>
      <c r="BY4" s="133" t="s">
        <v>35</v>
      </c>
      <c r="CN4" s="133" t="s">
        <v>42</v>
      </c>
      <c r="CO4" s="133" t="s">
        <v>41</v>
      </c>
    </row>
    <row r="5" spans="2:93" x14ac:dyDescent="0.35">
      <c r="C5"/>
      <c r="D5"/>
      <c r="E5"/>
      <c r="F5"/>
      <c r="Q5" s="43" t="s">
        <v>81</v>
      </c>
      <c r="R5" s="44">
        <v>0</v>
      </c>
      <c r="S5" s="44">
        <v>0</v>
      </c>
      <c r="AJ5" s="42" t="s">
        <v>33</v>
      </c>
      <c r="AK5" s="133" t="s">
        <v>17</v>
      </c>
      <c r="AL5" s="133" t="s">
        <v>34</v>
      </c>
      <c r="AM5"/>
      <c r="AN5"/>
      <c r="AO5"/>
      <c r="AP5"/>
      <c r="AQ5"/>
      <c r="AR5"/>
      <c r="BX5" s="43" t="s">
        <v>8</v>
      </c>
      <c r="BY5" s="134">
        <v>1</v>
      </c>
      <c r="CN5" s="136">
        <v>0</v>
      </c>
      <c r="CO5" s="136">
        <v>0</v>
      </c>
    </row>
    <row r="6" spans="2:93" x14ac:dyDescent="0.35">
      <c r="B6" s="42" t="s">
        <v>35</v>
      </c>
      <c r="C6" s="42" t="s">
        <v>36</v>
      </c>
      <c r="D6"/>
      <c r="E6"/>
      <c r="F6"/>
      <c r="Q6" s="43" t="s">
        <v>34</v>
      </c>
      <c r="R6" s="134">
        <v>0</v>
      </c>
      <c r="S6" s="134">
        <v>0</v>
      </c>
      <c r="AJ6" s="43" t="s">
        <v>73</v>
      </c>
      <c r="AK6" s="134">
        <v>1</v>
      </c>
      <c r="AL6" s="134">
        <v>1</v>
      </c>
      <c r="AM6"/>
      <c r="AN6"/>
      <c r="AO6"/>
      <c r="AP6"/>
      <c r="AQ6"/>
      <c r="AR6"/>
      <c r="BH6" s="42" t="s">
        <v>33</v>
      </c>
      <c r="BI6" s="133" t="s">
        <v>35</v>
      </c>
      <c r="BX6" s="43" t="s">
        <v>34</v>
      </c>
      <c r="BY6" s="134">
        <v>1</v>
      </c>
    </row>
    <row r="7" spans="2:93" x14ac:dyDescent="0.35">
      <c r="B7" s="42" t="s">
        <v>33</v>
      </c>
      <c r="C7" s="133" t="s">
        <v>8</v>
      </c>
      <c r="D7" s="133" t="s">
        <v>34</v>
      </c>
      <c r="E7"/>
      <c r="F7"/>
      <c r="R7"/>
      <c r="S7"/>
      <c r="AJ7" s="43" t="s">
        <v>34</v>
      </c>
      <c r="AK7" s="134">
        <v>1</v>
      </c>
      <c r="AL7" s="134">
        <v>1</v>
      </c>
      <c r="AM7"/>
      <c r="AN7"/>
      <c r="AO7"/>
      <c r="AP7"/>
      <c r="AQ7"/>
      <c r="AR7"/>
      <c r="BH7" s="43" t="s">
        <v>73</v>
      </c>
      <c r="BI7" s="134">
        <v>1</v>
      </c>
    </row>
    <row r="8" spans="2:93" x14ac:dyDescent="0.35">
      <c r="B8" s="43" t="s">
        <v>73</v>
      </c>
      <c r="C8" s="134">
        <v>1</v>
      </c>
      <c r="D8" s="134">
        <v>1</v>
      </c>
      <c r="E8"/>
      <c r="F8"/>
      <c r="R8"/>
      <c r="S8"/>
      <c r="AK8"/>
      <c r="AL8"/>
      <c r="AM8"/>
      <c r="AN8"/>
      <c r="AO8"/>
      <c r="AP8"/>
      <c r="AQ8"/>
      <c r="AR8"/>
      <c r="BH8" s="43" t="s">
        <v>34</v>
      </c>
      <c r="BI8" s="134">
        <v>1</v>
      </c>
    </row>
    <row r="9" spans="2:93" x14ac:dyDescent="0.35">
      <c r="B9" s="43" t="s">
        <v>34</v>
      </c>
      <c r="C9" s="134">
        <v>1</v>
      </c>
      <c r="D9" s="134">
        <v>1</v>
      </c>
      <c r="E9"/>
      <c r="F9"/>
      <c r="R9"/>
      <c r="S9"/>
      <c r="AK9"/>
      <c r="AL9"/>
      <c r="AM9"/>
      <c r="AN9"/>
      <c r="AO9"/>
      <c r="AP9"/>
      <c r="AQ9"/>
      <c r="AR9"/>
    </row>
    <row r="10" spans="2:93" x14ac:dyDescent="0.35">
      <c r="C10"/>
      <c r="D10"/>
      <c r="E10"/>
      <c r="F10"/>
      <c r="R10"/>
      <c r="S10"/>
      <c r="AK10"/>
      <c r="AL10"/>
      <c r="AM10"/>
      <c r="AN10"/>
      <c r="AO10"/>
      <c r="AP10"/>
      <c r="AQ10"/>
      <c r="AR10"/>
    </row>
    <row r="11" spans="2:93" x14ac:dyDescent="0.35">
      <c r="C11"/>
      <c r="D11"/>
      <c r="E11"/>
      <c r="F11"/>
      <c r="R11"/>
      <c r="S11"/>
      <c r="AK11"/>
      <c r="AL11"/>
      <c r="AM11"/>
      <c r="AN11"/>
      <c r="AO11"/>
      <c r="AP11"/>
      <c r="AQ11"/>
      <c r="AR11"/>
    </row>
    <row r="12" spans="2:93" x14ac:dyDescent="0.35">
      <c r="C12"/>
      <c r="D12"/>
      <c r="E12"/>
      <c r="F12"/>
      <c r="R12"/>
      <c r="S12"/>
      <c r="AK12"/>
      <c r="AL12"/>
      <c r="AM12"/>
      <c r="AN12"/>
      <c r="AO12"/>
      <c r="AP12"/>
    </row>
    <row r="13" spans="2:93" x14ac:dyDescent="0.35">
      <c r="C13"/>
      <c r="D13"/>
      <c r="E13"/>
      <c r="F13"/>
      <c r="R13"/>
      <c r="S13"/>
    </row>
    <row r="14" spans="2:93" x14ac:dyDescent="0.35">
      <c r="C14"/>
      <c r="D14"/>
      <c r="E14"/>
      <c r="F14"/>
      <c r="R14"/>
      <c r="S14"/>
    </row>
    <row r="15" spans="2:93" x14ac:dyDescent="0.35">
      <c r="R15"/>
      <c r="S15"/>
      <c r="BH15" s="83" t="s">
        <v>63</v>
      </c>
      <c r="BI15" s="84"/>
      <c r="BJ15" s="85"/>
    </row>
    <row r="16" spans="2:93" x14ac:dyDescent="0.35">
      <c r="R16"/>
      <c r="S16"/>
      <c r="BH16" s="86">
        <v>0</v>
      </c>
      <c r="BI16" s="87" t="s">
        <v>64</v>
      </c>
      <c r="BJ16" s="88">
        <f>IFERROR(IFERROR(IF(ISERROR(INDEX($BH$7:$BH$9,MATCH("No",BH7:BH9,0))),0,IFERROR(INDEX($BI$7:$BI$9,MATCH("Yes",$BH$7:$BH$9,0)),0)/(IFERROR(INDEX($BI$7:$BI$9,MATCH("No",$BH$7:$BH$9,0)),0)+IFERROR(INDEX($BI$7:$BI$9,MATCH("Yes",$BH$7:$BH$9,0)),0)+IFERROR(INDEX($BI$7:$BI$9,MATCH(Calc!$AD$3,$BH$7:$BH$9,0)),0))),0),0)</f>
        <v>0</v>
      </c>
    </row>
    <row r="17" spans="18:62" x14ac:dyDescent="0.35">
      <c r="R17"/>
      <c r="S17"/>
      <c r="BH17" s="89">
        <f>Settings!J8</f>
        <v>0.3</v>
      </c>
      <c r="BI17" s="90" t="s">
        <v>65</v>
      </c>
      <c r="BJ17" s="91">
        <v>0.02</v>
      </c>
    </row>
    <row r="18" spans="18:62" x14ac:dyDescent="0.35">
      <c r="R18"/>
      <c r="S18"/>
      <c r="BH18" s="92">
        <f>Settings!J9</f>
        <v>0.4</v>
      </c>
      <c r="BI18" s="90" t="s">
        <v>66</v>
      </c>
      <c r="BJ18" s="91">
        <f>IFERROR(2-BJ16,0)</f>
        <v>2</v>
      </c>
    </row>
    <row r="19" spans="18:62" x14ac:dyDescent="0.35">
      <c r="R19"/>
      <c r="S19"/>
      <c r="BH19" s="93">
        <f>Settings!J10</f>
        <v>0.3</v>
      </c>
      <c r="BI19" s="94"/>
      <c r="BJ19" s="95"/>
    </row>
    <row r="20" spans="18:62" x14ac:dyDescent="0.35">
      <c r="R20"/>
      <c r="S20"/>
      <c r="BH20" s="96">
        <v>1</v>
      </c>
      <c r="BI20" s="97"/>
      <c r="BJ20" s="98"/>
    </row>
    <row r="21" spans="18:62" x14ac:dyDescent="0.35">
      <c r="R21"/>
      <c r="S21"/>
    </row>
    <row r="22" spans="18:62" x14ac:dyDescent="0.35">
      <c r="R22"/>
      <c r="S22"/>
    </row>
    <row r="23" spans="18:62" x14ac:dyDescent="0.35">
      <c r="R23"/>
      <c r="S23"/>
    </row>
    <row r="24" spans="18:62" x14ac:dyDescent="0.35">
      <c r="R24"/>
      <c r="S24"/>
    </row>
    <row r="25" spans="18:62" x14ac:dyDescent="0.35">
      <c r="R25"/>
      <c r="S25"/>
    </row>
    <row r="26" spans="18:62" x14ac:dyDescent="0.35">
      <c r="R26"/>
      <c r="S26"/>
    </row>
    <row r="27" spans="18:62" x14ac:dyDescent="0.35">
      <c r="R27"/>
      <c r="S27"/>
    </row>
    <row r="28" spans="18:62" x14ac:dyDescent="0.35">
      <c r="R28"/>
      <c r="S28"/>
    </row>
    <row r="29" spans="18:62" x14ac:dyDescent="0.35">
      <c r="R29"/>
      <c r="S29"/>
    </row>
    <row r="30" spans="18:62" x14ac:dyDescent="0.35">
      <c r="R30"/>
      <c r="S30"/>
    </row>
    <row r="31" spans="18:62" x14ac:dyDescent="0.35">
      <c r="R31"/>
      <c r="S31"/>
    </row>
    <row r="32" spans="18:62" x14ac:dyDescent="0.35">
      <c r="R32"/>
      <c r="S32"/>
    </row>
    <row r="33" spans="18:19" x14ac:dyDescent="0.35">
      <c r="R33"/>
      <c r="S33"/>
    </row>
    <row r="34" spans="18:19" x14ac:dyDescent="0.35">
      <c r="R34"/>
      <c r="S34"/>
    </row>
    <row r="35" spans="18:19" x14ac:dyDescent="0.35">
      <c r="R35"/>
      <c r="S35"/>
    </row>
    <row r="36" spans="18:19" x14ac:dyDescent="0.35">
      <c r="R36"/>
      <c r="S36"/>
    </row>
    <row r="37" spans="18:19" x14ac:dyDescent="0.35">
      <c r="R37"/>
      <c r="S37"/>
    </row>
    <row r="38" spans="18:19" x14ac:dyDescent="0.35">
      <c r="R38"/>
      <c r="S38"/>
    </row>
    <row r="39" spans="18:19" x14ac:dyDescent="0.35">
      <c r="R39"/>
      <c r="S39"/>
    </row>
    <row r="40" spans="18:19" x14ac:dyDescent="0.35">
      <c r="R40"/>
      <c r="S40"/>
    </row>
    <row r="41" spans="18:19" x14ac:dyDescent="0.35">
      <c r="R41"/>
      <c r="S41"/>
    </row>
    <row r="42" spans="18:19" x14ac:dyDescent="0.35">
      <c r="R42"/>
      <c r="S42"/>
    </row>
    <row r="43" spans="18:19" x14ac:dyDescent="0.35">
      <c r="R43"/>
      <c r="S43"/>
    </row>
    <row r="44" spans="18:19" x14ac:dyDescent="0.35">
      <c r="R44"/>
      <c r="S44"/>
    </row>
    <row r="45" spans="18:19" x14ac:dyDescent="0.35">
      <c r="R45"/>
      <c r="S45"/>
    </row>
    <row r="46" spans="18:19" x14ac:dyDescent="0.35">
      <c r="R46"/>
      <c r="S46"/>
    </row>
    <row r="47" spans="18:19" x14ac:dyDescent="0.35">
      <c r="R47"/>
      <c r="S47"/>
    </row>
    <row r="48" spans="18:19" x14ac:dyDescent="0.35">
      <c r="R48"/>
      <c r="S48"/>
    </row>
    <row r="49" spans="18:19" x14ac:dyDescent="0.35">
      <c r="R49"/>
      <c r="S49"/>
    </row>
    <row r="50" spans="18:19" x14ac:dyDescent="0.35">
      <c r="R50"/>
      <c r="S50"/>
    </row>
    <row r="51" spans="18:19" x14ac:dyDescent="0.35">
      <c r="R51"/>
      <c r="S51"/>
    </row>
    <row r="52" spans="18:19" x14ac:dyDescent="0.35">
      <c r="R52"/>
      <c r="S52"/>
    </row>
    <row r="53" spans="18:19" x14ac:dyDescent="0.35">
      <c r="R53"/>
      <c r="S53"/>
    </row>
    <row r="54" spans="18:19" x14ac:dyDescent="0.35">
      <c r="R54"/>
      <c r="S54"/>
    </row>
    <row r="55" spans="18:19" x14ac:dyDescent="0.35">
      <c r="R55"/>
      <c r="S55"/>
    </row>
    <row r="56" spans="18:19" x14ac:dyDescent="0.35">
      <c r="R56"/>
      <c r="S56"/>
    </row>
    <row r="57" spans="18:19" x14ac:dyDescent="0.35">
      <c r="R57"/>
      <c r="S57"/>
    </row>
    <row r="58" spans="18:19" x14ac:dyDescent="0.35">
      <c r="R58"/>
      <c r="S58"/>
    </row>
    <row r="59" spans="18:19" x14ac:dyDescent="0.35">
      <c r="R59"/>
      <c r="S59"/>
    </row>
    <row r="60" spans="18:19" x14ac:dyDescent="0.35">
      <c r="R60"/>
      <c r="S60"/>
    </row>
    <row r="61" spans="18:19" x14ac:dyDescent="0.35">
      <c r="R61"/>
      <c r="S61"/>
    </row>
    <row r="62" spans="18:19" x14ac:dyDescent="0.35">
      <c r="R62"/>
      <c r="S62"/>
    </row>
    <row r="63" spans="18:19" x14ac:dyDescent="0.35">
      <c r="R63"/>
      <c r="S63"/>
    </row>
    <row r="64" spans="18:19" x14ac:dyDescent="0.35">
      <c r="R64"/>
      <c r="S64"/>
    </row>
    <row r="65" spans="5:19" x14ac:dyDescent="0.35">
      <c r="R65"/>
      <c r="S65"/>
    </row>
    <row r="66" spans="5:19" x14ac:dyDescent="0.35">
      <c r="R66"/>
      <c r="S66"/>
    </row>
    <row r="67" spans="5:19" x14ac:dyDescent="0.35">
      <c r="R67"/>
      <c r="S67"/>
    </row>
    <row r="68" spans="5:19" x14ac:dyDescent="0.35">
      <c r="E68" s="135"/>
      <c r="F68" s="135"/>
      <c r="G68" s="16"/>
      <c r="H68" s="16"/>
      <c r="I68" s="16"/>
      <c r="J68" s="16"/>
      <c r="K68" s="16"/>
      <c r="L68" s="16"/>
      <c r="M68" s="16"/>
      <c r="N68" s="16"/>
      <c r="O68" s="16"/>
      <c r="P68" s="16"/>
      <c r="R68"/>
      <c r="S68"/>
    </row>
    <row r="69" spans="5:19" x14ac:dyDescent="0.35">
      <c r="E69" s="135"/>
      <c r="F69" s="135"/>
      <c r="G69" s="16"/>
      <c r="H69" s="16"/>
      <c r="I69" s="16"/>
      <c r="J69" s="16"/>
      <c r="K69" s="16"/>
      <c r="L69" s="16"/>
      <c r="M69" s="16"/>
      <c r="N69" s="16"/>
      <c r="O69" s="16"/>
      <c r="P69" s="16"/>
      <c r="R69"/>
      <c r="S69"/>
    </row>
    <row r="70" spans="5:19" x14ac:dyDescent="0.35">
      <c r="E70" s="135"/>
      <c r="F70" s="135"/>
      <c r="G70" s="16"/>
      <c r="H70" s="16"/>
      <c r="I70" s="16"/>
      <c r="J70" s="16"/>
      <c r="K70" s="16"/>
      <c r="L70" s="16"/>
      <c r="M70" s="16"/>
      <c r="N70" s="16"/>
      <c r="O70" s="16"/>
      <c r="P70" s="16"/>
      <c r="R70"/>
      <c r="S70"/>
    </row>
    <row r="71" spans="5:19" x14ac:dyDescent="0.35">
      <c r="E71" s="135"/>
      <c r="F71" s="135"/>
      <c r="G71" s="16"/>
      <c r="H71" s="16"/>
      <c r="I71" s="16"/>
      <c r="J71" s="16"/>
      <c r="K71" s="16"/>
      <c r="L71" s="16"/>
      <c r="M71" s="16"/>
      <c r="N71" s="16"/>
      <c r="O71" s="16"/>
      <c r="P71" s="16"/>
      <c r="R71"/>
      <c r="S71"/>
    </row>
    <row r="72" spans="5:19" x14ac:dyDescent="0.35">
      <c r="E72" s="135"/>
      <c r="F72" s="135"/>
      <c r="G72" s="16"/>
      <c r="H72" s="16"/>
      <c r="I72" s="16"/>
      <c r="J72" s="16"/>
      <c r="K72" s="16"/>
      <c r="L72" s="16"/>
      <c r="M72" s="16"/>
      <c r="N72" s="16"/>
      <c r="O72" s="16"/>
      <c r="P72" s="16"/>
      <c r="R72"/>
      <c r="S72"/>
    </row>
    <row r="73" spans="5:19" x14ac:dyDescent="0.35">
      <c r="E73" s="135"/>
      <c r="F73" s="135"/>
      <c r="G73" s="16"/>
      <c r="H73" s="16"/>
      <c r="I73" s="16"/>
      <c r="J73" s="16"/>
      <c r="K73" s="16"/>
      <c r="L73" s="16"/>
      <c r="M73" s="16"/>
      <c r="N73" s="16"/>
      <c r="O73" s="16"/>
      <c r="P73" s="16"/>
      <c r="R73"/>
      <c r="S73"/>
    </row>
    <row r="74" spans="5:19" x14ac:dyDescent="0.35">
      <c r="E74" s="135"/>
      <c r="F74" s="135"/>
      <c r="G74" s="16"/>
      <c r="H74" s="16"/>
      <c r="I74" s="16"/>
      <c r="J74" s="16"/>
      <c r="K74" s="16"/>
      <c r="L74" s="16"/>
      <c r="M74" s="16"/>
      <c r="N74" s="16"/>
      <c r="O74" s="16"/>
      <c r="P74" s="16"/>
      <c r="R74"/>
      <c r="S74"/>
    </row>
    <row r="75" spans="5:19" x14ac:dyDescent="0.35">
      <c r="E75" s="135"/>
      <c r="F75" s="135"/>
      <c r="G75" s="16"/>
      <c r="H75" s="16"/>
      <c r="I75" s="16"/>
      <c r="J75" s="16"/>
      <c r="K75" s="16"/>
      <c r="L75" s="16"/>
      <c r="M75" s="16"/>
      <c r="N75" s="16"/>
      <c r="O75" s="16"/>
      <c r="P75" s="16"/>
      <c r="R75"/>
      <c r="S75"/>
    </row>
    <row r="76" spans="5:19" x14ac:dyDescent="0.35">
      <c r="E76" s="135"/>
      <c r="F76" s="135"/>
      <c r="G76" s="16"/>
      <c r="H76" s="16"/>
      <c r="I76" s="16"/>
      <c r="J76" s="16"/>
      <c r="K76" s="16"/>
      <c r="L76" s="16"/>
      <c r="M76" s="16"/>
      <c r="N76" s="16"/>
      <c r="O76" s="16"/>
      <c r="P76" s="16"/>
      <c r="R76"/>
      <c r="S76"/>
    </row>
    <row r="77" spans="5:19" x14ac:dyDescent="0.35">
      <c r="E77" s="135"/>
      <c r="F77" s="135"/>
      <c r="G77" s="16"/>
      <c r="H77" s="16"/>
      <c r="I77" s="16"/>
      <c r="J77" s="16"/>
      <c r="K77" s="16"/>
      <c r="L77" s="16"/>
      <c r="M77" s="16"/>
      <c r="N77" s="16"/>
      <c r="O77" s="16"/>
      <c r="P77" s="16"/>
      <c r="R77"/>
      <c r="S77"/>
    </row>
    <row r="78" spans="5:19" x14ac:dyDescent="0.35">
      <c r="E78" s="135"/>
      <c r="F78" s="135"/>
      <c r="G78" s="16"/>
      <c r="H78" s="16"/>
      <c r="I78" s="16"/>
      <c r="J78" s="16"/>
      <c r="K78" s="16"/>
      <c r="L78" s="16"/>
      <c r="M78" s="16"/>
      <c r="N78" s="16"/>
      <c r="O78" s="16"/>
      <c r="P78" s="16"/>
      <c r="R78"/>
      <c r="S78"/>
    </row>
    <row r="79" spans="5:19" x14ac:dyDescent="0.35">
      <c r="E79" s="135"/>
      <c r="F79" s="135"/>
      <c r="G79" s="16"/>
      <c r="H79" s="16"/>
      <c r="I79" s="16"/>
      <c r="J79" s="16"/>
      <c r="K79" s="16"/>
      <c r="L79" s="16"/>
      <c r="M79" s="16"/>
      <c r="N79" s="16"/>
      <c r="O79" s="16"/>
      <c r="P79" s="16"/>
      <c r="R79"/>
      <c r="S79"/>
    </row>
    <row r="80" spans="5:19" x14ac:dyDescent="0.35">
      <c r="E80" s="135"/>
      <c r="F80" s="135"/>
      <c r="G80" s="16"/>
      <c r="H80" s="16"/>
      <c r="I80" s="16"/>
      <c r="J80" s="16"/>
      <c r="K80" s="16"/>
      <c r="L80" s="16"/>
      <c r="M80" s="16"/>
      <c r="N80" s="16"/>
      <c r="O80" s="16"/>
      <c r="P80" s="16"/>
      <c r="R80"/>
      <c r="S80"/>
    </row>
    <row r="81" spans="5:19" x14ac:dyDescent="0.35">
      <c r="E81" s="135"/>
      <c r="F81" s="135"/>
      <c r="G81" s="16"/>
      <c r="H81" s="16"/>
      <c r="I81" s="16"/>
      <c r="J81" s="16"/>
      <c r="K81" s="16"/>
      <c r="L81" s="16"/>
      <c r="M81" s="16"/>
      <c r="N81" s="16"/>
      <c r="O81" s="16"/>
      <c r="P81" s="16"/>
      <c r="R81"/>
      <c r="S81"/>
    </row>
    <row r="82" spans="5:19" x14ac:dyDescent="0.35">
      <c r="E82" s="135"/>
      <c r="F82" s="135"/>
      <c r="G82" s="16"/>
      <c r="H82" s="16"/>
      <c r="I82" s="16"/>
      <c r="J82" s="16"/>
      <c r="K82" s="16"/>
      <c r="L82" s="16"/>
      <c r="M82" s="16"/>
      <c r="N82" s="16"/>
      <c r="O82" s="16"/>
      <c r="P82" s="16"/>
      <c r="R82"/>
      <c r="S82"/>
    </row>
    <row r="83" spans="5:19" x14ac:dyDescent="0.35">
      <c r="E83" s="135"/>
      <c r="F83" s="135"/>
      <c r="G83" s="16"/>
      <c r="H83" s="16"/>
      <c r="I83" s="16"/>
      <c r="J83" s="16"/>
      <c r="K83" s="16"/>
      <c r="L83" s="16"/>
      <c r="M83" s="16"/>
      <c r="N83" s="16"/>
      <c r="O83" s="16"/>
      <c r="P83" s="16"/>
      <c r="R83"/>
      <c r="S83"/>
    </row>
    <row r="84" spans="5:19" x14ac:dyDescent="0.35">
      <c r="E84" s="135"/>
      <c r="F84" s="135"/>
      <c r="G84" s="16"/>
      <c r="H84" s="16"/>
      <c r="I84" s="16"/>
      <c r="J84" s="16"/>
      <c r="K84" s="16"/>
      <c r="L84" s="16"/>
      <c r="M84" s="16"/>
      <c r="N84" s="16"/>
      <c r="O84" s="16"/>
      <c r="P84" s="16"/>
      <c r="R84"/>
      <c r="S84"/>
    </row>
    <row r="85" spans="5:19" x14ac:dyDescent="0.35">
      <c r="E85" s="135"/>
      <c r="F85" s="135"/>
      <c r="G85" s="16"/>
      <c r="H85" s="16"/>
      <c r="I85" s="16"/>
      <c r="J85" s="16"/>
      <c r="K85" s="16"/>
      <c r="L85" s="16"/>
      <c r="M85" s="16"/>
      <c r="N85" s="16"/>
      <c r="O85" s="16"/>
      <c r="P85" s="16"/>
      <c r="R85"/>
      <c r="S85"/>
    </row>
    <row r="86" spans="5:19" x14ac:dyDescent="0.35">
      <c r="R86"/>
      <c r="S86"/>
    </row>
    <row r="87" spans="5:19" x14ac:dyDescent="0.35">
      <c r="R87"/>
      <c r="S87"/>
    </row>
    <row r="88" spans="5:19" x14ac:dyDescent="0.35">
      <c r="R88"/>
      <c r="S88"/>
    </row>
    <row r="89" spans="5:19" x14ac:dyDescent="0.35">
      <c r="R89"/>
      <c r="S89"/>
    </row>
    <row r="90" spans="5:19" x14ac:dyDescent="0.35">
      <c r="R90"/>
      <c r="S90"/>
    </row>
    <row r="91" spans="5:19" x14ac:dyDescent="0.35">
      <c r="R91"/>
      <c r="S91"/>
    </row>
    <row r="92" spans="5:19" x14ac:dyDescent="0.35">
      <c r="R92"/>
      <c r="S92"/>
    </row>
    <row r="93" spans="5:19" x14ac:dyDescent="0.35">
      <c r="R93"/>
      <c r="S93"/>
    </row>
    <row r="94" spans="5:19" x14ac:dyDescent="0.35">
      <c r="R94"/>
      <c r="S94"/>
    </row>
    <row r="95" spans="5:19" x14ac:dyDescent="0.35">
      <c r="R95"/>
      <c r="S95"/>
    </row>
    <row r="96" spans="5:19" x14ac:dyDescent="0.35">
      <c r="R96"/>
      <c r="S96"/>
    </row>
    <row r="97" spans="18:19" x14ac:dyDescent="0.35">
      <c r="R97"/>
      <c r="S97"/>
    </row>
    <row r="98" spans="18:19" x14ac:dyDescent="0.35">
      <c r="R98"/>
      <c r="S98"/>
    </row>
    <row r="99" spans="18:19" x14ac:dyDescent="0.35">
      <c r="R99"/>
      <c r="S99"/>
    </row>
    <row r="100" spans="18:19" x14ac:dyDescent="0.35">
      <c r="R100"/>
      <c r="S100"/>
    </row>
    <row r="101" spans="18:19" x14ac:dyDescent="0.35">
      <c r="R101"/>
      <c r="S101"/>
    </row>
    <row r="102" spans="18:19" x14ac:dyDescent="0.35">
      <c r="R102"/>
      <c r="S102"/>
    </row>
    <row r="103" spans="18:19" x14ac:dyDescent="0.35">
      <c r="R103"/>
      <c r="S103"/>
    </row>
    <row r="104" spans="18:19" x14ac:dyDescent="0.35">
      <c r="R104"/>
      <c r="S104"/>
    </row>
    <row r="105" spans="18:19" x14ac:dyDescent="0.35">
      <c r="R105"/>
      <c r="S105"/>
    </row>
    <row r="106" spans="18:19" x14ac:dyDescent="0.35">
      <c r="R106"/>
      <c r="S106"/>
    </row>
    <row r="107" spans="18:19" x14ac:dyDescent="0.35">
      <c r="R107"/>
      <c r="S107"/>
    </row>
    <row r="108" spans="18:19" x14ac:dyDescent="0.35">
      <c r="R108"/>
      <c r="S108"/>
    </row>
    <row r="109" spans="18:19" x14ac:dyDescent="0.35">
      <c r="R109"/>
      <c r="S109"/>
    </row>
    <row r="110" spans="18:19" x14ac:dyDescent="0.35">
      <c r="R110"/>
      <c r="S110"/>
    </row>
    <row r="111" spans="18:19" x14ac:dyDescent="0.35">
      <c r="R111"/>
      <c r="S111"/>
    </row>
    <row r="112" spans="18:19" x14ac:dyDescent="0.35">
      <c r="R112"/>
      <c r="S112"/>
    </row>
    <row r="113" spans="18:19" x14ac:dyDescent="0.35">
      <c r="R113"/>
      <c r="S113"/>
    </row>
    <row r="114" spans="18:19" x14ac:dyDescent="0.35">
      <c r="R114"/>
      <c r="S114"/>
    </row>
    <row r="115" spans="18:19" x14ac:dyDescent="0.35">
      <c r="R115"/>
      <c r="S115"/>
    </row>
    <row r="116" spans="18:19" x14ac:dyDescent="0.35">
      <c r="R116"/>
      <c r="S116"/>
    </row>
    <row r="117" spans="18:19" x14ac:dyDescent="0.35">
      <c r="R117"/>
      <c r="S117"/>
    </row>
    <row r="118" spans="18:19" x14ac:dyDescent="0.35">
      <c r="R118"/>
      <c r="S118"/>
    </row>
    <row r="119" spans="18:19" x14ac:dyDescent="0.35">
      <c r="R119"/>
      <c r="S119"/>
    </row>
    <row r="120" spans="18:19" x14ac:dyDescent="0.35">
      <c r="R120"/>
      <c r="S120"/>
    </row>
    <row r="121" spans="18:19" x14ac:dyDescent="0.35">
      <c r="R121"/>
      <c r="S121"/>
    </row>
    <row r="122" spans="18:19" x14ac:dyDescent="0.35">
      <c r="R122"/>
      <c r="S122"/>
    </row>
    <row r="123" spans="18:19" x14ac:dyDescent="0.35">
      <c r="R123"/>
      <c r="S123"/>
    </row>
    <row r="124" spans="18:19" x14ac:dyDescent="0.35">
      <c r="R124"/>
      <c r="S124"/>
    </row>
    <row r="125" spans="18:19" x14ac:dyDescent="0.35">
      <c r="R125"/>
      <c r="S125"/>
    </row>
    <row r="126" spans="18:19" x14ac:dyDescent="0.35">
      <c r="R126"/>
      <c r="S126"/>
    </row>
    <row r="127" spans="18:19" x14ac:dyDescent="0.35">
      <c r="R127"/>
      <c r="S127"/>
    </row>
    <row r="128" spans="18:19" x14ac:dyDescent="0.35">
      <c r="R128"/>
      <c r="S128"/>
    </row>
    <row r="129" spans="18:19" x14ac:dyDescent="0.35">
      <c r="R129"/>
      <c r="S129"/>
    </row>
    <row r="130" spans="18:19" x14ac:dyDescent="0.35">
      <c r="R130"/>
      <c r="S130"/>
    </row>
    <row r="131" spans="18:19" x14ac:dyDescent="0.35">
      <c r="R131"/>
      <c r="S131"/>
    </row>
    <row r="132" spans="18:19" x14ac:dyDescent="0.35">
      <c r="R132"/>
      <c r="S132"/>
    </row>
    <row r="133" spans="18:19" x14ac:dyDescent="0.35">
      <c r="R133"/>
      <c r="S133"/>
    </row>
    <row r="134" spans="18:19" x14ac:dyDescent="0.35">
      <c r="R134"/>
      <c r="S134"/>
    </row>
    <row r="135" spans="18:19" x14ac:dyDescent="0.35">
      <c r="R135"/>
      <c r="S135"/>
    </row>
    <row r="136" spans="18:19" x14ac:dyDescent="0.35">
      <c r="R136"/>
      <c r="S136"/>
    </row>
    <row r="137" spans="18:19" x14ac:dyDescent="0.35">
      <c r="R137"/>
      <c r="S137"/>
    </row>
    <row r="138" spans="18:19" x14ac:dyDescent="0.35">
      <c r="R138"/>
      <c r="S138"/>
    </row>
    <row r="139" spans="18:19" x14ac:dyDescent="0.35">
      <c r="R139"/>
      <c r="S139"/>
    </row>
    <row r="140" spans="18:19" x14ac:dyDescent="0.35">
      <c r="R140"/>
      <c r="S140"/>
    </row>
    <row r="141" spans="18:19" x14ac:dyDescent="0.35">
      <c r="R141"/>
      <c r="S141"/>
    </row>
    <row r="142" spans="18:19" x14ac:dyDescent="0.35">
      <c r="R142"/>
      <c r="S142"/>
    </row>
    <row r="143" spans="18:19" x14ac:dyDescent="0.35">
      <c r="R143"/>
      <c r="S143"/>
    </row>
    <row r="144" spans="18:19" x14ac:dyDescent="0.35">
      <c r="R144"/>
      <c r="S144"/>
    </row>
    <row r="145" spans="18:19" x14ac:dyDescent="0.35">
      <c r="R145"/>
      <c r="S145"/>
    </row>
    <row r="146" spans="18:19" x14ac:dyDescent="0.35">
      <c r="R146"/>
      <c r="S146"/>
    </row>
    <row r="147" spans="18:19" x14ac:dyDescent="0.35">
      <c r="R147"/>
      <c r="S147"/>
    </row>
    <row r="148" spans="18:19" x14ac:dyDescent="0.35">
      <c r="R148"/>
      <c r="S148"/>
    </row>
    <row r="149" spans="18:19" x14ac:dyDescent="0.35">
      <c r="R149"/>
      <c r="S149"/>
    </row>
    <row r="150" spans="18:19" x14ac:dyDescent="0.35">
      <c r="R150"/>
      <c r="S150"/>
    </row>
    <row r="151" spans="18:19" x14ac:dyDescent="0.35">
      <c r="R151"/>
      <c r="S151"/>
    </row>
    <row r="152" spans="18:19" x14ac:dyDescent="0.35">
      <c r="R152"/>
      <c r="S152"/>
    </row>
    <row r="153" spans="18:19" x14ac:dyDescent="0.35">
      <c r="R153"/>
      <c r="S153"/>
    </row>
    <row r="154" spans="18:19" x14ac:dyDescent="0.35">
      <c r="R154"/>
      <c r="S154"/>
    </row>
    <row r="155" spans="18:19" x14ac:dyDescent="0.35">
      <c r="R155"/>
      <c r="S155"/>
    </row>
    <row r="156" spans="18:19" x14ac:dyDescent="0.35">
      <c r="R156"/>
      <c r="S156"/>
    </row>
    <row r="157" spans="18:19" x14ac:dyDescent="0.35">
      <c r="R157"/>
      <c r="S157"/>
    </row>
    <row r="158" spans="18:19" x14ac:dyDescent="0.35">
      <c r="R158"/>
      <c r="S158"/>
    </row>
    <row r="159" spans="18:19" x14ac:dyDescent="0.35">
      <c r="R159"/>
      <c r="S159"/>
    </row>
    <row r="160" spans="18:19" x14ac:dyDescent="0.35">
      <c r="R160"/>
      <c r="S160"/>
    </row>
    <row r="161" spans="18:19" x14ac:dyDescent="0.35">
      <c r="R161"/>
      <c r="S161"/>
    </row>
    <row r="162" spans="18:19" x14ac:dyDescent="0.35">
      <c r="R162"/>
      <c r="S162"/>
    </row>
    <row r="163" spans="18:19" x14ac:dyDescent="0.35">
      <c r="R163"/>
      <c r="S163"/>
    </row>
    <row r="164" spans="18:19" x14ac:dyDescent="0.35">
      <c r="R164"/>
      <c r="S164"/>
    </row>
    <row r="165" spans="18:19" x14ac:dyDescent="0.35">
      <c r="R165"/>
      <c r="S165"/>
    </row>
    <row r="166" spans="18:19" x14ac:dyDescent="0.35">
      <c r="R166"/>
      <c r="S166"/>
    </row>
    <row r="167" spans="18:19" x14ac:dyDescent="0.35">
      <c r="R167"/>
      <c r="S167"/>
    </row>
    <row r="168" spans="18:19" x14ac:dyDescent="0.35">
      <c r="R168"/>
      <c r="S168"/>
    </row>
    <row r="169" spans="18:19" x14ac:dyDescent="0.35">
      <c r="R169"/>
      <c r="S169"/>
    </row>
    <row r="170" spans="18:19" x14ac:dyDescent="0.35">
      <c r="R170"/>
      <c r="S170"/>
    </row>
    <row r="171" spans="18:19" x14ac:dyDescent="0.35">
      <c r="R171"/>
      <c r="S171"/>
    </row>
    <row r="172" spans="18:19" x14ac:dyDescent="0.35">
      <c r="R172"/>
      <c r="S172"/>
    </row>
    <row r="173" spans="18:19" x14ac:dyDescent="0.35">
      <c r="R173"/>
      <c r="S173"/>
    </row>
    <row r="174" spans="18:19" x14ac:dyDescent="0.35">
      <c r="R174"/>
      <c r="S174"/>
    </row>
    <row r="175" spans="18:19" x14ac:dyDescent="0.35">
      <c r="R175"/>
      <c r="S175"/>
    </row>
    <row r="176" spans="18:19" x14ac:dyDescent="0.35">
      <c r="R176"/>
      <c r="S176"/>
    </row>
    <row r="177" spans="18:19" x14ac:dyDescent="0.35">
      <c r="R177"/>
      <c r="S177"/>
    </row>
    <row r="178" spans="18:19" x14ac:dyDescent="0.35">
      <c r="R178"/>
      <c r="S178"/>
    </row>
    <row r="179" spans="18:19" x14ac:dyDescent="0.35">
      <c r="R179"/>
      <c r="S179"/>
    </row>
    <row r="180" spans="18:19" x14ac:dyDescent="0.35">
      <c r="R180"/>
      <c r="S180"/>
    </row>
    <row r="181" spans="18:19" x14ac:dyDescent="0.35">
      <c r="R181"/>
      <c r="S181"/>
    </row>
    <row r="182" spans="18:19" x14ac:dyDescent="0.35">
      <c r="R182"/>
      <c r="S182"/>
    </row>
    <row r="183" spans="18:19" x14ac:dyDescent="0.35">
      <c r="R183"/>
      <c r="S183"/>
    </row>
    <row r="184" spans="18:19" x14ac:dyDescent="0.35">
      <c r="R184"/>
      <c r="S184"/>
    </row>
    <row r="185" spans="18:19" x14ac:dyDescent="0.35">
      <c r="R185"/>
      <c r="S185"/>
    </row>
    <row r="186" spans="18:19" x14ac:dyDescent="0.35">
      <c r="R186"/>
      <c r="S186"/>
    </row>
    <row r="187" spans="18:19" x14ac:dyDescent="0.35">
      <c r="R187"/>
      <c r="S187"/>
    </row>
    <row r="188" spans="18:19" x14ac:dyDescent="0.35">
      <c r="R188"/>
      <c r="S188"/>
    </row>
    <row r="189" spans="18:19" x14ac:dyDescent="0.35">
      <c r="R189"/>
      <c r="S189"/>
    </row>
    <row r="190" spans="18:19" x14ac:dyDescent="0.35">
      <c r="R190"/>
      <c r="S190"/>
    </row>
    <row r="191" spans="18:19" x14ac:dyDescent="0.35">
      <c r="R191"/>
      <c r="S191"/>
    </row>
    <row r="192" spans="18:19" x14ac:dyDescent="0.35">
      <c r="R192"/>
      <c r="S192"/>
    </row>
    <row r="193" spans="18:19" x14ac:dyDescent="0.35">
      <c r="R193"/>
      <c r="S193"/>
    </row>
    <row r="194" spans="18:19" x14ac:dyDescent="0.35">
      <c r="R194"/>
      <c r="S194"/>
    </row>
    <row r="195" spans="18:19" x14ac:dyDescent="0.35">
      <c r="R195"/>
      <c r="S195"/>
    </row>
    <row r="196" spans="18:19" x14ac:dyDescent="0.35">
      <c r="R196"/>
      <c r="S196"/>
    </row>
    <row r="197" spans="18:19" x14ac:dyDescent="0.35">
      <c r="R197"/>
      <c r="S197"/>
    </row>
    <row r="198" spans="18:19" x14ac:dyDescent="0.35">
      <c r="R198"/>
      <c r="S198"/>
    </row>
    <row r="199" spans="18:19" x14ac:dyDescent="0.35">
      <c r="R199"/>
      <c r="S199"/>
    </row>
    <row r="200" spans="18:19" x14ac:dyDescent="0.35">
      <c r="R200"/>
      <c r="S200"/>
    </row>
    <row r="201" spans="18:19" x14ac:dyDescent="0.35">
      <c r="R201"/>
      <c r="S201"/>
    </row>
    <row r="202" spans="18:19" x14ac:dyDescent="0.35">
      <c r="R202"/>
      <c r="S202"/>
    </row>
    <row r="203" spans="18:19" x14ac:dyDescent="0.35">
      <c r="R203"/>
      <c r="S203"/>
    </row>
    <row r="204" spans="18:19" x14ac:dyDescent="0.35">
      <c r="R204"/>
      <c r="S204"/>
    </row>
    <row r="205" spans="18:19" x14ac:dyDescent="0.35">
      <c r="R205"/>
      <c r="S205"/>
    </row>
    <row r="206" spans="18:19" x14ac:dyDescent="0.35">
      <c r="R206"/>
      <c r="S206"/>
    </row>
    <row r="207" spans="18:19" x14ac:dyDescent="0.35">
      <c r="R207"/>
      <c r="S207"/>
    </row>
    <row r="208" spans="18:19" x14ac:dyDescent="0.35">
      <c r="R208"/>
      <c r="S208"/>
    </row>
    <row r="209" spans="18:19" x14ac:dyDescent="0.35">
      <c r="R209"/>
      <c r="S209"/>
    </row>
    <row r="210" spans="18:19" x14ac:dyDescent="0.35">
      <c r="R210"/>
      <c r="S210"/>
    </row>
    <row r="211" spans="18:19" x14ac:dyDescent="0.35">
      <c r="R211"/>
      <c r="S211"/>
    </row>
    <row r="212" spans="18:19" x14ac:dyDescent="0.35">
      <c r="R212"/>
      <c r="S212"/>
    </row>
    <row r="213" spans="18:19" x14ac:dyDescent="0.35">
      <c r="R213"/>
      <c r="S213"/>
    </row>
    <row r="214" spans="18:19" x14ac:dyDescent="0.35">
      <c r="R214"/>
      <c r="S214"/>
    </row>
    <row r="215" spans="18:19" x14ac:dyDescent="0.35">
      <c r="R215"/>
      <c r="S215"/>
    </row>
    <row r="216" spans="18:19" x14ac:dyDescent="0.35">
      <c r="R216"/>
      <c r="S216"/>
    </row>
    <row r="217" spans="18:19" x14ac:dyDescent="0.35">
      <c r="R217"/>
      <c r="S217"/>
    </row>
    <row r="218" spans="18:19" x14ac:dyDescent="0.35">
      <c r="R218"/>
      <c r="S218"/>
    </row>
    <row r="219" spans="18:19" x14ac:dyDescent="0.35">
      <c r="R219"/>
      <c r="S219"/>
    </row>
    <row r="220" spans="18:19" x14ac:dyDescent="0.35">
      <c r="R220"/>
      <c r="S220"/>
    </row>
    <row r="221" spans="18:19" x14ac:dyDescent="0.35">
      <c r="R221"/>
      <c r="S221"/>
    </row>
    <row r="222" spans="18:19" x14ac:dyDescent="0.35">
      <c r="R222"/>
      <c r="S222"/>
    </row>
    <row r="223" spans="18:19" x14ac:dyDescent="0.35">
      <c r="R223"/>
      <c r="S223"/>
    </row>
    <row r="224" spans="18:19" x14ac:dyDescent="0.35">
      <c r="R224"/>
      <c r="S224"/>
    </row>
    <row r="225" spans="18:19" x14ac:dyDescent="0.35">
      <c r="R225"/>
      <c r="S225"/>
    </row>
    <row r="226" spans="18:19" x14ac:dyDescent="0.35">
      <c r="R226"/>
      <c r="S226"/>
    </row>
    <row r="227" spans="18:19" x14ac:dyDescent="0.35">
      <c r="R227"/>
      <c r="S227"/>
    </row>
    <row r="228" spans="18:19" x14ac:dyDescent="0.35">
      <c r="R228"/>
      <c r="S228"/>
    </row>
    <row r="229" spans="18:19" x14ac:dyDescent="0.35">
      <c r="R229"/>
      <c r="S229"/>
    </row>
    <row r="230" spans="18:19" x14ac:dyDescent="0.35">
      <c r="R230"/>
      <c r="S230"/>
    </row>
    <row r="231" spans="18:19" x14ac:dyDescent="0.35">
      <c r="R231"/>
      <c r="S231"/>
    </row>
    <row r="232" spans="18:19" x14ac:dyDescent="0.35">
      <c r="R232"/>
      <c r="S232"/>
    </row>
    <row r="233" spans="18:19" x14ac:dyDescent="0.35">
      <c r="R233"/>
      <c r="S233"/>
    </row>
    <row r="234" spans="18:19" x14ac:dyDescent="0.35">
      <c r="R234"/>
      <c r="S234"/>
    </row>
    <row r="235" spans="18:19" x14ac:dyDescent="0.35">
      <c r="R235"/>
      <c r="S235"/>
    </row>
    <row r="236" spans="18:19" x14ac:dyDescent="0.35">
      <c r="R236"/>
      <c r="S236"/>
    </row>
    <row r="237" spans="18:19" x14ac:dyDescent="0.35">
      <c r="R237"/>
      <c r="S237"/>
    </row>
    <row r="238" spans="18:19" x14ac:dyDescent="0.35">
      <c r="R238"/>
      <c r="S238"/>
    </row>
    <row r="239" spans="18:19" x14ac:dyDescent="0.35">
      <c r="R239"/>
      <c r="S239"/>
    </row>
    <row r="240" spans="18:19" x14ac:dyDescent="0.35">
      <c r="R240"/>
      <c r="S240"/>
    </row>
    <row r="241" spans="18:19" x14ac:dyDescent="0.35">
      <c r="R241"/>
      <c r="S241"/>
    </row>
    <row r="242" spans="18:19" x14ac:dyDescent="0.35">
      <c r="R242"/>
      <c r="S242"/>
    </row>
    <row r="243" spans="18:19" x14ac:dyDescent="0.35">
      <c r="R243"/>
      <c r="S243"/>
    </row>
    <row r="244" spans="18:19" x14ac:dyDescent="0.35">
      <c r="R244"/>
      <c r="S244"/>
    </row>
    <row r="245" spans="18:19" x14ac:dyDescent="0.35">
      <c r="R245"/>
      <c r="S245"/>
    </row>
    <row r="246" spans="18:19" x14ac:dyDescent="0.35">
      <c r="R246"/>
      <c r="S246"/>
    </row>
    <row r="247" spans="18:19" x14ac:dyDescent="0.35">
      <c r="R247"/>
      <c r="S247"/>
    </row>
    <row r="248" spans="18:19" x14ac:dyDescent="0.35">
      <c r="R248"/>
      <c r="S248"/>
    </row>
    <row r="249" spans="18:19" x14ac:dyDescent="0.35">
      <c r="R249"/>
      <c r="S249"/>
    </row>
    <row r="250" spans="18:19" x14ac:dyDescent="0.35">
      <c r="R250"/>
      <c r="S250"/>
    </row>
    <row r="251" spans="18:19" x14ac:dyDescent="0.35">
      <c r="R251"/>
      <c r="S251"/>
    </row>
    <row r="252" spans="18:19" x14ac:dyDescent="0.35">
      <c r="R252"/>
      <c r="S252"/>
    </row>
    <row r="253" spans="18:19" x14ac:dyDescent="0.35">
      <c r="R253"/>
      <c r="S253"/>
    </row>
    <row r="254" spans="18:19" x14ac:dyDescent="0.35">
      <c r="R254"/>
      <c r="S254"/>
    </row>
    <row r="255" spans="18:19" x14ac:dyDescent="0.35">
      <c r="R255"/>
      <c r="S255"/>
    </row>
    <row r="256" spans="18:19" x14ac:dyDescent="0.35">
      <c r="R256"/>
      <c r="S256"/>
    </row>
    <row r="257" spans="18:19" x14ac:dyDescent="0.35">
      <c r="R257"/>
      <c r="S257"/>
    </row>
    <row r="258" spans="18:19" x14ac:dyDescent="0.35">
      <c r="R258"/>
      <c r="S258"/>
    </row>
    <row r="259" spans="18:19" x14ac:dyDescent="0.35">
      <c r="R259"/>
      <c r="S259"/>
    </row>
    <row r="260" spans="18:19" x14ac:dyDescent="0.35">
      <c r="R260"/>
      <c r="S260"/>
    </row>
    <row r="261" spans="18:19" x14ac:dyDescent="0.35">
      <c r="R261"/>
      <c r="S261"/>
    </row>
    <row r="262" spans="18:19" x14ac:dyDescent="0.35">
      <c r="R262"/>
      <c r="S262"/>
    </row>
    <row r="263" spans="18:19" x14ac:dyDescent="0.35">
      <c r="R263"/>
      <c r="S263"/>
    </row>
    <row r="264" spans="18:19" x14ac:dyDescent="0.35">
      <c r="R264"/>
      <c r="S264"/>
    </row>
    <row r="265" spans="18:19" x14ac:dyDescent="0.35">
      <c r="R265"/>
      <c r="S265"/>
    </row>
    <row r="266" spans="18:19" x14ac:dyDescent="0.35">
      <c r="R266"/>
      <c r="S266"/>
    </row>
    <row r="267" spans="18:19" x14ac:dyDescent="0.35">
      <c r="R267"/>
      <c r="S267"/>
    </row>
    <row r="268" spans="18:19" x14ac:dyDescent="0.35">
      <c r="R268"/>
      <c r="S268"/>
    </row>
    <row r="269" spans="18:19" x14ac:dyDescent="0.35">
      <c r="R269"/>
      <c r="S269"/>
    </row>
    <row r="270" spans="18:19" x14ac:dyDescent="0.35">
      <c r="R270"/>
      <c r="S270"/>
    </row>
    <row r="271" spans="18:19" x14ac:dyDescent="0.35">
      <c r="R271"/>
      <c r="S271"/>
    </row>
    <row r="272" spans="18:19" x14ac:dyDescent="0.35">
      <c r="R272"/>
      <c r="S272"/>
    </row>
    <row r="273" spans="18:19" x14ac:dyDescent="0.35">
      <c r="R273"/>
      <c r="S273"/>
    </row>
    <row r="274" spans="18:19" x14ac:dyDescent="0.35">
      <c r="R274"/>
      <c r="S274"/>
    </row>
    <row r="275" spans="18:19" x14ac:dyDescent="0.35">
      <c r="R275"/>
      <c r="S275"/>
    </row>
    <row r="276" spans="18:19" x14ac:dyDescent="0.35">
      <c r="R276"/>
      <c r="S276"/>
    </row>
    <row r="277" spans="18:19" x14ac:dyDescent="0.35">
      <c r="R277"/>
      <c r="S277"/>
    </row>
    <row r="278" spans="18:19" x14ac:dyDescent="0.35">
      <c r="R278"/>
      <c r="S278"/>
    </row>
    <row r="279" spans="18:19" x14ac:dyDescent="0.35">
      <c r="R279"/>
      <c r="S279"/>
    </row>
    <row r="280" spans="18:19" x14ac:dyDescent="0.35">
      <c r="R280"/>
      <c r="S280"/>
    </row>
    <row r="281" spans="18:19" x14ac:dyDescent="0.35">
      <c r="R281"/>
      <c r="S281"/>
    </row>
    <row r="282" spans="18:19" x14ac:dyDescent="0.35">
      <c r="R282"/>
      <c r="S282"/>
    </row>
    <row r="283" spans="18:19" x14ac:dyDescent="0.35">
      <c r="R283"/>
      <c r="S283"/>
    </row>
    <row r="284" spans="18:19" x14ac:dyDescent="0.35">
      <c r="R284"/>
      <c r="S284"/>
    </row>
    <row r="285" spans="18:19" x14ac:dyDescent="0.35">
      <c r="R285"/>
      <c r="S285"/>
    </row>
    <row r="286" spans="18:19" x14ac:dyDescent="0.35">
      <c r="R286"/>
      <c r="S286"/>
    </row>
    <row r="287" spans="18:19" x14ac:dyDescent="0.35">
      <c r="R287"/>
      <c r="S287"/>
    </row>
    <row r="288" spans="18:19" x14ac:dyDescent="0.35">
      <c r="R288"/>
      <c r="S288"/>
    </row>
    <row r="289" spans="18:19" x14ac:dyDescent="0.35">
      <c r="R289"/>
      <c r="S289"/>
    </row>
    <row r="290" spans="18:19" x14ac:dyDescent="0.35">
      <c r="R290"/>
      <c r="S290"/>
    </row>
    <row r="291" spans="18:19" x14ac:dyDescent="0.35">
      <c r="R291"/>
      <c r="S291"/>
    </row>
    <row r="292" spans="18:19" x14ac:dyDescent="0.35">
      <c r="R292"/>
      <c r="S292"/>
    </row>
    <row r="293" spans="18:19" x14ac:dyDescent="0.35">
      <c r="R293"/>
      <c r="S293"/>
    </row>
    <row r="294" spans="18:19" x14ac:dyDescent="0.35">
      <c r="R294"/>
      <c r="S294"/>
    </row>
    <row r="295" spans="18:19" x14ac:dyDescent="0.35">
      <c r="R295"/>
      <c r="S295"/>
    </row>
    <row r="296" spans="18:19" x14ac:dyDescent="0.35">
      <c r="R296"/>
      <c r="S296"/>
    </row>
    <row r="297" spans="18:19" x14ac:dyDescent="0.35">
      <c r="R297"/>
      <c r="S297"/>
    </row>
    <row r="298" spans="18:19" x14ac:dyDescent="0.35">
      <c r="R298"/>
      <c r="S298"/>
    </row>
    <row r="299" spans="18:19" x14ac:dyDescent="0.35">
      <c r="R299"/>
      <c r="S299"/>
    </row>
    <row r="300" spans="18:19" x14ac:dyDescent="0.35">
      <c r="R300"/>
      <c r="S300"/>
    </row>
    <row r="301" spans="18:19" x14ac:dyDescent="0.35">
      <c r="R301"/>
      <c r="S301"/>
    </row>
    <row r="302" spans="18:19" x14ac:dyDescent="0.35">
      <c r="R302"/>
      <c r="S302"/>
    </row>
    <row r="303" spans="18:19" x14ac:dyDescent="0.35">
      <c r="R303"/>
      <c r="S303"/>
    </row>
    <row r="304" spans="18:19" x14ac:dyDescent="0.35">
      <c r="R304"/>
      <c r="S304"/>
    </row>
    <row r="305" spans="18:19" x14ac:dyDescent="0.35">
      <c r="R305"/>
      <c r="S305"/>
    </row>
    <row r="306" spans="18:19" x14ac:dyDescent="0.35">
      <c r="R306"/>
      <c r="S306"/>
    </row>
    <row r="307" spans="18:19" x14ac:dyDescent="0.35">
      <c r="R307"/>
      <c r="S307"/>
    </row>
    <row r="308" spans="18:19" x14ac:dyDescent="0.35">
      <c r="R308"/>
      <c r="S308"/>
    </row>
    <row r="309" spans="18:19" x14ac:dyDescent="0.35">
      <c r="R309"/>
      <c r="S309"/>
    </row>
    <row r="310" spans="18:19" x14ac:dyDescent="0.35">
      <c r="R310"/>
      <c r="S310"/>
    </row>
    <row r="311" spans="18:19" x14ac:dyDescent="0.35">
      <c r="R311"/>
      <c r="S311"/>
    </row>
    <row r="312" spans="18:19" x14ac:dyDescent="0.35">
      <c r="R312"/>
      <c r="S312"/>
    </row>
    <row r="313" spans="18:19" x14ac:dyDescent="0.35">
      <c r="R313"/>
      <c r="S313"/>
    </row>
    <row r="314" spans="18:19" x14ac:dyDescent="0.35">
      <c r="R314"/>
      <c r="S314"/>
    </row>
    <row r="315" spans="18:19" x14ac:dyDescent="0.35">
      <c r="R315"/>
      <c r="S315"/>
    </row>
    <row r="316" spans="18:19" x14ac:dyDescent="0.35">
      <c r="R316"/>
      <c r="S316"/>
    </row>
    <row r="317" spans="18:19" x14ac:dyDescent="0.35">
      <c r="R317"/>
      <c r="S317"/>
    </row>
    <row r="318" spans="18:19" x14ac:dyDescent="0.35">
      <c r="R318"/>
      <c r="S318"/>
    </row>
    <row r="319" spans="18:19" x14ac:dyDescent="0.35">
      <c r="R319"/>
      <c r="S319"/>
    </row>
    <row r="320" spans="18:19" x14ac:dyDescent="0.35">
      <c r="R320"/>
      <c r="S320"/>
    </row>
    <row r="321" spans="18:19" x14ac:dyDescent="0.35">
      <c r="R321"/>
      <c r="S321"/>
    </row>
    <row r="322" spans="18:19" x14ac:dyDescent="0.35">
      <c r="R322"/>
      <c r="S322"/>
    </row>
    <row r="323" spans="18:19" x14ac:dyDescent="0.35">
      <c r="R323"/>
      <c r="S323"/>
    </row>
    <row r="324" spans="18:19" x14ac:dyDescent="0.35">
      <c r="R324"/>
      <c r="S324"/>
    </row>
    <row r="325" spans="18:19" x14ac:dyDescent="0.35">
      <c r="R325"/>
      <c r="S325"/>
    </row>
    <row r="326" spans="18:19" x14ac:dyDescent="0.35">
      <c r="R326"/>
      <c r="S326"/>
    </row>
    <row r="327" spans="18:19" x14ac:dyDescent="0.35">
      <c r="R327"/>
      <c r="S327"/>
    </row>
    <row r="328" spans="18:19" x14ac:dyDescent="0.35">
      <c r="R328"/>
      <c r="S328"/>
    </row>
    <row r="329" spans="18:19" x14ac:dyDescent="0.35">
      <c r="R329"/>
      <c r="S329"/>
    </row>
    <row r="330" spans="18:19" x14ac:dyDescent="0.35">
      <c r="R330"/>
      <c r="S330"/>
    </row>
    <row r="331" spans="18:19" x14ac:dyDescent="0.35">
      <c r="R331"/>
      <c r="S331"/>
    </row>
    <row r="332" spans="18:19" x14ac:dyDescent="0.35">
      <c r="R332"/>
      <c r="S332"/>
    </row>
    <row r="333" spans="18:19" x14ac:dyDescent="0.35">
      <c r="R333"/>
      <c r="S333"/>
    </row>
    <row r="334" spans="18:19" x14ac:dyDescent="0.35">
      <c r="R334"/>
      <c r="S334"/>
    </row>
    <row r="335" spans="18:19" x14ac:dyDescent="0.35">
      <c r="R335"/>
      <c r="S335"/>
    </row>
    <row r="336" spans="18:19" x14ac:dyDescent="0.35">
      <c r="R336"/>
      <c r="S336"/>
    </row>
    <row r="337" spans="18:19" x14ac:dyDescent="0.35">
      <c r="R337"/>
      <c r="S337"/>
    </row>
    <row r="338" spans="18:19" x14ac:dyDescent="0.35">
      <c r="R338"/>
      <c r="S338"/>
    </row>
    <row r="339" spans="18:19" x14ac:dyDescent="0.35">
      <c r="R339"/>
      <c r="S339"/>
    </row>
    <row r="340" spans="18:19" x14ac:dyDescent="0.35">
      <c r="R340"/>
      <c r="S340"/>
    </row>
    <row r="341" spans="18:19" x14ac:dyDescent="0.35">
      <c r="R341"/>
      <c r="S341"/>
    </row>
    <row r="342" spans="18:19" x14ac:dyDescent="0.35">
      <c r="R342"/>
      <c r="S342"/>
    </row>
    <row r="343" spans="18:19" x14ac:dyDescent="0.35">
      <c r="R343"/>
      <c r="S343"/>
    </row>
    <row r="344" spans="18:19" x14ac:dyDescent="0.35">
      <c r="R344"/>
      <c r="S344"/>
    </row>
    <row r="345" spans="18:19" x14ac:dyDescent="0.35">
      <c r="R345"/>
      <c r="S345"/>
    </row>
    <row r="346" spans="18:19" x14ac:dyDescent="0.35">
      <c r="R346"/>
      <c r="S346"/>
    </row>
    <row r="347" spans="18:19" x14ac:dyDescent="0.35">
      <c r="R347"/>
      <c r="S347"/>
    </row>
    <row r="348" spans="18:19" x14ac:dyDescent="0.35">
      <c r="R348"/>
      <c r="S348"/>
    </row>
    <row r="349" spans="18:19" x14ac:dyDescent="0.35">
      <c r="R349"/>
      <c r="S349"/>
    </row>
    <row r="350" spans="18:19" x14ac:dyDescent="0.35">
      <c r="R350"/>
      <c r="S350"/>
    </row>
    <row r="351" spans="18:19" x14ac:dyDescent="0.35">
      <c r="R351"/>
      <c r="S351"/>
    </row>
    <row r="352" spans="18:19" x14ac:dyDescent="0.35">
      <c r="R352"/>
      <c r="S352"/>
    </row>
    <row r="353" spans="18:19" x14ac:dyDescent="0.35">
      <c r="R353"/>
      <c r="S353"/>
    </row>
    <row r="354" spans="18:19" x14ac:dyDescent="0.35">
      <c r="R354"/>
      <c r="S354"/>
    </row>
    <row r="355" spans="18:19" x14ac:dyDescent="0.35">
      <c r="R355"/>
      <c r="S355"/>
    </row>
    <row r="356" spans="18:19" x14ac:dyDescent="0.35">
      <c r="R356"/>
      <c r="S356"/>
    </row>
    <row r="357" spans="18:19" x14ac:dyDescent="0.35">
      <c r="R357"/>
      <c r="S357"/>
    </row>
    <row r="358" spans="18:19" x14ac:dyDescent="0.35">
      <c r="R358"/>
      <c r="S358"/>
    </row>
    <row r="359" spans="18:19" x14ac:dyDescent="0.35">
      <c r="R359"/>
      <c r="S359"/>
    </row>
    <row r="360" spans="18:19" x14ac:dyDescent="0.35">
      <c r="R360"/>
      <c r="S360"/>
    </row>
    <row r="361" spans="18:19" x14ac:dyDescent="0.35">
      <c r="R361"/>
      <c r="S361"/>
    </row>
    <row r="362" spans="18:19" x14ac:dyDescent="0.35">
      <c r="R362"/>
      <c r="S362"/>
    </row>
    <row r="363" spans="18:19" x14ac:dyDescent="0.35">
      <c r="R363"/>
      <c r="S363"/>
    </row>
    <row r="364" spans="18:19" x14ac:dyDescent="0.35">
      <c r="R364"/>
      <c r="S364"/>
    </row>
    <row r="365" spans="18:19" x14ac:dyDescent="0.35">
      <c r="R365"/>
      <c r="S365"/>
    </row>
    <row r="366" spans="18:19" x14ac:dyDescent="0.35">
      <c r="R366"/>
      <c r="S366"/>
    </row>
    <row r="367" spans="18:19" x14ac:dyDescent="0.35">
      <c r="R367"/>
      <c r="S367"/>
    </row>
    <row r="368" spans="18:19" x14ac:dyDescent="0.35">
      <c r="R368"/>
      <c r="S368"/>
    </row>
    <row r="369" spans="18:19" x14ac:dyDescent="0.35">
      <c r="R369"/>
      <c r="S369"/>
    </row>
    <row r="370" spans="18:19" x14ac:dyDescent="0.35">
      <c r="R370"/>
      <c r="S370"/>
    </row>
    <row r="371" spans="18:19" x14ac:dyDescent="0.35">
      <c r="R371"/>
      <c r="S371"/>
    </row>
    <row r="372" spans="18:19" x14ac:dyDescent="0.35">
      <c r="R372"/>
      <c r="S372"/>
    </row>
    <row r="373" spans="18:19" x14ac:dyDescent="0.35">
      <c r="R373"/>
      <c r="S373"/>
    </row>
    <row r="374" spans="18:19" x14ac:dyDescent="0.35">
      <c r="R374"/>
      <c r="S374"/>
    </row>
    <row r="375" spans="18:19" x14ac:dyDescent="0.35">
      <c r="R375"/>
      <c r="S375"/>
    </row>
    <row r="376" spans="18:19" x14ac:dyDescent="0.35">
      <c r="R376"/>
      <c r="S376"/>
    </row>
    <row r="377" spans="18:19" x14ac:dyDescent="0.35">
      <c r="R377"/>
      <c r="S377"/>
    </row>
    <row r="378" spans="18:19" x14ac:dyDescent="0.35">
      <c r="R378"/>
      <c r="S378"/>
    </row>
    <row r="379" spans="18:19" x14ac:dyDescent="0.35">
      <c r="R379"/>
      <c r="S379"/>
    </row>
    <row r="380" spans="18:19" x14ac:dyDescent="0.35">
      <c r="R380"/>
      <c r="S380"/>
    </row>
    <row r="381" spans="18:19" x14ac:dyDescent="0.35">
      <c r="R381"/>
      <c r="S381"/>
    </row>
    <row r="382" spans="18:19" x14ac:dyDescent="0.35">
      <c r="R382"/>
      <c r="S382"/>
    </row>
    <row r="383" spans="18:19" x14ac:dyDescent="0.35">
      <c r="R383"/>
      <c r="S383"/>
    </row>
    <row r="384" spans="18:19" x14ac:dyDescent="0.35">
      <c r="R384"/>
      <c r="S384"/>
    </row>
    <row r="385" spans="18:19" x14ac:dyDescent="0.35">
      <c r="R385"/>
      <c r="S385"/>
    </row>
    <row r="386" spans="18:19" x14ac:dyDescent="0.35">
      <c r="R386"/>
      <c r="S386"/>
    </row>
    <row r="387" spans="18:19" x14ac:dyDescent="0.35">
      <c r="R387"/>
      <c r="S387"/>
    </row>
    <row r="388" spans="18:19" x14ac:dyDescent="0.35">
      <c r="R388"/>
      <c r="S388"/>
    </row>
    <row r="389" spans="18:19" x14ac:dyDescent="0.35">
      <c r="R389"/>
      <c r="S389"/>
    </row>
    <row r="390" spans="18:19" x14ac:dyDescent="0.35">
      <c r="R390"/>
      <c r="S390"/>
    </row>
    <row r="391" spans="18:19" x14ac:dyDescent="0.35">
      <c r="R391"/>
      <c r="S391"/>
    </row>
    <row r="392" spans="18:19" x14ac:dyDescent="0.35">
      <c r="R392"/>
      <c r="S392"/>
    </row>
    <row r="393" spans="18:19" x14ac:dyDescent="0.35">
      <c r="R393"/>
      <c r="S393"/>
    </row>
    <row r="394" spans="18:19" x14ac:dyDescent="0.35">
      <c r="R394"/>
      <c r="S394"/>
    </row>
    <row r="395" spans="18:19" x14ac:dyDescent="0.35">
      <c r="R395"/>
      <c r="S395"/>
    </row>
    <row r="396" spans="18:19" x14ac:dyDescent="0.35">
      <c r="R396"/>
      <c r="S396"/>
    </row>
    <row r="397" spans="18:19" x14ac:dyDescent="0.35">
      <c r="R397"/>
      <c r="S397"/>
    </row>
    <row r="398" spans="18:19" x14ac:dyDescent="0.35">
      <c r="R398"/>
      <c r="S398"/>
    </row>
    <row r="399" spans="18:19" x14ac:dyDescent="0.35">
      <c r="R399"/>
      <c r="S399"/>
    </row>
    <row r="400" spans="18:19" x14ac:dyDescent="0.35">
      <c r="R400"/>
      <c r="S400"/>
    </row>
    <row r="401" spans="18:19" x14ac:dyDescent="0.35">
      <c r="R401"/>
      <c r="S401"/>
    </row>
    <row r="402" spans="18:19" x14ac:dyDescent="0.35">
      <c r="R402"/>
      <c r="S402"/>
    </row>
    <row r="403" spans="18:19" x14ac:dyDescent="0.35">
      <c r="R403"/>
      <c r="S403"/>
    </row>
    <row r="404" spans="18:19" x14ac:dyDescent="0.35">
      <c r="R404"/>
      <c r="S404"/>
    </row>
    <row r="405" spans="18:19" x14ac:dyDescent="0.35">
      <c r="R405"/>
      <c r="S405"/>
    </row>
    <row r="406" spans="18:19" x14ac:dyDescent="0.35">
      <c r="R406"/>
      <c r="S406"/>
    </row>
    <row r="407" spans="18:19" x14ac:dyDescent="0.35">
      <c r="R407"/>
      <c r="S407"/>
    </row>
    <row r="408" spans="18:19" x14ac:dyDescent="0.35">
      <c r="R408"/>
      <c r="S408"/>
    </row>
    <row r="409" spans="18:19" x14ac:dyDescent="0.35">
      <c r="R409"/>
      <c r="S409"/>
    </row>
    <row r="410" spans="18:19" x14ac:dyDescent="0.35">
      <c r="R410"/>
      <c r="S410"/>
    </row>
    <row r="411" spans="18:19" x14ac:dyDescent="0.35">
      <c r="R411"/>
      <c r="S411"/>
    </row>
    <row r="412" spans="18:19" x14ac:dyDescent="0.35">
      <c r="R412"/>
      <c r="S412"/>
    </row>
    <row r="413" spans="18:19" x14ac:dyDescent="0.35">
      <c r="R413"/>
      <c r="S413"/>
    </row>
    <row r="414" spans="18:19" x14ac:dyDescent="0.35">
      <c r="R414"/>
      <c r="S414"/>
    </row>
    <row r="415" spans="18:19" x14ac:dyDescent="0.35">
      <c r="R415"/>
      <c r="S415"/>
    </row>
    <row r="416" spans="18:19" x14ac:dyDescent="0.35">
      <c r="R416"/>
      <c r="S416"/>
    </row>
    <row r="417" spans="18:19" x14ac:dyDescent="0.35">
      <c r="R417"/>
      <c r="S417"/>
    </row>
    <row r="418" spans="18:19" x14ac:dyDescent="0.35">
      <c r="R418"/>
      <c r="S418"/>
    </row>
    <row r="419" spans="18:19" x14ac:dyDescent="0.35">
      <c r="R419"/>
      <c r="S419"/>
    </row>
    <row r="420" spans="18:19" x14ac:dyDescent="0.35">
      <c r="R420"/>
      <c r="S420"/>
    </row>
    <row r="421" spans="18:19" x14ac:dyDescent="0.35">
      <c r="R421"/>
      <c r="S421"/>
    </row>
    <row r="422" spans="18:19" x14ac:dyDescent="0.35">
      <c r="R422"/>
      <c r="S422"/>
    </row>
    <row r="423" spans="18:19" x14ac:dyDescent="0.35">
      <c r="R423"/>
      <c r="S423"/>
    </row>
    <row r="424" spans="18:19" x14ac:dyDescent="0.35">
      <c r="R424"/>
      <c r="S424"/>
    </row>
    <row r="425" spans="18:19" x14ac:dyDescent="0.35">
      <c r="R425"/>
      <c r="S425"/>
    </row>
    <row r="426" spans="18:19" x14ac:dyDescent="0.35">
      <c r="R426"/>
      <c r="S426"/>
    </row>
    <row r="427" spans="18:19" x14ac:dyDescent="0.35">
      <c r="R427"/>
      <c r="S427"/>
    </row>
    <row r="428" spans="18:19" x14ac:dyDescent="0.35">
      <c r="R428"/>
      <c r="S428"/>
    </row>
    <row r="429" spans="18:19" x14ac:dyDescent="0.35">
      <c r="R429"/>
      <c r="S429"/>
    </row>
    <row r="430" spans="18:19" x14ac:dyDescent="0.35">
      <c r="R430"/>
      <c r="S430"/>
    </row>
    <row r="431" spans="18:19" x14ac:dyDescent="0.35">
      <c r="R431"/>
      <c r="S431"/>
    </row>
    <row r="432" spans="18:19" x14ac:dyDescent="0.35">
      <c r="R432"/>
      <c r="S432"/>
    </row>
    <row r="433" spans="18:19" x14ac:dyDescent="0.35">
      <c r="R433"/>
      <c r="S433"/>
    </row>
    <row r="434" spans="18:19" x14ac:dyDescent="0.35">
      <c r="R434"/>
      <c r="S434"/>
    </row>
    <row r="435" spans="18:19" x14ac:dyDescent="0.35">
      <c r="R435"/>
      <c r="S435"/>
    </row>
    <row r="436" spans="18:19" x14ac:dyDescent="0.35">
      <c r="R436"/>
      <c r="S436"/>
    </row>
    <row r="437" spans="18:19" x14ac:dyDescent="0.35">
      <c r="R437"/>
      <c r="S437"/>
    </row>
    <row r="438" spans="18:19" x14ac:dyDescent="0.35">
      <c r="R438"/>
      <c r="S438"/>
    </row>
    <row r="439" spans="18:19" x14ac:dyDescent="0.35">
      <c r="R439"/>
      <c r="S439"/>
    </row>
    <row r="440" spans="18:19" x14ac:dyDescent="0.35">
      <c r="R440"/>
      <c r="S440"/>
    </row>
    <row r="441" spans="18:19" x14ac:dyDescent="0.35">
      <c r="R441"/>
      <c r="S441"/>
    </row>
    <row r="442" spans="18:19" x14ac:dyDescent="0.35">
      <c r="R442"/>
      <c r="S442"/>
    </row>
    <row r="443" spans="18:19" x14ac:dyDescent="0.35">
      <c r="R443"/>
      <c r="S443"/>
    </row>
    <row r="444" spans="18:19" x14ac:dyDescent="0.35">
      <c r="R444"/>
      <c r="S444"/>
    </row>
    <row r="445" spans="18:19" x14ac:dyDescent="0.35">
      <c r="R445"/>
      <c r="S445"/>
    </row>
    <row r="446" spans="18:19" x14ac:dyDescent="0.35">
      <c r="R446"/>
      <c r="S446"/>
    </row>
    <row r="447" spans="18:19" x14ac:dyDescent="0.35">
      <c r="R447"/>
      <c r="S447"/>
    </row>
    <row r="448" spans="18:19" x14ac:dyDescent="0.35">
      <c r="R448"/>
      <c r="S448"/>
    </row>
    <row r="449" spans="18:19" x14ac:dyDescent="0.35">
      <c r="R449"/>
      <c r="S449"/>
    </row>
    <row r="450" spans="18:19" x14ac:dyDescent="0.35">
      <c r="R450"/>
      <c r="S450"/>
    </row>
    <row r="451" spans="18:19" x14ac:dyDescent="0.35">
      <c r="R451"/>
      <c r="S451"/>
    </row>
    <row r="452" spans="18:19" x14ac:dyDescent="0.35">
      <c r="R452"/>
      <c r="S452"/>
    </row>
    <row r="453" spans="18:19" x14ac:dyDescent="0.35">
      <c r="R453"/>
      <c r="S453"/>
    </row>
    <row r="454" spans="18:19" x14ac:dyDescent="0.35">
      <c r="R454"/>
      <c r="S454"/>
    </row>
    <row r="455" spans="18:19" x14ac:dyDescent="0.35">
      <c r="R455"/>
      <c r="S455"/>
    </row>
    <row r="456" spans="18:19" x14ac:dyDescent="0.35">
      <c r="R456"/>
      <c r="S456"/>
    </row>
    <row r="457" spans="18:19" x14ac:dyDescent="0.35">
      <c r="R457"/>
      <c r="S457"/>
    </row>
    <row r="458" spans="18:19" x14ac:dyDescent="0.35">
      <c r="R458"/>
      <c r="S458"/>
    </row>
    <row r="459" spans="18:19" x14ac:dyDescent="0.35">
      <c r="R459"/>
      <c r="S459"/>
    </row>
    <row r="460" spans="18:19" x14ac:dyDescent="0.35">
      <c r="R460"/>
      <c r="S460"/>
    </row>
    <row r="461" spans="18:19" x14ac:dyDescent="0.35">
      <c r="R461"/>
      <c r="S461"/>
    </row>
    <row r="462" spans="18:19" x14ac:dyDescent="0.35">
      <c r="R462"/>
      <c r="S462"/>
    </row>
    <row r="463" spans="18:19" x14ac:dyDescent="0.35">
      <c r="R463"/>
      <c r="S463"/>
    </row>
    <row r="464" spans="18:19" x14ac:dyDescent="0.35">
      <c r="R464"/>
      <c r="S464"/>
    </row>
    <row r="465" spans="18:19" x14ac:dyDescent="0.35">
      <c r="R465"/>
      <c r="S465"/>
    </row>
    <row r="466" spans="18:19" x14ac:dyDescent="0.35">
      <c r="R466"/>
      <c r="S466"/>
    </row>
    <row r="467" spans="18:19" x14ac:dyDescent="0.35">
      <c r="R467"/>
      <c r="S467"/>
    </row>
    <row r="468" spans="18:19" x14ac:dyDescent="0.35">
      <c r="R468"/>
      <c r="S468"/>
    </row>
    <row r="469" spans="18:19" x14ac:dyDescent="0.35">
      <c r="R469"/>
      <c r="S469"/>
    </row>
    <row r="470" spans="18:19" x14ac:dyDescent="0.35">
      <c r="R470"/>
      <c r="S470"/>
    </row>
    <row r="471" spans="18:19" x14ac:dyDescent="0.35">
      <c r="R471"/>
      <c r="S471"/>
    </row>
    <row r="472" spans="18:19" x14ac:dyDescent="0.35">
      <c r="R472"/>
      <c r="S472"/>
    </row>
    <row r="473" spans="18:19" x14ac:dyDescent="0.35">
      <c r="R473"/>
      <c r="S473"/>
    </row>
    <row r="474" spans="18:19" x14ac:dyDescent="0.35">
      <c r="R474"/>
      <c r="S474"/>
    </row>
    <row r="475" spans="18:19" x14ac:dyDescent="0.35">
      <c r="R475"/>
      <c r="S475"/>
    </row>
    <row r="476" spans="18:19" x14ac:dyDescent="0.35">
      <c r="R476"/>
      <c r="S476"/>
    </row>
    <row r="477" spans="18:19" x14ac:dyDescent="0.35">
      <c r="R477"/>
      <c r="S477"/>
    </row>
    <row r="478" spans="18:19" x14ac:dyDescent="0.35">
      <c r="R478"/>
      <c r="S478"/>
    </row>
    <row r="479" spans="18:19" x14ac:dyDescent="0.35">
      <c r="R479"/>
      <c r="S479"/>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76428-AAA1-4C8F-B7DA-131C6CD5A998}">
  <sheetPr codeName="Sheet8"/>
  <dimension ref="B4:J624"/>
  <sheetViews>
    <sheetView showGridLines="0" showRowColHeaders="0" workbookViewId="0">
      <pane ySplit="4" topLeftCell="A5" activePane="bottomLeft" state="frozen"/>
      <selection pane="bottomLeft" activeCell="A5" sqref="A5"/>
    </sheetView>
  </sheetViews>
  <sheetFormatPr defaultColWidth="9.1796875" defaultRowHeight="14.5" x14ac:dyDescent="0.35"/>
  <cols>
    <col min="1" max="1" width="9.1796875" style="33"/>
    <col min="2" max="2" width="33.81640625" style="33" bestFit="1" customWidth="1"/>
    <col min="3" max="3" width="16" style="33" bestFit="1" customWidth="1"/>
    <col min="4" max="4" width="9.1796875" style="33"/>
    <col min="5" max="10" width="19" style="33" customWidth="1"/>
    <col min="11" max="16384" width="9.1796875" style="33"/>
  </cols>
  <sheetData>
    <row r="4" spans="2:10" x14ac:dyDescent="0.35">
      <c r="B4" s="36" t="s">
        <v>20</v>
      </c>
      <c r="C4" s="158"/>
      <c r="D4" s="10"/>
      <c r="E4" s="51" t="str">
        <f>IF(LEN(Kanban!C11)=0,"",Kanban!C11)</f>
        <v>Backlog</v>
      </c>
      <c r="F4" s="51" t="str">
        <f>IF(LEN(Kanban!D11)=0,"",Kanban!D11)</f>
        <v>Research</v>
      </c>
      <c r="G4" s="51" t="str">
        <f>IF(LEN(Kanban!E11)=0,"",Kanban!E11)</f>
        <v>In Progress</v>
      </c>
      <c r="H4" s="51" t="str">
        <f>IF(LEN(Kanban!F11)=0,"",Kanban!F11)</f>
        <v>Q&amp;A</v>
      </c>
      <c r="I4" s="51" t="str">
        <f>IF(LEN(Kanban!G11)=0,"",Kanban!G11)</f>
        <v>Done</v>
      </c>
      <c r="J4" s="51" t="str">
        <f>IF(LEN(Kanban!H11)=0,"",Kanban!H11)</f>
        <v>On Hold</v>
      </c>
    </row>
    <row r="5" spans="2:10" x14ac:dyDescent="0.35">
      <c r="B5" s="54">
        <v>1</v>
      </c>
      <c r="C5" s="159"/>
      <c r="D5" s="10"/>
      <c r="E5" s="52" t="str">
        <f>IFERROR(E7,"-")</f>
        <v>-</v>
      </c>
      <c r="F5" s="52" t="str">
        <f t="shared" ref="F5:J5" si="0">IFERROR(F7,"-")</f>
        <v>-</v>
      </c>
      <c r="G5" s="52" t="str">
        <f t="shared" si="0"/>
        <v>-</v>
      </c>
      <c r="H5" s="52" t="str">
        <f t="shared" si="0"/>
        <v>-</v>
      </c>
      <c r="I5" s="52" t="str">
        <f t="shared" si="0"/>
        <v>-</v>
      </c>
      <c r="J5" s="52" t="str">
        <f t="shared" si="0"/>
        <v>-</v>
      </c>
    </row>
    <row r="6" spans="2:10" x14ac:dyDescent="0.35">
      <c r="B6" s="54">
        <v>1</v>
      </c>
      <c r="C6" s="159"/>
      <c r="D6" s="10"/>
      <c r="E6" s="52" t="str">
        <f>IFERROR(E7,"-")</f>
        <v>-</v>
      </c>
      <c r="F6" s="52" t="str">
        <f t="shared" ref="F6:J6" si="1">IFERROR(F7,"-")</f>
        <v>-</v>
      </c>
      <c r="G6" s="52" t="str">
        <f t="shared" si="1"/>
        <v>-</v>
      </c>
      <c r="H6" s="52" t="str">
        <f t="shared" si="1"/>
        <v>-</v>
      </c>
      <c r="I6" s="52" t="str">
        <f t="shared" si="1"/>
        <v>-</v>
      </c>
      <c r="J6" s="52" t="str">
        <f t="shared" si="1"/>
        <v>-</v>
      </c>
    </row>
    <row r="7" spans="2:10" x14ac:dyDescent="0.35">
      <c r="B7" s="54">
        <v>1</v>
      </c>
      <c r="C7" s="159"/>
      <c r="D7" s="10"/>
      <c r="E7" s="53" t="str">
        <f t="array" ref="E7">IFERROR(IF(Kanban!$C$7="All",INDEX(Calc!$F$8:$F$500,MATCH(INDEX(Calc!$D$8:$D$500,MATCH(SMALL(IF((Calc!$K$8:$K$500=Kanban!C$11)*(Calc!$Y$8:$Y$500&gt;0),Calc!$Y$8:$Y$500,99999),$B5),Calc!$Y$8:$Y$500,0)),Calc!$D$8:$D$500,0)),
INDEX(Calc!$F$8:$F$500,MATCH(INDEX(Calc!$D$8:$D$500,MATCH(SMALL(IF((Calc!$K$8:$K$500=Kanban!C$11)*(Calc!$C$8:$C$500=Kanban!$C$7)*(Calc!$Y$8:$Y$500&gt;0),Calc!$Y$8:$Y$500,99999),$B5),Calc!$Y$8:$Y$500,0)),Calc!$D$8:$D$500,0)) ),"-")</f>
        <v>-</v>
      </c>
      <c r="F7" s="53" t="str">
        <f t="array" ref="F7">IFERROR(IF(Kanban!$C$7="All",INDEX(Calc!$F$8:$F$500,MATCH(INDEX(Calc!$D$8:$D$500,MATCH(SMALL(IF((Calc!$K$8:$K$500=Kanban!D$11)*(Calc!$Y$8:$Y$500&gt;0),Calc!$Y$8:$Y$500,99999),$B5),Calc!$Y$8:$Y$500,0)),Calc!$D$8:$D$500,0)),
INDEX(Calc!$F$8:$F$500,MATCH(INDEX(Calc!$D$8:$D$500,MATCH(SMALL(IF((Calc!$K$8:$K$500=Kanban!D$11)*(Calc!$C$8:$C$500=Kanban!$C$7)*(Calc!$Y$8:$Y$500&gt;0),Calc!$Y$8:$Y$500,99999),$B5),Calc!$Y$8:$Y$500,0)),Calc!$D$8:$D$500,0)) ),"-")</f>
        <v>-</v>
      </c>
      <c r="G7" s="53" t="str">
        <f t="array" ref="G7">IFERROR(IF(Kanban!$C$7="All",INDEX(Calc!$F$8:$F$500,MATCH(INDEX(Calc!$D$8:$D$500,MATCH(SMALL(IF((Calc!$K$8:$K$500=Kanban!E$11)*(Calc!$Y$8:$Y$500&gt;0),Calc!$Y$8:$Y$500,99999),$B5),Calc!$Y$8:$Y$500,0)),Calc!$D$8:$D$500,0)),
INDEX(Calc!$F$8:$F$500,MATCH(INDEX(Calc!$D$8:$D$500,MATCH(SMALL(IF((Calc!$K$8:$K$500=Kanban!E$11)*(Calc!$C$8:$C$500=Kanban!$C$7)*(Calc!$Y$8:$Y$500&gt;0),Calc!$Y$8:$Y$500,99999),$B5),Calc!$Y$8:$Y$500,0)),Calc!$D$8:$D$500,0)) ),"-")</f>
        <v>-</v>
      </c>
      <c r="H7" s="53" t="str">
        <f t="array" ref="H7">IFERROR(IF(Kanban!$C$7="All",INDEX(Calc!$F$8:$F$500,MATCH(INDEX(Calc!$D$8:$D$500,MATCH(SMALL(IF((Calc!$K$8:$K$500=Kanban!F$11)*(Calc!$Y$8:$Y$500&gt;0),Calc!$Y$8:$Y$500,99999),$B5),Calc!$Y$8:$Y$500,0)),Calc!$D$8:$D$500,0)),
INDEX(Calc!$F$8:$F$500,MATCH(INDEX(Calc!$D$8:$D$500,MATCH(SMALL(IF((Calc!$K$8:$K$500=Kanban!F$11)*(Calc!$C$8:$C$500=Kanban!$C$7)*(Calc!$Y$8:$Y$500&gt;0),Calc!$Y$8:$Y$500,99999),$B5),Calc!$Y$8:$Y$500,0)),Calc!$D$8:$D$500,0)) ),"-")</f>
        <v>-</v>
      </c>
      <c r="I7" s="53" t="str">
        <f t="array" ref="I7">IFERROR(IF(Kanban!$C$7="All",INDEX(Calc!$F$8:$F$500,MATCH(INDEX(Calc!$D$8:$D$500,MATCH(SMALL(IF((Calc!$K$8:$K$500=Kanban!G$11)*(Calc!$Y$8:$Y$500&gt;0),Calc!$Y$8:$Y$500,99999),$B5),Calc!$Y$8:$Y$500,0)),Calc!$D$8:$D$500,0)),
INDEX(Calc!$F$8:$F$500,MATCH(INDEX(Calc!$D$8:$D$500,MATCH(SMALL(IF((Calc!$K$8:$K$500=Kanban!G$11)*(Calc!$C$8:$C$500=Kanban!$C$7)*(Calc!$Y$8:$Y$500&gt;0),Calc!$Y$8:$Y$500,99999),$B5),Calc!$Y$8:$Y$500,0)),Calc!$D$8:$D$500,0)) ),"-")</f>
        <v>-</v>
      </c>
      <c r="J7" s="53" t="str">
        <f t="array" ref="J7">IFERROR(IF(Kanban!$C$7="All",INDEX(Calc!$F$8:$F$500,MATCH(INDEX(Calc!$D$8:$D$500,MATCH(SMALL(IF((Calc!$K$8:$K$500=Kanban!H$11)*(Calc!$Y$8:$Y$500&gt;0),Calc!$Y$8:$Y$500,99999),$B5),Calc!$Y$8:$Y$500,0)),Calc!$D$8:$D$500,0)),
INDEX(Calc!$F$8:$F$500,MATCH(INDEX(Calc!$D$8:$D$500,MATCH(SMALL(IF((Calc!$K$8:$K$500=Kanban!H$11)*(Calc!$C$8:$C$500=Kanban!$C$7)*(Calc!$Y$8:$Y$500&gt;0),Calc!$Y$8:$Y$500,99999),$B5),Calc!$Y$8:$Y$500,0)),Calc!$D$8:$D$500,0)) ),"-")</f>
        <v>-</v>
      </c>
    </row>
    <row r="8" spans="2:10" x14ac:dyDescent="0.35">
      <c r="B8" s="54">
        <f t="shared" ref="B8:B70" si="2">IF(COUNTIF(B5:B7,B7)=3,B7+1,B7)</f>
        <v>2</v>
      </c>
      <c r="C8" s="10"/>
      <c r="D8" s="10"/>
      <c r="E8" s="52" t="str">
        <f>IFERROR(E10,"-")</f>
        <v>-</v>
      </c>
      <c r="F8" s="52" t="str">
        <f t="shared" ref="F8:J8" si="3">IFERROR(F10,"-")</f>
        <v>-</v>
      </c>
      <c r="G8" s="52" t="str">
        <f t="shared" si="3"/>
        <v>-</v>
      </c>
      <c r="H8" s="52" t="str">
        <f t="shared" si="3"/>
        <v>-</v>
      </c>
      <c r="I8" s="52" t="str">
        <f t="shared" si="3"/>
        <v>-</v>
      </c>
      <c r="J8" s="52" t="str">
        <f t="shared" si="3"/>
        <v>-</v>
      </c>
    </row>
    <row r="9" spans="2:10" x14ac:dyDescent="0.35">
      <c r="B9" s="54">
        <f t="shared" si="2"/>
        <v>2</v>
      </c>
      <c r="C9" s="10"/>
      <c r="D9" s="10"/>
      <c r="E9" s="52" t="str">
        <f>IFERROR(E10,"-")</f>
        <v>-</v>
      </c>
      <c r="F9" s="52" t="str">
        <f t="shared" ref="F9:J9" si="4">IFERROR(F10,"-")</f>
        <v>-</v>
      </c>
      <c r="G9" s="52" t="str">
        <f t="shared" si="4"/>
        <v>-</v>
      </c>
      <c r="H9" s="52" t="str">
        <f t="shared" si="4"/>
        <v>-</v>
      </c>
      <c r="I9" s="52" t="str">
        <f t="shared" si="4"/>
        <v>-</v>
      </c>
      <c r="J9" s="52" t="str">
        <f t="shared" si="4"/>
        <v>-</v>
      </c>
    </row>
    <row r="10" spans="2:10" x14ac:dyDescent="0.35">
      <c r="B10" s="54">
        <f t="shared" si="2"/>
        <v>2</v>
      </c>
      <c r="C10" s="10"/>
      <c r="D10" s="10"/>
      <c r="E10" s="53" t="str">
        <f t="array" ref="E10">IFERROR(IF(Kanban!$C$7="All",INDEX(Calc!$F$8:$F$500,MATCH(INDEX(Calc!$D$8:$D$500,MATCH(SMALL(IF((Calc!$K$8:$K$500=Kanban!C$11)*(Calc!$Y$8:$Y$500&gt;0),Calc!$Y$8:$Y$500,99999),$B8),Calc!$Y$8:$Y$500,0)),Calc!$D$8:$D$500,0)),
INDEX(Calc!$F$8:$F$500,MATCH(INDEX(Calc!$D$8:$D$500,MATCH(SMALL(IF((Calc!$K$8:$K$500=Kanban!C$11)*(Calc!$C$8:$C$500=Kanban!$C$7)*(Calc!$Y$8:$Y$500&gt;0),Calc!$Y$8:$Y$500,99999),$B8),Calc!$Y$8:$Y$500,0)),Calc!$D$8:$D$500,0)) ),"-")</f>
        <v>-</v>
      </c>
      <c r="F10" s="53" t="str">
        <f t="array" ref="F10">IFERROR(IF(Kanban!$C$7="All",INDEX(Calc!$F$8:$F$500,MATCH(INDEX(Calc!$D$8:$D$500,MATCH(SMALL(IF((Calc!$K$8:$K$500=Kanban!D$11)*(Calc!$Y$8:$Y$500&gt;0),Calc!$Y$8:$Y$500,99999),$B8),Calc!$Y$8:$Y$500,0)),Calc!$D$8:$D$500,0)),
INDEX(Calc!$F$8:$F$500,MATCH(INDEX(Calc!$D$8:$D$500,MATCH(SMALL(IF((Calc!$K$8:$K$500=Kanban!D$11)*(Calc!$C$8:$C$500=Kanban!$C$7)*(Calc!$Y$8:$Y$500&gt;0),Calc!$Y$8:$Y$500,99999),$B8),Calc!$Y$8:$Y$500,0)),Calc!$D$8:$D$500,0)) ),"-")</f>
        <v>-</v>
      </c>
      <c r="G10" s="53" t="str">
        <f t="array" ref="G10">IFERROR(IF(Kanban!$C$7="All",INDEX(Calc!$F$8:$F$500,MATCH(INDEX(Calc!$D$8:$D$500,MATCH(SMALL(IF((Calc!$K$8:$K$500=Kanban!E$11)*(Calc!$Y$8:$Y$500&gt;0),Calc!$Y$8:$Y$500,99999),$B8),Calc!$Y$8:$Y$500,0)),Calc!$D$8:$D$500,0)),
INDEX(Calc!$F$8:$F$500,MATCH(INDEX(Calc!$D$8:$D$500,MATCH(SMALL(IF((Calc!$K$8:$K$500=Kanban!E$11)*(Calc!$C$8:$C$500=Kanban!$C$7)*(Calc!$Y$8:$Y$500&gt;0),Calc!$Y$8:$Y$500,99999),$B8),Calc!$Y$8:$Y$500,0)),Calc!$D$8:$D$500,0)) ),"-")</f>
        <v>-</v>
      </c>
      <c r="H10" s="53" t="str">
        <f t="array" ref="H10">IFERROR(IF(Kanban!$C$7="All",INDEX(Calc!$F$8:$F$500,MATCH(INDEX(Calc!$D$8:$D$500,MATCH(SMALL(IF((Calc!$K$8:$K$500=Kanban!F$11)*(Calc!$Y$8:$Y$500&gt;0),Calc!$Y$8:$Y$500,99999),$B8),Calc!$Y$8:$Y$500,0)),Calc!$D$8:$D$500,0)),
INDEX(Calc!$F$8:$F$500,MATCH(INDEX(Calc!$D$8:$D$500,MATCH(SMALL(IF((Calc!$K$8:$K$500=Kanban!F$11)*(Calc!$C$8:$C$500=Kanban!$C$7)*(Calc!$Y$8:$Y$500&gt;0),Calc!$Y$8:$Y$500,99999),$B8),Calc!$Y$8:$Y$500,0)),Calc!$D$8:$D$500,0)) ),"-")</f>
        <v>-</v>
      </c>
      <c r="I10" s="53" t="str">
        <f t="array" ref="I10">IFERROR(IF(Kanban!$C$7="All",INDEX(Calc!$F$8:$F$500,MATCH(INDEX(Calc!$D$8:$D$500,MATCH(SMALL(IF((Calc!$K$8:$K$500=Kanban!G$11)*(Calc!$Y$8:$Y$500&gt;0),Calc!$Y$8:$Y$500,99999),$B8),Calc!$Y$8:$Y$500,0)),Calc!$D$8:$D$500,0)),
INDEX(Calc!$F$8:$F$500,MATCH(INDEX(Calc!$D$8:$D$500,MATCH(SMALL(IF((Calc!$K$8:$K$500=Kanban!G$11)*(Calc!$C$8:$C$500=Kanban!$C$7)*(Calc!$Y$8:$Y$500&gt;0),Calc!$Y$8:$Y$500,99999),$B8),Calc!$Y$8:$Y$500,0)),Calc!$D$8:$D$500,0)) ),"-")</f>
        <v>-</v>
      </c>
      <c r="J10" s="53" t="str">
        <f t="array" ref="J10">IFERROR(IF(Kanban!$C$7="All",INDEX(Calc!$F$8:$F$500,MATCH(INDEX(Calc!$D$8:$D$500,MATCH(SMALL(IF((Calc!$K$8:$K$500=Kanban!H$11)*(Calc!$Y$8:$Y$500&gt;0),Calc!$Y$8:$Y$500,99999),$B8),Calc!$Y$8:$Y$500,0)),Calc!$D$8:$D$500,0)),
INDEX(Calc!$F$8:$F$500,MATCH(INDEX(Calc!$D$8:$D$500,MATCH(SMALL(IF((Calc!$K$8:$K$500=Kanban!H$11)*(Calc!$C$8:$C$500=Kanban!$C$7)*(Calc!$Y$8:$Y$500&gt;0),Calc!$Y$8:$Y$500,99999),$B8),Calc!$Y$8:$Y$500,0)),Calc!$D$8:$D$500,0)) ),"-")</f>
        <v>-</v>
      </c>
    </row>
    <row r="11" spans="2:10" x14ac:dyDescent="0.35">
      <c r="B11" s="54">
        <f t="shared" si="2"/>
        <v>3</v>
      </c>
      <c r="C11" s="10"/>
      <c r="D11" s="10"/>
      <c r="E11" s="52" t="str">
        <f t="shared" ref="E11:J11" si="5">IFERROR(E13,"-")</f>
        <v>-</v>
      </c>
      <c r="F11" s="52" t="str">
        <f t="shared" si="5"/>
        <v>-</v>
      </c>
      <c r="G11" s="52" t="str">
        <f t="shared" si="5"/>
        <v>-</v>
      </c>
      <c r="H11" s="52" t="str">
        <f t="shared" si="5"/>
        <v>-</v>
      </c>
      <c r="I11" s="52" t="str">
        <f t="shared" si="5"/>
        <v>-</v>
      </c>
      <c r="J11" s="52" t="str">
        <f t="shared" si="5"/>
        <v>-</v>
      </c>
    </row>
    <row r="12" spans="2:10" x14ac:dyDescent="0.35">
      <c r="B12" s="54">
        <f t="shared" si="2"/>
        <v>3</v>
      </c>
      <c r="C12" s="10"/>
      <c r="D12" s="10"/>
      <c r="E12" s="52" t="str">
        <f t="shared" ref="E12:J12" si="6">IFERROR(E13,"-")</f>
        <v>-</v>
      </c>
      <c r="F12" s="52" t="str">
        <f t="shared" si="6"/>
        <v>-</v>
      </c>
      <c r="G12" s="52" t="str">
        <f t="shared" si="6"/>
        <v>-</v>
      </c>
      <c r="H12" s="52" t="str">
        <f t="shared" si="6"/>
        <v>-</v>
      </c>
      <c r="I12" s="52" t="str">
        <f t="shared" si="6"/>
        <v>-</v>
      </c>
      <c r="J12" s="52" t="str">
        <f t="shared" si="6"/>
        <v>-</v>
      </c>
    </row>
    <row r="13" spans="2:10" x14ac:dyDescent="0.35">
      <c r="B13" s="54">
        <f t="shared" si="2"/>
        <v>3</v>
      </c>
      <c r="C13" s="10"/>
      <c r="D13" s="10"/>
      <c r="E13" s="53" t="str">
        <f t="array" ref="E13">IFERROR(IF(Kanban!$C$7="All",INDEX(Calc!$F$8:$F$500,MATCH(INDEX(Calc!$D$8:$D$500,MATCH(SMALL(IF((Calc!$K$8:$K$500=Kanban!C$11)*(Calc!$Y$8:$Y$500&gt;0),Calc!$Y$8:$Y$500,99999),$B11),Calc!$Y$8:$Y$500,0)),Calc!$D$8:$D$500,0)),
INDEX(Calc!$F$8:$F$500,MATCH(INDEX(Calc!$D$8:$D$500,MATCH(SMALL(IF((Calc!$K$8:$K$500=Kanban!C$11)*(Calc!$C$8:$C$500=Kanban!$C$7)*(Calc!$Y$8:$Y$500&gt;0),Calc!$Y$8:$Y$500,99999),$B11),Calc!$Y$8:$Y$500,0)),Calc!$D$8:$D$500,0)) ),"-")</f>
        <v>-</v>
      </c>
      <c r="F13" s="53" t="str">
        <f t="array" ref="F13">IFERROR(IF(Kanban!$C$7="All",INDEX(Calc!$F$8:$F$500,MATCH(INDEX(Calc!$D$8:$D$500,MATCH(SMALL(IF((Calc!$K$8:$K$500=Kanban!D$11)*(Calc!$Y$8:$Y$500&gt;0),Calc!$Y$8:$Y$500,99999),$B11),Calc!$Y$8:$Y$500,0)),Calc!$D$8:$D$500,0)),
INDEX(Calc!$F$8:$F$500,MATCH(INDEX(Calc!$D$8:$D$500,MATCH(SMALL(IF((Calc!$K$8:$K$500=Kanban!D$11)*(Calc!$C$8:$C$500=Kanban!$C$7)*(Calc!$Y$8:$Y$500&gt;0),Calc!$Y$8:$Y$500,99999),$B11),Calc!$Y$8:$Y$500,0)),Calc!$D$8:$D$500,0)) ),"-")</f>
        <v>-</v>
      </c>
      <c r="G13" s="53" t="str">
        <f t="array" ref="G13">IFERROR(IF(Kanban!$C$7="All",INDEX(Calc!$F$8:$F$500,MATCH(INDEX(Calc!$D$8:$D$500,MATCH(SMALL(IF((Calc!$K$8:$K$500=Kanban!E$11)*(Calc!$Y$8:$Y$500&gt;0),Calc!$Y$8:$Y$500,99999),$B11),Calc!$Y$8:$Y$500,0)),Calc!$D$8:$D$500,0)),
INDEX(Calc!$F$8:$F$500,MATCH(INDEX(Calc!$D$8:$D$500,MATCH(SMALL(IF((Calc!$K$8:$K$500=Kanban!E$11)*(Calc!$C$8:$C$500=Kanban!$C$7)*(Calc!$Y$8:$Y$500&gt;0),Calc!$Y$8:$Y$500,99999),$B11),Calc!$Y$8:$Y$500,0)),Calc!$D$8:$D$500,0)) ),"-")</f>
        <v>-</v>
      </c>
      <c r="H13" s="53" t="str">
        <f t="array" ref="H13">IFERROR(IF(Kanban!$C$7="All",INDEX(Calc!$F$8:$F$500,MATCH(INDEX(Calc!$D$8:$D$500,MATCH(SMALL(IF((Calc!$K$8:$K$500=Kanban!F$11)*(Calc!$Y$8:$Y$500&gt;0),Calc!$Y$8:$Y$500,99999),$B11),Calc!$Y$8:$Y$500,0)),Calc!$D$8:$D$500,0)),
INDEX(Calc!$F$8:$F$500,MATCH(INDEX(Calc!$D$8:$D$500,MATCH(SMALL(IF((Calc!$K$8:$K$500=Kanban!F$11)*(Calc!$C$8:$C$500=Kanban!$C$7)*(Calc!$Y$8:$Y$500&gt;0),Calc!$Y$8:$Y$500,99999),$B11),Calc!$Y$8:$Y$500,0)),Calc!$D$8:$D$500,0)) ),"-")</f>
        <v>-</v>
      </c>
      <c r="I13" s="53" t="str">
        <f t="array" ref="I13">IFERROR(IF(Kanban!$C$7="All",INDEX(Calc!$F$8:$F$500,MATCH(INDEX(Calc!$D$8:$D$500,MATCH(SMALL(IF((Calc!$K$8:$K$500=Kanban!G$11)*(Calc!$Y$8:$Y$500&gt;0),Calc!$Y$8:$Y$500,99999),$B11),Calc!$Y$8:$Y$500,0)),Calc!$D$8:$D$500,0)),
INDEX(Calc!$F$8:$F$500,MATCH(INDEX(Calc!$D$8:$D$500,MATCH(SMALL(IF((Calc!$K$8:$K$500=Kanban!G$11)*(Calc!$C$8:$C$500=Kanban!$C$7)*(Calc!$Y$8:$Y$500&gt;0),Calc!$Y$8:$Y$500,99999),$B11),Calc!$Y$8:$Y$500,0)),Calc!$D$8:$D$500,0)) ),"-")</f>
        <v>-</v>
      </c>
      <c r="J13" s="53" t="str">
        <f t="array" ref="J13">IFERROR(IF(Kanban!$C$7="All",INDEX(Calc!$F$8:$F$500,MATCH(INDEX(Calc!$D$8:$D$500,MATCH(SMALL(IF((Calc!$K$8:$K$500=Kanban!H$11)*(Calc!$Y$8:$Y$500&gt;0),Calc!$Y$8:$Y$500,99999),$B11),Calc!$Y$8:$Y$500,0)),Calc!$D$8:$D$500,0)),
INDEX(Calc!$F$8:$F$500,MATCH(INDEX(Calc!$D$8:$D$500,MATCH(SMALL(IF((Calc!$K$8:$K$500=Kanban!H$11)*(Calc!$C$8:$C$500=Kanban!$C$7)*(Calc!$Y$8:$Y$500&gt;0),Calc!$Y$8:$Y$500,99999),$B11),Calc!$Y$8:$Y$500,0)),Calc!$D$8:$D$500,0)) ),"-")</f>
        <v>-</v>
      </c>
    </row>
    <row r="14" spans="2:10" x14ac:dyDescent="0.35">
      <c r="B14" s="54">
        <f t="shared" si="2"/>
        <v>4</v>
      </c>
      <c r="C14" s="10"/>
      <c r="D14" s="10"/>
      <c r="E14" s="52" t="str">
        <f t="shared" ref="E14:J14" si="7">IFERROR(E16,"-")</f>
        <v>-</v>
      </c>
      <c r="F14" s="52" t="str">
        <f t="shared" si="7"/>
        <v>-</v>
      </c>
      <c r="G14" s="52" t="str">
        <f t="shared" si="7"/>
        <v>-</v>
      </c>
      <c r="H14" s="52" t="str">
        <f t="shared" si="7"/>
        <v>-</v>
      </c>
      <c r="I14" s="52" t="str">
        <f t="shared" si="7"/>
        <v>-</v>
      </c>
      <c r="J14" s="52" t="str">
        <f t="shared" si="7"/>
        <v>-</v>
      </c>
    </row>
    <row r="15" spans="2:10" x14ac:dyDescent="0.35">
      <c r="B15" s="54">
        <f t="shared" si="2"/>
        <v>4</v>
      </c>
      <c r="C15" s="10"/>
      <c r="D15" s="10"/>
      <c r="E15" s="52" t="str">
        <f t="shared" ref="E15:J15" si="8">IFERROR(E16,"-")</f>
        <v>-</v>
      </c>
      <c r="F15" s="52" t="str">
        <f t="shared" si="8"/>
        <v>-</v>
      </c>
      <c r="G15" s="52" t="str">
        <f t="shared" si="8"/>
        <v>-</v>
      </c>
      <c r="H15" s="52" t="str">
        <f t="shared" si="8"/>
        <v>-</v>
      </c>
      <c r="I15" s="52" t="str">
        <f t="shared" si="8"/>
        <v>-</v>
      </c>
      <c r="J15" s="52" t="str">
        <f t="shared" si="8"/>
        <v>-</v>
      </c>
    </row>
    <row r="16" spans="2:10" x14ac:dyDescent="0.35">
      <c r="B16" s="54">
        <f t="shared" si="2"/>
        <v>4</v>
      </c>
      <c r="C16" s="10"/>
      <c r="D16" s="10"/>
      <c r="E16" s="53" t="str">
        <f t="array" ref="E16">IFERROR(IF(Kanban!$C$7="All",INDEX(Calc!$F$8:$F$500,MATCH(INDEX(Calc!$D$8:$D$500,MATCH(SMALL(IF((Calc!$K$8:$K$500=Kanban!C$11)*(Calc!$Y$8:$Y$500&gt;0),Calc!$Y$8:$Y$500,99999),$B14),Calc!$Y$8:$Y$500,0)),Calc!$D$8:$D$500,0)),
INDEX(Calc!$F$8:$F$500,MATCH(INDEX(Calc!$D$8:$D$500,MATCH(SMALL(IF((Calc!$K$8:$K$500=Kanban!C$11)*(Calc!$C$8:$C$500=Kanban!$C$7)*(Calc!$Y$8:$Y$500&gt;0),Calc!$Y$8:$Y$500,99999),$B14),Calc!$Y$8:$Y$500,0)),Calc!$D$8:$D$500,0)) ),"-")</f>
        <v>-</v>
      </c>
      <c r="F16" s="53" t="str">
        <f t="array" ref="F16">IFERROR(IF(Kanban!$C$7="All",INDEX(Calc!$F$8:$F$500,MATCH(INDEX(Calc!$D$8:$D$500,MATCH(SMALL(IF((Calc!$K$8:$K$500=Kanban!D$11)*(Calc!$Y$8:$Y$500&gt;0),Calc!$Y$8:$Y$500,99999),$B14),Calc!$Y$8:$Y$500,0)),Calc!$D$8:$D$500,0)),
INDEX(Calc!$F$8:$F$500,MATCH(INDEX(Calc!$D$8:$D$500,MATCH(SMALL(IF((Calc!$K$8:$K$500=Kanban!D$11)*(Calc!$C$8:$C$500=Kanban!$C$7)*(Calc!$Y$8:$Y$500&gt;0),Calc!$Y$8:$Y$500,99999),$B14),Calc!$Y$8:$Y$500,0)),Calc!$D$8:$D$500,0)) ),"-")</f>
        <v>-</v>
      </c>
      <c r="G16" s="53" t="str">
        <f t="array" ref="G16">IFERROR(IF(Kanban!$C$7="All",INDEX(Calc!$F$8:$F$500,MATCH(INDEX(Calc!$D$8:$D$500,MATCH(SMALL(IF((Calc!$K$8:$K$500=Kanban!E$11)*(Calc!$Y$8:$Y$500&gt;0),Calc!$Y$8:$Y$500,99999),$B14),Calc!$Y$8:$Y$500,0)),Calc!$D$8:$D$500,0)),
INDEX(Calc!$F$8:$F$500,MATCH(INDEX(Calc!$D$8:$D$500,MATCH(SMALL(IF((Calc!$K$8:$K$500=Kanban!E$11)*(Calc!$C$8:$C$500=Kanban!$C$7)*(Calc!$Y$8:$Y$500&gt;0),Calc!$Y$8:$Y$500,99999),$B14),Calc!$Y$8:$Y$500,0)),Calc!$D$8:$D$500,0)) ),"-")</f>
        <v>-</v>
      </c>
      <c r="H16" s="53" t="str">
        <f t="array" ref="H16">IFERROR(IF(Kanban!$C$7="All",INDEX(Calc!$F$8:$F$500,MATCH(INDEX(Calc!$D$8:$D$500,MATCH(SMALL(IF((Calc!$K$8:$K$500=Kanban!F$11)*(Calc!$Y$8:$Y$500&gt;0),Calc!$Y$8:$Y$500,99999),$B14),Calc!$Y$8:$Y$500,0)),Calc!$D$8:$D$500,0)),
INDEX(Calc!$F$8:$F$500,MATCH(INDEX(Calc!$D$8:$D$500,MATCH(SMALL(IF((Calc!$K$8:$K$500=Kanban!F$11)*(Calc!$C$8:$C$500=Kanban!$C$7)*(Calc!$Y$8:$Y$500&gt;0),Calc!$Y$8:$Y$500,99999),$B14),Calc!$Y$8:$Y$500,0)),Calc!$D$8:$D$500,0)) ),"-")</f>
        <v>-</v>
      </c>
      <c r="I16" s="53" t="str">
        <f t="array" ref="I16">IFERROR(IF(Kanban!$C$7="All",INDEX(Calc!$F$8:$F$500,MATCH(INDEX(Calc!$D$8:$D$500,MATCH(SMALL(IF((Calc!$K$8:$K$500=Kanban!G$11)*(Calc!$Y$8:$Y$500&gt;0),Calc!$Y$8:$Y$500,99999),$B14),Calc!$Y$8:$Y$500,0)),Calc!$D$8:$D$500,0)),
INDEX(Calc!$F$8:$F$500,MATCH(INDEX(Calc!$D$8:$D$500,MATCH(SMALL(IF((Calc!$K$8:$K$500=Kanban!G$11)*(Calc!$C$8:$C$500=Kanban!$C$7)*(Calc!$Y$8:$Y$500&gt;0),Calc!$Y$8:$Y$500,99999),$B14),Calc!$Y$8:$Y$500,0)),Calc!$D$8:$D$500,0)) ),"-")</f>
        <v>-</v>
      </c>
      <c r="J16" s="53" t="str">
        <f t="array" ref="J16">IFERROR(IF(Kanban!$C$7="All",INDEX(Calc!$F$8:$F$500,MATCH(INDEX(Calc!$D$8:$D$500,MATCH(SMALL(IF((Calc!$K$8:$K$500=Kanban!H$11)*(Calc!$Y$8:$Y$500&gt;0),Calc!$Y$8:$Y$500,99999),$B14),Calc!$Y$8:$Y$500,0)),Calc!$D$8:$D$500,0)),
INDEX(Calc!$F$8:$F$500,MATCH(INDEX(Calc!$D$8:$D$500,MATCH(SMALL(IF((Calc!$K$8:$K$500=Kanban!H$11)*(Calc!$C$8:$C$500=Kanban!$C$7)*(Calc!$Y$8:$Y$500&gt;0),Calc!$Y$8:$Y$500,99999),$B14),Calc!$Y$8:$Y$500,0)),Calc!$D$8:$D$500,0)) ),"-")</f>
        <v>-</v>
      </c>
    </row>
    <row r="17" spans="2:10" x14ac:dyDescent="0.35">
      <c r="B17" s="54">
        <f t="shared" si="2"/>
        <v>5</v>
      </c>
      <c r="C17" s="10"/>
      <c r="D17" s="10"/>
      <c r="E17" s="52" t="str">
        <f t="shared" ref="E17:J17" si="9">IFERROR(E19,"-")</f>
        <v>-</v>
      </c>
      <c r="F17" s="52" t="str">
        <f t="shared" si="9"/>
        <v>-</v>
      </c>
      <c r="G17" s="52" t="str">
        <f t="shared" si="9"/>
        <v>-</v>
      </c>
      <c r="H17" s="52" t="str">
        <f t="shared" si="9"/>
        <v>-</v>
      </c>
      <c r="I17" s="52" t="str">
        <f t="shared" si="9"/>
        <v>-</v>
      </c>
      <c r="J17" s="52" t="str">
        <f t="shared" si="9"/>
        <v>-</v>
      </c>
    </row>
    <row r="18" spans="2:10" x14ac:dyDescent="0.35">
      <c r="B18" s="54">
        <f t="shared" si="2"/>
        <v>5</v>
      </c>
      <c r="C18" s="10"/>
      <c r="D18" s="10"/>
      <c r="E18" s="52" t="str">
        <f t="shared" ref="E18:J18" si="10">IFERROR(E19,"-")</f>
        <v>-</v>
      </c>
      <c r="F18" s="52" t="str">
        <f t="shared" si="10"/>
        <v>-</v>
      </c>
      <c r="G18" s="52" t="str">
        <f t="shared" si="10"/>
        <v>-</v>
      </c>
      <c r="H18" s="52" t="str">
        <f t="shared" si="10"/>
        <v>-</v>
      </c>
      <c r="I18" s="52" t="str">
        <f t="shared" si="10"/>
        <v>-</v>
      </c>
      <c r="J18" s="52" t="str">
        <f t="shared" si="10"/>
        <v>-</v>
      </c>
    </row>
    <row r="19" spans="2:10" x14ac:dyDescent="0.35">
      <c r="B19" s="54">
        <f t="shared" si="2"/>
        <v>5</v>
      </c>
      <c r="C19" s="10"/>
      <c r="D19" s="10"/>
      <c r="E19" s="53" t="str">
        <f t="array" ref="E19">IFERROR(IF(Kanban!$C$7="All",INDEX(Calc!$F$8:$F$500,MATCH(INDEX(Calc!$D$8:$D$500,MATCH(SMALL(IF((Calc!$K$8:$K$500=Kanban!C$11)*(Calc!$Y$8:$Y$500&gt;0),Calc!$Y$8:$Y$500,99999),$B17),Calc!$Y$8:$Y$500,0)),Calc!$D$8:$D$500,0)),
INDEX(Calc!$F$8:$F$500,MATCH(INDEX(Calc!$D$8:$D$500,MATCH(SMALL(IF((Calc!$K$8:$K$500=Kanban!C$11)*(Calc!$C$8:$C$500=Kanban!$C$7)*(Calc!$Y$8:$Y$500&gt;0),Calc!$Y$8:$Y$500,99999),$B17),Calc!$Y$8:$Y$500,0)),Calc!$D$8:$D$500,0)) ),"-")</f>
        <v>-</v>
      </c>
      <c r="F19" s="53" t="str">
        <f t="array" ref="F19">IFERROR(IF(Kanban!$C$7="All",INDEX(Calc!$F$8:$F$500,MATCH(INDEX(Calc!$D$8:$D$500,MATCH(SMALL(IF((Calc!$K$8:$K$500=Kanban!D$11)*(Calc!$Y$8:$Y$500&gt;0),Calc!$Y$8:$Y$500,99999),$B17),Calc!$Y$8:$Y$500,0)),Calc!$D$8:$D$500,0)),
INDEX(Calc!$F$8:$F$500,MATCH(INDEX(Calc!$D$8:$D$500,MATCH(SMALL(IF((Calc!$K$8:$K$500=Kanban!D$11)*(Calc!$C$8:$C$500=Kanban!$C$7)*(Calc!$Y$8:$Y$500&gt;0),Calc!$Y$8:$Y$500,99999),$B17),Calc!$Y$8:$Y$500,0)),Calc!$D$8:$D$500,0)) ),"-")</f>
        <v>-</v>
      </c>
      <c r="G19" s="53" t="str">
        <f t="array" ref="G19">IFERROR(IF(Kanban!$C$7="All",INDEX(Calc!$F$8:$F$500,MATCH(INDEX(Calc!$D$8:$D$500,MATCH(SMALL(IF((Calc!$K$8:$K$500=Kanban!E$11)*(Calc!$Y$8:$Y$500&gt;0),Calc!$Y$8:$Y$500,99999),$B17),Calc!$Y$8:$Y$500,0)),Calc!$D$8:$D$500,0)),
INDEX(Calc!$F$8:$F$500,MATCH(INDEX(Calc!$D$8:$D$500,MATCH(SMALL(IF((Calc!$K$8:$K$500=Kanban!E$11)*(Calc!$C$8:$C$500=Kanban!$C$7)*(Calc!$Y$8:$Y$500&gt;0),Calc!$Y$8:$Y$500,99999),$B17),Calc!$Y$8:$Y$500,0)),Calc!$D$8:$D$500,0)) ),"-")</f>
        <v>-</v>
      </c>
      <c r="H19" s="53" t="str">
        <f t="array" ref="H19">IFERROR(IF(Kanban!$C$7="All",INDEX(Calc!$F$8:$F$500,MATCH(INDEX(Calc!$D$8:$D$500,MATCH(SMALL(IF((Calc!$K$8:$K$500=Kanban!F$11)*(Calc!$Y$8:$Y$500&gt;0),Calc!$Y$8:$Y$500,99999),$B17),Calc!$Y$8:$Y$500,0)),Calc!$D$8:$D$500,0)),
INDEX(Calc!$F$8:$F$500,MATCH(INDEX(Calc!$D$8:$D$500,MATCH(SMALL(IF((Calc!$K$8:$K$500=Kanban!F$11)*(Calc!$C$8:$C$500=Kanban!$C$7)*(Calc!$Y$8:$Y$500&gt;0),Calc!$Y$8:$Y$500,99999),$B17),Calc!$Y$8:$Y$500,0)),Calc!$D$8:$D$500,0)) ),"-")</f>
        <v>-</v>
      </c>
      <c r="I19" s="53" t="str">
        <f t="array" ref="I19">IFERROR(IF(Kanban!$C$7="All",INDEX(Calc!$F$8:$F$500,MATCH(INDEX(Calc!$D$8:$D$500,MATCH(SMALL(IF((Calc!$K$8:$K$500=Kanban!G$11)*(Calc!$Y$8:$Y$500&gt;0),Calc!$Y$8:$Y$500,99999),$B17),Calc!$Y$8:$Y$500,0)),Calc!$D$8:$D$500,0)),
INDEX(Calc!$F$8:$F$500,MATCH(INDEX(Calc!$D$8:$D$500,MATCH(SMALL(IF((Calc!$K$8:$K$500=Kanban!G$11)*(Calc!$C$8:$C$500=Kanban!$C$7)*(Calc!$Y$8:$Y$500&gt;0),Calc!$Y$8:$Y$500,99999),$B17),Calc!$Y$8:$Y$500,0)),Calc!$D$8:$D$500,0)) ),"-")</f>
        <v>-</v>
      </c>
      <c r="J19" s="53" t="str">
        <f t="array" ref="J19">IFERROR(IF(Kanban!$C$7="All",INDEX(Calc!$F$8:$F$500,MATCH(INDEX(Calc!$D$8:$D$500,MATCH(SMALL(IF((Calc!$K$8:$K$500=Kanban!H$11)*(Calc!$Y$8:$Y$500&gt;0),Calc!$Y$8:$Y$500,99999),$B17),Calc!$Y$8:$Y$500,0)),Calc!$D$8:$D$500,0)),
INDEX(Calc!$F$8:$F$500,MATCH(INDEX(Calc!$D$8:$D$500,MATCH(SMALL(IF((Calc!$K$8:$K$500=Kanban!H$11)*(Calc!$C$8:$C$500=Kanban!$C$7)*(Calc!$Y$8:$Y$500&gt;0),Calc!$Y$8:$Y$500,99999),$B17),Calc!$Y$8:$Y$500,0)),Calc!$D$8:$D$500,0)) ),"-")</f>
        <v>-</v>
      </c>
    </row>
    <row r="20" spans="2:10" x14ac:dyDescent="0.35">
      <c r="B20" s="54">
        <f t="shared" si="2"/>
        <v>6</v>
      </c>
      <c r="C20" s="10"/>
      <c r="D20" s="10"/>
      <c r="E20" s="52" t="str">
        <f t="shared" ref="E20:J20" si="11">IFERROR(E22,"-")</f>
        <v>-</v>
      </c>
      <c r="F20" s="52" t="str">
        <f t="shared" si="11"/>
        <v>-</v>
      </c>
      <c r="G20" s="52" t="str">
        <f t="shared" si="11"/>
        <v>-</v>
      </c>
      <c r="H20" s="52" t="str">
        <f t="shared" si="11"/>
        <v>-</v>
      </c>
      <c r="I20" s="52" t="str">
        <f t="shared" si="11"/>
        <v>-</v>
      </c>
      <c r="J20" s="52" t="str">
        <f t="shared" si="11"/>
        <v>-</v>
      </c>
    </row>
    <row r="21" spans="2:10" x14ac:dyDescent="0.35">
      <c r="B21" s="54">
        <f t="shared" si="2"/>
        <v>6</v>
      </c>
      <c r="C21" s="10"/>
      <c r="D21" s="10"/>
      <c r="E21" s="52" t="str">
        <f t="shared" ref="E21:J21" si="12">IFERROR(E22,"-")</f>
        <v>-</v>
      </c>
      <c r="F21" s="52" t="str">
        <f t="shared" si="12"/>
        <v>-</v>
      </c>
      <c r="G21" s="52" t="str">
        <f t="shared" si="12"/>
        <v>-</v>
      </c>
      <c r="H21" s="52" t="str">
        <f t="shared" si="12"/>
        <v>-</v>
      </c>
      <c r="I21" s="52" t="str">
        <f t="shared" si="12"/>
        <v>-</v>
      </c>
      <c r="J21" s="52" t="str">
        <f t="shared" si="12"/>
        <v>-</v>
      </c>
    </row>
    <row r="22" spans="2:10" x14ac:dyDescent="0.35">
      <c r="B22" s="54">
        <f t="shared" si="2"/>
        <v>6</v>
      </c>
      <c r="C22" s="10"/>
      <c r="D22" s="10"/>
      <c r="E22" s="53" t="str">
        <f t="array" ref="E22">IFERROR(IF(Kanban!$C$7="All",INDEX(Calc!$F$8:$F$500,MATCH(INDEX(Calc!$D$8:$D$500,MATCH(SMALL(IF((Calc!$K$8:$K$500=Kanban!C$11)*(Calc!$Y$8:$Y$500&gt;0),Calc!$Y$8:$Y$500,99999),$B20),Calc!$Y$8:$Y$500,0)),Calc!$D$8:$D$500,0)),
INDEX(Calc!$F$8:$F$500,MATCH(INDEX(Calc!$D$8:$D$500,MATCH(SMALL(IF((Calc!$K$8:$K$500=Kanban!C$11)*(Calc!$C$8:$C$500=Kanban!$C$7)*(Calc!$Y$8:$Y$500&gt;0),Calc!$Y$8:$Y$500,99999),$B20),Calc!$Y$8:$Y$500,0)),Calc!$D$8:$D$500,0)) ),"-")</f>
        <v>-</v>
      </c>
      <c r="F22" s="53" t="str">
        <f t="array" ref="F22">IFERROR(IF(Kanban!$C$7="All",INDEX(Calc!$F$8:$F$500,MATCH(INDEX(Calc!$D$8:$D$500,MATCH(SMALL(IF((Calc!$K$8:$K$500=Kanban!D$11)*(Calc!$Y$8:$Y$500&gt;0),Calc!$Y$8:$Y$500,99999),$B20),Calc!$Y$8:$Y$500,0)),Calc!$D$8:$D$500,0)),
INDEX(Calc!$F$8:$F$500,MATCH(INDEX(Calc!$D$8:$D$500,MATCH(SMALL(IF((Calc!$K$8:$K$500=Kanban!D$11)*(Calc!$C$8:$C$500=Kanban!$C$7)*(Calc!$Y$8:$Y$500&gt;0),Calc!$Y$8:$Y$500,99999),$B20),Calc!$Y$8:$Y$500,0)),Calc!$D$8:$D$500,0)) ),"-")</f>
        <v>-</v>
      </c>
      <c r="G22" s="53" t="str">
        <f t="array" ref="G22">IFERROR(IF(Kanban!$C$7="All",INDEX(Calc!$F$8:$F$500,MATCH(INDEX(Calc!$D$8:$D$500,MATCH(SMALL(IF((Calc!$K$8:$K$500=Kanban!E$11)*(Calc!$Y$8:$Y$500&gt;0),Calc!$Y$8:$Y$500,99999),$B20),Calc!$Y$8:$Y$500,0)),Calc!$D$8:$D$500,0)),
INDEX(Calc!$F$8:$F$500,MATCH(INDEX(Calc!$D$8:$D$500,MATCH(SMALL(IF((Calc!$K$8:$K$500=Kanban!E$11)*(Calc!$C$8:$C$500=Kanban!$C$7)*(Calc!$Y$8:$Y$500&gt;0),Calc!$Y$8:$Y$500,99999),$B20),Calc!$Y$8:$Y$500,0)),Calc!$D$8:$D$500,0)) ),"-")</f>
        <v>-</v>
      </c>
      <c r="H22" s="53" t="str">
        <f t="array" ref="H22">IFERROR(IF(Kanban!$C$7="All",INDEX(Calc!$F$8:$F$500,MATCH(INDEX(Calc!$D$8:$D$500,MATCH(SMALL(IF((Calc!$K$8:$K$500=Kanban!F$11)*(Calc!$Y$8:$Y$500&gt;0),Calc!$Y$8:$Y$500,99999),$B20),Calc!$Y$8:$Y$500,0)),Calc!$D$8:$D$500,0)),
INDEX(Calc!$F$8:$F$500,MATCH(INDEX(Calc!$D$8:$D$500,MATCH(SMALL(IF((Calc!$K$8:$K$500=Kanban!F$11)*(Calc!$C$8:$C$500=Kanban!$C$7)*(Calc!$Y$8:$Y$500&gt;0),Calc!$Y$8:$Y$500,99999),$B20),Calc!$Y$8:$Y$500,0)),Calc!$D$8:$D$500,0)) ),"-")</f>
        <v>-</v>
      </c>
      <c r="I22" s="53" t="str">
        <f t="array" ref="I22">IFERROR(IF(Kanban!$C$7="All",INDEX(Calc!$F$8:$F$500,MATCH(INDEX(Calc!$D$8:$D$500,MATCH(SMALL(IF((Calc!$K$8:$K$500=Kanban!G$11)*(Calc!$Y$8:$Y$500&gt;0),Calc!$Y$8:$Y$500,99999),$B20),Calc!$Y$8:$Y$500,0)),Calc!$D$8:$D$500,0)),
INDEX(Calc!$F$8:$F$500,MATCH(INDEX(Calc!$D$8:$D$500,MATCH(SMALL(IF((Calc!$K$8:$K$500=Kanban!G$11)*(Calc!$C$8:$C$500=Kanban!$C$7)*(Calc!$Y$8:$Y$500&gt;0),Calc!$Y$8:$Y$500,99999),$B20),Calc!$Y$8:$Y$500,0)),Calc!$D$8:$D$500,0)) ),"-")</f>
        <v>-</v>
      </c>
      <c r="J22" s="53" t="str">
        <f t="array" ref="J22">IFERROR(IF(Kanban!$C$7="All",INDEX(Calc!$F$8:$F$500,MATCH(INDEX(Calc!$D$8:$D$500,MATCH(SMALL(IF((Calc!$K$8:$K$500=Kanban!H$11)*(Calc!$Y$8:$Y$500&gt;0),Calc!$Y$8:$Y$500,99999),$B20),Calc!$Y$8:$Y$500,0)),Calc!$D$8:$D$500,0)),
INDEX(Calc!$F$8:$F$500,MATCH(INDEX(Calc!$D$8:$D$500,MATCH(SMALL(IF((Calc!$K$8:$K$500=Kanban!H$11)*(Calc!$C$8:$C$500=Kanban!$C$7)*(Calc!$Y$8:$Y$500&gt;0),Calc!$Y$8:$Y$500,99999),$B20),Calc!$Y$8:$Y$500,0)),Calc!$D$8:$D$500,0)) ),"-")</f>
        <v>-</v>
      </c>
    </row>
    <row r="23" spans="2:10" x14ac:dyDescent="0.35">
      <c r="B23" s="54">
        <f t="shared" si="2"/>
        <v>7</v>
      </c>
      <c r="C23" s="10"/>
      <c r="D23" s="10"/>
      <c r="E23" s="52" t="str">
        <f t="shared" ref="E23:J23" si="13">IFERROR(E25,"-")</f>
        <v>-</v>
      </c>
      <c r="F23" s="52" t="str">
        <f t="shared" si="13"/>
        <v>-</v>
      </c>
      <c r="G23" s="52" t="str">
        <f t="shared" si="13"/>
        <v>-</v>
      </c>
      <c r="H23" s="52" t="str">
        <f t="shared" si="13"/>
        <v>-</v>
      </c>
      <c r="I23" s="52" t="str">
        <f t="shared" si="13"/>
        <v>-</v>
      </c>
      <c r="J23" s="52" t="str">
        <f t="shared" si="13"/>
        <v>-</v>
      </c>
    </row>
    <row r="24" spans="2:10" x14ac:dyDescent="0.35">
      <c r="B24" s="54">
        <f t="shared" si="2"/>
        <v>7</v>
      </c>
      <c r="C24" s="10"/>
      <c r="D24" s="10"/>
      <c r="E24" s="52" t="str">
        <f t="shared" ref="E24:J24" si="14">IFERROR(E25,"-")</f>
        <v>-</v>
      </c>
      <c r="F24" s="52" t="str">
        <f t="shared" si="14"/>
        <v>-</v>
      </c>
      <c r="G24" s="52" t="str">
        <f t="shared" si="14"/>
        <v>-</v>
      </c>
      <c r="H24" s="52" t="str">
        <f t="shared" si="14"/>
        <v>-</v>
      </c>
      <c r="I24" s="52" t="str">
        <f t="shared" si="14"/>
        <v>-</v>
      </c>
      <c r="J24" s="52" t="str">
        <f t="shared" si="14"/>
        <v>-</v>
      </c>
    </row>
    <row r="25" spans="2:10" x14ac:dyDescent="0.35">
      <c r="B25" s="54">
        <f t="shared" si="2"/>
        <v>7</v>
      </c>
      <c r="C25" s="10"/>
      <c r="D25" s="10"/>
      <c r="E25" s="53" t="str">
        <f t="array" ref="E25">IFERROR(IF(Kanban!$C$7="All",INDEX(Calc!$F$8:$F$500,MATCH(INDEX(Calc!$D$8:$D$500,MATCH(SMALL(IF((Calc!$K$8:$K$500=Kanban!C$11)*(Calc!$Y$8:$Y$500&gt;0),Calc!$Y$8:$Y$500,99999),$B23),Calc!$Y$8:$Y$500,0)),Calc!$D$8:$D$500,0)),
INDEX(Calc!$F$8:$F$500,MATCH(INDEX(Calc!$D$8:$D$500,MATCH(SMALL(IF((Calc!$K$8:$K$500=Kanban!C$11)*(Calc!$C$8:$C$500=Kanban!$C$7)*(Calc!$Y$8:$Y$500&gt;0),Calc!$Y$8:$Y$500,99999),$B23),Calc!$Y$8:$Y$500,0)),Calc!$D$8:$D$500,0)) ),"-")</f>
        <v>-</v>
      </c>
      <c r="F25" s="53" t="str">
        <f t="array" ref="F25">IFERROR(IF(Kanban!$C$7="All",INDEX(Calc!$F$8:$F$500,MATCH(INDEX(Calc!$D$8:$D$500,MATCH(SMALL(IF((Calc!$K$8:$K$500=Kanban!D$11)*(Calc!$Y$8:$Y$500&gt;0),Calc!$Y$8:$Y$500,99999),$B23),Calc!$Y$8:$Y$500,0)),Calc!$D$8:$D$500,0)),
INDEX(Calc!$F$8:$F$500,MATCH(INDEX(Calc!$D$8:$D$500,MATCH(SMALL(IF((Calc!$K$8:$K$500=Kanban!D$11)*(Calc!$C$8:$C$500=Kanban!$C$7)*(Calc!$Y$8:$Y$500&gt;0),Calc!$Y$8:$Y$500,99999),$B23),Calc!$Y$8:$Y$500,0)),Calc!$D$8:$D$500,0)) ),"-")</f>
        <v>-</v>
      </c>
      <c r="G25" s="53" t="str">
        <f t="array" ref="G25">IFERROR(IF(Kanban!$C$7="All",INDEX(Calc!$F$8:$F$500,MATCH(INDEX(Calc!$D$8:$D$500,MATCH(SMALL(IF((Calc!$K$8:$K$500=Kanban!E$11)*(Calc!$Y$8:$Y$500&gt;0),Calc!$Y$8:$Y$500,99999),$B23),Calc!$Y$8:$Y$500,0)),Calc!$D$8:$D$500,0)),
INDEX(Calc!$F$8:$F$500,MATCH(INDEX(Calc!$D$8:$D$500,MATCH(SMALL(IF((Calc!$K$8:$K$500=Kanban!E$11)*(Calc!$C$8:$C$500=Kanban!$C$7)*(Calc!$Y$8:$Y$500&gt;0),Calc!$Y$8:$Y$500,99999),$B23),Calc!$Y$8:$Y$500,0)),Calc!$D$8:$D$500,0)) ),"-")</f>
        <v>-</v>
      </c>
      <c r="H25" s="53" t="str">
        <f t="array" ref="H25">IFERROR(IF(Kanban!$C$7="All",INDEX(Calc!$F$8:$F$500,MATCH(INDEX(Calc!$D$8:$D$500,MATCH(SMALL(IF((Calc!$K$8:$K$500=Kanban!F$11)*(Calc!$Y$8:$Y$500&gt;0),Calc!$Y$8:$Y$500,99999),$B23),Calc!$Y$8:$Y$500,0)),Calc!$D$8:$D$500,0)),
INDEX(Calc!$F$8:$F$500,MATCH(INDEX(Calc!$D$8:$D$500,MATCH(SMALL(IF((Calc!$K$8:$K$500=Kanban!F$11)*(Calc!$C$8:$C$500=Kanban!$C$7)*(Calc!$Y$8:$Y$500&gt;0),Calc!$Y$8:$Y$500,99999),$B23),Calc!$Y$8:$Y$500,0)),Calc!$D$8:$D$500,0)) ),"-")</f>
        <v>-</v>
      </c>
      <c r="I25" s="53" t="str">
        <f t="array" ref="I25">IFERROR(IF(Kanban!$C$7="All",INDEX(Calc!$F$8:$F$500,MATCH(INDEX(Calc!$D$8:$D$500,MATCH(SMALL(IF((Calc!$K$8:$K$500=Kanban!G$11)*(Calc!$Y$8:$Y$500&gt;0),Calc!$Y$8:$Y$500,99999),$B23),Calc!$Y$8:$Y$500,0)),Calc!$D$8:$D$500,0)),
INDEX(Calc!$F$8:$F$500,MATCH(INDEX(Calc!$D$8:$D$500,MATCH(SMALL(IF((Calc!$K$8:$K$500=Kanban!G$11)*(Calc!$C$8:$C$500=Kanban!$C$7)*(Calc!$Y$8:$Y$500&gt;0),Calc!$Y$8:$Y$500,99999),$B23),Calc!$Y$8:$Y$500,0)),Calc!$D$8:$D$500,0)) ),"-")</f>
        <v>-</v>
      </c>
      <c r="J25" s="53" t="str">
        <f t="array" ref="J25">IFERROR(IF(Kanban!$C$7="All",INDEX(Calc!$F$8:$F$500,MATCH(INDEX(Calc!$D$8:$D$500,MATCH(SMALL(IF((Calc!$K$8:$K$500=Kanban!H$11)*(Calc!$Y$8:$Y$500&gt;0),Calc!$Y$8:$Y$500,99999),$B23),Calc!$Y$8:$Y$500,0)),Calc!$D$8:$D$500,0)),
INDEX(Calc!$F$8:$F$500,MATCH(INDEX(Calc!$D$8:$D$500,MATCH(SMALL(IF((Calc!$K$8:$K$500=Kanban!H$11)*(Calc!$C$8:$C$500=Kanban!$C$7)*(Calc!$Y$8:$Y$500&gt;0),Calc!$Y$8:$Y$500,99999),$B23),Calc!$Y$8:$Y$500,0)),Calc!$D$8:$D$500,0)) ),"-")</f>
        <v>-</v>
      </c>
    </row>
    <row r="26" spans="2:10" x14ac:dyDescent="0.35">
      <c r="B26" s="54">
        <f t="shared" si="2"/>
        <v>8</v>
      </c>
      <c r="C26" s="10"/>
      <c r="D26" s="10"/>
      <c r="E26" s="52" t="str">
        <f t="shared" ref="E26:J26" si="15">IFERROR(E28,"-")</f>
        <v>-</v>
      </c>
      <c r="F26" s="52" t="str">
        <f t="shared" si="15"/>
        <v>-</v>
      </c>
      <c r="G26" s="52" t="str">
        <f t="shared" si="15"/>
        <v>-</v>
      </c>
      <c r="H26" s="52" t="str">
        <f t="shared" si="15"/>
        <v>-</v>
      </c>
      <c r="I26" s="52" t="str">
        <f t="shared" si="15"/>
        <v>-</v>
      </c>
      <c r="J26" s="52" t="str">
        <f t="shared" si="15"/>
        <v>-</v>
      </c>
    </row>
    <row r="27" spans="2:10" x14ac:dyDescent="0.35">
      <c r="B27" s="54">
        <f t="shared" si="2"/>
        <v>8</v>
      </c>
      <c r="C27" s="10"/>
      <c r="D27" s="10"/>
      <c r="E27" s="52" t="str">
        <f t="shared" ref="E27:J27" si="16">IFERROR(E28,"-")</f>
        <v>-</v>
      </c>
      <c r="F27" s="52" t="str">
        <f t="shared" si="16"/>
        <v>-</v>
      </c>
      <c r="G27" s="52" t="str">
        <f t="shared" si="16"/>
        <v>-</v>
      </c>
      <c r="H27" s="52" t="str">
        <f t="shared" si="16"/>
        <v>-</v>
      </c>
      <c r="I27" s="52" t="str">
        <f t="shared" si="16"/>
        <v>-</v>
      </c>
      <c r="J27" s="52" t="str">
        <f t="shared" si="16"/>
        <v>-</v>
      </c>
    </row>
    <row r="28" spans="2:10" x14ac:dyDescent="0.35">
      <c r="B28" s="54">
        <f t="shared" si="2"/>
        <v>8</v>
      </c>
      <c r="C28" s="10"/>
      <c r="D28" s="10"/>
      <c r="E28" s="53" t="str">
        <f t="array" ref="E28">IFERROR(IF(Kanban!$C$7="All",INDEX(Calc!$F$8:$F$500,MATCH(INDEX(Calc!$D$8:$D$500,MATCH(SMALL(IF((Calc!$K$8:$K$500=Kanban!C$11)*(Calc!$Y$8:$Y$500&gt;0),Calc!$Y$8:$Y$500,99999),$B26),Calc!$Y$8:$Y$500,0)),Calc!$D$8:$D$500,0)),
INDEX(Calc!$F$8:$F$500,MATCH(INDEX(Calc!$D$8:$D$500,MATCH(SMALL(IF((Calc!$K$8:$K$500=Kanban!C$11)*(Calc!$C$8:$C$500=Kanban!$C$7)*(Calc!$Y$8:$Y$500&gt;0),Calc!$Y$8:$Y$500,99999),$B26),Calc!$Y$8:$Y$500,0)),Calc!$D$8:$D$500,0)) ),"-")</f>
        <v>-</v>
      </c>
      <c r="F28" s="53" t="str">
        <f t="array" ref="F28">IFERROR(IF(Kanban!$C$7="All",INDEX(Calc!$F$8:$F$500,MATCH(INDEX(Calc!$D$8:$D$500,MATCH(SMALL(IF((Calc!$K$8:$K$500=Kanban!D$11)*(Calc!$Y$8:$Y$500&gt;0),Calc!$Y$8:$Y$500,99999),$B26),Calc!$Y$8:$Y$500,0)),Calc!$D$8:$D$500,0)),
INDEX(Calc!$F$8:$F$500,MATCH(INDEX(Calc!$D$8:$D$500,MATCH(SMALL(IF((Calc!$K$8:$K$500=Kanban!D$11)*(Calc!$C$8:$C$500=Kanban!$C$7)*(Calc!$Y$8:$Y$500&gt;0),Calc!$Y$8:$Y$500,99999),$B26),Calc!$Y$8:$Y$500,0)),Calc!$D$8:$D$500,0)) ),"-")</f>
        <v>-</v>
      </c>
      <c r="G28" s="53" t="str">
        <f t="array" ref="G28">IFERROR(IF(Kanban!$C$7="All",INDEX(Calc!$F$8:$F$500,MATCH(INDEX(Calc!$D$8:$D$500,MATCH(SMALL(IF((Calc!$K$8:$K$500=Kanban!E$11)*(Calc!$Y$8:$Y$500&gt;0),Calc!$Y$8:$Y$500,99999),$B26),Calc!$Y$8:$Y$500,0)),Calc!$D$8:$D$500,0)),
INDEX(Calc!$F$8:$F$500,MATCH(INDEX(Calc!$D$8:$D$500,MATCH(SMALL(IF((Calc!$K$8:$K$500=Kanban!E$11)*(Calc!$C$8:$C$500=Kanban!$C$7)*(Calc!$Y$8:$Y$500&gt;0),Calc!$Y$8:$Y$500,99999),$B26),Calc!$Y$8:$Y$500,0)),Calc!$D$8:$D$500,0)) ),"-")</f>
        <v>-</v>
      </c>
      <c r="H28" s="53" t="str">
        <f t="array" ref="H28">IFERROR(IF(Kanban!$C$7="All",INDEX(Calc!$F$8:$F$500,MATCH(INDEX(Calc!$D$8:$D$500,MATCH(SMALL(IF((Calc!$K$8:$K$500=Kanban!F$11)*(Calc!$Y$8:$Y$500&gt;0),Calc!$Y$8:$Y$500,99999),$B26),Calc!$Y$8:$Y$500,0)),Calc!$D$8:$D$500,0)),
INDEX(Calc!$F$8:$F$500,MATCH(INDEX(Calc!$D$8:$D$500,MATCH(SMALL(IF((Calc!$K$8:$K$500=Kanban!F$11)*(Calc!$C$8:$C$500=Kanban!$C$7)*(Calc!$Y$8:$Y$500&gt;0),Calc!$Y$8:$Y$500,99999),$B26),Calc!$Y$8:$Y$500,0)),Calc!$D$8:$D$500,0)) ),"-")</f>
        <v>-</v>
      </c>
      <c r="I28" s="53" t="str">
        <f t="array" ref="I28">IFERROR(IF(Kanban!$C$7="All",INDEX(Calc!$F$8:$F$500,MATCH(INDEX(Calc!$D$8:$D$500,MATCH(SMALL(IF((Calc!$K$8:$K$500=Kanban!G$11)*(Calc!$Y$8:$Y$500&gt;0),Calc!$Y$8:$Y$500,99999),$B26),Calc!$Y$8:$Y$500,0)),Calc!$D$8:$D$500,0)),
INDEX(Calc!$F$8:$F$500,MATCH(INDEX(Calc!$D$8:$D$500,MATCH(SMALL(IF((Calc!$K$8:$K$500=Kanban!G$11)*(Calc!$C$8:$C$500=Kanban!$C$7)*(Calc!$Y$8:$Y$500&gt;0),Calc!$Y$8:$Y$500,99999),$B26),Calc!$Y$8:$Y$500,0)),Calc!$D$8:$D$500,0)) ),"-")</f>
        <v>-</v>
      </c>
      <c r="J28" s="53" t="str">
        <f t="array" ref="J28">IFERROR(IF(Kanban!$C$7="All",INDEX(Calc!$F$8:$F$500,MATCH(INDEX(Calc!$D$8:$D$500,MATCH(SMALL(IF((Calc!$K$8:$K$500=Kanban!H$11)*(Calc!$Y$8:$Y$500&gt;0),Calc!$Y$8:$Y$500,99999),$B26),Calc!$Y$8:$Y$500,0)),Calc!$D$8:$D$500,0)),
INDEX(Calc!$F$8:$F$500,MATCH(INDEX(Calc!$D$8:$D$500,MATCH(SMALL(IF((Calc!$K$8:$K$500=Kanban!H$11)*(Calc!$C$8:$C$500=Kanban!$C$7)*(Calc!$Y$8:$Y$500&gt;0),Calc!$Y$8:$Y$500,99999),$B26),Calc!$Y$8:$Y$500,0)),Calc!$D$8:$D$500,0)) ),"-")</f>
        <v>-</v>
      </c>
    </row>
    <row r="29" spans="2:10" x14ac:dyDescent="0.35">
      <c r="B29" s="54">
        <f t="shared" si="2"/>
        <v>9</v>
      </c>
      <c r="C29" s="10"/>
      <c r="D29" s="10"/>
      <c r="E29" s="52" t="str">
        <f t="shared" ref="E29:J29" si="17">IFERROR(E31,"-")</f>
        <v>-</v>
      </c>
      <c r="F29" s="52" t="str">
        <f t="shared" si="17"/>
        <v>-</v>
      </c>
      <c r="G29" s="52" t="str">
        <f t="shared" si="17"/>
        <v>-</v>
      </c>
      <c r="H29" s="52" t="str">
        <f t="shared" si="17"/>
        <v>-</v>
      </c>
      <c r="I29" s="52" t="str">
        <f t="shared" si="17"/>
        <v>-</v>
      </c>
      <c r="J29" s="52" t="str">
        <f t="shared" si="17"/>
        <v>-</v>
      </c>
    </row>
    <row r="30" spans="2:10" x14ac:dyDescent="0.35">
      <c r="B30" s="54">
        <f t="shared" si="2"/>
        <v>9</v>
      </c>
      <c r="C30" s="10"/>
      <c r="D30" s="10"/>
      <c r="E30" s="52" t="str">
        <f t="shared" ref="E30:J30" si="18">IFERROR(E31,"-")</f>
        <v>-</v>
      </c>
      <c r="F30" s="52" t="str">
        <f t="shared" si="18"/>
        <v>-</v>
      </c>
      <c r="G30" s="52" t="str">
        <f t="shared" si="18"/>
        <v>-</v>
      </c>
      <c r="H30" s="52" t="str">
        <f t="shared" si="18"/>
        <v>-</v>
      </c>
      <c r="I30" s="52" t="str">
        <f t="shared" si="18"/>
        <v>-</v>
      </c>
      <c r="J30" s="52" t="str">
        <f t="shared" si="18"/>
        <v>-</v>
      </c>
    </row>
    <row r="31" spans="2:10" x14ac:dyDescent="0.35">
      <c r="B31" s="54">
        <f t="shared" si="2"/>
        <v>9</v>
      </c>
      <c r="C31" s="10"/>
      <c r="D31" s="10"/>
      <c r="E31" s="53" t="str">
        <f t="array" ref="E31">IFERROR(IF(Kanban!$C$7="All",INDEX(Calc!$F$8:$F$500,MATCH(INDEX(Calc!$D$8:$D$500,MATCH(SMALL(IF((Calc!$K$8:$K$500=Kanban!C$11)*(Calc!$Y$8:$Y$500&gt;0),Calc!$Y$8:$Y$500,99999),$B29),Calc!$Y$8:$Y$500,0)),Calc!$D$8:$D$500,0)),
INDEX(Calc!$F$8:$F$500,MATCH(INDEX(Calc!$D$8:$D$500,MATCH(SMALL(IF((Calc!$K$8:$K$500=Kanban!C$11)*(Calc!$C$8:$C$500=Kanban!$C$7)*(Calc!$Y$8:$Y$500&gt;0),Calc!$Y$8:$Y$500,99999),$B29),Calc!$Y$8:$Y$500,0)),Calc!$D$8:$D$500,0)) ),"-")</f>
        <v>-</v>
      </c>
      <c r="F31" s="53" t="str">
        <f t="array" ref="F31">IFERROR(IF(Kanban!$C$7="All",INDEX(Calc!$F$8:$F$500,MATCH(INDEX(Calc!$D$8:$D$500,MATCH(SMALL(IF((Calc!$K$8:$K$500=Kanban!D$11)*(Calc!$Y$8:$Y$500&gt;0),Calc!$Y$8:$Y$500,99999),$B29),Calc!$Y$8:$Y$500,0)),Calc!$D$8:$D$500,0)),
INDEX(Calc!$F$8:$F$500,MATCH(INDEX(Calc!$D$8:$D$500,MATCH(SMALL(IF((Calc!$K$8:$K$500=Kanban!D$11)*(Calc!$C$8:$C$500=Kanban!$C$7)*(Calc!$Y$8:$Y$500&gt;0),Calc!$Y$8:$Y$500,99999),$B29),Calc!$Y$8:$Y$500,0)),Calc!$D$8:$D$500,0)) ),"-")</f>
        <v>-</v>
      </c>
      <c r="G31" s="53" t="str">
        <f t="array" ref="G31">IFERROR(IF(Kanban!$C$7="All",INDEX(Calc!$F$8:$F$500,MATCH(INDEX(Calc!$D$8:$D$500,MATCH(SMALL(IF((Calc!$K$8:$K$500=Kanban!E$11)*(Calc!$Y$8:$Y$500&gt;0),Calc!$Y$8:$Y$500,99999),$B29),Calc!$Y$8:$Y$500,0)),Calc!$D$8:$D$500,0)),
INDEX(Calc!$F$8:$F$500,MATCH(INDEX(Calc!$D$8:$D$500,MATCH(SMALL(IF((Calc!$K$8:$K$500=Kanban!E$11)*(Calc!$C$8:$C$500=Kanban!$C$7)*(Calc!$Y$8:$Y$500&gt;0),Calc!$Y$8:$Y$500,99999),$B29),Calc!$Y$8:$Y$500,0)),Calc!$D$8:$D$500,0)) ),"-")</f>
        <v>-</v>
      </c>
      <c r="H31" s="53" t="str">
        <f t="array" ref="H31">IFERROR(IF(Kanban!$C$7="All",INDEX(Calc!$F$8:$F$500,MATCH(INDEX(Calc!$D$8:$D$500,MATCH(SMALL(IF((Calc!$K$8:$K$500=Kanban!F$11)*(Calc!$Y$8:$Y$500&gt;0),Calc!$Y$8:$Y$500,99999),$B29),Calc!$Y$8:$Y$500,0)),Calc!$D$8:$D$500,0)),
INDEX(Calc!$F$8:$F$500,MATCH(INDEX(Calc!$D$8:$D$500,MATCH(SMALL(IF((Calc!$K$8:$K$500=Kanban!F$11)*(Calc!$C$8:$C$500=Kanban!$C$7)*(Calc!$Y$8:$Y$500&gt;0),Calc!$Y$8:$Y$500,99999),$B29),Calc!$Y$8:$Y$500,0)),Calc!$D$8:$D$500,0)) ),"-")</f>
        <v>-</v>
      </c>
      <c r="I31" s="53" t="str">
        <f t="array" ref="I31">IFERROR(IF(Kanban!$C$7="All",INDEX(Calc!$F$8:$F$500,MATCH(INDEX(Calc!$D$8:$D$500,MATCH(SMALL(IF((Calc!$K$8:$K$500=Kanban!G$11)*(Calc!$Y$8:$Y$500&gt;0),Calc!$Y$8:$Y$500,99999),$B29),Calc!$Y$8:$Y$500,0)),Calc!$D$8:$D$500,0)),
INDEX(Calc!$F$8:$F$500,MATCH(INDEX(Calc!$D$8:$D$500,MATCH(SMALL(IF((Calc!$K$8:$K$500=Kanban!G$11)*(Calc!$C$8:$C$500=Kanban!$C$7)*(Calc!$Y$8:$Y$500&gt;0),Calc!$Y$8:$Y$500,99999),$B29),Calc!$Y$8:$Y$500,0)),Calc!$D$8:$D$500,0)) ),"-")</f>
        <v>-</v>
      </c>
      <c r="J31" s="53" t="str">
        <f t="array" ref="J31">IFERROR(IF(Kanban!$C$7="All",INDEX(Calc!$F$8:$F$500,MATCH(INDEX(Calc!$D$8:$D$500,MATCH(SMALL(IF((Calc!$K$8:$K$500=Kanban!H$11)*(Calc!$Y$8:$Y$500&gt;0),Calc!$Y$8:$Y$500,99999),$B29),Calc!$Y$8:$Y$500,0)),Calc!$D$8:$D$500,0)),
INDEX(Calc!$F$8:$F$500,MATCH(INDEX(Calc!$D$8:$D$500,MATCH(SMALL(IF((Calc!$K$8:$K$500=Kanban!H$11)*(Calc!$C$8:$C$500=Kanban!$C$7)*(Calc!$Y$8:$Y$500&gt;0),Calc!$Y$8:$Y$500,99999),$B29),Calc!$Y$8:$Y$500,0)),Calc!$D$8:$D$500,0)) ),"-")</f>
        <v>-</v>
      </c>
    </row>
    <row r="32" spans="2:10" x14ac:dyDescent="0.35">
      <c r="B32" s="54">
        <f t="shared" si="2"/>
        <v>10</v>
      </c>
      <c r="C32" s="10"/>
      <c r="D32" s="10"/>
      <c r="E32" s="52" t="str">
        <f t="shared" ref="E32:J32" si="19">IFERROR(E34,"-")</f>
        <v>-</v>
      </c>
      <c r="F32" s="52" t="str">
        <f t="shared" si="19"/>
        <v>-</v>
      </c>
      <c r="G32" s="52" t="str">
        <f t="shared" si="19"/>
        <v>-</v>
      </c>
      <c r="H32" s="52" t="str">
        <f t="shared" si="19"/>
        <v>-</v>
      </c>
      <c r="I32" s="52" t="str">
        <f t="shared" si="19"/>
        <v>-</v>
      </c>
      <c r="J32" s="52" t="str">
        <f t="shared" si="19"/>
        <v>-</v>
      </c>
    </row>
    <row r="33" spans="2:10" x14ac:dyDescent="0.35">
      <c r="B33" s="54">
        <f t="shared" si="2"/>
        <v>10</v>
      </c>
      <c r="C33" s="10"/>
      <c r="D33" s="10"/>
      <c r="E33" s="52" t="str">
        <f t="shared" ref="E33:J33" si="20">IFERROR(E34,"-")</f>
        <v>-</v>
      </c>
      <c r="F33" s="52" t="str">
        <f t="shared" si="20"/>
        <v>-</v>
      </c>
      <c r="G33" s="52" t="str">
        <f t="shared" si="20"/>
        <v>-</v>
      </c>
      <c r="H33" s="52" t="str">
        <f t="shared" si="20"/>
        <v>-</v>
      </c>
      <c r="I33" s="52" t="str">
        <f t="shared" si="20"/>
        <v>-</v>
      </c>
      <c r="J33" s="52" t="str">
        <f t="shared" si="20"/>
        <v>-</v>
      </c>
    </row>
    <row r="34" spans="2:10" x14ac:dyDescent="0.35">
      <c r="B34" s="54">
        <f t="shared" si="2"/>
        <v>10</v>
      </c>
      <c r="C34" s="10"/>
      <c r="D34" s="10"/>
      <c r="E34" s="53" t="str">
        <f t="array" ref="E34">IFERROR(IF(Kanban!$C$7="All",INDEX(Calc!$F$8:$F$500,MATCH(INDEX(Calc!$D$8:$D$500,MATCH(SMALL(IF((Calc!$K$8:$K$500=Kanban!C$11)*(Calc!$Y$8:$Y$500&gt;0),Calc!$Y$8:$Y$500,99999),$B32),Calc!$Y$8:$Y$500,0)),Calc!$D$8:$D$500,0)),
INDEX(Calc!$F$8:$F$500,MATCH(INDEX(Calc!$D$8:$D$500,MATCH(SMALL(IF((Calc!$K$8:$K$500=Kanban!C$11)*(Calc!$C$8:$C$500=Kanban!$C$7)*(Calc!$Y$8:$Y$500&gt;0),Calc!$Y$8:$Y$500,99999),$B32),Calc!$Y$8:$Y$500,0)),Calc!$D$8:$D$500,0)) ),"-")</f>
        <v>-</v>
      </c>
      <c r="F34" s="53" t="str">
        <f t="array" ref="F34">IFERROR(IF(Kanban!$C$7="All",INDEX(Calc!$F$8:$F$500,MATCH(INDEX(Calc!$D$8:$D$500,MATCH(SMALL(IF((Calc!$K$8:$K$500=Kanban!D$11)*(Calc!$Y$8:$Y$500&gt;0),Calc!$Y$8:$Y$500,99999),$B32),Calc!$Y$8:$Y$500,0)),Calc!$D$8:$D$500,0)),
INDEX(Calc!$F$8:$F$500,MATCH(INDEX(Calc!$D$8:$D$500,MATCH(SMALL(IF((Calc!$K$8:$K$500=Kanban!D$11)*(Calc!$C$8:$C$500=Kanban!$C$7)*(Calc!$Y$8:$Y$500&gt;0),Calc!$Y$8:$Y$500,99999),$B32),Calc!$Y$8:$Y$500,0)),Calc!$D$8:$D$500,0)) ),"-")</f>
        <v>-</v>
      </c>
      <c r="G34" s="53" t="str">
        <f t="array" ref="G34">IFERROR(IF(Kanban!$C$7="All",INDEX(Calc!$F$8:$F$500,MATCH(INDEX(Calc!$D$8:$D$500,MATCH(SMALL(IF((Calc!$K$8:$K$500=Kanban!E$11)*(Calc!$Y$8:$Y$500&gt;0),Calc!$Y$8:$Y$500,99999),$B32),Calc!$Y$8:$Y$500,0)),Calc!$D$8:$D$500,0)),
INDEX(Calc!$F$8:$F$500,MATCH(INDEX(Calc!$D$8:$D$500,MATCH(SMALL(IF((Calc!$K$8:$K$500=Kanban!E$11)*(Calc!$C$8:$C$500=Kanban!$C$7)*(Calc!$Y$8:$Y$500&gt;0),Calc!$Y$8:$Y$500,99999),$B32),Calc!$Y$8:$Y$500,0)),Calc!$D$8:$D$500,0)) ),"-")</f>
        <v>-</v>
      </c>
      <c r="H34" s="53" t="str">
        <f t="array" ref="H34">IFERROR(IF(Kanban!$C$7="All",INDEX(Calc!$F$8:$F$500,MATCH(INDEX(Calc!$D$8:$D$500,MATCH(SMALL(IF((Calc!$K$8:$K$500=Kanban!F$11)*(Calc!$Y$8:$Y$500&gt;0),Calc!$Y$8:$Y$500,99999),$B32),Calc!$Y$8:$Y$500,0)),Calc!$D$8:$D$500,0)),
INDEX(Calc!$F$8:$F$500,MATCH(INDEX(Calc!$D$8:$D$500,MATCH(SMALL(IF((Calc!$K$8:$K$500=Kanban!F$11)*(Calc!$C$8:$C$500=Kanban!$C$7)*(Calc!$Y$8:$Y$500&gt;0),Calc!$Y$8:$Y$500,99999),$B32),Calc!$Y$8:$Y$500,0)),Calc!$D$8:$D$500,0)) ),"-")</f>
        <v>-</v>
      </c>
      <c r="I34" s="53" t="str">
        <f t="array" ref="I34">IFERROR(IF(Kanban!$C$7="All",INDEX(Calc!$F$8:$F$500,MATCH(INDEX(Calc!$D$8:$D$500,MATCH(SMALL(IF((Calc!$K$8:$K$500=Kanban!G$11)*(Calc!$Y$8:$Y$500&gt;0),Calc!$Y$8:$Y$500,99999),$B32),Calc!$Y$8:$Y$500,0)),Calc!$D$8:$D$500,0)),
INDEX(Calc!$F$8:$F$500,MATCH(INDEX(Calc!$D$8:$D$500,MATCH(SMALL(IF((Calc!$K$8:$K$500=Kanban!G$11)*(Calc!$C$8:$C$500=Kanban!$C$7)*(Calc!$Y$8:$Y$500&gt;0),Calc!$Y$8:$Y$500,99999),$B32),Calc!$Y$8:$Y$500,0)),Calc!$D$8:$D$500,0)) ),"-")</f>
        <v>-</v>
      </c>
      <c r="J34" s="53" t="str">
        <f t="array" ref="J34">IFERROR(IF(Kanban!$C$7="All",INDEX(Calc!$F$8:$F$500,MATCH(INDEX(Calc!$D$8:$D$500,MATCH(SMALL(IF((Calc!$K$8:$K$500=Kanban!H$11)*(Calc!$Y$8:$Y$500&gt;0),Calc!$Y$8:$Y$500,99999),$B32),Calc!$Y$8:$Y$500,0)),Calc!$D$8:$D$500,0)),
INDEX(Calc!$F$8:$F$500,MATCH(INDEX(Calc!$D$8:$D$500,MATCH(SMALL(IF((Calc!$K$8:$K$500=Kanban!H$11)*(Calc!$C$8:$C$500=Kanban!$C$7)*(Calc!$Y$8:$Y$500&gt;0),Calc!$Y$8:$Y$500,99999),$B32),Calc!$Y$8:$Y$500,0)),Calc!$D$8:$D$500,0)) ),"-")</f>
        <v>-</v>
      </c>
    </row>
    <row r="35" spans="2:10" x14ac:dyDescent="0.35">
      <c r="B35" s="54">
        <f t="shared" si="2"/>
        <v>11</v>
      </c>
      <c r="C35" s="10"/>
      <c r="D35" s="10"/>
      <c r="E35" s="52" t="str">
        <f t="shared" ref="E35:J35" si="21">IFERROR(E37,"-")</f>
        <v>-</v>
      </c>
      <c r="F35" s="52" t="str">
        <f t="shared" si="21"/>
        <v>-</v>
      </c>
      <c r="G35" s="52" t="str">
        <f t="shared" si="21"/>
        <v>-</v>
      </c>
      <c r="H35" s="52" t="str">
        <f t="shared" si="21"/>
        <v>-</v>
      </c>
      <c r="I35" s="52" t="str">
        <f t="shared" si="21"/>
        <v>-</v>
      </c>
      <c r="J35" s="52" t="str">
        <f t="shared" si="21"/>
        <v>-</v>
      </c>
    </row>
    <row r="36" spans="2:10" x14ac:dyDescent="0.35">
      <c r="B36" s="54">
        <f t="shared" si="2"/>
        <v>11</v>
      </c>
      <c r="C36" s="10"/>
      <c r="D36" s="10"/>
      <c r="E36" s="52" t="str">
        <f t="shared" ref="E36:J36" si="22">IFERROR(E37,"-")</f>
        <v>-</v>
      </c>
      <c r="F36" s="52" t="str">
        <f t="shared" si="22"/>
        <v>-</v>
      </c>
      <c r="G36" s="52" t="str">
        <f t="shared" si="22"/>
        <v>-</v>
      </c>
      <c r="H36" s="52" t="str">
        <f t="shared" si="22"/>
        <v>-</v>
      </c>
      <c r="I36" s="52" t="str">
        <f t="shared" si="22"/>
        <v>-</v>
      </c>
      <c r="J36" s="52" t="str">
        <f t="shared" si="22"/>
        <v>-</v>
      </c>
    </row>
    <row r="37" spans="2:10" x14ac:dyDescent="0.35">
      <c r="B37" s="54">
        <f t="shared" si="2"/>
        <v>11</v>
      </c>
      <c r="C37" s="10"/>
      <c r="D37" s="10"/>
      <c r="E37" s="53" t="str">
        <f t="array" ref="E37">IFERROR(IF(Kanban!$C$7="All",INDEX(Calc!$F$8:$F$500,MATCH(INDEX(Calc!$D$8:$D$500,MATCH(SMALL(IF((Calc!$K$8:$K$500=Kanban!C$11)*(Calc!$Y$8:$Y$500&gt;0),Calc!$Y$8:$Y$500,99999),$B35),Calc!$Y$8:$Y$500,0)),Calc!$D$8:$D$500,0)),
INDEX(Calc!$F$8:$F$500,MATCH(INDEX(Calc!$D$8:$D$500,MATCH(SMALL(IF((Calc!$K$8:$K$500=Kanban!C$11)*(Calc!$C$8:$C$500=Kanban!$C$7)*(Calc!$Y$8:$Y$500&gt;0),Calc!$Y$8:$Y$500,99999),$B35),Calc!$Y$8:$Y$500,0)),Calc!$D$8:$D$500,0)) ),"-")</f>
        <v>-</v>
      </c>
      <c r="F37" s="53" t="str">
        <f t="array" ref="F37">IFERROR(IF(Kanban!$C$7="All",INDEX(Calc!$F$8:$F$500,MATCH(INDEX(Calc!$D$8:$D$500,MATCH(SMALL(IF((Calc!$K$8:$K$500=Kanban!D$11)*(Calc!$Y$8:$Y$500&gt;0),Calc!$Y$8:$Y$500,99999),$B35),Calc!$Y$8:$Y$500,0)),Calc!$D$8:$D$500,0)),
INDEX(Calc!$F$8:$F$500,MATCH(INDEX(Calc!$D$8:$D$500,MATCH(SMALL(IF((Calc!$K$8:$K$500=Kanban!D$11)*(Calc!$C$8:$C$500=Kanban!$C$7)*(Calc!$Y$8:$Y$500&gt;0),Calc!$Y$8:$Y$500,99999),$B35),Calc!$Y$8:$Y$500,0)),Calc!$D$8:$D$500,0)) ),"-")</f>
        <v>-</v>
      </c>
      <c r="G37" s="53" t="str">
        <f t="array" ref="G37">IFERROR(IF(Kanban!$C$7="All",INDEX(Calc!$F$8:$F$500,MATCH(INDEX(Calc!$D$8:$D$500,MATCH(SMALL(IF((Calc!$K$8:$K$500=Kanban!E$11)*(Calc!$Y$8:$Y$500&gt;0),Calc!$Y$8:$Y$500,99999),$B35),Calc!$Y$8:$Y$500,0)),Calc!$D$8:$D$500,0)),
INDEX(Calc!$F$8:$F$500,MATCH(INDEX(Calc!$D$8:$D$500,MATCH(SMALL(IF((Calc!$K$8:$K$500=Kanban!E$11)*(Calc!$C$8:$C$500=Kanban!$C$7)*(Calc!$Y$8:$Y$500&gt;0),Calc!$Y$8:$Y$500,99999),$B35),Calc!$Y$8:$Y$500,0)),Calc!$D$8:$D$500,0)) ),"-")</f>
        <v>-</v>
      </c>
      <c r="H37" s="53" t="str">
        <f t="array" ref="H37">IFERROR(IF(Kanban!$C$7="All",INDEX(Calc!$F$8:$F$500,MATCH(INDEX(Calc!$D$8:$D$500,MATCH(SMALL(IF((Calc!$K$8:$K$500=Kanban!F$11)*(Calc!$Y$8:$Y$500&gt;0),Calc!$Y$8:$Y$500,99999),$B35),Calc!$Y$8:$Y$500,0)),Calc!$D$8:$D$500,0)),
INDEX(Calc!$F$8:$F$500,MATCH(INDEX(Calc!$D$8:$D$500,MATCH(SMALL(IF((Calc!$K$8:$K$500=Kanban!F$11)*(Calc!$C$8:$C$500=Kanban!$C$7)*(Calc!$Y$8:$Y$500&gt;0),Calc!$Y$8:$Y$500,99999),$B35),Calc!$Y$8:$Y$500,0)),Calc!$D$8:$D$500,0)) ),"-")</f>
        <v>-</v>
      </c>
      <c r="I37" s="53" t="str">
        <f t="array" ref="I37">IFERROR(IF(Kanban!$C$7="All",INDEX(Calc!$F$8:$F$500,MATCH(INDEX(Calc!$D$8:$D$500,MATCH(SMALL(IF((Calc!$K$8:$K$500=Kanban!G$11)*(Calc!$Y$8:$Y$500&gt;0),Calc!$Y$8:$Y$500,99999),$B35),Calc!$Y$8:$Y$500,0)),Calc!$D$8:$D$500,0)),
INDEX(Calc!$F$8:$F$500,MATCH(INDEX(Calc!$D$8:$D$500,MATCH(SMALL(IF((Calc!$K$8:$K$500=Kanban!G$11)*(Calc!$C$8:$C$500=Kanban!$C$7)*(Calc!$Y$8:$Y$500&gt;0),Calc!$Y$8:$Y$500,99999),$B35),Calc!$Y$8:$Y$500,0)),Calc!$D$8:$D$500,0)) ),"-")</f>
        <v>-</v>
      </c>
      <c r="J37" s="53" t="str">
        <f t="array" ref="J37">IFERROR(IF(Kanban!$C$7="All",INDEX(Calc!$F$8:$F$500,MATCH(INDEX(Calc!$D$8:$D$500,MATCH(SMALL(IF((Calc!$K$8:$K$500=Kanban!H$11)*(Calc!$Y$8:$Y$500&gt;0),Calc!$Y$8:$Y$500,99999),$B35),Calc!$Y$8:$Y$500,0)),Calc!$D$8:$D$500,0)),
INDEX(Calc!$F$8:$F$500,MATCH(INDEX(Calc!$D$8:$D$500,MATCH(SMALL(IF((Calc!$K$8:$K$500=Kanban!H$11)*(Calc!$C$8:$C$500=Kanban!$C$7)*(Calc!$Y$8:$Y$500&gt;0),Calc!$Y$8:$Y$500,99999),$B35),Calc!$Y$8:$Y$500,0)),Calc!$D$8:$D$500,0)) ),"-")</f>
        <v>-</v>
      </c>
    </row>
    <row r="38" spans="2:10" x14ac:dyDescent="0.35">
      <c r="B38" s="54">
        <f t="shared" si="2"/>
        <v>12</v>
      </c>
      <c r="C38" s="10"/>
      <c r="D38" s="10"/>
      <c r="E38" s="52" t="str">
        <f t="shared" ref="E38:J38" si="23">IFERROR(E40,"-")</f>
        <v>-</v>
      </c>
      <c r="F38" s="52" t="str">
        <f t="shared" si="23"/>
        <v>-</v>
      </c>
      <c r="G38" s="52" t="str">
        <f t="shared" si="23"/>
        <v>-</v>
      </c>
      <c r="H38" s="52" t="str">
        <f t="shared" si="23"/>
        <v>-</v>
      </c>
      <c r="I38" s="52" t="str">
        <f t="shared" si="23"/>
        <v>-</v>
      </c>
      <c r="J38" s="52" t="str">
        <f t="shared" si="23"/>
        <v>-</v>
      </c>
    </row>
    <row r="39" spans="2:10" x14ac:dyDescent="0.35">
      <c r="B39" s="54">
        <f t="shared" si="2"/>
        <v>12</v>
      </c>
      <c r="C39" s="10"/>
      <c r="D39" s="10"/>
      <c r="E39" s="52" t="str">
        <f t="shared" ref="E39:J39" si="24">IFERROR(E40,"-")</f>
        <v>-</v>
      </c>
      <c r="F39" s="52" t="str">
        <f t="shared" si="24"/>
        <v>-</v>
      </c>
      <c r="G39" s="52" t="str">
        <f t="shared" si="24"/>
        <v>-</v>
      </c>
      <c r="H39" s="52" t="str">
        <f t="shared" si="24"/>
        <v>-</v>
      </c>
      <c r="I39" s="52" t="str">
        <f t="shared" si="24"/>
        <v>-</v>
      </c>
      <c r="J39" s="52" t="str">
        <f t="shared" si="24"/>
        <v>-</v>
      </c>
    </row>
    <row r="40" spans="2:10" x14ac:dyDescent="0.35">
      <c r="B40" s="54">
        <f t="shared" si="2"/>
        <v>12</v>
      </c>
      <c r="C40" s="10"/>
      <c r="D40" s="10"/>
      <c r="E40" s="53" t="str">
        <f t="array" ref="E40">IFERROR(IF(Kanban!$C$7="All",INDEX(Calc!$F$8:$F$500,MATCH(INDEX(Calc!$D$8:$D$500,MATCH(SMALL(IF((Calc!$K$8:$K$500=Kanban!C$11)*(Calc!$Y$8:$Y$500&gt;0),Calc!$Y$8:$Y$500,99999),$B38),Calc!$Y$8:$Y$500,0)),Calc!$D$8:$D$500,0)),
INDEX(Calc!$F$8:$F$500,MATCH(INDEX(Calc!$D$8:$D$500,MATCH(SMALL(IF((Calc!$K$8:$K$500=Kanban!C$11)*(Calc!$C$8:$C$500=Kanban!$C$7)*(Calc!$Y$8:$Y$500&gt;0),Calc!$Y$8:$Y$500,99999),$B38),Calc!$Y$8:$Y$500,0)),Calc!$D$8:$D$500,0)) ),"-")</f>
        <v>-</v>
      </c>
      <c r="F40" s="53" t="str">
        <f t="array" ref="F40">IFERROR(IF(Kanban!$C$7="All",INDEX(Calc!$F$8:$F$500,MATCH(INDEX(Calc!$D$8:$D$500,MATCH(SMALL(IF((Calc!$K$8:$K$500=Kanban!D$11)*(Calc!$Y$8:$Y$500&gt;0),Calc!$Y$8:$Y$500,99999),$B38),Calc!$Y$8:$Y$500,0)),Calc!$D$8:$D$500,0)),
INDEX(Calc!$F$8:$F$500,MATCH(INDEX(Calc!$D$8:$D$500,MATCH(SMALL(IF((Calc!$K$8:$K$500=Kanban!D$11)*(Calc!$C$8:$C$500=Kanban!$C$7)*(Calc!$Y$8:$Y$500&gt;0),Calc!$Y$8:$Y$500,99999),$B38),Calc!$Y$8:$Y$500,0)),Calc!$D$8:$D$500,0)) ),"-")</f>
        <v>-</v>
      </c>
      <c r="G40" s="53" t="str">
        <f t="array" ref="G40">IFERROR(IF(Kanban!$C$7="All",INDEX(Calc!$F$8:$F$500,MATCH(INDEX(Calc!$D$8:$D$500,MATCH(SMALL(IF((Calc!$K$8:$K$500=Kanban!E$11)*(Calc!$Y$8:$Y$500&gt;0),Calc!$Y$8:$Y$500,99999),$B38),Calc!$Y$8:$Y$500,0)),Calc!$D$8:$D$500,0)),
INDEX(Calc!$F$8:$F$500,MATCH(INDEX(Calc!$D$8:$D$500,MATCH(SMALL(IF((Calc!$K$8:$K$500=Kanban!E$11)*(Calc!$C$8:$C$500=Kanban!$C$7)*(Calc!$Y$8:$Y$500&gt;0),Calc!$Y$8:$Y$500,99999),$B38),Calc!$Y$8:$Y$500,0)),Calc!$D$8:$D$500,0)) ),"-")</f>
        <v>-</v>
      </c>
      <c r="H40" s="53" t="str">
        <f t="array" ref="H40">IFERROR(IF(Kanban!$C$7="All",INDEX(Calc!$F$8:$F$500,MATCH(INDEX(Calc!$D$8:$D$500,MATCH(SMALL(IF((Calc!$K$8:$K$500=Kanban!F$11)*(Calc!$Y$8:$Y$500&gt;0),Calc!$Y$8:$Y$500,99999),$B38),Calc!$Y$8:$Y$500,0)),Calc!$D$8:$D$500,0)),
INDEX(Calc!$F$8:$F$500,MATCH(INDEX(Calc!$D$8:$D$500,MATCH(SMALL(IF((Calc!$K$8:$K$500=Kanban!F$11)*(Calc!$C$8:$C$500=Kanban!$C$7)*(Calc!$Y$8:$Y$500&gt;0),Calc!$Y$8:$Y$500,99999),$B38),Calc!$Y$8:$Y$500,0)),Calc!$D$8:$D$500,0)) ),"-")</f>
        <v>-</v>
      </c>
      <c r="I40" s="53" t="str">
        <f t="array" ref="I40">IFERROR(IF(Kanban!$C$7="All",INDEX(Calc!$F$8:$F$500,MATCH(INDEX(Calc!$D$8:$D$500,MATCH(SMALL(IF((Calc!$K$8:$K$500=Kanban!G$11)*(Calc!$Y$8:$Y$500&gt;0),Calc!$Y$8:$Y$500,99999),$B38),Calc!$Y$8:$Y$500,0)),Calc!$D$8:$D$500,0)),
INDEX(Calc!$F$8:$F$500,MATCH(INDEX(Calc!$D$8:$D$500,MATCH(SMALL(IF((Calc!$K$8:$K$500=Kanban!G$11)*(Calc!$C$8:$C$500=Kanban!$C$7)*(Calc!$Y$8:$Y$500&gt;0),Calc!$Y$8:$Y$500,99999),$B38),Calc!$Y$8:$Y$500,0)),Calc!$D$8:$D$500,0)) ),"-")</f>
        <v>-</v>
      </c>
      <c r="J40" s="53" t="str">
        <f t="array" ref="J40">IFERROR(IF(Kanban!$C$7="All",INDEX(Calc!$F$8:$F$500,MATCH(INDEX(Calc!$D$8:$D$500,MATCH(SMALL(IF((Calc!$K$8:$K$500=Kanban!H$11)*(Calc!$Y$8:$Y$500&gt;0),Calc!$Y$8:$Y$500,99999),$B38),Calc!$Y$8:$Y$500,0)),Calc!$D$8:$D$500,0)),
INDEX(Calc!$F$8:$F$500,MATCH(INDEX(Calc!$D$8:$D$500,MATCH(SMALL(IF((Calc!$K$8:$K$500=Kanban!H$11)*(Calc!$C$8:$C$500=Kanban!$C$7)*(Calc!$Y$8:$Y$500&gt;0),Calc!$Y$8:$Y$500,99999),$B38),Calc!$Y$8:$Y$500,0)),Calc!$D$8:$D$500,0)) ),"-")</f>
        <v>-</v>
      </c>
    </row>
    <row r="41" spans="2:10" x14ac:dyDescent="0.35">
      <c r="B41" s="54">
        <f t="shared" si="2"/>
        <v>13</v>
      </c>
      <c r="C41" s="10"/>
      <c r="D41" s="10"/>
      <c r="E41" s="52" t="str">
        <f t="shared" ref="E41:J41" si="25">IFERROR(E43,"-")</f>
        <v>-</v>
      </c>
      <c r="F41" s="52" t="str">
        <f t="shared" si="25"/>
        <v>-</v>
      </c>
      <c r="G41" s="52" t="str">
        <f t="shared" si="25"/>
        <v>-</v>
      </c>
      <c r="H41" s="52" t="str">
        <f t="shared" si="25"/>
        <v>-</v>
      </c>
      <c r="I41" s="52" t="str">
        <f t="shared" si="25"/>
        <v>-</v>
      </c>
      <c r="J41" s="52" t="str">
        <f t="shared" si="25"/>
        <v>-</v>
      </c>
    </row>
    <row r="42" spans="2:10" x14ac:dyDescent="0.35">
      <c r="B42" s="54">
        <f t="shared" si="2"/>
        <v>13</v>
      </c>
      <c r="C42" s="10"/>
      <c r="D42" s="10"/>
      <c r="E42" s="52" t="str">
        <f t="shared" ref="E42:J42" si="26">IFERROR(E43,"-")</f>
        <v>-</v>
      </c>
      <c r="F42" s="52" t="str">
        <f t="shared" si="26"/>
        <v>-</v>
      </c>
      <c r="G42" s="52" t="str">
        <f t="shared" si="26"/>
        <v>-</v>
      </c>
      <c r="H42" s="52" t="str">
        <f t="shared" si="26"/>
        <v>-</v>
      </c>
      <c r="I42" s="52" t="str">
        <f t="shared" si="26"/>
        <v>-</v>
      </c>
      <c r="J42" s="52" t="str">
        <f t="shared" si="26"/>
        <v>-</v>
      </c>
    </row>
    <row r="43" spans="2:10" x14ac:dyDescent="0.35">
      <c r="B43" s="54">
        <f t="shared" si="2"/>
        <v>13</v>
      </c>
      <c r="C43" s="10"/>
      <c r="D43" s="10"/>
      <c r="E43" s="53" t="str">
        <f t="array" ref="E43">IFERROR(IF(Kanban!$C$7="All",INDEX(Calc!$F$8:$F$500,MATCH(INDEX(Calc!$D$8:$D$500,MATCH(SMALL(IF((Calc!$K$8:$K$500=Kanban!C$11)*(Calc!$Y$8:$Y$500&gt;0),Calc!$Y$8:$Y$500,99999),$B41),Calc!$Y$8:$Y$500,0)),Calc!$D$8:$D$500,0)),
INDEX(Calc!$F$8:$F$500,MATCH(INDEX(Calc!$D$8:$D$500,MATCH(SMALL(IF((Calc!$K$8:$K$500=Kanban!C$11)*(Calc!$C$8:$C$500=Kanban!$C$7)*(Calc!$Y$8:$Y$500&gt;0),Calc!$Y$8:$Y$500,99999),$B41),Calc!$Y$8:$Y$500,0)),Calc!$D$8:$D$500,0)) ),"-")</f>
        <v>-</v>
      </c>
      <c r="F43" s="53" t="str">
        <f t="array" ref="F43">IFERROR(IF(Kanban!$C$7="All",INDEX(Calc!$F$8:$F$500,MATCH(INDEX(Calc!$D$8:$D$500,MATCH(SMALL(IF((Calc!$K$8:$K$500=Kanban!D$11)*(Calc!$Y$8:$Y$500&gt;0),Calc!$Y$8:$Y$500,99999),$B41),Calc!$Y$8:$Y$500,0)),Calc!$D$8:$D$500,0)),
INDEX(Calc!$F$8:$F$500,MATCH(INDEX(Calc!$D$8:$D$500,MATCH(SMALL(IF((Calc!$K$8:$K$500=Kanban!D$11)*(Calc!$C$8:$C$500=Kanban!$C$7)*(Calc!$Y$8:$Y$500&gt;0),Calc!$Y$8:$Y$500,99999),$B41),Calc!$Y$8:$Y$500,0)),Calc!$D$8:$D$500,0)) ),"-")</f>
        <v>-</v>
      </c>
      <c r="G43" s="53" t="str">
        <f t="array" ref="G43">IFERROR(IF(Kanban!$C$7="All",INDEX(Calc!$F$8:$F$500,MATCH(INDEX(Calc!$D$8:$D$500,MATCH(SMALL(IF((Calc!$K$8:$K$500=Kanban!E$11)*(Calc!$Y$8:$Y$500&gt;0),Calc!$Y$8:$Y$500,99999),$B41),Calc!$Y$8:$Y$500,0)),Calc!$D$8:$D$500,0)),
INDEX(Calc!$F$8:$F$500,MATCH(INDEX(Calc!$D$8:$D$500,MATCH(SMALL(IF((Calc!$K$8:$K$500=Kanban!E$11)*(Calc!$C$8:$C$500=Kanban!$C$7)*(Calc!$Y$8:$Y$500&gt;0),Calc!$Y$8:$Y$500,99999),$B41),Calc!$Y$8:$Y$500,0)),Calc!$D$8:$D$500,0)) ),"-")</f>
        <v>-</v>
      </c>
      <c r="H43" s="53" t="str">
        <f t="array" ref="H43">IFERROR(IF(Kanban!$C$7="All",INDEX(Calc!$F$8:$F$500,MATCH(INDEX(Calc!$D$8:$D$500,MATCH(SMALL(IF((Calc!$K$8:$K$500=Kanban!F$11)*(Calc!$Y$8:$Y$500&gt;0),Calc!$Y$8:$Y$500,99999),$B41),Calc!$Y$8:$Y$500,0)),Calc!$D$8:$D$500,0)),
INDEX(Calc!$F$8:$F$500,MATCH(INDEX(Calc!$D$8:$D$500,MATCH(SMALL(IF((Calc!$K$8:$K$500=Kanban!F$11)*(Calc!$C$8:$C$500=Kanban!$C$7)*(Calc!$Y$8:$Y$500&gt;0),Calc!$Y$8:$Y$500,99999),$B41),Calc!$Y$8:$Y$500,0)),Calc!$D$8:$D$500,0)) ),"-")</f>
        <v>-</v>
      </c>
      <c r="I43" s="53" t="str">
        <f t="array" ref="I43">IFERROR(IF(Kanban!$C$7="All",INDEX(Calc!$F$8:$F$500,MATCH(INDEX(Calc!$D$8:$D$500,MATCH(SMALL(IF((Calc!$K$8:$K$500=Kanban!G$11)*(Calc!$Y$8:$Y$500&gt;0),Calc!$Y$8:$Y$500,99999),$B41),Calc!$Y$8:$Y$500,0)),Calc!$D$8:$D$500,0)),
INDEX(Calc!$F$8:$F$500,MATCH(INDEX(Calc!$D$8:$D$500,MATCH(SMALL(IF((Calc!$K$8:$K$500=Kanban!G$11)*(Calc!$C$8:$C$500=Kanban!$C$7)*(Calc!$Y$8:$Y$500&gt;0),Calc!$Y$8:$Y$500,99999),$B41),Calc!$Y$8:$Y$500,0)),Calc!$D$8:$D$500,0)) ),"-")</f>
        <v>-</v>
      </c>
      <c r="J43" s="53" t="str">
        <f t="array" ref="J43">IFERROR(IF(Kanban!$C$7="All",INDEX(Calc!$F$8:$F$500,MATCH(INDEX(Calc!$D$8:$D$500,MATCH(SMALL(IF((Calc!$K$8:$K$500=Kanban!H$11)*(Calc!$Y$8:$Y$500&gt;0),Calc!$Y$8:$Y$500,99999),$B41),Calc!$Y$8:$Y$500,0)),Calc!$D$8:$D$500,0)),
INDEX(Calc!$F$8:$F$500,MATCH(INDEX(Calc!$D$8:$D$500,MATCH(SMALL(IF((Calc!$K$8:$K$500=Kanban!H$11)*(Calc!$C$8:$C$500=Kanban!$C$7)*(Calc!$Y$8:$Y$500&gt;0),Calc!$Y$8:$Y$500,99999),$B41),Calc!$Y$8:$Y$500,0)),Calc!$D$8:$D$500,0)) ),"-")</f>
        <v>-</v>
      </c>
    </row>
    <row r="44" spans="2:10" x14ac:dyDescent="0.35">
      <c r="B44" s="54">
        <f t="shared" si="2"/>
        <v>14</v>
      </c>
      <c r="C44" s="10"/>
      <c r="D44" s="10"/>
      <c r="E44" s="52" t="str">
        <f t="shared" ref="E44:J44" si="27">IFERROR(E46,"-")</f>
        <v>-</v>
      </c>
      <c r="F44" s="52" t="str">
        <f t="shared" si="27"/>
        <v>-</v>
      </c>
      <c r="G44" s="52" t="str">
        <f t="shared" si="27"/>
        <v>-</v>
      </c>
      <c r="H44" s="52" t="str">
        <f t="shared" si="27"/>
        <v>-</v>
      </c>
      <c r="I44" s="52" t="str">
        <f t="shared" si="27"/>
        <v>-</v>
      </c>
      <c r="J44" s="52" t="str">
        <f t="shared" si="27"/>
        <v>-</v>
      </c>
    </row>
    <row r="45" spans="2:10" x14ac:dyDescent="0.35">
      <c r="B45" s="54">
        <f t="shared" si="2"/>
        <v>14</v>
      </c>
      <c r="C45" s="10"/>
      <c r="D45" s="10"/>
      <c r="E45" s="52" t="str">
        <f t="shared" ref="E45:J45" si="28">IFERROR(E46,"-")</f>
        <v>-</v>
      </c>
      <c r="F45" s="52" t="str">
        <f t="shared" si="28"/>
        <v>-</v>
      </c>
      <c r="G45" s="52" t="str">
        <f t="shared" si="28"/>
        <v>-</v>
      </c>
      <c r="H45" s="52" t="str">
        <f t="shared" si="28"/>
        <v>-</v>
      </c>
      <c r="I45" s="52" t="str">
        <f t="shared" si="28"/>
        <v>-</v>
      </c>
      <c r="J45" s="52" t="str">
        <f t="shared" si="28"/>
        <v>-</v>
      </c>
    </row>
    <row r="46" spans="2:10" x14ac:dyDescent="0.35">
      <c r="B46" s="54">
        <f t="shared" si="2"/>
        <v>14</v>
      </c>
      <c r="C46" s="10"/>
      <c r="D46" s="10"/>
      <c r="E46" s="53" t="str">
        <f t="array" ref="E46">IFERROR(IF(Kanban!$C$7="All",INDEX(Calc!$F$8:$F$500,MATCH(INDEX(Calc!$D$8:$D$500,MATCH(SMALL(IF((Calc!$K$8:$K$500=Kanban!C$11)*(Calc!$Y$8:$Y$500&gt;0),Calc!$Y$8:$Y$500,99999),$B44),Calc!$Y$8:$Y$500,0)),Calc!$D$8:$D$500,0)),
INDEX(Calc!$F$8:$F$500,MATCH(INDEX(Calc!$D$8:$D$500,MATCH(SMALL(IF((Calc!$K$8:$K$500=Kanban!C$11)*(Calc!$C$8:$C$500=Kanban!$C$7)*(Calc!$Y$8:$Y$500&gt;0),Calc!$Y$8:$Y$500,99999),$B44),Calc!$Y$8:$Y$500,0)),Calc!$D$8:$D$500,0)) ),"-")</f>
        <v>-</v>
      </c>
      <c r="F46" s="53" t="str">
        <f t="array" ref="F46">IFERROR(IF(Kanban!$C$7="All",INDEX(Calc!$F$8:$F$500,MATCH(INDEX(Calc!$D$8:$D$500,MATCH(SMALL(IF((Calc!$K$8:$K$500=Kanban!D$11)*(Calc!$Y$8:$Y$500&gt;0),Calc!$Y$8:$Y$500,99999),$B44),Calc!$Y$8:$Y$500,0)),Calc!$D$8:$D$500,0)),
INDEX(Calc!$F$8:$F$500,MATCH(INDEX(Calc!$D$8:$D$500,MATCH(SMALL(IF((Calc!$K$8:$K$500=Kanban!D$11)*(Calc!$C$8:$C$500=Kanban!$C$7)*(Calc!$Y$8:$Y$500&gt;0),Calc!$Y$8:$Y$500,99999),$B44),Calc!$Y$8:$Y$500,0)),Calc!$D$8:$D$500,0)) ),"-")</f>
        <v>-</v>
      </c>
      <c r="G46" s="53" t="str">
        <f t="array" ref="G46">IFERROR(IF(Kanban!$C$7="All",INDEX(Calc!$F$8:$F$500,MATCH(INDEX(Calc!$D$8:$D$500,MATCH(SMALL(IF((Calc!$K$8:$K$500=Kanban!E$11)*(Calc!$Y$8:$Y$500&gt;0),Calc!$Y$8:$Y$500,99999),$B44),Calc!$Y$8:$Y$500,0)),Calc!$D$8:$D$500,0)),
INDEX(Calc!$F$8:$F$500,MATCH(INDEX(Calc!$D$8:$D$500,MATCH(SMALL(IF((Calc!$K$8:$K$500=Kanban!E$11)*(Calc!$C$8:$C$500=Kanban!$C$7)*(Calc!$Y$8:$Y$500&gt;0),Calc!$Y$8:$Y$500,99999),$B44),Calc!$Y$8:$Y$500,0)),Calc!$D$8:$D$500,0)) ),"-")</f>
        <v>-</v>
      </c>
      <c r="H46" s="53" t="str">
        <f t="array" ref="H46">IFERROR(IF(Kanban!$C$7="All",INDEX(Calc!$F$8:$F$500,MATCH(INDEX(Calc!$D$8:$D$500,MATCH(SMALL(IF((Calc!$K$8:$K$500=Kanban!F$11)*(Calc!$Y$8:$Y$500&gt;0),Calc!$Y$8:$Y$500,99999),$B44),Calc!$Y$8:$Y$500,0)),Calc!$D$8:$D$500,0)),
INDEX(Calc!$F$8:$F$500,MATCH(INDEX(Calc!$D$8:$D$500,MATCH(SMALL(IF((Calc!$K$8:$K$500=Kanban!F$11)*(Calc!$C$8:$C$500=Kanban!$C$7)*(Calc!$Y$8:$Y$500&gt;0),Calc!$Y$8:$Y$500,99999),$B44),Calc!$Y$8:$Y$500,0)),Calc!$D$8:$D$500,0)) ),"-")</f>
        <v>-</v>
      </c>
      <c r="I46" s="53" t="str">
        <f t="array" ref="I46">IFERROR(IF(Kanban!$C$7="All",INDEX(Calc!$F$8:$F$500,MATCH(INDEX(Calc!$D$8:$D$500,MATCH(SMALL(IF((Calc!$K$8:$K$500=Kanban!G$11)*(Calc!$Y$8:$Y$500&gt;0),Calc!$Y$8:$Y$500,99999),$B44),Calc!$Y$8:$Y$500,0)),Calc!$D$8:$D$500,0)),
INDEX(Calc!$F$8:$F$500,MATCH(INDEX(Calc!$D$8:$D$500,MATCH(SMALL(IF((Calc!$K$8:$K$500=Kanban!G$11)*(Calc!$C$8:$C$500=Kanban!$C$7)*(Calc!$Y$8:$Y$500&gt;0),Calc!$Y$8:$Y$500,99999),$B44),Calc!$Y$8:$Y$500,0)),Calc!$D$8:$D$500,0)) ),"-")</f>
        <v>-</v>
      </c>
      <c r="J46" s="53" t="str">
        <f t="array" ref="J46">IFERROR(IF(Kanban!$C$7="All",INDEX(Calc!$F$8:$F$500,MATCH(INDEX(Calc!$D$8:$D$500,MATCH(SMALL(IF((Calc!$K$8:$K$500=Kanban!H$11)*(Calc!$Y$8:$Y$500&gt;0),Calc!$Y$8:$Y$500,99999),$B44),Calc!$Y$8:$Y$500,0)),Calc!$D$8:$D$500,0)),
INDEX(Calc!$F$8:$F$500,MATCH(INDEX(Calc!$D$8:$D$500,MATCH(SMALL(IF((Calc!$K$8:$K$500=Kanban!H$11)*(Calc!$C$8:$C$500=Kanban!$C$7)*(Calc!$Y$8:$Y$500&gt;0),Calc!$Y$8:$Y$500,99999),$B44),Calc!$Y$8:$Y$500,0)),Calc!$D$8:$D$500,0)) ),"-")</f>
        <v>-</v>
      </c>
    </row>
    <row r="47" spans="2:10" x14ac:dyDescent="0.35">
      <c r="B47" s="54">
        <f t="shared" si="2"/>
        <v>15</v>
      </c>
      <c r="C47" s="10"/>
      <c r="D47" s="10"/>
      <c r="E47" s="52" t="str">
        <f t="shared" ref="E47:J47" si="29">IFERROR(E49,"-")</f>
        <v>-</v>
      </c>
      <c r="F47" s="52" t="str">
        <f t="shared" si="29"/>
        <v>-</v>
      </c>
      <c r="G47" s="52" t="str">
        <f t="shared" si="29"/>
        <v>-</v>
      </c>
      <c r="H47" s="52" t="str">
        <f t="shared" si="29"/>
        <v>-</v>
      </c>
      <c r="I47" s="52" t="str">
        <f t="shared" si="29"/>
        <v>-</v>
      </c>
      <c r="J47" s="52" t="str">
        <f t="shared" si="29"/>
        <v>-</v>
      </c>
    </row>
    <row r="48" spans="2:10" x14ac:dyDescent="0.35">
      <c r="B48" s="54">
        <f t="shared" si="2"/>
        <v>15</v>
      </c>
      <c r="C48" s="10"/>
      <c r="D48" s="10"/>
      <c r="E48" s="52" t="str">
        <f t="shared" ref="E48:J48" si="30">IFERROR(E49,"-")</f>
        <v>-</v>
      </c>
      <c r="F48" s="52" t="str">
        <f t="shared" si="30"/>
        <v>-</v>
      </c>
      <c r="G48" s="52" t="str">
        <f t="shared" si="30"/>
        <v>-</v>
      </c>
      <c r="H48" s="52" t="str">
        <f t="shared" si="30"/>
        <v>-</v>
      </c>
      <c r="I48" s="52" t="str">
        <f t="shared" si="30"/>
        <v>-</v>
      </c>
      <c r="J48" s="52" t="str">
        <f t="shared" si="30"/>
        <v>-</v>
      </c>
    </row>
    <row r="49" spans="2:10" x14ac:dyDescent="0.35">
      <c r="B49" s="54">
        <f t="shared" si="2"/>
        <v>15</v>
      </c>
      <c r="C49" s="10"/>
      <c r="D49" s="10"/>
      <c r="E49" s="53" t="str">
        <f t="array" ref="E49">IFERROR(IF(Kanban!$C$7="All",INDEX(Calc!$F$8:$F$500,MATCH(INDEX(Calc!$D$8:$D$500,MATCH(SMALL(IF((Calc!$K$8:$K$500=Kanban!C$11)*(Calc!$Y$8:$Y$500&gt;0),Calc!$Y$8:$Y$500,99999),$B47),Calc!$Y$8:$Y$500,0)),Calc!$D$8:$D$500,0)),
INDEX(Calc!$F$8:$F$500,MATCH(INDEX(Calc!$D$8:$D$500,MATCH(SMALL(IF((Calc!$K$8:$K$500=Kanban!C$11)*(Calc!$C$8:$C$500=Kanban!$C$7)*(Calc!$Y$8:$Y$500&gt;0),Calc!$Y$8:$Y$500,99999),$B47),Calc!$Y$8:$Y$500,0)),Calc!$D$8:$D$500,0)) ),"-")</f>
        <v>-</v>
      </c>
      <c r="F49" s="53" t="str">
        <f t="array" ref="F49">IFERROR(IF(Kanban!$C$7="All",INDEX(Calc!$F$8:$F$500,MATCH(INDEX(Calc!$D$8:$D$500,MATCH(SMALL(IF((Calc!$K$8:$K$500=Kanban!D$11)*(Calc!$Y$8:$Y$500&gt;0),Calc!$Y$8:$Y$500,99999),$B47),Calc!$Y$8:$Y$500,0)),Calc!$D$8:$D$500,0)),
INDEX(Calc!$F$8:$F$500,MATCH(INDEX(Calc!$D$8:$D$500,MATCH(SMALL(IF((Calc!$K$8:$K$500=Kanban!D$11)*(Calc!$C$8:$C$500=Kanban!$C$7)*(Calc!$Y$8:$Y$500&gt;0),Calc!$Y$8:$Y$500,99999),$B47),Calc!$Y$8:$Y$500,0)),Calc!$D$8:$D$500,0)) ),"-")</f>
        <v>-</v>
      </c>
      <c r="G49" s="53" t="str">
        <f t="array" ref="G49">IFERROR(IF(Kanban!$C$7="All",INDEX(Calc!$F$8:$F$500,MATCH(INDEX(Calc!$D$8:$D$500,MATCH(SMALL(IF((Calc!$K$8:$K$500=Kanban!E$11)*(Calc!$Y$8:$Y$500&gt;0),Calc!$Y$8:$Y$500,99999),$B47),Calc!$Y$8:$Y$500,0)),Calc!$D$8:$D$500,0)),
INDEX(Calc!$F$8:$F$500,MATCH(INDEX(Calc!$D$8:$D$500,MATCH(SMALL(IF((Calc!$K$8:$K$500=Kanban!E$11)*(Calc!$C$8:$C$500=Kanban!$C$7)*(Calc!$Y$8:$Y$500&gt;0),Calc!$Y$8:$Y$500,99999),$B47),Calc!$Y$8:$Y$500,0)),Calc!$D$8:$D$500,0)) ),"-")</f>
        <v>-</v>
      </c>
      <c r="H49" s="53" t="str">
        <f t="array" ref="H49">IFERROR(IF(Kanban!$C$7="All",INDEX(Calc!$F$8:$F$500,MATCH(INDEX(Calc!$D$8:$D$500,MATCH(SMALL(IF((Calc!$K$8:$K$500=Kanban!F$11)*(Calc!$Y$8:$Y$500&gt;0),Calc!$Y$8:$Y$500,99999),$B47),Calc!$Y$8:$Y$500,0)),Calc!$D$8:$D$500,0)),
INDEX(Calc!$F$8:$F$500,MATCH(INDEX(Calc!$D$8:$D$500,MATCH(SMALL(IF((Calc!$K$8:$K$500=Kanban!F$11)*(Calc!$C$8:$C$500=Kanban!$C$7)*(Calc!$Y$8:$Y$500&gt;0),Calc!$Y$8:$Y$500,99999),$B47),Calc!$Y$8:$Y$500,0)),Calc!$D$8:$D$500,0)) ),"-")</f>
        <v>-</v>
      </c>
      <c r="I49" s="53" t="str">
        <f t="array" ref="I49">IFERROR(IF(Kanban!$C$7="All",INDEX(Calc!$F$8:$F$500,MATCH(INDEX(Calc!$D$8:$D$500,MATCH(SMALL(IF((Calc!$K$8:$K$500=Kanban!G$11)*(Calc!$Y$8:$Y$500&gt;0),Calc!$Y$8:$Y$500,99999),$B47),Calc!$Y$8:$Y$500,0)),Calc!$D$8:$D$500,0)),
INDEX(Calc!$F$8:$F$500,MATCH(INDEX(Calc!$D$8:$D$500,MATCH(SMALL(IF((Calc!$K$8:$K$500=Kanban!G$11)*(Calc!$C$8:$C$500=Kanban!$C$7)*(Calc!$Y$8:$Y$500&gt;0),Calc!$Y$8:$Y$500,99999),$B47),Calc!$Y$8:$Y$500,0)),Calc!$D$8:$D$500,0)) ),"-")</f>
        <v>-</v>
      </c>
      <c r="J49" s="53" t="str">
        <f t="array" ref="J49">IFERROR(IF(Kanban!$C$7="All",INDEX(Calc!$F$8:$F$500,MATCH(INDEX(Calc!$D$8:$D$500,MATCH(SMALL(IF((Calc!$K$8:$K$500=Kanban!H$11)*(Calc!$Y$8:$Y$500&gt;0),Calc!$Y$8:$Y$500,99999),$B47),Calc!$Y$8:$Y$500,0)),Calc!$D$8:$D$500,0)),
INDEX(Calc!$F$8:$F$500,MATCH(INDEX(Calc!$D$8:$D$500,MATCH(SMALL(IF((Calc!$K$8:$K$500=Kanban!H$11)*(Calc!$C$8:$C$500=Kanban!$C$7)*(Calc!$Y$8:$Y$500&gt;0),Calc!$Y$8:$Y$500,99999),$B47),Calc!$Y$8:$Y$500,0)),Calc!$D$8:$D$500,0)) ),"-")</f>
        <v>-</v>
      </c>
    </row>
    <row r="50" spans="2:10" x14ac:dyDescent="0.35">
      <c r="B50" s="54">
        <f t="shared" si="2"/>
        <v>16</v>
      </c>
      <c r="C50" s="10"/>
      <c r="D50" s="10"/>
      <c r="E50" s="52" t="str">
        <f t="shared" ref="E50:J50" si="31">IFERROR(E52,"-")</f>
        <v>-</v>
      </c>
      <c r="F50" s="52" t="str">
        <f t="shared" si="31"/>
        <v>-</v>
      </c>
      <c r="G50" s="52" t="str">
        <f t="shared" si="31"/>
        <v>-</v>
      </c>
      <c r="H50" s="52" t="str">
        <f t="shared" si="31"/>
        <v>-</v>
      </c>
      <c r="I50" s="52" t="str">
        <f t="shared" si="31"/>
        <v>-</v>
      </c>
      <c r="J50" s="52" t="str">
        <f t="shared" si="31"/>
        <v>-</v>
      </c>
    </row>
    <row r="51" spans="2:10" x14ac:dyDescent="0.35">
      <c r="B51" s="54">
        <f t="shared" si="2"/>
        <v>16</v>
      </c>
      <c r="C51" s="10"/>
      <c r="D51" s="10"/>
      <c r="E51" s="52" t="str">
        <f t="shared" ref="E51:J51" si="32">IFERROR(E52,"-")</f>
        <v>-</v>
      </c>
      <c r="F51" s="52" t="str">
        <f t="shared" si="32"/>
        <v>-</v>
      </c>
      <c r="G51" s="52" t="str">
        <f t="shared" si="32"/>
        <v>-</v>
      </c>
      <c r="H51" s="52" t="str">
        <f t="shared" si="32"/>
        <v>-</v>
      </c>
      <c r="I51" s="52" t="str">
        <f t="shared" si="32"/>
        <v>-</v>
      </c>
      <c r="J51" s="52" t="str">
        <f t="shared" si="32"/>
        <v>-</v>
      </c>
    </row>
    <row r="52" spans="2:10" x14ac:dyDescent="0.35">
      <c r="B52" s="54">
        <f t="shared" si="2"/>
        <v>16</v>
      </c>
      <c r="C52" s="10"/>
      <c r="D52" s="10"/>
      <c r="E52" s="53" t="str">
        <f t="array" ref="E52">IFERROR(IF(Kanban!$C$7="All",INDEX(Calc!$F$8:$F$500,MATCH(INDEX(Calc!$D$8:$D$500,MATCH(SMALL(IF((Calc!$K$8:$K$500=Kanban!C$11)*(Calc!$Y$8:$Y$500&gt;0),Calc!$Y$8:$Y$500,99999),$B50),Calc!$Y$8:$Y$500,0)),Calc!$D$8:$D$500,0)),
INDEX(Calc!$F$8:$F$500,MATCH(INDEX(Calc!$D$8:$D$500,MATCH(SMALL(IF((Calc!$K$8:$K$500=Kanban!C$11)*(Calc!$C$8:$C$500=Kanban!$C$7)*(Calc!$Y$8:$Y$500&gt;0),Calc!$Y$8:$Y$500,99999),$B50),Calc!$Y$8:$Y$500,0)),Calc!$D$8:$D$500,0)) ),"-")</f>
        <v>-</v>
      </c>
      <c r="F52" s="53" t="str">
        <f t="array" ref="F52">IFERROR(IF(Kanban!$C$7="All",INDEX(Calc!$F$8:$F$500,MATCH(INDEX(Calc!$D$8:$D$500,MATCH(SMALL(IF((Calc!$K$8:$K$500=Kanban!D$11)*(Calc!$Y$8:$Y$500&gt;0),Calc!$Y$8:$Y$500,99999),$B50),Calc!$Y$8:$Y$500,0)),Calc!$D$8:$D$500,0)),
INDEX(Calc!$F$8:$F$500,MATCH(INDEX(Calc!$D$8:$D$500,MATCH(SMALL(IF((Calc!$K$8:$K$500=Kanban!D$11)*(Calc!$C$8:$C$500=Kanban!$C$7)*(Calc!$Y$8:$Y$500&gt;0),Calc!$Y$8:$Y$500,99999),$B50),Calc!$Y$8:$Y$500,0)),Calc!$D$8:$D$500,0)) ),"-")</f>
        <v>-</v>
      </c>
      <c r="G52" s="53" t="str">
        <f t="array" ref="G52">IFERROR(IF(Kanban!$C$7="All",INDEX(Calc!$F$8:$F$500,MATCH(INDEX(Calc!$D$8:$D$500,MATCH(SMALL(IF((Calc!$K$8:$K$500=Kanban!E$11)*(Calc!$Y$8:$Y$500&gt;0),Calc!$Y$8:$Y$500,99999),$B50),Calc!$Y$8:$Y$500,0)),Calc!$D$8:$D$500,0)),
INDEX(Calc!$F$8:$F$500,MATCH(INDEX(Calc!$D$8:$D$500,MATCH(SMALL(IF((Calc!$K$8:$K$500=Kanban!E$11)*(Calc!$C$8:$C$500=Kanban!$C$7)*(Calc!$Y$8:$Y$500&gt;0),Calc!$Y$8:$Y$500,99999),$B50),Calc!$Y$8:$Y$500,0)),Calc!$D$8:$D$500,0)) ),"-")</f>
        <v>-</v>
      </c>
      <c r="H52" s="53" t="str">
        <f t="array" ref="H52">IFERROR(IF(Kanban!$C$7="All",INDEX(Calc!$F$8:$F$500,MATCH(INDEX(Calc!$D$8:$D$500,MATCH(SMALL(IF((Calc!$K$8:$K$500=Kanban!F$11)*(Calc!$Y$8:$Y$500&gt;0),Calc!$Y$8:$Y$500,99999),$B50),Calc!$Y$8:$Y$500,0)),Calc!$D$8:$D$500,0)),
INDEX(Calc!$F$8:$F$500,MATCH(INDEX(Calc!$D$8:$D$500,MATCH(SMALL(IF((Calc!$K$8:$K$500=Kanban!F$11)*(Calc!$C$8:$C$500=Kanban!$C$7)*(Calc!$Y$8:$Y$500&gt;0),Calc!$Y$8:$Y$500,99999),$B50),Calc!$Y$8:$Y$500,0)),Calc!$D$8:$D$500,0)) ),"-")</f>
        <v>-</v>
      </c>
      <c r="I52" s="53" t="str">
        <f t="array" ref="I52">IFERROR(IF(Kanban!$C$7="All",INDEX(Calc!$F$8:$F$500,MATCH(INDEX(Calc!$D$8:$D$500,MATCH(SMALL(IF((Calc!$K$8:$K$500=Kanban!G$11)*(Calc!$Y$8:$Y$500&gt;0),Calc!$Y$8:$Y$500,99999),$B50),Calc!$Y$8:$Y$500,0)),Calc!$D$8:$D$500,0)),
INDEX(Calc!$F$8:$F$500,MATCH(INDEX(Calc!$D$8:$D$500,MATCH(SMALL(IF((Calc!$K$8:$K$500=Kanban!G$11)*(Calc!$C$8:$C$500=Kanban!$C$7)*(Calc!$Y$8:$Y$500&gt;0),Calc!$Y$8:$Y$500,99999),$B50),Calc!$Y$8:$Y$500,0)),Calc!$D$8:$D$500,0)) ),"-")</f>
        <v>-</v>
      </c>
      <c r="J52" s="53" t="str">
        <f t="array" ref="J52">IFERROR(IF(Kanban!$C$7="All",INDEX(Calc!$F$8:$F$500,MATCH(INDEX(Calc!$D$8:$D$500,MATCH(SMALL(IF((Calc!$K$8:$K$500=Kanban!H$11)*(Calc!$Y$8:$Y$500&gt;0),Calc!$Y$8:$Y$500,99999),$B50),Calc!$Y$8:$Y$500,0)),Calc!$D$8:$D$500,0)),
INDEX(Calc!$F$8:$F$500,MATCH(INDEX(Calc!$D$8:$D$500,MATCH(SMALL(IF((Calc!$K$8:$K$500=Kanban!H$11)*(Calc!$C$8:$C$500=Kanban!$C$7)*(Calc!$Y$8:$Y$500&gt;0),Calc!$Y$8:$Y$500,99999),$B50),Calc!$Y$8:$Y$500,0)),Calc!$D$8:$D$500,0)) ),"-")</f>
        <v>-</v>
      </c>
    </row>
    <row r="53" spans="2:10" x14ac:dyDescent="0.35">
      <c r="B53" s="54">
        <f t="shared" si="2"/>
        <v>17</v>
      </c>
      <c r="C53" s="10"/>
      <c r="D53" s="10"/>
      <c r="E53" s="52" t="str">
        <f t="shared" ref="E53:J53" si="33">IFERROR(E55,"-")</f>
        <v>-</v>
      </c>
      <c r="F53" s="52" t="str">
        <f t="shared" si="33"/>
        <v>-</v>
      </c>
      <c r="G53" s="52" t="str">
        <f t="shared" si="33"/>
        <v>-</v>
      </c>
      <c r="H53" s="52" t="str">
        <f t="shared" si="33"/>
        <v>-</v>
      </c>
      <c r="I53" s="52" t="str">
        <f t="shared" si="33"/>
        <v>-</v>
      </c>
      <c r="J53" s="52" t="str">
        <f t="shared" si="33"/>
        <v>-</v>
      </c>
    </row>
    <row r="54" spans="2:10" x14ac:dyDescent="0.35">
      <c r="B54" s="54">
        <f t="shared" si="2"/>
        <v>17</v>
      </c>
      <c r="C54" s="10"/>
      <c r="D54" s="10"/>
      <c r="E54" s="52" t="str">
        <f t="shared" ref="E54:J54" si="34">IFERROR(E55,"-")</f>
        <v>-</v>
      </c>
      <c r="F54" s="52" t="str">
        <f t="shared" si="34"/>
        <v>-</v>
      </c>
      <c r="G54" s="52" t="str">
        <f t="shared" si="34"/>
        <v>-</v>
      </c>
      <c r="H54" s="52" t="str">
        <f t="shared" si="34"/>
        <v>-</v>
      </c>
      <c r="I54" s="52" t="str">
        <f t="shared" si="34"/>
        <v>-</v>
      </c>
      <c r="J54" s="52" t="str">
        <f t="shared" si="34"/>
        <v>-</v>
      </c>
    </row>
    <row r="55" spans="2:10" x14ac:dyDescent="0.35">
      <c r="B55" s="54">
        <f t="shared" si="2"/>
        <v>17</v>
      </c>
      <c r="C55" s="10"/>
      <c r="D55" s="10"/>
      <c r="E55" s="53" t="str">
        <f t="array" ref="E55">IFERROR(IF(Kanban!$C$7="All",INDEX(Calc!$F$8:$F$500,MATCH(INDEX(Calc!$D$8:$D$500,MATCH(SMALL(IF((Calc!$K$8:$K$500=Kanban!C$11)*(Calc!$Y$8:$Y$500&gt;0),Calc!$Y$8:$Y$500,99999),$B53),Calc!$Y$8:$Y$500,0)),Calc!$D$8:$D$500,0)),
INDEX(Calc!$F$8:$F$500,MATCH(INDEX(Calc!$D$8:$D$500,MATCH(SMALL(IF((Calc!$K$8:$K$500=Kanban!C$11)*(Calc!$C$8:$C$500=Kanban!$C$7)*(Calc!$Y$8:$Y$500&gt;0),Calc!$Y$8:$Y$500,99999),$B53),Calc!$Y$8:$Y$500,0)),Calc!$D$8:$D$500,0)) ),"-")</f>
        <v>-</v>
      </c>
      <c r="F55" s="53" t="str">
        <f t="array" ref="F55">IFERROR(IF(Kanban!$C$7="All",INDEX(Calc!$F$8:$F$500,MATCH(INDEX(Calc!$D$8:$D$500,MATCH(SMALL(IF((Calc!$K$8:$K$500=Kanban!D$11)*(Calc!$Y$8:$Y$500&gt;0),Calc!$Y$8:$Y$500,99999),$B53),Calc!$Y$8:$Y$500,0)),Calc!$D$8:$D$500,0)),
INDEX(Calc!$F$8:$F$500,MATCH(INDEX(Calc!$D$8:$D$500,MATCH(SMALL(IF((Calc!$K$8:$K$500=Kanban!D$11)*(Calc!$C$8:$C$500=Kanban!$C$7)*(Calc!$Y$8:$Y$500&gt;0),Calc!$Y$8:$Y$500,99999),$B53),Calc!$Y$8:$Y$500,0)),Calc!$D$8:$D$500,0)) ),"-")</f>
        <v>-</v>
      </c>
      <c r="G55" s="53" t="str">
        <f t="array" ref="G55">IFERROR(IF(Kanban!$C$7="All",INDEX(Calc!$F$8:$F$500,MATCH(INDEX(Calc!$D$8:$D$500,MATCH(SMALL(IF((Calc!$K$8:$K$500=Kanban!E$11)*(Calc!$Y$8:$Y$500&gt;0),Calc!$Y$8:$Y$500,99999),$B53),Calc!$Y$8:$Y$500,0)),Calc!$D$8:$D$500,0)),
INDEX(Calc!$F$8:$F$500,MATCH(INDEX(Calc!$D$8:$D$500,MATCH(SMALL(IF((Calc!$K$8:$K$500=Kanban!E$11)*(Calc!$C$8:$C$500=Kanban!$C$7)*(Calc!$Y$8:$Y$500&gt;0),Calc!$Y$8:$Y$500,99999),$B53),Calc!$Y$8:$Y$500,0)),Calc!$D$8:$D$500,0)) ),"-")</f>
        <v>-</v>
      </c>
      <c r="H55" s="53" t="str">
        <f t="array" ref="H55">IFERROR(IF(Kanban!$C$7="All",INDEX(Calc!$F$8:$F$500,MATCH(INDEX(Calc!$D$8:$D$500,MATCH(SMALL(IF((Calc!$K$8:$K$500=Kanban!F$11)*(Calc!$Y$8:$Y$500&gt;0),Calc!$Y$8:$Y$500,99999),$B53),Calc!$Y$8:$Y$500,0)),Calc!$D$8:$D$500,0)),
INDEX(Calc!$F$8:$F$500,MATCH(INDEX(Calc!$D$8:$D$500,MATCH(SMALL(IF((Calc!$K$8:$K$500=Kanban!F$11)*(Calc!$C$8:$C$500=Kanban!$C$7)*(Calc!$Y$8:$Y$500&gt;0),Calc!$Y$8:$Y$500,99999),$B53),Calc!$Y$8:$Y$500,0)),Calc!$D$8:$D$500,0)) ),"-")</f>
        <v>-</v>
      </c>
      <c r="I55" s="53" t="str">
        <f t="array" ref="I55">IFERROR(IF(Kanban!$C$7="All",INDEX(Calc!$F$8:$F$500,MATCH(INDEX(Calc!$D$8:$D$500,MATCH(SMALL(IF((Calc!$K$8:$K$500=Kanban!G$11)*(Calc!$Y$8:$Y$500&gt;0),Calc!$Y$8:$Y$500,99999),$B53),Calc!$Y$8:$Y$500,0)),Calc!$D$8:$D$500,0)),
INDEX(Calc!$F$8:$F$500,MATCH(INDEX(Calc!$D$8:$D$500,MATCH(SMALL(IF((Calc!$K$8:$K$500=Kanban!G$11)*(Calc!$C$8:$C$500=Kanban!$C$7)*(Calc!$Y$8:$Y$500&gt;0),Calc!$Y$8:$Y$500,99999),$B53),Calc!$Y$8:$Y$500,0)),Calc!$D$8:$D$500,0)) ),"-")</f>
        <v>-</v>
      </c>
      <c r="J55" s="53" t="str">
        <f t="array" ref="J55">IFERROR(IF(Kanban!$C$7="All",INDEX(Calc!$F$8:$F$500,MATCH(INDEX(Calc!$D$8:$D$500,MATCH(SMALL(IF((Calc!$K$8:$K$500=Kanban!H$11)*(Calc!$Y$8:$Y$500&gt;0),Calc!$Y$8:$Y$500,99999),$B53),Calc!$Y$8:$Y$500,0)),Calc!$D$8:$D$500,0)),
INDEX(Calc!$F$8:$F$500,MATCH(INDEX(Calc!$D$8:$D$500,MATCH(SMALL(IF((Calc!$K$8:$K$500=Kanban!H$11)*(Calc!$C$8:$C$500=Kanban!$C$7)*(Calc!$Y$8:$Y$500&gt;0),Calc!$Y$8:$Y$500,99999),$B53),Calc!$Y$8:$Y$500,0)),Calc!$D$8:$D$500,0)) ),"-")</f>
        <v>-</v>
      </c>
    </row>
    <row r="56" spans="2:10" x14ac:dyDescent="0.35">
      <c r="B56" s="54">
        <f t="shared" si="2"/>
        <v>18</v>
      </c>
      <c r="C56" s="10"/>
      <c r="D56" s="10"/>
      <c r="E56" s="52" t="str">
        <f t="shared" ref="E56:J56" si="35">IFERROR(E58,"-")</f>
        <v>-</v>
      </c>
      <c r="F56" s="52" t="str">
        <f t="shared" si="35"/>
        <v>-</v>
      </c>
      <c r="G56" s="52" t="str">
        <f t="shared" si="35"/>
        <v>-</v>
      </c>
      <c r="H56" s="52" t="str">
        <f t="shared" si="35"/>
        <v>-</v>
      </c>
      <c r="I56" s="52" t="str">
        <f t="shared" si="35"/>
        <v>-</v>
      </c>
      <c r="J56" s="52" t="str">
        <f t="shared" si="35"/>
        <v>-</v>
      </c>
    </row>
    <row r="57" spans="2:10" x14ac:dyDescent="0.35">
      <c r="B57" s="54">
        <f t="shared" si="2"/>
        <v>18</v>
      </c>
      <c r="C57" s="10"/>
      <c r="D57" s="10"/>
      <c r="E57" s="52" t="str">
        <f t="shared" ref="E57:J57" si="36">IFERROR(E58,"-")</f>
        <v>-</v>
      </c>
      <c r="F57" s="52" t="str">
        <f t="shared" si="36"/>
        <v>-</v>
      </c>
      <c r="G57" s="52" t="str">
        <f t="shared" si="36"/>
        <v>-</v>
      </c>
      <c r="H57" s="52" t="str">
        <f t="shared" si="36"/>
        <v>-</v>
      </c>
      <c r="I57" s="52" t="str">
        <f t="shared" si="36"/>
        <v>-</v>
      </c>
      <c r="J57" s="52" t="str">
        <f t="shared" si="36"/>
        <v>-</v>
      </c>
    </row>
    <row r="58" spans="2:10" x14ac:dyDescent="0.35">
      <c r="B58" s="54">
        <f t="shared" si="2"/>
        <v>18</v>
      </c>
      <c r="C58" s="10"/>
      <c r="D58" s="10"/>
      <c r="E58" s="53" t="str">
        <f t="array" ref="E58">IFERROR(IF(Kanban!$C$7="All",INDEX(Calc!$F$8:$F$500,MATCH(INDEX(Calc!$D$8:$D$500,MATCH(SMALL(IF((Calc!$K$8:$K$500=Kanban!C$11)*(Calc!$Y$8:$Y$500&gt;0),Calc!$Y$8:$Y$500,99999),$B56),Calc!$Y$8:$Y$500,0)),Calc!$D$8:$D$500,0)),
INDEX(Calc!$F$8:$F$500,MATCH(INDEX(Calc!$D$8:$D$500,MATCH(SMALL(IF((Calc!$K$8:$K$500=Kanban!C$11)*(Calc!$C$8:$C$500=Kanban!$C$7)*(Calc!$Y$8:$Y$500&gt;0),Calc!$Y$8:$Y$500,99999),$B56),Calc!$Y$8:$Y$500,0)),Calc!$D$8:$D$500,0)) ),"-")</f>
        <v>-</v>
      </c>
      <c r="F58" s="53" t="str">
        <f t="array" ref="F58">IFERROR(IF(Kanban!$C$7="All",INDEX(Calc!$F$8:$F$500,MATCH(INDEX(Calc!$D$8:$D$500,MATCH(SMALL(IF((Calc!$K$8:$K$500=Kanban!D$11)*(Calc!$Y$8:$Y$500&gt;0),Calc!$Y$8:$Y$500,99999),$B56),Calc!$Y$8:$Y$500,0)),Calc!$D$8:$D$500,0)),
INDEX(Calc!$F$8:$F$500,MATCH(INDEX(Calc!$D$8:$D$500,MATCH(SMALL(IF((Calc!$K$8:$K$500=Kanban!D$11)*(Calc!$C$8:$C$500=Kanban!$C$7)*(Calc!$Y$8:$Y$500&gt;0),Calc!$Y$8:$Y$500,99999),$B56),Calc!$Y$8:$Y$500,0)),Calc!$D$8:$D$500,0)) ),"-")</f>
        <v>-</v>
      </c>
      <c r="G58" s="53" t="str">
        <f t="array" ref="G58">IFERROR(IF(Kanban!$C$7="All",INDEX(Calc!$F$8:$F$500,MATCH(INDEX(Calc!$D$8:$D$500,MATCH(SMALL(IF((Calc!$K$8:$K$500=Kanban!E$11)*(Calc!$Y$8:$Y$500&gt;0),Calc!$Y$8:$Y$500,99999),$B56),Calc!$Y$8:$Y$500,0)),Calc!$D$8:$D$500,0)),
INDEX(Calc!$F$8:$F$500,MATCH(INDEX(Calc!$D$8:$D$500,MATCH(SMALL(IF((Calc!$K$8:$K$500=Kanban!E$11)*(Calc!$C$8:$C$500=Kanban!$C$7)*(Calc!$Y$8:$Y$500&gt;0),Calc!$Y$8:$Y$500,99999),$B56),Calc!$Y$8:$Y$500,0)),Calc!$D$8:$D$500,0)) ),"-")</f>
        <v>-</v>
      </c>
      <c r="H58" s="53" t="str">
        <f t="array" ref="H58">IFERROR(IF(Kanban!$C$7="All",INDEX(Calc!$F$8:$F$500,MATCH(INDEX(Calc!$D$8:$D$500,MATCH(SMALL(IF((Calc!$K$8:$K$500=Kanban!F$11)*(Calc!$Y$8:$Y$500&gt;0),Calc!$Y$8:$Y$500,99999),$B56),Calc!$Y$8:$Y$500,0)),Calc!$D$8:$D$500,0)),
INDEX(Calc!$F$8:$F$500,MATCH(INDEX(Calc!$D$8:$D$500,MATCH(SMALL(IF((Calc!$K$8:$K$500=Kanban!F$11)*(Calc!$C$8:$C$500=Kanban!$C$7)*(Calc!$Y$8:$Y$500&gt;0),Calc!$Y$8:$Y$500,99999),$B56),Calc!$Y$8:$Y$500,0)),Calc!$D$8:$D$500,0)) ),"-")</f>
        <v>-</v>
      </c>
      <c r="I58" s="53" t="str">
        <f t="array" ref="I58">IFERROR(IF(Kanban!$C$7="All",INDEX(Calc!$F$8:$F$500,MATCH(INDEX(Calc!$D$8:$D$500,MATCH(SMALL(IF((Calc!$K$8:$K$500=Kanban!G$11)*(Calc!$Y$8:$Y$500&gt;0),Calc!$Y$8:$Y$500,99999),$B56),Calc!$Y$8:$Y$500,0)),Calc!$D$8:$D$500,0)),
INDEX(Calc!$F$8:$F$500,MATCH(INDEX(Calc!$D$8:$D$500,MATCH(SMALL(IF((Calc!$K$8:$K$500=Kanban!G$11)*(Calc!$C$8:$C$500=Kanban!$C$7)*(Calc!$Y$8:$Y$500&gt;0),Calc!$Y$8:$Y$500,99999),$B56),Calc!$Y$8:$Y$500,0)),Calc!$D$8:$D$500,0)) ),"-")</f>
        <v>-</v>
      </c>
      <c r="J58" s="53" t="str">
        <f t="array" ref="J58">IFERROR(IF(Kanban!$C$7="All",INDEX(Calc!$F$8:$F$500,MATCH(INDEX(Calc!$D$8:$D$500,MATCH(SMALL(IF((Calc!$K$8:$K$500=Kanban!H$11)*(Calc!$Y$8:$Y$500&gt;0),Calc!$Y$8:$Y$500,99999),$B56),Calc!$Y$8:$Y$500,0)),Calc!$D$8:$D$500,0)),
INDEX(Calc!$F$8:$F$500,MATCH(INDEX(Calc!$D$8:$D$500,MATCH(SMALL(IF((Calc!$K$8:$K$500=Kanban!H$11)*(Calc!$C$8:$C$500=Kanban!$C$7)*(Calc!$Y$8:$Y$500&gt;0),Calc!$Y$8:$Y$500,99999),$B56),Calc!$Y$8:$Y$500,0)),Calc!$D$8:$D$500,0)) ),"-")</f>
        <v>-</v>
      </c>
    </row>
    <row r="59" spans="2:10" x14ac:dyDescent="0.35">
      <c r="B59" s="54">
        <f t="shared" si="2"/>
        <v>19</v>
      </c>
      <c r="C59" s="10"/>
      <c r="D59" s="10"/>
      <c r="E59" s="52" t="str">
        <f t="shared" ref="E59:J59" si="37">IFERROR(E61,"-")</f>
        <v>-</v>
      </c>
      <c r="F59" s="52" t="str">
        <f t="shared" si="37"/>
        <v>-</v>
      </c>
      <c r="G59" s="52" t="str">
        <f t="shared" si="37"/>
        <v>-</v>
      </c>
      <c r="H59" s="52" t="str">
        <f t="shared" si="37"/>
        <v>-</v>
      </c>
      <c r="I59" s="52" t="str">
        <f t="shared" si="37"/>
        <v>-</v>
      </c>
      <c r="J59" s="52" t="str">
        <f t="shared" si="37"/>
        <v>-</v>
      </c>
    </row>
    <row r="60" spans="2:10" x14ac:dyDescent="0.35">
      <c r="B60" s="54">
        <f t="shared" si="2"/>
        <v>19</v>
      </c>
      <c r="C60" s="10"/>
      <c r="D60" s="10"/>
      <c r="E60" s="52" t="str">
        <f t="shared" ref="E60:J60" si="38">IFERROR(E61,"-")</f>
        <v>-</v>
      </c>
      <c r="F60" s="52" t="str">
        <f t="shared" si="38"/>
        <v>-</v>
      </c>
      <c r="G60" s="52" t="str">
        <f t="shared" si="38"/>
        <v>-</v>
      </c>
      <c r="H60" s="52" t="str">
        <f t="shared" si="38"/>
        <v>-</v>
      </c>
      <c r="I60" s="52" t="str">
        <f t="shared" si="38"/>
        <v>-</v>
      </c>
      <c r="J60" s="52" t="str">
        <f t="shared" si="38"/>
        <v>-</v>
      </c>
    </row>
    <row r="61" spans="2:10" x14ac:dyDescent="0.35">
      <c r="B61" s="54">
        <f t="shared" si="2"/>
        <v>19</v>
      </c>
      <c r="C61" s="10"/>
      <c r="D61" s="10"/>
      <c r="E61" s="53" t="str">
        <f t="array" ref="E61">IFERROR(IF(Kanban!$C$7="All",INDEX(Calc!$F$8:$F$500,MATCH(INDEX(Calc!$D$8:$D$500,MATCH(SMALL(IF((Calc!$K$8:$K$500=Kanban!C$11)*(Calc!$Y$8:$Y$500&gt;0),Calc!$Y$8:$Y$500,99999),$B59),Calc!$Y$8:$Y$500,0)),Calc!$D$8:$D$500,0)),
INDEX(Calc!$F$8:$F$500,MATCH(INDEX(Calc!$D$8:$D$500,MATCH(SMALL(IF((Calc!$K$8:$K$500=Kanban!C$11)*(Calc!$C$8:$C$500=Kanban!$C$7)*(Calc!$Y$8:$Y$500&gt;0),Calc!$Y$8:$Y$500,99999),$B59),Calc!$Y$8:$Y$500,0)),Calc!$D$8:$D$500,0)) ),"-")</f>
        <v>-</v>
      </c>
      <c r="F61" s="53" t="str">
        <f t="array" ref="F61">IFERROR(IF(Kanban!$C$7="All",INDEX(Calc!$F$8:$F$500,MATCH(INDEX(Calc!$D$8:$D$500,MATCH(SMALL(IF((Calc!$K$8:$K$500=Kanban!D$11)*(Calc!$Y$8:$Y$500&gt;0),Calc!$Y$8:$Y$500,99999),$B59),Calc!$Y$8:$Y$500,0)),Calc!$D$8:$D$500,0)),
INDEX(Calc!$F$8:$F$500,MATCH(INDEX(Calc!$D$8:$D$500,MATCH(SMALL(IF((Calc!$K$8:$K$500=Kanban!D$11)*(Calc!$C$8:$C$500=Kanban!$C$7)*(Calc!$Y$8:$Y$500&gt;0),Calc!$Y$8:$Y$500,99999),$B59),Calc!$Y$8:$Y$500,0)),Calc!$D$8:$D$500,0)) ),"-")</f>
        <v>-</v>
      </c>
      <c r="G61" s="53" t="str">
        <f t="array" ref="G61">IFERROR(IF(Kanban!$C$7="All",INDEX(Calc!$F$8:$F$500,MATCH(INDEX(Calc!$D$8:$D$500,MATCH(SMALL(IF((Calc!$K$8:$K$500=Kanban!E$11)*(Calc!$Y$8:$Y$500&gt;0),Calc!$Y$8:$Y$500,99999),$B59),Calc!$Y$8:$Y$500,0)),Calc!$D$8:$D$500,0)),
INDEX(Calc!$F$8:$F$500,MATCH(INDEX(Calc!$D$8:$D$500,MATCH(SMALL(IF((Calc!$K$8:$K$500=Kanban!E$11)*(Calc!$C$8:$C$500=Kanban!$C$7)*(Calc!$Y$8:$Y$500&gt;0),Calc!$Y$8:$Y$500,99999),$B59),Calc!$Y$8:$Y$500,0)),Calc!$D$8:$D$500,0)) ),"-")</f>
        <v>-</v>
      </c>
      <c r="H61" s="53" t="str">
        <f t="array" ref="H61">IFERROR(IF(Kanban!$C$7="All",INDEX(Calc!$F$8:$F$500,MATCH(INDEX(Calc!$D$8:$D$500,MATCH(SMALL(IF((Calc!$K$8:$K$500=Kanban!F$11)*(Calc!$Y$8:$Y$500&gt;0),Calc!$Y$8:$Y$500,99999),$B59),Calc!$Y$8:$Y$500,0)),Calc!$D$8:$D$500,0)),
INDEX(Calc!$F$8:$F$500,MATCH(INDEX(Calc!$D$8:$D$500,MATCH(SMALL(IF((Calc!$K$8:$K$500=Kanban!F$11)*(Calc!$C$8:$C$500=Kanban!$C$7)*(Calc!$Y$8:$Y$500&gt;0),Calc!$Y$8:$Y$500,99999),$B59),Calc!$Y$8:$Y$500,0)),Calc!$D$8:$D$500,0)) ),"-")</f>
        <v>-</v>
      </c>
      <c r="I61" s="53" t="str">
        <f t="array" ref="I61">IFERROR(IF(Kanban!$C$7="All",INDEX(Calc!$F$8:$F$500,MATCH(INDEX(Calc!$D$8:$D$500,MATCH(SMALL(IF((Calc!$K$8:$K$500=Kanban!G$11)*(Calc!$Y$8:$Y$500&gt;0),Calc!$Y$8:$Y$500,99999),$B59),Calc!$Y$8:$Y$500,0)),Calc!$D$8:$D$500,0)),
INDEX(Calc!$F$8:$F$500,MATCH(INDEX(Calc!$D$8:$D$500,MATCH(SMALL(IF((Calc!$K$8:$K$500=Kanban!G$11)*(Calc!$C$8:$C$500=Kanban!$C$7)*(Calc!$Y$8:$Y$500&gt;0),Calc!$Y$8:$Y$500,99999),$B59),Calc!$Y$8:$Y$500,0)),Calc!$D$8:$D$500,0)) ),"-")</f>
        <v>-</v>
      </c>
      <c r="J61" s="53" t="str">
        <f t="array" ref="J61">IFERROR(IF(Kanban!$C$7="All",INDEX(Calc!$F$8:$F$500,MATCH(INDEX(Calc!$D$8:$D$500,MATCH(SMALL(IF((Calc!$K$8:$K$500=Kanban!H$11)*(Calc!$Y$8:$Y$500&gt;0),Calc!$Y$8:$Y$500,99999),$B59),Calc!$Y$8:$Y$500,0)),Calc!$D$8:$D$500,0)),
INDEX(Calc!$F$8:$F$500,MATCH(INDEX(Calc!$D$8:$D$500,MATCH(SMALL(IF((Calc!$K$8:$K$500=Kanban!H$11)*(Calc!$C$8:$C$500=Kanban!$C$7)*(Calc!$Y$8:$Y$500&gt;0),Calc!$Y$8:$Y$500,99999),$B59),Calc!$Y$8:$Y$500,0)),Calc!$D$8:$D$500,0)) ),"-")</f>
        <v>-</v>
      </c>
    </row>
    <row r="62" spans="2:10" x14ac:dyDescent="0.35">
      <c r="B62" s="54">
        <f t="shared" si="2"/>
        <v>20</v>
      </c>
      <c r="C62" s="10"/>
      <c r="D62" s="10"/>
      <c r="E62" s="52" t="str">
        <f t="shared" ref="E62:J62" si="39">IFERROR(E64,"-")</f>
        <v>-</v>
      </c>
      <c r="F62" s="52" t="str">
        <f t="shared" si="39"/>
        <v>-</v>
      </c>
      <c r="G62" s="52" t="str">
        <f t="shared" si="39"/>
        <v>-</v>
      </c>
      <c r="H62" s="52" t="str">
        <f t="shared" si="39"/>
        <v>-</v>
      </c>
      <c r="I62" s="52" t="str">
        <f t="shared" si="39"/>
        <v>-</v>
      </c>
      <c r="J62" s="52" t="str">
        <f t="shared" si="39"/>
        <v>-</v>
      </c>
    </row>
    <row r="63" spans="2:10" x14ac:dyDescent="0.35">
      <c r="B63" s="54">
        <f t="shared" si="2"/>
        <v>20</v>
      </c>
      <c r="C63" s="10"/>
      <c r="D63" s="10"/>
      <c r="E63" s="52" t="str">
        <f t="shared" ref="E63:J63" si="40">IFERROR(E64,"-")</f>
        <v>-</v>
      </c>
      <c r="F63" s="52" t="str">
        <f t="shared" si="40"/>
        <v>-</v>
      </c>
      <c r="G63" s="52" t="str">
        <f t="shared" si="40"/>
        <v>-</v>
      </c>
      <c r="H63" s="52" t="str">
        <f t="shared" si="40"/>
        <v>-</v>
      </c>
      <c r="I63" s="52" t="str">
        <f t="shared" si="40"/>
        <v>-</v>
      </c>
      <c r="J63" s="52" t="str">
        <f t="shared" si="40"/>
        <v>-</v>
      </c>
    </row>
    <row r="64" spans="2:10" x14ac:dyDescent="0.35">
      <c r="B64" s="54">
        <f t="shared" si="2"/>
        <v>20</v>
      </c>
      <c r="C64" s="10"/>
      <c r="D64" s="10"/>
      <c r="E64" s="53" t="str">
        <f t="array" ref="E64">IFERROR(IF(Kanban!$C$7="All",INDEX(Calc!$F$8:$F$500,MATCH(INDEX(Calc!$D$8:$D$500,MATCH(SMALL(IF((Calc!$K$8:$K$500=Kanban!C$11)*(Calc!$Y$8:$Y$500&gt;0),Calc!$Y$8:$Y$500,99999),$B62),Calc!$Y$8:$Y$500,0)),Calc!$D$8:$D$500,0)),
INDEX(Calc!$F$8:$F$500,MATCH(INDEX(Calc!$D$8:$D$500,MATCH(SMALL(IF((Calc!$K$8:$K$500=Kanban!C$11)*(Calc!$C$8:$C$500=Kanban!$C$7)*(Calc!$Y$8:$Y$500&gt;0),Calc!$Y$8:$Y$500,99999),$B62),Calc!$Y$8:$Y$500,0)),Calc!$D$8:$D$500,0)) ),"-")</f>
        <v>-</v>
      </c>
      <c r="F64" s="53" t="str">
        <f t="array" ref="F64">IFERROR(IF(Kanban!$C$7="All",INDEX(Calc!$F$8:$F$500,MATCH(INDEX(Calc!$D$8:$D$500,MATCH(SMALL(IF((Calc!$K$8:$K$500=Kanban!D$11)*(Calc!$Y$8:$Y$500&gt;0),Calc!$Y$8:$Y$500,99999),$B62),Calc!$Y$8:$Y$500,0)),Calc!$D$8:$D$500,0)),
INDEX(Calc!$F$8:$F$500,MATCH(INDEX(Calc!$D$8:$D$500,MATCH(SMALL(IF((Calc!$K$8:$K$500=Kanban!D$11)*(Calc!$C$8:$C$500=Kanban!$C$7)*(Calc!$Y$8:$Y$500&gt;0),Calc!$Y$8:$Y$500,99999),$B62),Calc!$Y$8:$Y$500,0)),Calc!$D$8:$D$500,0)) ),"-")</f>
        <v>-</v>
      </c>
      <c r="G64" s="53" t="str">
        <f t="array" ref="G64">IFERROR(IF(Kanban!$C$7="All",INDEX(Calc!$F$8:$F$500,MATCH(INDEX(Calc!$D$8:$D$500,MATCH(SMALL(IF((Calc!$K$8:$K$500=Kanban!E$11)*(Calc!$Y$8:$Y$500&gt;0),Calc!$Y$8:$Y$500,99999),$B62),Calc!$Y$8:$Y$500,0)),Calc!$D$8:$D$500,0)),
INDEX(Calc!$F$8:$F$500,MATCH(INDEX(Calc!$D$8:$D$500,MATCH(SMALL(IF((Calc!$K$8:$K$500=Kanban!E$11)*(Calc!$C$8:$C$500=Kanban!$C$7)*(Calc!$Y$8:$Y$500&gt;0),Calc!$Y$8:$Y$500,99999),$B62),Calc!$Y$8:$Y$500,0)),Calc!$D$8:$D$500,0)) ),"-")</f>
        <v>-</v>
      </c>
      <c r="H64" s="53" t="str">
        <f t="array" ref="H64">IFERROR(IF(Kanban!$C$7="All",INDEX(Calc!$F$8:$F$500,MATCH(INDEX(Calc!$D$8:$D$500,MATCH(SMALL(IF((Calc!$K$8:$K$500=Kanban!F$11)*(Calc!$Y$8:$Y$500&gt;0),Calc!$Y$8:$Y$500,99999),$B62),Calc!$Y$8:$Y$500,0)),Calc!$D$8:$D$500,0)),
INDEX(Calc!$F$8:$F$500,MATCH(INDEX(Calc!$D$8:$D$500,MATCH(SMALL(IF((Calc!$K$8:$K$500=Kanban!F$11)*(Calc!$C$8:$C$500=Kanban!$C$7)*(Calc!$Y$8:$Y$500&gt;0),Calc!$Y$8:$Y$500,99999),$B62),Calc!$Y$8:$Y$500,0)),Calc!$D$8:$D$500,0)) ),"-")</f>
        <v>-</v>
      </c>
      <c r="I64" s="53" t="str">
        <f t="array" ref="I64">IFERROR(IF(Kanban!$C$7="All",INDEX(Calc!$F$8:$F$500,MATCH(INDEX(Calc!$D$8:$D$500,MATCH(SMALL(IF((Calc!$K$8:$K$500=Kanban!G$11)*(Calc!$Y$8:$Y$500&gt;0),Calc!$Y$8:$Y$500,99999),$B62),Calc!$Y$8:$Y$500,0)),Calc!$D$8:$D$500,0)),
INDEX(Calc!$F$8:$F$500,MATCH(INDEX(Calc!$D$8:$D$500,MATCH(SMALL(IF((Calc!$K$8:$K$500=Kanban!G$11)*(Calc!$C$8:$C$500=Kanban!$C$7)*(Calc!$Y$8:$Y$500&gt;0),Calc!$Y$8:$Y$500,99999),$B62),Calc!$Y$8:$Y$500,0)),Calc!$D$8:$D$500,0)) ),"-")</f>
        <v>-</v>
      </c>
      <c r="J64" s="53" t="str">
        <f t="array" ref="J64">IFERROR(IF(Kanban!$C$7="All",INDEX(Calc!$F$8:$F$500,MATCH(INDEX(Calc!$D$8:$D$500,MATCH(SMALL(IF((Calc!$K$8:$K$500=Kanban!H$11)*(Calc!$Y$8:$Y$500&gt;0),Calc!$Y$8:$Y$500,99999),$B62),Calc!$Y$8:$Y$500,0)),Calc!$D$8:$D$500,0)),
INDEX(Calc!$F$8:$F$500,MATCH(INDEX(Calc!$D$8:$D$500,MATCH(SMALL(IF((Calc!$K$8:$K$500=Kanban!H$11)*(Calc!$C$8:$C$500=Kanban!$C$7)*(Calc!$Y$8:$Y$500&gt;0),Calc!$Y$8:$Y$500,99999),$B62),Calc!$Y$8:$Y$500,0)),Calc!$D$8:$D$500,0)) ),"-")</f>
        <v>-</v>
      </c>
    </row>
    <row r="65" spans="2:10" x14ac:dyDescent="0.35">
      <c r="B65" s="54">
        <f t="shared" si="2"/>
        <v>21</v>
      </c>
      <c r="C65" s="10"/>
      <c r="D65" s="10"/>
      <c r="E65" s="52" t="str">
        <f t="shared" ref="E65:J65" si="41">IFERROR(E67,"-")</f>
        <v>-</v>
      </c>
      <c r="F65" s="52" t="str">
        <f t="shared" si="41"/>
        <v>-</v>
      </c>
      <c r="G65" s="52" t="str">
        <f t="shared" si="41"/>
        <v>-</v>
      </c>
      <c r="H65" s="52" t="str">
        <f t="shared" si="41"/>
        <v>-</v>
      </c>
      <c r="I65" s="52" t="str">
        <f t="shared" si="41"/>
        <v>-</v>
      </c>
      <c r="J65" s="52" t="str">
        <f t="shared" si="41"/>
        <v>-</v>
      </c>
    </row>
    <row r="66" spans="2:10" x14ac:dyDescent="0.35">
      <c r="B66" s="54">
        <f t="shared" si="2"/>
        <v>21</v>
      </c>
      <c r="C66" s="10"/>
      <c r="D66" s="10"/>
      <c r="E66" s="52" t="str">
        <f t="shared" ref="E66:J66" si="42">IFERROR(E67,"-")</f>
        <v>-</v>
      </c>
      <c r="F66" s="52" t="str">
        <f t="shared" si="42"/>
        <v>-</v>
      </c>
      <c r="G66" s="52" t="str">
        <f t="shared" si="42"/>
        <v>-</v>
      </c>
      <c r="H66" s="52" t="str">
        <f t="shared" si="42"/>
        <v>-</v>
      </c>
      <c r="I66" s="52" t="str">
        <f t="shared" si="42"/>
        <v>-</v>
      </c>
      <c r="J66" s="52" t="str">
        <f t="shared" si="42"/>
        <v>-</v>
      </c>
    </row>
    <row r="67" spans="2:10" x14ac:dyDescent="0.35">
      <c r="B67" s="54">
        <f t="shared" si="2"/>
        <v>21</v>
      </c>
      <c r="C67" s="10"/>
      <c r="D67" s="10"/>
      <c r="E67" s="53" t="str">
        <f t="array" ref="E67">IFERROR(IF(Kanban!$C$7="All",INDEX(Calc!$F$8:$F$500,MATCH(INDEX(Calc!$D$8:$D$500,MATCH(SMALL(IF((Calc!$K$8:$K$500=Kanban!C$11)*(Calc!$Y$8:$Y$500&gt;0),Calc!$Y$8:$Y$500,99999),$B65),Calc!$Y$8:$Y$500,0)),Calc!$D$8:$D$500,0)),
INDEX(Calc!$F$8:$F$500,MATCH(INDEX(Calc!$D$8:$D$500,MATCH(SMALL(IF((Calc!$K$8:$K$500=Kanban!C$11)*(Calc!$C$8:$C$500=Kanban!$C$7)*(Calc!$Y$8:$Y$500&gt;0),Calc!$Y$8:$Y$500,99999),$B65),Calc!$Y$8:$Y$500,0)),Calc!$D$8:$D$500,0)) ),"-")</f>
        <v>-</v>
      </c>
      <c r="F67" s="53" t="str">
        <f t="array" ref="F67">IFERROR(IF(Kanban!$C$7="All",INDEX(Calc!$F$8:$F$500,MATCH(INDEX(Calc!$D$8:$D$500,MATCH(SMALL(IF((Calc!$K$8:$K$500=Kanban!D$11)*(Calc!$Y$8:$Y$500&gt;0),Calc!$Y$8:$Y$500,99999),$B65),Calc!$Y$8:$Y$500,0)),Calc!$D$8:$D$500,0)),
INDEX(Calc!$F$8:$F$500,MATCH(INDEX(Calc!$D$8:$D$500,MATCH(SMALL(IF((Calc!$K$8:$K$500=Kanban!D$11)*(Calc!$C$8:$C$500=Kanban!$C$7)*(Calc!$Y$8:$Y$500&gt;0),Calc!$Y$8:$Y$500,99999),$B65),Calc!$Y$8:$Y$500,0)),Calc!$D$8:$D$500,0)) ),"-")</f>
        <v>-</v>
      </c>
      <c r="G67" s="53" t="str">
        <f t="array" ref="G67">IFERROR(IF(Kanban!$C$7="All",INDEX(Calc!$F$8:$F$500,MATCH(INDEX(Calc!$D$8:$D$500,MATCH(SMALL(IF((Calc!$K$8:$K$500=Kanban!E$11)*(Calc!$Y$8:$Y$500&gt;0),Calc!$Y$8:$Y$500,99999),$B65),Calc!$Y$8:$Y$500,0)),Calc!$D$8:$D$500,0)),
INDEX(Calc!$F$8:$F$500,MATCH(INDEX(Calc!$D$8:$D$500,MATCH(SMALL(IF((Calc!$K$8:$K$500=Kanban!E$11)*(Calc!$C$8:$C$500=Kanban!$C$7)*(Calc!$Y$8:$Y$500&gt;0),Calc!$Y$8:$Y$500,99999),$B65),Calc!$Y$8:$Y$500,0)),Calc!$D$8:$D$500,0)) ),"-")</f>
        <v>-</v>
      </c>
      <c r="H67" s="53" t="str">
        <f t="array" ref="H67">IFERROR(IF(Kanban!$C$7="All",INDEX(Calc!$F$8:$F$500,MATCH(INDEX(Calc!$D$8:$D$500,MATCH(SMALL(IF((Calc!$K$8:$K$500=Kanban!F$11)*(Calc!$Y$8:$Y$500&gt;0),Calc!$Y$8:$Y$500,99999),$B65),Calc!$Y$8:$Y$500,0)),Calc!$D$8:$D$500,0)),
INDEX(Calc!$F$8:$F$500,MATCH(INDEX(Calc!$D$8:$D$500,MATCH(SMALL(IF((Calc!$K$8:$K$500=Kanban!F$11)*(Calc!$C$8:$C$500=Kanban!$C$7)*(Calc!$Y$8:$Y$500&gt;0),Calc!$Y$8:$Y$500,99999),$B65),Calc!$Y$8:$Y$500,0)),Calc!$D$8:$D$500,0)) ),"-")</f>
        <v>-</v>
      </c>
      <c r="I67" s="53" t="str">
        <f t="array" ref="I67">IFERROR(IF(Kanban!$C$7="All",INDEX(Calc!$F$8:$F$500,MATCH(INDEX(Calc!$D$8:$D$500,MATCH(SMALL(IF((Calc!$K$8:$K$500=Kanban!G$11)*(Calc!$Y$8:$Y$500&gt;0),Calc!$Y$8:$Y$500,99999),$B65),Calc!$Y$8:$Y$500,0)),Calc!$D$8:$D$500,0)),
INDEX(Calc!$F$8:$F$500,MATCH(INDEX(Calc!$D$8:$D$500,MATCH(SMALL(IF((Calc!$K$8:$K$500=Kanban!G$11)*(Calc!$C$8:$C$500=Kanban!$C$7)*(Calc!$Y$8:$Y$500&gt;0),Calc!$Y$8:$Y$500,99999),$B65),Calc!$Y$8:$Y$500,0)),Calc!$D$8:$D$500,0)) ),"-")</f>
        <v>-</v>
      </c>
      <c r="J67" s="53" t="str">
        <f t="array" ref="J67">IFERROR(IF(Kanban!$C$7="All",INDEX(Calc!$F$8:$F$500,MATCH(INDEX(Calc!$D$8:$D$500,MATCH(SMALL(IF((Calc!$K$8:$K$500=Kanban!H$11)*(Calc!$Y$8:$Y$500&gt;0),Calc!$Y$8:$Y$500,99999),$B65),Calc!$Y$8:$Y$500,0)),Calc!$D$8:$D$500,0)),
INDEX(Calc!$F$8:$F$500,MATCH(INDEX(Calc!$D$8:$D$500,MATCH(SMALL(IF((Calc!$K$8:$K$500=Kanban!H$11)*(Calc!$C$8:$C$500=Kanban!$C$7)*(Calc!$Y$8:$Y$500&gt;0),Calc!$Y$8:$Y$500,99999),$B65),Calc!$Y$8:$Y$500,0)),Calc!$D$8:$D$500,0)) ),"-")</f>
        <v>-</v>
      </c>
    </row>
    <row r="68" spans="2:10" x14ac:dyDescent="0.35">
      <c r="B68" s="54">
        <f t="shared" si="2"/>
        <v>22</v>
      </c>
      <c r="C68" s="10"/>
      <c r="D68" s="10"/>
      <c r="E68" s="52" t="str">
        <f t="shared" ref="E68:J68" si="43">IFERROR(E70,"-")</f>
        <v>-</v>
      </c>
      <c r="F68" s="52" t="str">
        <f t="shared" si="43"/>
        <v>-</v>
      </c>
      <c r="G68" s="52" t="str">
        <f t="shared" si="43"/>
        <v>-</v>
      </c>
      <c r="H68" s="52" t="str">
        <f t="shared" si="43"/>
        <v>-</v>
      </c>
      <c r="I68" s="52" t="str">
        <f t="shared" si="43"/>
        <v>-</v>
      </c>
      <c r="J68" s="52" t="str">
        <f t="shared" si="43"/>
        <v>-</v>
      </c>
    </row>
    <row r="69" spans="2:10" x14ac:dyDescent="0.35">
      <c r="B69" s="54">
        <f t="shared" si="2"/>
        <v>22</v>
      </c>
      <c r="C69" s="10"/>
      <c r="D69" s="10"/>
      <c r="E69" s="52" t="str">
        <f t="shared" ref="E69:J69" si="44">IFERROR(E70,"-")</f>
        <v>-</v>
      </c>
      <c r="F69" s="52" t="str">
        <f t="shared" si="44"/>
        <v>-</v>
      </c>
      <c r="G69" s="52" t="str">
        <f t="shared" si="44"/>
        <v>-</v>
      </c>
      <c r="H69" s="52" t="str">
        <f t="shared" si="44"/>
        <v>-</v>
      </c>
      <c r="I69" s="52" t="str">
        <f t="shared" si="44"/>
        <v>-</v>
      </c>
      <c r="J69" s="52" t="str">
        <f t="shared" si="44"/>
        <v>-</v>
      </c>
    </row>
    <row r="70" spans="2:10" x14ac:dyDescent="0.35">
      <c r="B70" s="54">
        <f t="shared" si="2"/>
        <v>22</v>
      </c>
      <c r="C70" s="10"/>
      <c r="D70" s="10"/>
      <c r="E70" s="53" t="str">
        <f t="array" ref="E70">IFERROR(IF(Kanban!$C$7="All",INDEX(Calc!$F$8:$F$500,MATCH(INDEX(Calc!$D$8:$D$500,MATCH(SMALL(IF((Calc!$K$8:$K$500=Kanban!C$11)*(Calc!$Y$8:$Y$500&gt;0),Calc!$Y$8:$Y$500,99999),$B68),Calc!$Y$8:$Y$500,0)),Calc!$D$8:$D$500,0)),
INDEX(Calc!$F$8:$F$500,MATCH(INDEX(Calc!$D$8:$D$500,MATCH(SMALL(IF((Calc!$K$8:$K$500=Kanban!C$11)*(Calc!$C$8:$C$500=Kanban!$C$7)*(Calc!$Y$8:$Y$500&gt;0),Calc!$Y$8:$Y$500,99999),$B68),Calc!$Y$8:$Y$500,0)),Calc!$D$8:$D$500,0)) ),"-")</f>
        <v>-</v>
      </c>
      <c r="F70" s="53" t="str">
        <f t="array" ref="F70">IFERROR(IF(Kanban!$C$7="All",INDEX(Calc!$F$8:$F$500,MATCH(INDEX(Calc!$D$8:$D$500,MATCH(SMALL(IF((Calc!$K$8:$K$500=Kanban!D$11)*(Calc!$Y$8:$Y$500&gt;0),Calc!$Y$8:$Y$500,99999),$B68),Calc!$Y$8:$Y$500,0)),Calc!$D$8:$D$500,0)),
INDEX(Calc!$F$8:$F$500,MATCH(INDEX(Calc!$D$8:$D$500,MATCH(SMALL(IF((Calc!$K$8:$K$500=Kanban!D$11)*(Calc!$C$8:$C$500=Kanban!$C$7)*(Calc!$Y$8:$Y$500&gt;0),Calc!$Y$8:$Y$500,99999),$B68),Calc!$Y$8:$Y$500,0)),Calc!$D$8:$D$500,0)) ),"-")</f>
        <v>-</v>
      </c>
      <c r="G70" s="53" t="str">
        <f t="array" ref="G70">IFERROR(IF(Kanban!$C$7="All",INDEX(Calc!$F$8:$F$500,MATCH(INDEX(Calc!$D$8:$D$500,MATCH(SMALL(IF((Calc!$K$8:$K$500=Kanban!E$11)*(Calc!$Y$8:$Y$500&gt;0),Calc!$Y$8:$Y$500,99999),$B68),Calc!$Y$8:$Y$500,0)),Calc!$D$8:$D$500,0)),
INDEX(Calc!$F$8:$F$500,MATCH(INDEX(Calc!$D$8:$D$500,MATCH(SMALL(IF((Calc!$K$8:$K$500=Kanban!E$11)*(Calc!$C$8:$C$500=Kanban!$C$7)*(Calc!$Y$8:$Y$500&gt;0),Calc!$Y$8:$Y$500,99999),$B68),Calc!$Y$8:$Y$500,0)),Calc!$D$8:$D$500,0)) ),"-")</f>
        <v>-</v>
      </c>
      <c r="H70" s="53" t="str">
        <f t="array" ref="H70">IFERROR(IF(Kanban!$C$7="All",INDEX(Calc!$F$8:$F$500,MATCH(INDEX(Calc!$D$8:$D$500,MATCH(SMALL(IF((Calc!$K$8:$K$500=Kanban!F$11)*(Calc!$Y$8:$Y$500&gt;0),Calc!$Y$8:$Y$500,99999),$B68),Calc!$Y$8:$Y$500,0)),Calc!$D$8:$D$500,0)),
INDEX(Calc!$F$8:$F$500,MATCH(INDEX(Calc!$D$8:$D$500,MATCH(SMALL(IF((Calc!$K$8:$K$500=Kanban!F$11)*(Calc!$C$8:$C$500=Kanban!$C$7)*(Calc!$Y$8:$Y$500&gt;0),Calc!$Y$8:$Y$500,99999),$B68),Calc!$Y$8:$Y$500,0)),Calc!$D$8:$D$500,0)) ),"-")</f>
        <v>-</v>
      </c>
      <c r="I70" s="53" t="str">
        <f t="array" ref="I70">IFERROR(IF(Kanban!$C$7="All",INDEX(Calc!$F$8:$F$500,MATCH(INDEX(Calc!$D$8:$D$500,MATCH(SMALL(IF((Calc!$K$8:$K$500=Kanban!G$11)*(Calc!$Y$8:$Y$500&gt;0),Calc!$Y$8:$Y$500,99999),$B68),Calc!$Y$8:$Y$500,0)),Calc!$D$8:$D$500,0)),
INDEX(Calc!$F$8:$F$500,MATCH(INDEX(Calc!$D$8:$D$500,MATCH(SMALL(IF((Calc!$K$8:$K$500=Kanban!G$11)*(Calc!$C$8:$C$500=Kanban!$C$7)*(Calc!$Y$8:$Y$500&gt;0),Calc!$Y$8:$Y$500,99999),$B68),Calc!$Y$8:$Y$500,0)),Calc!$D$8:$D$500,0)) ),"-")</f>
        <v>-</v>
      </c>
      <c r="J70" s="53" t="str">
        <f t="array" ref="J70">IFERROR(IF(Kanban!$C$7="All",INDEX(Calc!$F$8:$F$500,MATCH(INDEX(Calc!$D$8:$D$500,MATCH(SMALL(IF((Calc!$K$8:$K$500=Kanban!H$11)*(Calc!$Y$8:$Y$500&gt;0),Calc!$Y$8:$Y$500,99999),$B68),Calc!$Y$8:$Y$500,0)),Calc!$D$8:$D$500,0)),
INDEX(Calc!$F$8:$F$500,MATCH(INDEX(Calc!$D$8:$D$500,MATCH(SMALL(IF((Calc!$K$8:$K$500=Kanban!H$11)*(Calc!$C$8:$C$500=Kanban!$C$7)*(Calc!$Y$8:$Y$500&gt;0),Calc!$Y$8:$Y$500,99999),$B68),Calc!$Y$8:$Y$500,0)),Calc!$D$8:$D$500,0)) ),"-")</f>
        <v>-</v>
      </c>
    </row>
    <row r="71" spans="2:10" x14ac:dyDescent="0.35">
      <c r="B71" s="54">
        <f t="shared" ref="B71:B134" si="45">IF(COUNTIF(B68:B70,B70)=3,B70+1,B70)</f>
        <v>23</v>
      </c>
      <c r="C71" s="10"/>
      <c r="D71" s="10"/>
      <c r="E71" s="52" t="str">
        <f t="shared" ref="E71:J71" si="46">IFERROR(E73,"-")</f>
        <v>-</v>
      </c>
      <c r="F71" s="52" t="str">
        <f t="shared" si="46"/>
        <v>-</v>
      </c>
      <c r="G71" s="52" t="str">
        <f t="shared" si="46"/>
        <v>-</v>
      </c>
      <c r="H71" s="52" t="str">
        <f t="shared" si="46"/>
        <v>-</v>
      </c>
      <c r="I71" s="52" t="str">
        <f t="shared" si="46"/>
        <v>-</v>
      </c>
      <c r="J71" s="52" t="str">
        <f t="shared" si="46"/>
        <v>-</v>
      </c>
    </row>
    <row r="72" spans="2:10" x14ac:dyDescent="0.35">
      <c r="B72" s="54">
        <f t="shared" si="45"/>
        <v>23</v>
      </c>
      <c r="C72" s="10"/>
      <c r="D72" s="10"/>
      <c r="E72" s="52" t="str">
        <f t="shared" ref="E72:J72" si="47">IFERROR(E73,"-")</f>
        <v>-</v>
      </c>
      <c r="F72" s="52" t="str">
        <f t="shared" si="47"/>
        <v>-</v>
      </c>
      <c r="G72" s="52" t="str">
        <f t="shared" si="47"/>
        <v>-</v>
      </c>
      <c r="H72" s="52" t="str">
        <f t="shared" si="47"/>
        <v>-</v>
      </c>
      <c r="I72" s="52" t="str">
        <f t="shared" si="47"/>
        <v>-</v>
      </c>
      <c r="J72" s="52" t="str">
        <f t="shared" si="47"/>
        <v>-</v>
      </c>
    </row>
    <row r="73" spans="2:10" x14ac:dyDescent="0.35">
      <c r="B73" s="54">
        <f t="shared" si="45"/>
        <v>23</v>
      </c>
      <c r="C73" s="10"/>
      <c r="D73" s="10"/>
      <c r="E73" s="53" t="str">
        <f t="array" ref="E73">IFERROR(IF(Kanban!$C$7="All",INDEX(Calc!$F$8:$F$500,MATCH(INDEX(Calc!$D$8:$D$500,MATCH(SMALL(IF((Calc!$K$8:$K$500=Kanban!C$11)*(Calc!$Y$8:$Y$500&gt;0),Calc!$Y$8:$Y$500,99999),$B71),Calc!$Y$8:$Y$500,0)),Calc!$D$8:$D$500,0)),
INDEX(Calc!$F$8:$F$500,MATCH(INDEX(Calc!$D$8:$D$500,MATCH(SMALL(IF((Calc!$K$8:$K$500=Kanban!C$11)*(Calc!$C$8:$C$500=Kanban!$C$7)*(Calc!$Y$8:$Y$500&gt;0),Calc!$Y$8:$Y$500,99999),$B71),Calc!$Y$8:$Y$500,0)),Calc!$D$8:$D$500,0)) ),"-")</f>
        <v>-</v>
      </c>
      <c r="F73" s="53" t="str">
        <f t="array" ref="F73">IFERROR(IF(Kanban!$C$7="All",INDEX(Calc!$F$8:$F$500,MATCH(INDEX(Calc!$D$8:$D$500,MATCH(SMALL(IF((Calc!$K$8:$K$500=Kanban!D$11)*(Calc!$Y$8:$Y$500&gt;0),Calc!$Y$8:$Y$500,99999),$B71),Calc!$Y$8:$Y$500,0)),Calc!$D$8:$D$500,0)),
INDEX(Calc!$F$8:$F$500,MATCH(INDEX(Calc!$D$8:$D$500,MATCH(SMALL(IF((Calc!$K$8:$K$500=Kanban!D$11)*(Calc!$C$8:$C$500=Kanban!$C$7)*(Calc!$Y$8:$Y$500&gt;0),Calc!$Y$8:$Y$500,99999),$B71),Calc!$Y$8:$Y$500,0)),Calc!$D$8:$D$500,0)) ),"-")</f>
        <v>-</v>
      </c>
      <c r="G73" s="53" t="str">
        <f t="array" ref="G73">IFERROR(IF(Kanban!$C$7="All",INDEX(Calc!$F$8:$F$500,MATCH(INDEX(Calc!$D$8:$D$500,MATCH(SMALL(IF((Calc!$K$8:$K$500=Kanban!E$11)*(Calc!$Y$8:$Y$500&gt;0),Calc!$Y$8:$Y$500,99999),$B71),Calc!$Y$8:$Y$500,0)),Calc!$D$8:$D$500,0)),
INDEX(Calc!$F$8:$F$500,MATCH(INDEX(Calc!$D$8:$D$500,MATCH(SMALL(IF((Calc!$K$8:$K$500=Kanban!E$11)*(Calc!$C$8:$C$500=Kanban!$C$7)*(Calc!$Y$8:$Y$500&gt;0),Calc!$Y$8:$Y$500,99999),$B71),Calc!$Y$8:$Y$500,0)),Calc!$D$8:$D$500,0)) ),"-")</f>
        <v>-</v>
      </c>
      <c r="H73" s="53" t="str">
        <f t="array" ref="H73">IFERROR(IF(Kanban!$C$7="All",INDEX(Calc!$F$8:$F$500,MATCH(INDEX(Calc!$D$8:$D$500,MATCH(SMALL(IF((Calc!$K$8:$K$500=Kanban!F$11)*(Calc!$Y$8:$Y$500&gt;0),Calc!$Y$8:$Y$500,99999),$B71),Calc!$Y$8:$Y$500,0)),Calc!$D$8:$D$500,0)),
INDEX(Calc!$F$8:$F$500,MATCH(INDEX(Calc!$D$8:$D$500,MATCH(SMALL(IF((Calc!$K$8:$K$500=Kanban!F$11)*(Calc!$C$8:$C$500=Kanban!$C$7)*(Calc!$Y$8:$Y$500&gt;0),Calc!$Y$8:$Y$500,99999),$B71),Calc!$Y$8:$Y$500,0)),Calc!$D$8:$D$500,0)) ),"-")</f>
        <v>-</v>
      </c>
      <c r="I73" s="53" t="str">
        <f t="array" ref="I73">IFERROR(IF(Kanban!$C$7="All",INDEX(Calc!$F$8:$F$500,MATCH(INDEX(Calc!$D$8:$D$500,MATCH(SMALL(IF((Calc!$K$8:$K$500=Kanban!G$11)*(Calc!$Y$8:$Y$500&gt;0),Calc!$Y$8:$Y$500,99999),$B71),Calc!$Y$8:$Y$500,0)),Calc!$D$8:$D$500,0)),
INDEX(Calc!$F$8:$F$500,MATCH(INDEX(Calc!$D$8:$D$500,MATCH(SMALL(IF((Calc!$K$8:$K$500=Kanban!G$11)*(Calc!$C$8:$C$500=Kanban!$C$7)*(Calc!$Y$8:$Y$500&gt;0),Calc!$Y$8:$Y$500,99999),$B71),Calc!$Y$8:$Y$500,0)),Calc!$D$8:$D$500,0)) ),"-")</f>
        <v>-</v>
      </c>
      <c r="J73" s="53" t="str">
        <f t="array" ref="J73">IFERROR(IF(Kanban!$C$7="All",INDEX(Calc!$F$8:$F$500,MATCH(INDEX(Calc!$D$8:$D$500,MATCH(SMALL(IF((Calc!$K$8:$K$500=Kanban!H$11)*(Calc!$Y$8:$Y$500&gt;0),Calc!$Y$8:$Y$500,99999),$B71),Calc!$Y$8:$Y$500,0)),Calc!$D$8:$D$500,0)),
INDEX(Calc!$F$8:$F$500,MATCH(INDEX(Calc!$D$8:$D$500,MATCH(SMALL(IF((Calc!$K$8:$K$500=Kanban!H$11)*(Calc!$C$8:$C$500=Kanban!$C$7)*(Calc!$Y$8:$Y$500&gt;0),Calc!$Y$8:$Y$500,99999),$B71),Calc!$Y$8:$Y$500,0)),Calc!$D$8:$D$500,0)) ),"-")</f>
        <v>-</v>
      </c>
    </row>
    <row r="74" spans="2:10" x14ac:dyDescent="0.35">
      <c r="B74" s="54">
        <f t="shared" si="45"/>
        <v>24</v>
      </c>
      <c r="C74" s="10"/>
      <c r="D74" s="10"/>
      <c r="E74" s="52" t="str">
        <f t="shared" ref="E74:J74" si="48">IFERROR(E76,"-")</f>
        <v>-</v>
      </c>
      <c r="F74" s="52" t="str">
        <f t="shared" si="48"/>
        <v>-</v>
      </c>
      <c r="G74" s="52" t="str">
        <f t="shared" si="48"/>
        <v>-</v>
      </c>
      <c r="H74" s="52" t="str">
        <f t="shared" si="48"/>
        <v>-</v>
      </c>
      <c r="I74" s="52" t="str">
        <f t="shared" si="48"/>
        <v>-</v>
      </c>
      <c r="J74" s="52" t="str">
        <f t="shared" si="48"/>
        <v>-</v>
      </c>
    </row>
    <row r="75" spans="2:10" x14ac:dyDescent="0.35">
      <c r="B75" s="54">
        <f t="shared" si="45"/>
        <v>24</v>
      </c>
      <c r="C75" s="10"/>
      <c r="D75" s="10"/>
      <c r="E75" s="52" t="str">
        <f t="shared" ref="E75:J75" si="49">IFERROR(E76,"-")</f>
        <v>-</v>
      </c>
      <c r="F75" s="52" t="str">
        <f t="shared" si="49"/>
        <v>-</v>
      </c>
      <c r="G75" s="52" t="str">
        <f t="shared" si="49"/>
        <v>-</v>
      </c>
      <c r="H75" s="52" t="str">
        <f t="shared" si="49"/>
        <v>-</v>
      </c>
      <c r="I75" s="52" t="str">
        <f t="shared" si="49"/>
        <v>-</v>
      </c>
      <c r="J75" s="52" t="str">
        <f t="shared" si="49"/>
        <v>-</v>
      </c>
    </row>
    <row r="76" spans="2:10" x14ac:dyDescent="0.35">
      <c r="B76" s="54">
        <f t="shared" si="45"/>
        <v>24</v>
      </c>
      <c r="C76" s="10"/>
      <c r="D76" s="10"/>
      <c r="E76" s="53" t="str">
        <f t="array" ref="E76">IFERROR(IF(Kanban!$C$7="All",INDEX(Calc!$F$8:$F$500,MATCH(INDEX(Calc!$D$8:$D$500,MATCH(SMALL(IF((Calc!$K$8:$K$500=Kanban!C$11)*(Calc!$Y$8:$Y$500&gt;0),Calc!$Y$8:$Y$500,99999),$B74),Calc!$Y$8:$Y$500,0)),Calc!$D$8:$D$500,0)),
INDEX(Calc!$F$8:$F$500,MATCH(INDEX(Calc!$D$8:$D$500,MATCH(SMALL(IF((Calc!$K$8:$K$500=Kanban!C$11)*(Calc!$C$8:$C$500=Kanban!$C$7)*(Calc!$Y$8:$Y$500&gt;0),Calc!$Y$8:$Y$500,99999),$B74),Calc!$Y$8:$Y$500,0)),Calc!$D$8:$D$500,0)) ),"-")</f>
        <v>-</v>
      </c>
      <c r="F76" s="53" t="str">
        <f t="array" ref="F76">IFERROR(IF(Kanban!$C$7="All",INDEX(Calc!$F$8:$F$500,MATCH(INDEX(Calc!$D$8:$D$500,MATCH(SMALL(IF((Calc!$K$8:$K$500=Kanban!D$11)*(Calc!$Y$8:$Y$500&gt;0),Calc!$Y$8:$Y$500,99999),$B74),Calc!$Y$8:$Y$500,0)),Calc!$D$8:$D$500,0)),
INDEX(Calc!$F$8:$F$500,MATCH(INDEX(Calc!$D$8:$D$500,MATCH(SMALL(IF((Calc!$K$8:$K$500=Kanban!D$11)*(Calc!$C$8:$C$500=Kanban!$C$7)*(Calc!$Y$8:$Y$500&gt;0),Calc!$Y$8:$Y$500,99999),$B74),Calc!$Y$8:$Y$500,0)),Calc!$D$8:$D$500,0)) ),"-")</f>
        <v>-</v>
      </c>
      <c r="G76" s="53" t="str">
        <f t="array" ref="G76">IFERROR(IF(Kanban!$C$7="All",INDEX(Calc!$F$8:$F$500,MATCH(INDEX(Calc!$D$8:$D$500,MATCH(SMALL(IF((Calc!$K$8:$K$500=Kanban!E$11)*(Calc!$Y$8:$Y$500&gt;0),Calc!$Y$8:$Y$500,99999),$B74),Calc!$Y$8:$Y$500,0)),Calc!$D$8:$D$500,0)),
INDEX(Calc!$F$8:$F$500,MATCH(INDEX(Calc!$D$8:$D$500,MATCH(SMALL(IF((Calc!$K$8:$K$500=Kanban!E$11)*(Calc!$C$8:$C$500=Kanban!$C$7)*(Calc!$Y$8:$Y$500&gt;0),Calc!$Y$8:$Y$500,99999),$B74),Calc!$Y$8:$Y$500,0)),Calc!$D$8:$D$500,0)) ),"-")</f>
        <v>-</v>
      </c>
      <c r="H76" s="53" t="str">
        <f t="array" ref="H76">IFERROR(IF(Kanban!$C$7="All",INDEX(Calc!$F$8:$F$500,MATCH(INDEX(Calc!$D$8:$D$500,MATCH(SMALL(IF((Calc!$K$8:$K$500=Kanban!F$11)*(Calc!$Y$8:$Y$500&gt;0),Calc!$Y$8:$Y$500,99999),$B74),Calc!$Y$8:$Y$500,0)),Calc!$D$8:$D$500,0)),
INDEX(Calc!$F$8:$F$500,MATCH(INDEX(Calc!$D$8:$D$500,MATCH(SMALL(IF((Calc!$K$8:$K$500=Kanban!F$11)*(Calc!$C$8:$C$500=Kanban!$C$7)*(Calc!$Y$8:$Y$500&gt;0),Calc!$Y$8:$Y$500,99999),$B74),Calc!$Y$8:$Y$500,0)),Calc!$D$8:$D$500,0)) ),"-")</f>
        <v>-</v>
      </c>
      <c r="I76" s="53" t="str">
        <f t="array" ref="I76">IFERROR(IF(Kanban!$C$7="All",INDEX(Calc!$F$8:$F$500,MATCH(INDEX(Calc!$D$8:$D$500,MATCH(SMALL(IF((Calc!$K$8:$K$500=Kanban!G$11)*(Calc!$Y$8:$Y$500&gt;0),Calc!$Y$8:$Y$500,99999),$B74),Calc!$Y$8:$Y$500,0)),Calc!$D$8:$D$500,0)),
INDEX(Calc!$F$8:$F$500,MATCH(INDEX(Calc!$D$8:$D$500,MATCH(SMALL(IF((Calc!$K$8:$K$500=Kanban!G$11)*(Calc!$C$8:$C$500=Kanban!$C$7)*(Calc!$Y$8:$Y$500&gt;0),Calc!$Y$8:$Y$500,99999),$B74),Calc!$Y$8:$Y$500,0)),Calc!$D$8:$D$500,0)) ),"-")</f>
        <v>-</v>
      </c>
      <c r="J76" s="53" t="str">
        <f t="array" ref="J76">IFERROR(IF(Kanban!$C$7="All",INDEX(Calc!$F$8:$F$500,MATCH(INDEX(Calc!$D$8:$D$500,MATCH(SMALL(IF((Calc!$K$8:$K$500=Kanban!H$11)*(Calc!$Y$8:$Y$500&gt;0),Calc!$Y$8:$Y$500,99999),$B74),Calc!$Y$8:$Y$500,0)),Calc!$D$8:$D$500,0)),
INDEX(Calc!$F$8:$F$500,MATCH(INDEX(Calc!$D$8:$D$500,MATCH(SMALL(IF((Calc!$K$8:$K$500=Kanban!H$11)*(Calc!$C$8:$C$500=Kanban!$C$7)*(Calc!$Y$8:$Y$500&gt;0),Calc!$Y$8:$Y$500,99999),$B74),Calc!$Y$8:$Y$500,0)),Calc!$D$8:$D$500,0)) ),"-")</f>
        <v>-</v>
      </c>
    </row>
    <row r="77" spans="2:10" x14ac:dyDescent="0.35">
      <c r="B77" s="54">
        <f t="shared" si="45"/>
        <v>25</v>
      </c>
      <c r="C77" s="10"/>
      <c r="D77" s="10"/>
      <c r="E77" s="52" t="str">
        <f t="shared" ref="E77:J77" si="50">IFERROR(E79,"-")</f>
        <v>-</v>
      </c>
      <c r="F77" s="52" t="str">
        <f t="shared" si="50"/>
        <v>-</v>
      </c>
      <c r="G77" s="52" t="str">
        <f t="shared" si="50"/>
        <v>-</v>
      </c>
      <c r="H77" s="52" t="str">
        <f t="shared" si="50"/>
        <v>-</v>
      </c>
      <c r="I77" s="52" t="str">
        <f t="shared" si="50"/>
        <v>-</v>
      </c>
      <c r="J77" s="52" t="str">
        <f t="shared" si="50"/>
        <v>-</v>
      </c>
    </row>
    <row r="78" spans="2:10" x14ac:dyDescent="0.35">
      <c r="B78" s="54">
        <f t="shared" si="45"/>
        <v>25</v>
      </c>
      <c r="C78" s="10"/>
      <c r="D78" s="10"/>
      <c r="E78" s="52" t="str">
        <f t="shared" ref="E78:J78" si="51">IFERROR(E79,"-")</f>
        <v>-</v>
      </c>
      <c r="F78" s="52" t="str">
        <f t="shared" si="51"/>
        <v>-</v>
      </c>
      <c r="G78" s="52" t="str">
        <f t="shared" si="51"/>
        <v>-</v>
      </c>
      <c r="H78" s="52" t="str">
        <f t="shared" si="51"/>
        <v>-</v>
      </c>
      <c r="I78" s="52" t="str">
        <f t="shared" si="51"/>
        <v>-</v>
      </c>
      <c r="J78" s="52" t="str">
        <f t="shared" si="51"/>
        <v>-</v>
      </c>
    </row>
    <row r="79" spans="2:10" x14ac:dyDescent="0.35">
      <c r="B79" s="54">
        <f t="shared" si="45"/>
        <v>25</v>
      </c>
      <c r="C79" s="10"/>
      <c r="D79" s="10"/>
      <c r="E79" s="53" t="str">
        <f t="array" ref="E79">IFERROR(IF(Kanban!$C$7="All",INDEX(Calc!$F$8:$F$500,MATCH(INDEX(Calc!$D$8:$D$500,MATCH(SMALL(IF((Calc!$K$8:$K$500=Kanban!C$11)*(Calc!$Y$8:$Y$500&gt;0),Calc!$Y$8:$Y$500,99999),$B77),Calc!$Y$8:$Y$500,0)),Calc!$D$8:$D$500,0)),
INDEX(Calc!$F$8:$F$500,MATCH(INDEX(Calc!$D$8:$D$500,MATCH(SMALL(IF((Calc!$K$8:$K$500=Kanban!C$11)*(Calc!$C$8:$C$500=Kanban!$C$7)*(Calc!$Y$8:$Y$500&gt;0),Calc!$Y$8:$Y$500,99999),$B77),Calc!$Y$8:$Y$500,0)),Calc!$D$8:$D$500,0)) ),"-")</f>
        <v>-</v>
      </c>
      <c r="F79" s="53" t="str">
        <f t="array" ref="F79">IFERROR(IF(Kanban!$C$7="All",INDEX(Calc!$F$8:$F$500,MATCH(INDEX(Calc!$D$8:$D$500,MATCH(SMALL(IF((Calc!$K$8:$K$500=Kanban!D$11)*(Calc!$Y$8:$Y$500&gt;0),Calc!$Y$8:$Y$500,99999),$B77),Calc!$Y$8:$Y$500,0)),Calc!$D$8:$D$500,0)),
INDEX(Calc!$F$8:$F$500,MATCH(INDEX(Calc!$D$8:$D$500,MATCH(SMALL(IF((Calc!$K$8:$K$500=Kanban!D$11)*(Calc!$C$8:$C$500=Kanban!$C$7)*(Calc!$Y$8:$Y$500&gt;0),Calc!$Y$8:$Y$500,99999),$B77),Calc!$Y$8:$Y$500,0)),Calc!$D$8:$D$500,0)) ),"-")</f>
        <v>-</v>
      </c>
      <c r="G79" s="53" t="str">
        <f t="array" ref="G79">IFERROR(IF(Kanban!$C$7="All",INDEX(Calc!$F$8:$F$500,MATCH(INDEX(Calc!$D$8:$D$500,MATCH(SMALL(IF((Calc!$K$8:$K$500=Kanban!E$11)*(Calc!$Y$8:$Y$500&gt;0),Calc!$Y$8:$Y$500,99999),$B77),Calc!$Y$8:$Y$500,0)),Calc!$D$8:$D$500,0)),
INDEX(Calc!$F$8:$F$500,MATCH(INDEX(Calc!$D$8:$D$500,MATCH(SMALL(IF((Calc!$K$8:$K$500=Kanban!E$11)*(Calc!$C$8:$C$500=Kanban!$C$7)*(Calc!$Y$8:$Y$500&gt;0),Calc!$Y$8:$Y$500,99999),$B77),Calc!$Y$8:$Y$500,0)),Calc!$D$8:$D$500,0)) ),"-")</f>
        <v>-</v>
      </c>
      <c r="H79" s="53" t="str">
        <f t="array" ref="H79">IFERROR(IF(Kanban!$C$7="All",INDEX(Calc!$F$8:$F$500,MATCH(INDEX(Calc!$D$8:$D$500,MATCH(SMALL(IF((Calc!$K$8:$K$500=Kanban!F$11)*(Calc!$Y$8:$Y$500&gt;0),Calc!$Y$8:$Y$500,99999),$B77),Calc!$Y$8:$Y$500,0)),Calc!$D$8:$D$500,0)),
INDEX(Calc!$F$8:$F$500,MATCH(INDEX(Calc!$D$8:$D$500,MATCH(SMALL(IF((Calc!$K$8:$K$500=Kanban!F$11)*(Calc!$C$8:$C$500=Kanban!$C$7)*(Calc!$Y$8:$Y$500&gt;0),Calc!$Y$8:$Y$500,99999),$B77),Calc!$Y$8:$Y$500,0)),Calc!$D$8:$D$500,0)) ),"-")</f>
        <v>-</v>
      </c>
      <c r="I79" s="53" t="str">
        <f t="array" ref="I79">IFERROR(IF(Kanban!$C$7="All",INDEX(Calc!$F$8:$F$500,MATCH(INDEX(Calc!$D$8:$D$500,MATCH(SMALL(IF((Calc!$K$8:$K$500=Kanban!G$11)*(Calc!$Y$8:$Y$500&gt;0),Calc!$Y$8:$Y$500,99999),$B77),Calc!$Y$8:$Y$500,0)),Calc!$D$8:$D$500,0)),
INDEX(Calc!$F$8:$F$500,MATCH(INDEX(Calc!$D$8:$D$500,MATCH(SMALL(IF((Calc!$K$8:$K$500=Kanban!G$11)*(Calc!$C$8:$C$500=Kanban!$C$7)*(Calc!$Y$8:$Y$500&gt;0),Calc!$Y$8:$Y$500,99999),$B77),Calc!$Y$8:$Y$500,0)),Calc!$D$8:$D$500,0)) ),"-")</f>
        <v>-</v>
      </c>
      <c r="J79" s="53" t="str">
        <f t="array" ref="J79">IFERROR(IF(Kanban!$C$7="All",INDEX(Calc!$F$8:$F$500,MATCH(INDEX(Calc!$D$8:$D$500,MATCH(SMALL(IF((Calc!$K$8:$K$500=Kanban!H$11)*(Calc!$Y$8:$Y$500&gt;0),Calc!$Y$8:$Y$500,99999),$B77),Calc!$Y$8:$Y$500,0)),Calc!$D$8:$D$500,0)),
INDEX(Calc!$F$8:$F$500,MATCH(INDEX(Calc!$D$8:$D$500,MATCH(SMALL(IF((Calc!$K$8:$K$500=Kanban!H$11)*(Calc!$C$8:$C$500=Kanban!$C$7)*(Calc!$Y$8:$Y$500&gt;0),Calc!$Y$8:$Y$500,99999),$B77),Calc!$Y$8:$Y$500,0)),Calc!$D$8:$D$500,0)) ),"-")</f>
        <v>-</v>
      </c>
    </row>
    <row r="80" spans="2:10" x14ac:dyDescent="0.35">
      <c r="B80" s="54">
        <f t="shared" si="45"/>
        <v>26</v>
      </c>
      <c r="C80" s="10"/>
      <c r="D80" s="10"/>
      <c r="E80" s="52" t="str">
        <f t="shared" ref="E80:J80" si="52">IFERROR(E82,"-")</f>
        <v>-</v>
      </c>
      <c r="F80" s="52" t="str">
        <f t="shared" si="52"/>
        <v>-</v>
      </c>
      <c r="G80" s="52" t="str">
        <f t="shared" si="52"/>
        <v>-</v>
      </c>
      <c r="H80" s="52" t="str">
        <f t="shared" si="52"/>
        <v>-</v>
      </c>
      <c r="I80" s="52" t="str">
        <f t="shared" si="52"/>
        <v>-</v>
      </c>
      <c r="J80" s="52" t="str">
        <f t="shared" si="52"/>
        <v>-</v>
      </c>
    </row>
    <row r="81" spans="2:10" x14ac:dyDescent="0.35">
      <c r="B81" s="54">
        <f t="shared" si="45"/>
        <v>26</v>
      </c>
      <c r="C81" s="10"/>
      <c r="D81" s="10"/>
      <c r="E81" s="52" t="str">
        <f t="shared" ref="E81:J81" si="53">IFERROR(E82,"-")</f>
        <v>-</v>
      </c>
      <c r="F81" s="52" t="str">
        <f t="shared" si="53"/>
        <v>-</v>
      </c>
      <c r="G81" s="52" t="str">
        <f t="shared" si="53"/>
        <v>-</v>
      </c>
      <c r="H81" s="52" t="str">
        <f t="shared" si="53"/>
        <v>-</v>
      </c>
      <c r="I81" s="52" t="str">
        <f t="shared" si="53"/>
        <v>-</v>
      </c>
      <c r="J81" s="52" t="str">
        <f t="shared" si="53"/>
        <v>-</v>
      </c>
    </row>
    <row r="82" spans="2:10" x14ac:dyDescent="0.35">
      <c r="B82" s="54">
        <f t="shared" si="45"/>
        <v>26</v>
      </c>
      <c r="C82" s="10"/>
      <c r="D82" s="10"/>
      <c r="E82" s="53" t="str">
        <f t="array" ref="E82">IFERROR(IF(Kanban!$C$7="All",INDEX(Calc!$F$8:$F$500,MATCH(INDEX(Calc!$D$8:$D$500,MATCH(SMALL(IF((Calc!$K$8:$K$500=Kanban!C$11)*(Calc!$Y$8:$Y$500&gt;0),Calc!$Y$8:$Y$500,99999),$B80),Calc!$Y$8:$Y$500,0)),Calc!$D$8:$D$500,0)),
INDEX(Calc!$F$8:$F$500,MATCH(INDEX(Calc!$D$8:$D$500,MATCH(SMALL(IF((Calc!$K$8:$K$500=Kanban!C$11)*(Calc!$C$8:$C$500=Kanban!$C$7)*(Calc!$Y$8:$Y$500&gt;0),Calc!$Y$8:$Y$500,99999),$B80),Calc!$Y$8:$Y$500,0)),Calc!$D$8:$D$500,0)) ),"-")</f>
        <v>-</v>
      </c>
      <c r="F82" s="53" t="str">
        <f t="array" ref="F82">IFERROR(IF(Kanban!$C$7="All",INDEX(Calc!$F$8:$F$500,MATCH(INDEX(Calc!$D$8:$D$500,MATCH(SMALL(IF((Calc!$K$8:$K$500=Kanban!D$11)*(Calc!$Y$8:$Y$500&gt;0),Calc!$Y$8:$Y$500,99999),$B80),Calc!$Y$8:$Y$500,0)),Calc!$D$8:$D$500,0)),
INDEX(Calc!$F$8:$F$500,MATCH(INDEX(Calc!$D$8:$D$500,MATCH(SMALL(IF((Calc!$K$8:$K$500=Kanban!D$11)*(Calc!$C$8:$C$500=Kanban!$C$7)*(Calc!$Y$8:$Y$500&gt;0),Calc!$Y$8:$Y$500,99999),$B80),Calc!$Y$8:$Y$500,0)),Calc!$D$8:$D$500,0)) ),"-")</f>
        <v>-</v>
      </c>
      <c r="G82" s="53" t="str">
        <f t="array" ref="G82">IFERROR(IF(Kanban!$C$7="All",INDEX(Calc!$F$8:$F$500,MATCH(INDEX(Calc!$D$8:$D$500,MATCH(SMALL(IF((Calc!$K$8:$K$500=Kanban!E$11)*(Calc!$Y$8:$Y$500&gt;0),Calc!$Y$8:$Y$500,99999),$B80),Calc!$Y$8:$Y$500,0)),Calc!$D$8:$D$500,0)),
INDEX(Calc!$F$8:$F$500,MATCH(INDEX(Calc!$D$8:$D$500,MATCH(SMALL(IF((Calc!$K$8:$K$500=Kanban!E$11)*(Calc!$C$8:$C$500=Kanban!$C$7)*(Calc!$Y$8:$Y$500&gt;0),Calc!$Y$8:$Y$500,99999),$B80),Calc!$Y$8:$Y$500,0)),Calc!$D$8:$D$500,0)) ),"-")</f>
        <v>-</v>
      </c>
      <c r="H82" s="53" t="str">
        <f t="array" ref="H82">IFERROR(IF(Kanban!$C$7="All",INDEX(Calc!$F$8:$F$500,MATCH(INDEX(Calc!$D$8:$D$500,MATCH(SMALL(IF((Calc!$K$8:$K$500=Kanban!F$11)*(Calc!$Y$8:$Y$500&gt;0),Calc!$Y$8:$Y$500,99999),$B80),Calc!$Y$8:$Y$500,0)),Calc!$D$8:$D$500,0)),
INDEX(Calc!$F$8:$F$500,MATCH(INDEX(Calc!$D$8:$D$500,MATCH(SMALL(IF((Calc!$K$8:$K$500=Kanban!F$11)*(Calc!$C$8:$C$500=Kanban!$C$7)*(Calc!$Y$8:$Y$500&gt;0),Calc!$Y$8:$Y$500,99999),$B80),Calc!$Y$8:$Y$500,0)),Calc!$D$8:$D$500,0)) ),"-")</f>
        <v>-</v>
      </c>
      <c r="I82" s="53" t="str">
        <f t="array" ref="I82">IFERROR(IF(Kanban!$C$7="All",INDEX(Calc!$F$8:$F$500,MATCH(INDEX(Calc!$D$8:$D$500,MATCH(SMALL(IF((Calc!$K$8:$K$500=Kanban!G$11)*(Calc!$Y$8:$Y$500&gt;0),Calc!$Y$8:$Y$500,99999),$B80),Calc!$Y$8:$Y$500,0)),Calc!$D$8:$D$500,0)),
INDEX(Calc!$F$8:$F$500,MATCH(INDEX(Calc!$D$8:$D$500,MATCH(SMALL(IF((Calc!$K$8:$K$500=Kanban!G$11)*(Calc!$C$8:$C$500=Kanban!$C$7)*(Calc!$Y$8:$Y$500&gt;0),Calc!$Y$8:$Y$500,99999),$B80),Calc!$Y$8:$Y$500,0)),Calc!$D$8:$D$500,0)) ),"-")</f>
        <v>-</v>
      </c>
      <c r="J82" s="53" t="str">
        <f t="array" ref="J82">IFERROR(IF(Kanban!$C$7="All",INDEX(Calc!$F$8:$F$500,MATCH(INDEX(Calc!$D$8:$D$500,MATCH(SMALL(IF((Calc!$K$8:$K$500=Kanban!H$11)*(Calc!$Y$8:$Y$500&gt;0),Calc!$Y$8:$Y$500,99999),$B80),Calc!$Y$8:$Y$500,0)),Calc!$D$8:$D$500,0)),
INDEX(Calc!$F$8:$F$500,MATCH(INDEX(Calc!$D$8:$D$500,MATCH(SMALL(IF((Calc!$K$8:$K$500=Kanban!H$11)*(Calc!$C$8:$C$500=Kanban!$C$7)*(Calc!$Y$8:$Y$500&gt;0),Calc!$Y$8:$Y$500,99999),$B80),Calc!$Y$8:$Y$500,0)),Calc!$D$8:$D$500,0)) ),"-")</f>
        <v>-</v>
      </c>
    </row>
    <row r="83" spans="2:10" x14ac:dyDescent="0.35">
      <c r="B83" s="54">
        <f t="shared" si="45"/>
        <v>27</v>
      </c>
      <c r="C83" s="10"/>
      <c r="D83" s="10"/>
      <c r="E83" s="52" t="str">
        <f t="shared" ref="E83:J83" si="54">IFERROR(E85,"-")</f>
        <v>-</v>
      </c>
      <c r="F83" s="52" t="str">
        <f t="shared" si="54"/>
        <v>-</v>
      </c>
      <c r="G83" s="52" t="str">
        <f t="shared" si="54"/>
        <v>-</v>
      </c>
      <c r="H83" s="52" t="str">
        <f t="shared" si="54"/>
        <v>-</v>
      </c>
      <c r="I83" s="52" t="str">
        <f t="shared" si="54"/>
        <v>-</v>
      </c>
      <c r="J83" s="52" t="str">
        <f t="shared" si="54"/>
        <v>-</v>
      </c>
    </row>
    <row r="84" spans="2:10" x14ac:dyDescent="0.35">
      <c r="B84" s="54">
        <f t="shared" si="45"/>
        <v>27</v>
      </c>
      <c r="C84" s="10"/>
      <c r="D84" s="10"/>
      <c r="E84" s="52" t="str">
        <f t="shared" ref="E84:J84" si="55">IFERROR(E85,"-")</f>
        <v>-</v>
      </c>
      <c r="F84" s="52" t="str">
        <f t="shared" si="55"/>
        <v>-</v>
      </c>
      <c r="G84" s="52" t="str">
        <f t="shared" si="55"/>
        <v>-</v>
      </c>
      <c r="H84" s="52" t="str">
        <f t="shared" si="55"/>
        <v>-</v>
      </c>
      <c r="I84" s="52" t="str">
        <f t="shared" si="55"/>
        <v>-</v>
      </c>
      <c r="J84" s="52" t="str">
        <f t="shared" si="55"/>
        <v>-</v>
      </c>
    </row>
    <row r="85" spans="2:10" x14ac:dyDescent="0.35">
      <c r="B85" s="54">
        <f t="shared" si="45"/>
        <v>27</v>
      </c>
      <c r="C85" s="18"/>
      <c r="D85" s="18"/>
      <c r="E85" s="53" t="str">
        <f t="array" ref="E85">IFERROR(IF(Kanban!$C$7="All",INDEX(Calc!$F$8:$F$500,MATCH(INDEX(Calc!$D$8:$D$500,MATCH(SMALL(IF((Calc!$K$8:$K$500=Kanban!C$11)*(Calc!$Y$8:$Y$500&gt;0),Calc!$Y$8:$Y$500,99999),$B83),Calc!$Y$8:$Y$500,0)),Calc!$D$8:$D$500,0)),
INDEX(Calc!$F$8:$F$500,MATCH(INDEX(Calc!$D$8:$D$500,MATCH(SMALL(IF((Calc!$K$8:$K$500=Kanban!C$11)*(Calc!$C$8:$C$500=Kanban!$C$7)*(Calc!$Y$8:$Y$500&gt;0),Calc!$Y$8:$Y$500,99999),$B83),Calc!$Y$8:$Y$500,0)),Calc!$D$8:$D$500,0)) ),"-")</f>
        <v>-</v>
      </c>
      <c r="F85" s="53" t="str">
        <f t="array" ref="F85">IFERROR(IF(Kanban!$C$7="All",INDEX(Calc!$F$8:$F$500,MATCH(INDEX(Calc!$D$8:$D$500,MATCH(SMALL(IF((Calc!$K$8:$K$500=Kanban!D$11)*(Calc!$Y$8:$Y$500&gt;0),Calc!$Y$8:$Y$500,99999),$B83),Calc!$Y$8:$Y$500,0)),Calc!$D$8:$D$500,0)),
INDEX(Calc!$F$8:$F$500,MATCH(INDEX(Calc!$D$8:$D$500,MATCH(SMALL(IF((Calc!$K$8:$K$500=Kanban!D$11)*(Calc!$C$8:$C$500=Kanban!$C$7)*(Calc!$Y$8:$Y$500&gt;0),Calc!$Y$8:$Y$500,99999),$B83),Calc!$Y$8:$Y$500,0)),Calc!$D$8:$D$500,0)) ),"-")</f>
        <v>-</v>
      </c>
      <c r="G85" s="53" t="str">
        <f t="array" ref="G85">IFERROR(IF(Kanban!$C$7="All",INDEX(Calc!$F$8:$F$500,MATCH(INDEX(Calc!$D$8:$D$500,MATCH(SMALL(IF((Calc!$K$8:$K$500=Kanban!E$11)*(Calc!$Y$8:$Y$500&gt;0),Calc!$Y$8:$Y$500,99999),$B83),Calc!$Y$8:$Y$500,0)),Calc!$D$8:$D$500,0)),
INDEX(Calc!$F$8:$F$500,MATCH(INDEX(Calc!$D$8:$D$500,MATCH(SMALL(IF((Calc!$K$8:$K$500=Kanban!E$11)*(Calc!$C$8:$C$500=Kanban!$C$7)*(Calc!$Y$8:$Y$500&gt;0),Calc!$Y$8:$Y$500,99999),$B83),Calc!$Y$8:$Y$500,0)),Calc!$D$8:$D$500,0)) ),"-")</f>
        <v>-</v>
      </c>
      <c r="H85" s="53" t="str">
        <f t="array" ref="H85">IFERROR(IF(Kanban!$C$7="All",INDEX(Calc!$F$8:$F$500,MATCH(INDEX(Calc!$D$8:$D$500,MATCH(SMALL(IF((Calc!$K$8:$K$500=Kanban!F$11)*(Calc!$Y$8:$Y$500&gt;0),Calc!$Y$8:$Y$500,99999),$B83),Calc!$Y$8:$Y$500,0)),Calc!$D$8:$D$500,0)),
INDEX(Calc!$F$8:$F$500,MATCH(INDEX(Calc!$D$8:$D$500,MATCH(SMALL(IF((Calc!$K$8:$K$500=Kanban!F$11)*(Calc!$C$8:$C$500=Kanban!$C$7)*(Calc!$Y$8:$Y$500&gt;0),Calc!$Y$8:$Y$500,99999),$B83),Calc!$Y$8:$Y$500,0)),Calc!$D$8:$D$500,0)) ),"-")</f>
        <v>-</v>
      </c>
      <c r="I85" s="53" t="str">
        <f t="array" ref="I85">IFERROR(IF(Kanban!$C$7="All",INDEX(Calc!$F$8:$F$500,MATCH(INDEX(Calc!$D$8:$D$500,MATCH(SMALL(IF((Calc!$K$8:$K$500=Kanban!G$11)*(Calc!$Y$8:$Y$500&gt;0),Calc!$Y$8:$Y$500,99999),$B83),Calc!$Y$8:$Y$500,0)),Calc!$D$8:$D$500,0)),
INDEX(Calc!$F$8:$F$500,MATCH(INDEX(Calc!$D$8:$D$500,MATCH(SMALL(IF((Calc!$K$8:$K$500=Kanban!G$11)*(Calc!$C$8:$C$500=Kanban!$C$7)*(Calc!$Y$8:$Y$500&gt;0),Calc!$Y$8:$Y$500,99999),$B83),Calc!$Y$8:$Y$500,0)),Calc!$D$8:$D$500,0)) ),"-")</f>
        <v>-</v>
      </c>
      <c r="J85" s="53" t="str">
        <f t="array" ref="J85">IFERROR(IF(Kanban!$C$7="All",INDEX(Calc!$F$8:$F$500,MATCH(INDEX(Calc!$D$8:$D$500,MATCH(SMALL(IF((Calc!$K$8:$K$500=Kanban!H$11)*(Calc!$Y$8:$Y$500&gt;0),Calc!$Y$8:$Y$500,99999),$B83),Calc!$Y$8:$Y$500,0)),Calc!$D$8:$D$500,0)),
INDEX(Calc!$F$8:$F$500,MATCH(INDEX(Calc!$D$8:$D$500,MATCH(SMALL(IF((Calc!$K$8:$K$500=Kanban!H$11)*(Calc!$C$8:$C$500=Kanban!$C$7)*(Calc!$Y$8:$Y$500&gt;0),Calc!$Y$8:$Y$500,99999),$B83),Calc!$Y$8:$Y$500,0)),Calc!$D$8:$D$500,0)) ),"-")</f>
        <v>-</v>
      </c>
    </row>
    <row r="86" spans="2:10" x14ac:dyDescent="0.35">
      <c r="B86" s="54">
        <f t="shared" si="45"/>
        <v>28</v>
      </c>
      <c r="C86" s="18"/>
      <c r="D86" s="22"/>
      <c r="E86" s="52" t="str">
        <f t="shared" ref="E86:J86" si="56">IFERROR(E88,"-")</f>
        <v>-</v>
      </c>
      <c r="F86" s="52" t="str">
        <f t="shared" si="56"/>
        <v>-</v>
      </c>
      <c r="G86" s="52" t="str">
        <f t="shared" si="56"/>
        <v>-</v>
      </c>
      <c r="H86" s="52" t="str">
        <f t="shared" si="56"/>
        <v>-</v>
      </c>
      <c r="I86" s="52" t="str">
        <f t="shared" si="56"/>
        <v>-</v>
      </c>
      <c r="J86" s="52" t="str">
        <f t="shared" si="56"/>
        <v>-</v>
      </c>
    </row>
    <row r="87" spans="2:10" x14ac:dyDescent="0.35">
      <c r="B87" s="54">
        <f t="shared" si="45"/>
        <v>28</v>
      </c>
      <c r="C87" s="18"/>
      <c r="D87" s="18"/>
      <c r="E87" s="52" t="str">
        <f t="shared" ref="E87:J87" si="57">IFERROR(E88,"-")</f>
        <v>-</v>
      </c>
      <c r="F87" s="52" t="str">
        <f t="shared" si="57"/>
        <v>-</v>
      </c>
      <c r="G87" s="52" t="str">
        <f t="shared" si="57"/>
        <v>-</v>
      </c>
      <c r="H87" s="52" t="str">
        <f t="shared" si="57"/>
        <v>-</v>
      </c>
      <c r="I87" s="52" t="str">
        <f t="shared" si="57"/>
        <v>-</v>
      </c>
      <c r="J87" s="52" t="str">
        <f t="shared" si="57"/>
        <v>-</v>
      </c>
    </row>
    <row r="88" spans="2:10" x14ac:dyDescent="0.35">
      <c r="B88" s="54">
        <f t="shared" si="45"/>
        <v>28</v>
      </c>
      <c r="C88" s="18"/>
      <c r="D88" s="18"/>
      <c r="E88" s="53" t="str">
        <f t="array" ref="E88">IFERROR(IF(Kanban!$C$7="All",INDEX(Calc!$F$8:$F$500,MATCH(INDEX(Calc!$D$8:$D$500,MATCH(SMALL(IF((Calc!$K$8:$K$500=Kanban!C$11)*(Calc!$Y$8:$Y$500&gt;0),Calc!$Y$8:$Y$500,99999),$B86),Calc!$Y$8:$Y$500,0)),Calc!$D$8:$D$500,0)),
INDEX(Calc!$F$8:$F$500,MATCH(INDEX(Calc!$D$8:$D$500,MATCH(SMALL(IF((Calc!$K$8:$K$500=Kanban!C$11)*(Calc!$C$8:$C$500=Kanban!$C$7)*(Calc!$Y$8:$Y$500&gt;0),Calc!$Y$8:$Y$500,99999),$B86),Calc!$Y$8:$Y$500,0)),Calc!$D$8:$D$500,0)) ),"-")</f>
        <v>-</v>
      </c>
      <c r="F88" s="53" t="str">
        <f t="array" ref="F88">IFERROR(IF(Kanban!$C$7="All",INDEX(Calc!$F$8:$F$500,MATCH(INDEX(Calc!$D$8:$D$500,MATCH(SMALL(IF((Calc!$K$8:$K$500=Kanban!D$11)*(Calc!$Y$8:$Y$500&gt;0),Calc!$Y$8:$Y$500,99999),$B86),Calc!$Y$8:$Y$500,0)),Calc!$D$8:$D$500,0)),
INDEX(Calc!$F$8:$F$500,MATCH(INDEX(Calc!$D$8:$D$500,MATCH(SMALL(IF((Calc!$K$8:$K$500=Kanban!D$11)*(Calc!$C$8:$C$500=Kanban!$C$7)*(Calc!$Y$8:$Y$500&gt;0),Calc!$Y$8:$Y$500,99999),$B86),Calc!$Y$8:$Y$500,0)),Calc!$D$8:$D$500,0)) ),"-")</f>
        <v>-</v>
      </c>
      <c r="G88" s="53" t="str">
        <f t="array" ref="G88">IFERROR(IF(Kanban!$C$7="All",INDEX(Calc!$F$8:$F$500,MATCH(INDEX(Calc!$D$8:$D$500,MATCH(SMALL(IF((Calc!$K$8:$K$500=Kanban!E$11)*(Calc!$Y$8:$Y$500&gt;0),Calc!$Y$8:$Y$500,99999),$B86),Calc!$Y$8:$Y$500,0)),Calc!$D$8:$D$500,0)),
INDEX(Calc!$F$8:$F$500,MATCH(INDEX(Calc!$D$8:$D$500,MATCH(SMALL(IF((Calc!$K$8:$K$500=Kanban!E$11)*(Calc!$C$8:$C$500=Kanban!$C$7)*(Calc!$Y$8:$Y$500&gt;0),Calc!$Y$8:$Y$500,99999),$B86),Calc!$Y$8:$Y$500,0)),Calc!$D$8:$D$500,0)) ),"-")</f>
        <v>-</v>
      </c>
      <c r="H88" s="53" t="str">
        <f t="array" ref="H88">IFERROR(IF(Kanban!$C$7="All",INDEX(Calc!$F$8:$F$500,MATCH(INDEX(Calc!$D$8:$D$500,MATCH(SMALL(IF((Calc!$K$8:$K$500=Kanban!F$11)*(Calc!$Y$8:$Y$500&gt;0),Calc!$Y$8:$Y$500,99999),$B86),Calc!$Y$8:$Y$500,0)),Calc!$D$8:$D$500,0)),
INDEX(Calc!$F$8:$F$500,MATCH(INDEX(Calc!$D$8:$D$500,MATCH(SMALL(IF((Calc!$K$8:$K$500=Kanban!F$11)*(Calc!$C$8:$C$500=Kanban!$C$7)*(Calc!$Y$8:$Y$500&gt;0),Calc!$Y$8:$Y$500,99999),$B86),Calc!$Y$8:$Y$500,0)),Calc!$D$8:$D$500,0)) ),"-")</f>
        <v>-</v>
      </c>
      <c r="I88" s="53" t="str">
        <f t="array" ref="I88">IFERROR(IF(Kanban!$C$7="All",INDEX(Calc!$F$8:$F$500,MATCH(INDEX(Calc!$D$8:$D$500,MATCH(SMALL(IF((Calc!$K$8:$K$500=Kanban!G$11)*(Calc!$Y$8:$Y$500&gt;0),Calc!$Y$8:$Y$500,99999),$B86),Calc!$Y$8:$Y$500,0)),Calc!$D$8:$D$500,0)),
INDEX(Calc!$F$8:$F$500,MATCH(INDEX(Calc!$D$8:$D$500,MATCH(SMALL(IF((Calc!$K$8:$K$500=Kanban!G$11)*(Calc!$C$8:$C$500=Kanban!$C$7)*(Calc!$Y$8:$Y$500&gt;0),Calc!$Y$8:$Y$500,99999),$B86),Calc!$Y$8:$Y$500,0)),Calc!$D$8:$D$500,0)) ),"-")</f>
        <v>-</v>
      </c>
      <c r="J88" s="53" t="str">
        <f t="array" ref="J88">IFERROR(IF(Kanban!$C$7="All",INDEX(Calc!$F$8:$F$500,MATCH(INDEX(Calc!$D$8:$D$500,MATCH(SMALL(IF((Calc!$K$8:$K$500=Kanban!H$11)*(Calc!$Y$8:$Y$500&gt;0),Calc!$Y$8:$Y$500,99999),$B86),Calc!$Y$8:$Y$500,0)),Calc!$D$8:$D$500,0)),
INDEX(Calc!$F$8:$F$500,MATCH(INDEX(Calc!$D$8:$D$500,MATCH(SMALL(IF((Calc!$K$8:$K$500=Kanban!H$11)*(Calc!$C$8:$C$500=Kanban!$C$7)*(Calc!$Y$8:$Y$500&gt;0),Calc!$Y$8:$Y$500,99999),$B86),Calc!$Y$8:$Y$500,0)),Calc!$D$8:$D$500,0)) ),"-")</f>
        <v>-</v>
      </c>
    </row>
    <row r="89" spans="2:10" x14ac:dyDescent="0.35">
      <c r="B89" s="54">
        <f t="shared" si="45"/>
        <v>29</v>
      </c>
      <c r="C89" s="18"/>
      <c r="D89" s="18"/>
      <c r="E89" s="52" t="str">
        <f t="shared" ref="E89:J89" si="58">IFERROR(E91,"-")</f>
        <v>-</v>
      </c>
      <c r="F89" s="52" t="str">
        <f t="shared" si="58"/>
        <v>-</v>
      </c>
      <c r="G89" s="52" t="str">
        <f t="shared" si="58"/>
        <v>-</v>
      </c>
      <c r="H89" s="52" t="str">
        <f t="shared" si="58"/>
        <v>-</v>
      </c>
      <c r="I89" s="52" t="str">
        <f t="shared" si="58"/>
        <v>-</v>
      </c>
      <c r="J89" s="52" t="str">
        <f t="shared" si="58"/>
        <v>-</v>
      </c>
    </row>
    <row r="90" spans="2:10" x14ac:dyDescent="0.35">
      <c r="B90" s="54">
        <f t="shared" si="45"/>
        <v>29</v>
      </c>
      <c r="C90" s="18"/>
      <c r="D90" s="18"/>
      <c r="E90" s="52" t="str">
        <f t="shared" ref="E90:J90" si="59">IFERROR(E91,"-")</f>
        <v>-</v>
      </c>
      <c r="F90" s="52" t="str">
        <f t="shared" si="59"/>
        <v>-</v>
      </c>
      <c r="G90" s="52" t="str">
        <f t="shared" si="59"/>
        <v>-</v>
      </c>
      <c r="H90" s="52" t="str">
        <f t="shared" si="59"/>
        <v>-</v>
      </c>
      <c r="I90" s="52" t="str">
        <f t="shared" si="59"/>
        <v>-</v>
      </c>
      <c r="J90" s="52" t="str">
        <f t="shared" si="59"/>
        <v>-</v>
      </c>
    </row>
    <row r="91" spans="2:10" x14ac:dyDescent="0.35">
      <c r="B91" s="54">
        <f t="shared" si="45"/>
        <v>29</v>
      </c>
      <c r="C91" s="18"/>
      <c r="D91" s="18"/>
      <c r="E91" s="53" t="str">
        <f t="array" ref="E91">IFERROR(IF(Kanban!$C$7="All",INDEX(Calc!$F$8:$F$500,MATCH(INDEX(Calc!$D$8:$D$500,MATCH(SMALL(IF((Calc!$K$8:$K$500=Kanban!C$11)*(Calc!$Y$8:$Y$500&gt;0),Calc!$Y$8:$Y$500,99999),$B89),Calc!$Y$8:$Y$500,0)),Calc!$D$8:$D$500,0)),
INDEX(Calc!$F$8:$F$500,MATCH(INDEX(Calc!$D$8:$D$500,MATCH(SMALL(IF((Calc!$K$8:$K$500=Kanban!C$11)*(Calc!$C$8:$C$500=Kanban!$C$7)*(Calc!$Y$8:$Y$500&gt;0),Calc!$Y$8:$Y$500,99999),$B89),Calc!$Y$8:$Y$500,0)),Calc!$D$8:$D$500,0)) ),"-")</f>
        <v>-</v>
      </c>
      <c r="F91" s="53" t="str">
        <f t="array" ref="F91">IFERROR(IF(Kanban!$C$7="All",INDEX(Calc!$F$8:$F$500,MATCH(INDEX(Calc!$D$8:$D$500,MATCH(SMALL(IF((Calc!$K$8:$K$500=Kanban!D$11)*(Calc!$Y$8:$Y$500&gt;0),Calc!$Y$8:$Y$500,99999),$B89),Calc!$Y$8:$Y$500,0)),Calc!$D$8:$D$500,0)),
INDEX(Calc!$F$8:$F$500,MATCH(INDEX(Calc!$D$8:$D$500,MATCH(SMALL(IF((Calc!$K$8:$K$500=Kanban!D$11)*(Calc!$C$8:$C$500=Kanban!$C$7)*(Calc!$Y$8:$Y$500&gt;0),Calc!$Y$8:$Y$500,99999),$B89),Calc!$Y$8:$Y$500,0)),Calc!$D$8:$D$500,0)) ),"-")</f>
        <v>-</v>
      </c>
      <c r="G91" s="53" t="str">
        <f t="array" ref="G91">IFERROR(IF(Kanban!$C$7="All",INDEX(Calc!$F$8:$F$500,MATCH(INDEX(Calc!$D$8:$D$500,MATCH(SMALL(IF((Calc!$K$8:$K$500=Kanban!E$11)*(Calc!$Y$8:$Y$500&gt;0),Calc!$Y$8:$Y$500,99999),$B89),Calc!$Y$8:$Y$500,0)),Calc!$D$8:$D$500,0)),
INDEX(Calc!$F$8:$F$500,MATCH(INDEX(Calc!$D$8:$D$500,MATCH(SMALL(IF((Calc!$K$8:$K$500=Kanban!E$11)*(Calc!$C$8:$C$500=Kanban!$C$7)*(Calc!$Y$8:$Y$500&gt;0),Calc!$Y$8:$Y$500,99999),$B89),Calc!$Y$8:$Y$500,0)),Calc!$D$8:$D$500,0)) ),"-")</f>
        <v>-</v>
      </c>
      <c r="H91" s="53" t="str">
        <f t="array" ref="H91">IFERROR(IF(Kanban!$C$7="All",INDEX(Calc!$F$8:$F$500,MATCH(INDEX(Calc!$D$8:$D$500,MATCH(SMALL(IF((Calc!$K$8:$K$500=Kanban!F$11)*(Calc!$Y$8:$Y$500&gt;0),Calc!$Y$8:$Y$500,99999),$B89),Calc!$Y$8:$Y$500,0)),Calc!$D$8:$D$500,0)),
INDEX(Calc!$F$8:$F$500,MATCH(INDEX(Calc!$D$8:$D$500,MATCH(SMALL(IF((Calc!$K$8:$K$500=Kanban!F$11)*(Calc!$C$8:$C$500=Kanban!$C$7)*(Calc!$Y$8:$Y$500&gt;0),Calc!$Y$8:$Y$500,99999),$B89),Calc!$Y$8:$Y$500,0)),Calc!$D$8:$D$500,0)) ),"-")</f>
        <v>-</v>
      </c>
      <c r="I91" s="53" t="str">
        <f t="array" ref="I91">IFERROR(IF(Kanban!$C$7="All",INDEX(Calc!$F$8:$F$500,MATCH(INDEX(Calc!$D$8:$D$500,MATCH(SMALL(IF((Calc!$K$8:$K$500=Kanban!G$11)*(Calc!$Y$8:$Y$500&gt;0),Calc!$Y$8:$Y$500,99999),$B89),Calc!$Y$8:$Y$500,0)),Calc!$D$8:$D$500,0)),
INDEX(Calc!$F$8:$F$500,MATCH(INDEX(Calc!$D$8:$D$500,MATCH(SMALL(IF((Calc!$K$8:$K$500=Kanban!G$11)*(Calc!$C$8:$C$500=Kanban!$C$7)*(Calc!$Y$8:$Y$500&gt;0),Calc!$Y$8:$Y$500,99999),$B89),Calc!$Y$8:$Y$500,0)),Calc!$D$8:$D$500,0)) ),"-")</f>
        <v>-</v>
      </c>
      <c r="J91" s="53" t="str">
        <f t="array" ref="J91">IFERROR(IF(Kanban!$C$7="All",INDEX(Calc!$F$8:$F$500,MATCH(INDEX(Calc!$D$8:$D$500,MATCH(SMALL(IF((Calc!$K$8:$K$500=Kanban!H$11)*(Calc!$Y$8:$Y$500&gt;0),Calc!$Y$8:$Y$500,99999),$B89),Calc!$Y$8:$Y$500,0)),Calc!$D$8:$D$500,0)),
INDEX(Calc!$F$8:$F$500,MATCH(INDEX(Calc!$D$8:$D$500,MATCH(SMALL(IF((Calc!$K$8:$K$500=Kanban!H$11)*(Calc!$C$8:$C$500=Kanban!$C$7)*(Calc!$Y$8:$Y$500&gt;0),Calc!$Y$8:$Y$500,99999),$B89),Calc!$Y$8:$Y$500,0)),Calc!$D$8:$D$500,0)) ),"-")</f>
        <v>-</v>
      </c>
    </row>
    <row r="92" spans="2:10" x14ac:dyDescent="0.35">
      <c r="B92" s="54">
        <f t="shared" si="45"/>
        <v>30</v>
      </c>
      <c r="C92" s="18"/>
      <c r="D92" s="18"/>
      <c r="E92" s="52" t="str">
        <f t="shared" ref="E92:J92" si="60">IFERROR(E94,"-")</f>
        <v>-</v>
      </c>
      <c r="F92" s="52" t="str">
        <f t="shared" si="60"/>
        <v>-</v>
      </c>
      <c r="G92" s="52" t="str">
        <f t="shared" si="60"/>
        <v>-</v>
      </c>
      <c r="H92" s="52" t="str">
        <f t="shared" si="60"/>
        <v>-</v>
      </c>
      <c r="I92" s="52" t="str">
        <f t="shared" si="60"/>
        <v>-</v>
      </c>
      <c r="J92" s="52" t="str">
        <f t="shared" si="60"/>
        <v>-</v>
      </c>
    </row>
    <row r="93" spans="2:10" x14ac:dyDescent="0.35">
      <c r="B93" s="54">
        <f t="shared" si="45"/>
        <v>30</v>
      </c>
      <c r="C93" s="18"/>
      <c r="D93" s="18"/>
      <c r="E93" s="52" t="str">
        <f t="shared" ref="E93:J93" si="61">IFERROR(E94,"-")</f>
        <v>-</v>
      </c>
      <c r="F93" s="52" t="str">
        <f t="shared" si="61"/>
        <v>-</v>
      </c>
      <c r="G93" s="52" t="str">
        <f t="shared" si="61"/>
        <v>-</v>
      </c>
      <c r="H93" s="52" t="str">
        <f t="shared" si="61"/>
        <v>-</v>
      </c>
      <c r="I93" s="52" t="str">
        <f t="shared" si="61"/>
        <v>-</v>
      </c>
      <c r="J93" s="52" t="str">
        <f t="shared" si="61"/>
        <v>-</v>
      </c>
    </row>
    <row r="94" spans="2:10" x14ac:dyDescent="0.35">
      <c r="B94" s="54">
        <f t="shared" si="45"/>
        <v>30</v>
      </c>
      <c r="C94" s="18"/>
      <c r="D94" s="18"/>
      <c r="E94" s="53" t="str">
        <f t="array" ref="E94">IFERROR(IF(Kanban!$C$7="All",INDEX(Calc!$F$8:$F$500,MATCH(INDEX(Calc!$D$8:$D$500,MATCH(SMALL(IF((Calc!$K$8:$K$500=Kanban!C$11)*(Calc!$Y$8:$Y$500&gt;0),Calc!$Y$8:$Y$500,99999),$B92),Calc!$Y$8:$Y$500,0)),Calc!$D$8:$D$500,0)),
INDEX(Calc!$F$8:$F$500,MATCH(INDEX(Calc!$D$8:$D$500,MATCH(SMALL(IF((Calc!$K$8:$K$500=Kanban!C$11)*(Calc!$C$8:$C$500=Kanban!$C$7)*(Calc!$Y$8:$Y$500&gt;0),Calc!$Y$8:$Y$500,99999),$B92),Calc!$Y$8:$Y$500,0)),Calc!$D$8:$D$500,0)) ),"-")</f>
        <v>-</v>
      </c>
      <c r="F94" s="53" t="str">
        <f t="array" ref="F94">IFERROR(IF(Kanban!$C$7="All",INDEX(Calc!$F$8:$F$500,MATCH(INDEX(Calc!$D$8:$D$500,MATCH(SMALL(IF((Calc!$K$8:$K$500=Kanban!D$11)*(Calc!$Y$8:$Y$500&gt;0),Calc!$Y$8:$Y$500,99999),$B92),Calc!$Y$8:$Y$500,0)),Calc!$D$8:$D$500,0)),
INDEX(Calc!$F$8:$F$500,MATCH(INDEX(Calc!$D$8:$D$500,MATCH(SMALL(IF((Calc!$K$8:$K$500=Kanban!D$11)*(Calc!$C$8:$C$500=Kanban!$C$7)*(Calc!$Y$8:$Y$500&gt;0),Calc!$Y$8:$Y$500,99999),$B92),Calc!$Y$8:$Y$500,0)),Calc!$D$8:$D$500,0)) ),"-")</f>
        <v>-</v>
      </c>
      <c r="G94" s="53" t="str">
        <f t="array" ref="G94">IFERROR(IF(Kanban!$C$7="All",INDEX(Calc!$F$8:$F$500,MATCH(INDEX(Calc!$D$8:$D$500,MATCH(SMALL(IF((Calc!$K$8:$K$500=Kanban!E$11)*(Calc!$Y$8:$Y$500&gt;0),Calc!$Y$8:$Y$500,99999),$B92),Calc!$Y$8:$Y$500,0)),Calc!$D$8:$D$500,0)),
INDEX(Calc!$F$8:$F$500,MATCH(INDEX(Calc!$D$8:$D$500,MATCH(SMALL(IF((Calc!$K$8:$K$500=Kanban!E$11)*(Calc!$C$8:$C$500=Kanban!$C$7)*(Calc!$Y$8:$Y$500&gt;0),Calc!$Y$8:$Y$500,99999),$B92),Calc!$Y$8:$Y$500,0)),Calc!$D$8:$D$500,0)) ),"-")</f>
        <v>-</v>
      </c>
      <c r="H94" s="53" t="str">
        <f t="array" ref="H94">IFERROR(IF(Kanban!$C$7="All",INDEX(Calc!$F$8:$F$500,MATCH(INDEX(Calc!$D$8:$D$500,MATCH(SMALL(IF((Calc!$K$8:$K$500=Kanban!F$11)*(Calc!$Y$8:$Y$500&gt;0),Calc!$Y$8:$Y$500,99999),$B92),Calc!$Y$8:$Y$500,0)),Calc!$D$8:$D$500,0)),
INDEX(Calc!$F$8:$F$500,MATCH(INDEX(Calc!$D$8:$D$500,MATCH(SMALL(IF((Calc!$K$8:$K$500=Kanban!F$11)*(Calc!$C$8:$C$500=Kanban!$C$7)*(Calc!$Y$8:$Y$500&gt;0),Calc!$Y$8:$Y$500,99999),$B92),Calc!$Y$8:$Y$500,0)),Calc!$D$8:$D$500,0)) ),"-")</f>
        <v>-</v>
      </c>
      <c r="I94" s="53" t="str">
        <f t="array" ref="I94">IFERROR(IF(Kanban!$C$7="All",INDEX(Calc!$F$8:$F$500,MATCH(INDEX(Calc!$D$8:$D$500,MATCH(SMALL(IF((Calc!$K$8:$K$500=Kanban!G$11)*(Calc!$Y$8:$Y$500&gt;0),Calc!$Y$8:$Y$500,99999),$B92),Calc!$Y$8:$Y$500,0)),Calc!$D$8:$D$500,0)),
INDEX(Calc!$F$8:$F$500,MATCH(INDEX(Calc!$D$8:$D$500,MATCH(SMALL(IF((Calc!$K$8:$K$500=Kanban!G$11)*(Calc!$C$8:$C$500=Kanban!$C$7)*(Calc!$Y$8:$Y$500&gt;0),Calc!$Y$8:$Y$500,99999),$B92),Calc!$Y$8:$Y$500,0)),Calc!$D$8:$D$500,0)) ),"-")</f>
        <v>-</v>
      </c>
      <c r="J94" s="53" t="str">
        <f t="array" ref="J94">IFERROR(IF(Kanban!$C$7="All",INDEX(Calc!$F$8:$F$500,MATCH(INDEX(Calc!$D$8:$D$500,MATCH(SMALL(IF((Calc!$K$8:$K$500=Kanban!H$11)*(Calc!$Y$8:$Y$500&gt;0),Calc!$Y$8:$Y$500,99999),$B92),Calc!$Y$8:$Y$500,0)),Calc!$D$8:$D$500,0)),
INDEX(Calc!$F$8:$F$500,MATCH(INDEX(Calc!$D$8:$D$500,MATCH(SMALL(IF((Calc!$K$8:$K$500=Kanban!H$11)*(Calc!$C$8:$C$500=Kanban!$C$7)*(Calc!$Y$8:$Y$500&gt;0),Calc!$Y$8:$Y$500,99999),$B92),Calc!$Y$8:$Y$500,0)),Calc!$D$8:$D$500,0)) ),"-")</f>
        <v>-</v>
      </c>
    </row>
    <row r="95" spans="2:10" x14ac:dyDescent="0.35">
      <c r="B95" s="54">
        <f t="shared" si="45"/>
        <v>31</v>
      </c>
      <c r="C95" s="18"/>
      <c r="D95" s="18"/>
      <c r="E95" s="52" t="str">
        <f t="shared" ref="E95:J95" si="62">IFERROR(E97,"-")</f>
        <v>-</v>
      </c>
      <c r="F95" s="52" t="str">
        <f t="shared" si="62"/>
        <v>-</v>
      </c>
      <c r="G95" s="52" t="str">
        <f t="shared" si="62"/>
        <v>-</v>
      </c>
      <c r="H95" s="52" t="str">
        <f t="shared" si="62"/>
        <v>-</v>
      </c>
      <c r="I95" s="52" t="str">
        <f t="shared" si="62"/>
        <v>-</v>
      </c>
      <c r="J95" s="52" t="str">
        <f t="shared" si="62"/>
        <v>-</v>
      </c>
    </row>
    <row r="96" spans="2:10" x14ac:dyDescent="0.35">
      <c r="B96" s="54">
        <f t="shared" si="45"/>
        <v>31</v>
      </c>
      <c r="C96" s="18"/>
      <c r="D96" s="18"/>
      <c r="E96" s="52" t="str">
        <f t="shared" ref="E96:J96" si="63">IFERROR(E97,"-")</f>
        <v>-</v>
      </c>
      <c r="F96" s="52" t="str">
        <f t="shared" si="63"/>
        <v>-</v>
      </c>
      <c r="G96" s="52" t="str">
        <f t="shared" si="63"/>
        <v>-</v>
      </c>
      <c r="H96" s="52" t="str">
        <f t="shared" si="63"/>
        <v>-</v>
      </c>
      <c r="I96" s="52" t="str">
        <f t="shared" si="63"/>
        <v>-</v>
      </c>
      <c r="J96" s="52" t="str">
        <f t="shared" si="63"/>
        <v>-</v>
      </c>
    </row>
    <row r="97" spans="2:10" x14ac:dyDescent="0.35">
      <c r="B97" s="54">
        <f t="shared" si="45"/>
        <v>31</v>
      </c>
      <c r="C97" s="18"/>
      <c r="D97" s="18"/>
      <c r="E97" s="53" t="str">
        <f t="array" ref="E97">IFERROR(IF(Kanban!$C$7="All",INDEX(Calc!$F$8:$F$500,MATCH(INDEX(Calc!$D$8:$D$500,MATCH(SMALL(IF((Calc!$K$8:$K$500=Kanban!C$11)*(Calc!$Y$8:$Y$500&gt;0),Calc!$Y$8:$Y$500,99999),$B95),Calc!$Y$8:$Y$500,0)),Calc!$D$8:$D$500,0)),
INDEX(Calc!$F$8:$F$500,MATCH(INDEX(Calc!$D$8:$D$500,MATCH(SMALL(IF((Calc!$K$8:$K$500=Kanban!C$11)*(Calc!$C$8:$C$500=Kanban!$C$7)*(Calc!$Y$8:$Y$500&gt;0),Calc!$Y$8:$Y$500,99999),$B95),Calc!$Y$8:$Y$500,0)),Calc!$D$8:$D$500,0)) ),"-")</f>
        <v>-</v>
      </c>
      <c r="F97" s="53" t="str">
        <f t="array" ref="F97">IFERROR(IF(Kanban!$C$7="All",INDEX(Calc!$F$8:$F$500,MATCH(INDEX(Calc!$D$8:$D$500,MATCH(SMALL(IF((Calc!$K$8:$K$500=Kanban!D$11)*(Calc!$Y$8:$Y$500&gt;0),Calc!$Y$8:$Y$500,99999),$B95),Calc!$Y$8:$Y$500,0)),Calc!$D$8:$D$500,0)),
INDEX(Calc!$F$8:$F$500,MATCH(INDEX(Calc!$D$8:$D$500,MATCH(SMALL(IF((Calc!$K$8:$K$500=Kanban!D$11)*(Calc!$C$8:$C$500=Kanban!$C$7)*(Calc!$Y$8:$Y$500&gt;0),Calc!$Y$8:$Y$500,99999),$B95),Calc!$Y$8:$Y$500,0)),Calc!$D$8:$D$500,0)) ),"-")</f>
        <v>-</v>
      </c>
      <c r="G97" s="53" t="str">
        <f t="array" ref="G97">IFERROR(IF(Kanban!$C$7="All",INDEX(Calc!$F$8:$F$500,MATCH(INDEX(Calc!$D$8:$D$500,MATCH(SMALL(IF((Calc!$K$8:$K$500=Kanban!E$11)*(Calc!$Y$8:$Y$500&gt;0),Calc!$Y$8:$Y$500,99999),$B95),Calc!$Y$8:$Y$500,0)),Calc!$D$8:$D$500,0)),
INDEX(Calc!$F$8:$F$500,MATCH(INDEX(Calc!$D$8:$D$500,MATCH(SMALL(IF((Calc!$K$8:$K$500=Kanban!E$11)*(Calc!$C$8:$C$500=Kanban!$C$7)*(Calc!$Y$8:$Y$500&gt;0),Calc!$Y$8:$Y$500,99999),$B95),Calc!$Y$8:$Y$500,0)),Calc!$D$8:$D$500,0)) ),"-")</f>
        <v>-</v>
      </c>
      <c r="H97" s="53" t="str">
        <f t="array" ref="H97">IFERROR(IF(Kanban!$C$7="All",INDEX(Calc!$F$8:$F$500,MATCH(INDEX(Calc!$D$8:$D$500,MATCH(SMALL(IF((Calc!$K$8:$K$500=Kanban!F$11)*(Calc!$Y$8:$Y$500&gt;0),Calc!$Y$8:$Y$500,99999),$B95),Calc!$Y$8:$Y$500,0)),Calc!$D$8:$D$500,0)),
INDEX(Calc!$F$8:$F$500,MATCH(INDEX(Calc!$D$8:$D$500,MATCH(SMALL(IF((Calc!$K$8:$K$500=Kanban!F$11)*(Calc!$C$8:$C$500=Kanban!$C$7)*(Calc!$Y$8:$Y$500&gt;0),Calc!$Y$8:$Y$500,99999),$B95),Calc!$Y$8:$Y$500,0)),Calc!$D$8:$D$500,0)) ),"-")</f>
        <v>-</v>
      </c>
      <c r="I97" s="53" t="str">
        <f t="array" ref="I97">IFERROR(IF(Kanban!$C$7="All",INDEX(Calc!$F$8:$F$500,MATCH(INDEX(Calc!$D$8:$D$500,MATCH(SMALL(IF((Calc!$K$8:$K$500=Kanban!G$11)*(Calc!$Y$8:$Y$500&gt;0),Calc!$Y$8:$Y$500,99999),$B95),Calc!$Y$8:$Y$500,0)),Calc!$D$8:$D$500,0)),
INDEX(Calc!$F$8:$F$500,MATCH(INDEX(Calc!$D$8:$D$500,MATCH(SMALL(IF((Calc!$K$8:$K$500=Kanban!G$11)*(Calc!$C$8:$C$500=Kanban!$C$7)*(Calc!$Y$8:$Y$500&gt;0),Calc!$Y$8:$Y$500,99999),$B95),Calc!$Y$8:$Y$500,0)),Calc!$D$8:$D$500,0)) ),"-")</f>
        <v>-</v>
      </c>
      <c r="J97" s="53" t="str">
        <f t="array" ref="J97">IFERROR(IF(Kanban!$C$7="All",INDEX(Calc!$F$8:$F$500,MATCH(INDEX(Calc!$D$8:$D$500,MATCH(SMALL(IF((Calc!$K$8:$K$500=Kanban!H$11)*(Calc!$Y$8:$Y$500&gt;0),Calc!$Y$8:$Y$500,99999),$B95),Calc!$Y$8:$Y$500,0)),Calc!$D$8:$D$500,0)),
INDEX(Calc!$F$8:$F$500,MATCH(INDEX(Calc!$D$8:$D$500,MATCH(SMALL(IF((Calc!$K$8:$K$500=Kanban!H$11)*(Calc!$C$8:$C$500=Kanban!$C$7)*(Calc!$Y$8:$Y$500&gt;0),Calc!$Y$8:$Y$500,99999),$B95),Calc!$Y$8:$Y$500,0)),Calc!$D$8:$D$500,0)) ),"-")</f>
        <v>-</v>
      </c>
    </row>
    <row r="98" spans="2:10" x14ac:dyDescent="0.35">
      <c r="B98" s="54">
        <f t="shared" si="45"/>
        <v>32</v>
      </c>
      <c r="C98" s="18"/>
      <c r="D98" s="18"/>
      <c r="E98" s="52" t="str">
        <f t="shared" ref="E98:J98" si="64">IFERROR(E100,"-")</f>
        <v>-</v>
      </c>
      <c r="F98" s="52" t="str">
        <f t="shared" si="64"/>
        <v>-</v>
      </c>
      <c r="G98" s="52" t="str">
        <f t="shared" si="64"/>
        <v>-</v>
      </c>
      <c r="H98" s="52" t="str">
        <f t="shared" si="64"/>
        <v>-</v>
      </c>
      <c r="I98" s="52" t="str">
        <f t="shared" si="64"/>
        <v>-</v>
      </c>
      <c r="J98" s="52" t="str">
        <f t="shared" si="64"/>
        <v>-</v>
      </c>
    </row>
    <row r="99" spans="2:10" x14ac:dyDescent="0.35">
      <c r="B99" s="54">
        <f t="shared" si="45"/>
        <v>32</v>
      </c>
      <c r="C99" s="18"/>
      <c r="D99" s="18"/>
      <c r="E99" s="52" t="str">
        <f t="shared" ref="E99:J99" si="65">IFERROR(E100,"-")</f>
        <v>-</v>
      </c>
      <c r="F99" s="52" t="str">
        <f t="shared" si="65"/>
        <v>-</v>
      </c>
      <c r="G99" s="52" t="str">
        <f t="shared" si="65"/>
        <v>-</v>
      </c>
      <c r="H99" s="52" t="str">
        <f t="shared" si="65"/>
        <v>-</v>
      </c>
      <c r="I99" s="52" t="str">
        <f t="shared" si="65"/>
        <v>-</v>
      </c>
      <c r="J99" s="52" t="str">
        <f t="shared" si="65"/>
        <v>-</v>
      </c>
    </row>
    <row r="100" spans="2:10" x14ac:dyDescent="0.35">
      <c r="B100" s="54">
        <f t="shared" si="45"/>
        <v>32</v>
      </c>
      <c r="C100" s="18"/>
      <c r="D100" s="18"/>
      <c r="E100" s="53" t="str">
        <f t="array" ref="E100">IFERROR(IF(Kanban!$C$7="All",INDEX(Calc!$F$8:$F$500,MATCH(INDEX(Calc!$D$8:$D$500,MATCH(SMALL(IF((Calc!$K$8:$K$500=Kanban!C$11)*(Calc!$Y$8:$Y$500&gt;0),Calc!$Y$8:$Y$500,99999),$B98),Calc!$Y$8:$Y$500,0)),Calc!$D$8:$D$500,0)),
INDEX(Calc!$F$8:$F$500,MATCH(INDEX(Calc!$D$8:$D$500,MATCH(SMALL(IF((Calc!$K$8:$K$500=Kanban!C$11)*(Calc!$C$8:$C$500=Kanban!$C$7)*(Calc!$Y$8:$Y$500&gt;0),Calc!$Y$8:$Y$500,99999),$B98),Calc!$Y$8:$Y$500,0)),Calc!$D$8:$D$500,0)) ),"-")</f>
        <v>-</v>
      </c>
      <c r="F100" s="53" t="str">
        <f t="array" ref="F100">IFERROR(IF(Kanban!$C$7="All",INDEX(Calc!$F$8:$F$500,MATCH(INDEX(Calc!$D$8:$D$500,MATCH(SMALL(IF((Calc!$K$8:$K$500=Kanban!D$11)*(Calc!$Y$8:$Y$500&gt;0),Calc!$Y$8:$Y$500,99999),$B98),Calc!$Y$8:$Y$500,0)),Calc!$D$8:$D$500,0)),
INDEX(Calc!$F$8:$F$500,MATCH(INDEX(Calc!$D$8:$D$500,MATCH(SMALL(IF((Calc!$K$8:$K$500=Kanban!D$11)*(Calc!$C$8:$C$500=Kanban!$C$7)*(Calc!$Y$8:$Y$500&gt;0),Calc!$Y$8:$Y$500,99999),$B98),Calc!$Y$8:$Y$500,0)),Calc!$D$8:$D$500,0)) ),"-")</f>
        <v>-</v>
      </c>
      <c r="G100" s="53" t="str">
        <f t="array" ref="G100">IFERROR(IF(Kanban!$C$7="All",INDEX(Calc!$F$8:$F$500,MATCH(INDEX(Calc!$D$8:$D$500,MATCH(SMALL(IF((Calc!$K$8:$K$500=Kanban!E$11)*(Calc!$Y$8:$Y$500&gt;0),Calc!$Y$8:$Y$500,99999),$B98),Calc!$Y$8:$Y$500,0)),Calc!$D$8:$D$500,0)),
INDEX(Calc!$F$8:$F$500,MATCH(INDEX(Calc!$D$8:$D$500,MATCH(SMALL(IF((Calc!$K$8:$K$500=Kanban!E$11)*(Calc!$C$8:$C$500=Kanban!$C$7)*(Calc!$Y$8:$Y$500&gt;0),Calc!$Y$8:$Y$500,99999),$B98),Calc!$Y$8:$Y$500,0)),Calc!$D$8:$D$500,0)) ),"-")</f>
        <v>-</v>
      </c>
      <c r="H100" s="53" t="str">
        <f t="array" ref="H100">IFERROR(IF(Kanban!$C$7="All",INDEX(Calc!$F$8:$F$500,MATCH(INDEX(Calc!$D$8:$D$500,MATCH(SMALL(IF((Calc!$K$8:$K$500=Kanban!F$11)*(Calc!$Y$8:$Y$500&gt;0),Calc!$Y$8:$Y$500,99999),$B98),Calc!$Y$8:$Y$500,0)),Calc!$D$8:$D$500,0)),
INDEX(Calc!$F$8:$F$500,MATCH(INDEX(Calc!$D$8:$D$500,MATCH(SMALL(IF((Calc!$K$8:$K$500=Kanban!F$11)*(Calc!$C$8:$C$500=Kanban!$C$7)*(Calc!$Y$8:$Y$500&gt;0),Calc!$Y$8:$Y$500,99999),$B98),Calc!$Y$8:$Y$500,0)),Calc!$D$8:$D$500,0)) ),"-")</f>
        <v>-</v>
      </c>
      <c r="I100" s="53" t="str">
        <f t="array" ref="I100">IFERROR(IF(Kanban!$C$7="All",INDEX(Calc!$F$8:$F$500,MATCH(INDEX(Calc!$D$8:$D$500,MATCH(SMALL(IF((Calc!$K$8:$K$500=Kanban!G$11)*(Calc!$Y$8:$Y$500&gt;0),Calc!$Y$8:$Y$500,99999),$B98),Calc!$Y$8:$Y$500,0)),Calc!$D$8:$D$500,0)),
INDEX(Calc!$F$8:$F$500,MATCH(INDEX(Calc!$D$8:$D$500,MATCH(SMALL(IF((Calc!$K$8:$K$500=Kanban!G$11)*(Calc!$C$8:$C$500=Kanban!$C$7)*(Calc!$Y$8:$Y$500&gt;0),Calc!$Y$8:$Y$500,99999),$B98),Calc!$Y$8:$Y$500,0)),Calc!$D$8:$D$500,0)) ),"-")</f>
        <v>-</v>
      </c>
      <c r="J100" s="53" t="str">
        <f t="array" ref="J100">IFERROR(IF(Kanban!$C$7="All",INDEX(Calc!$F$8:$F$500,MATCH(INDEX(Calc!$D$8:$D$500,MATCH(SMALL(IF((Calc!$K$8:$K$500=Kanban!H$11)*(Calc!$Y$8:$Y$500&gt;0),Calc!$Y$8:$Y$500,99999),$B98),Calc!$Y$8:$Y$500,0)),Calc!$D$8:$D$500,0)),
INDEX(Calc!$F$8:$F$500,MATCH(INDEX(Calc!$D$8:$D$500,MATCH(SMALL(IF((Calc!$K$8:$K$500=Kanban!H$11)*(Calc!$C$8:$C$500=Kanban!$C$7)*(Calc!$Y$8:$Y$500&gt;0),Calc!$Y$8:$Y$500,99999),$B98),Calc!$Y$8:$Y$500,0)),Calc!$D$8:$D$500,0)) ),"-")</f>
        <v>-</v>
      </c>
    </row>
    <row r="101" spans="2:10" x14ac:dyDescent="0.35">
      <c r="B101" s="54">
        <f t="shared" si="45"/>
        <v>33</v>
      </c>
      <c r="C101" s="18"/>
      <c r="D101" s="18"/>
      <c r="E101" s="52" t="str">
        <f t="shared" ref="E101:J101" si="66">IFERROR(E103,"-")</f>
        <v>-</v>
      </c>
      <c r="F101" s="52" t="str">
        <f t="shared" si="66"/>
        <v>-</v>
      </c>
      <c r="G101" s="52" t="str">
        <f t="shared" si="66"/>
        <v>-</v>
      </c>
      <c r="H101" s="52" t="str">
        <f t="shared" si="66"/>
        <v>-</v>
      </c>
      <c r="I101" s="52" t="str">
        <f t="shared" si="66"/>
        <v>-</v>
      </c>
      <c r="J101" s="52" t="str">
        <f t="shared" si="66"/>
        <v>-</v>
      </c>
    </row>
    <row r="102" spans="2:10" x14ac:dyDescent="0.35">
      <c r="B102" s="54">
        <f t="shared" si="45"/>
        <v>33</v>
      </c>
      <c r="C102" s="18"/>
      <c r="D102" s="18"/>
      <c r="E102" s="52" t="str">
        <f t="shared" ref="E102:J102" si="67">IFERROR(E103,"-")</f>
        <v>-</v>
      </c>
      <c r="F102" s="52" t="str">
        <f t="shared" si="67"/>
        <v>-</v>
      </c>
      <c r="G102" s="52" t="str">
        <f t="shared" si="67"/>
        <v>-</v>
      </c>
      <c r="H102" s="52" t="str">
        <f t="shared" si="67"/>
        <v>-</v>
      </c>
      <c r="I102" s="52" t="str">
        <f t="shared" si="67"/>
        <v>-</v>
      </c>
      <c r="J102" s="52" t="str">
        <f t="shared" si="67"/>
        <v>-</v>
      </c>
    </row>
    <row r="103" spans="2:10" x14ac:dyDescent="0.35">
      <c r="B103" s="54">
        <f t="shared" si="45"/>
        <v>33</v>
      </c>
      <c r="C103" s="18"/>
      <c r="D103" s="18"/>
      <c r="E103" s="53" t="str">
        <f t="array" ref="E103">IFERROR(IF(Kanban!$C$7="All",INDEX(Calc!$F$8:$F$500,MATCH(INDEX(Calc!$D$8:$D$500,MATCH(SMALL(IF((Calc!$K$8:$K$500=Kanban!C$11)*(Calc!$Y$8:$Y$500&gt;0),Calc!$Y$8:$Y$500,99999),$B101),Calc!$Y$8:$Y$500,0)),Calc!$D$8:$D$500,0)),
INDEX(Calc!$F$8:$F$500,MATCH(INDEX(Calc!$D$8:$D$500,MATCH(SMALL(IF((Calc!$K$8:$K$500=Kanban!C$11)*(Calc!$C$8:$C$500=Kanban!$C$7)*(Calc!$Y$8:$Y$500&gt;0),Calc!$Y$8:$Y$500,99999),$B101),Calc!$Y$8:$Y$500,0)),Calc!$D$8:$D$500,0)) ),"-")</f>
        <v>-</v>
      </c>
      <c r="F103" s="53" t="str">
        <f t="array" ref="F103">IFERROR(IF(Kanban!$C$7="All",INDEX(Calc!$F$8:$F$500,MATCH(INDEX(Calc!$D$8:$D$500,MATCH(SMALL(IF((Calc!$K$8:$K$500=Kanban!D$11)*(Calc!$Y$8:$Y$500&gt;0),Calc!$Y$8:$Y$500,99999),$B101),Calc!$Y$8:$Y$500,0)),Calc!$D$8:$D$500,0)),
INDEX(Calc!$F$8:$F$500,MATCH(INDEX(Calc!$D$8:$D$500,MATCH(SMALL(IF((Calc!$K$8:$K$500=Kanban!D$11)*(Calc!$C$8:$C$500=Kanban!$C$7)*(Calc!$Y$8:$Y$500&gt;0),Calc!$Y$8:$Y$500,99999),$B101),Calc!$Y$8:$Y$500,0)),Calc!$D$8:$D$500,0)) ),"-")</f>
        <v>-</v>
      </c>
      <c r="G103" s="53" t="str">
        <f t="array" ref="G103">IFERROR(IF(Kanban!$C$7="All",INDEX(Calc!$F$8:$F$500,MATCH(INDEX(Calc!$D$8:$D$500,MATCH(SMALL(IF((Calc!$K$8:$K$500=Kanban!E$11)*(Calc!$Y$8:$Y$500&gt;0),Calc!$Y$8:$Y$500,99999),$B101),Calc!$Y$8:$Y$500,0)),Calc!$D$8:$D$500,0)),
INDEX(Calc!$F$8:$F$500,MATCH(INDEX(Calc!$D$8:$D$500,MATCH(SMALL(IF((Calc!$K$8:$K$500=Kanban!E$11)*(Calc!$C$8:$C$500=Kanban!$C$7)*(Calc!$Y$8:$Y$500&gt;0),Calc!$Y$8:$Y$500,99999),$B101),Calc!$Y$8:$Y$500,0)),Calc!$D$8:$D$500,0)) ),"-")</f>
        <v>-</v>
      </c>
      <c r="H103" s="53" t="str">
        <f t="array" ref="H103">IFERROR(IF(Kanban!$C$7="All",INDEX(Calc!$F$8:$F$500,MATCH(INDEX(Calc!$D$8:$D$500,MATCH(SMALL(IF((Calc!$K$8:$K$500=Kanban!F$11)*(Calc!$Y$8:$Y$500&gt;0),Calc!$Y$8:$Y$500,99999),$B101),Calc!$Y$8:$Y$500,0)),Calc!$D$8:$D$500,0)),
INDEX(Calc!$F$8:$F$500,MATCH(INDEX(Calc!$D$8:$D$500,MATCH(SMALL(IF((Calc!$K$8:$K$500=Kanban!F$11)*(Calc!$C$8:$C$500=Kanban!$C$7)*(Calc!$Y$8:$Y$500&gt;0),Calc!$Y$8:$Y$500,99999),$B101),Calc!$Y$8:$Y$500,0)),Calc!$D$8:$D$500,0)) ),"-")</f>
        <v>-</v>
      </c>
      <c r="I103" s="53" t="str">
        <f t="array" ref="I103">IFERROR(IF(Kanban!$C$7="All",INDEX(Calc!$F$8:$F$500,MATCH(INDEX(Calc!$D$8:$D$500,MATCH(SMALL(IF((Calc!$K$8:$K$500=Kanban!G$11)*(Calc!$Y$8:$Y$500&gt;0),Calc!$Y$8:$Y$500,99999),$B101),Calc!$Y$8:$Y$500,0)),Calc!$D$8:$D$500,0)),
INDEX(Calc!$F$8:$F$500,MATCH(INDEX(Calc!$D$8:$D$500,MATCH(SMALL(IF((Calc!$K$8:$K$500=Kanban!G$11)*(Calc!$C$8:$C$500=Kanban!$C$7)*(Calc!$Y$8:$Y$500&gt;0),Calc!$Y$8:$Y$500,99999),$B101),Calc!$Y$8:$Y$500,0)),Calc!$D$8:$D$500,0)) ),"-")</f>
        <v>-</v>
      </c>
      <c r="J103" s="53" t="str">
        <f t="array" ref="J103">IFERROR(IF(Kanban!$C$7="All",INDEX(Calc!$F$8:$F$500,MATCH(INDEX(Calc!$D$8:$D$500,MATCH(SMALL(IF((Calc!$K$8:$K$500=Kanban!H$11)*(Calc!$Y$8:$Y$500&gt;0),Calc!$Y$8:$Y$500,99999),$B101),Calc!$Y$8:$Y$500,0)),Calc!$D$8:$D$500,0)),
INDEX(Calc!$F$8:$F$500,MATCH(INDEX(Calc!$D$8:$D$500,MATCH(SMALL(IF((Calc!$K$8:$K$500=Kanban!H$11)*(Calc!$C$8:$C$500=Kanban!$C$7)*(Calc!$Y$8:$Y$500&gt;0),Calc!$Y$8:$Y$500,99999),$B101),Calc!$Y$8:$Y$500,0)),Calc!$D$8:$D$500,0)) ),"-")</f>
        <v>-</v>
      </c>
    </row>
    <row r="104" spans="2:10" x14ac:dyDescent="0.35">
      <c r="B104" s="54">
        <f t="shared" si="45"/>
        <v>34</v>
      </c>
      <c r="C104" s="18"/>
      <c r="D104" s="18"/>
      <c r="E104" s="52" t="str">
        <f t="shared" ref="E104:J104" si="68">IFERROR(E106,"-")</f>
        <v>-</v>
      </c>
      <c r="F104" s="52" t="str">
        <f t="shared" si="68"/>
        <v>-</v>
      </c>
      <c r="G104" s="52" t="str">
        <f t="shared" si="68"/>
        <v>-</v>
      </c>
      <c r="H104" s="52" t="str">
        <f t="shared" si="68"/>
        <v>-</v>
      </c>
      <c r="I104" s="52" t="str">
        <f t="shared" si="68"/>
        <v>-</v>
      </c>
      <c r="J104" s="52" t="str">
        <f t="shared" si="68"/>
        <v>-</v>
      </c>
    </row>
    <row r="105" spans="2:10" x14ac:dyDescent="0.35">
      <c r="B105" s="54">
        <f t="shared" si="45"/>
        <v>34</v>
      </c>
      <c r="C105" s="18"/>
      <c r="D105" s="18"/>
      <c r="E105" s="52" t="str">
        <f t="shared" ref="E105:J105" si="69">IFERROR(E106,"-")</f>
        <v>-</v>
      </c>
      <c r="F105" s="52" t="str">
        <f t="shared" si="69"/>
        <v>-</v>
      </c>
      <c r="G105" s="52" t="str">
        <f t="shared" si="69"/>
        <v>-</v>
      </c>
      <c r="H105" s="52" t="str">
        <f t="shared" si="69"/>
        <v>-</v>
      </c>
      <c r="I105" s="52" t="str">
        <f t="shared" si="69"/>
        <v>-</v>
      </c>
      <c r="J105" s="52" t="str">
        <f t="shared" si="69"/>
        <v>-</v>
      </c>
    </row>
    <row r="106" spans="2:10" x14ac:dyDescent="0.35">
      <c r="B106" s="54">
        <f t="shared" si="45"/>
        <v>34</v>
      </c>
      <c r="C106" s="18"/>
      <c r="D106" s="18"/>
      <c r="E106" s="53" t="str">
        <f t="array" ref="E106">IFERROR(IF(Kanban!$C$7="All",INDEX(Calc!$F$8:$F$500,MATCH(INDEX(Calc!$D$8:$D$500,MATCH(SMALL(IF((Calc!$K$8:$K$500=Kanban!C$11)*(Calc!$Y$8:$Y$500&gt;0),Calc!$Y$8:$Y$500,99999),$B104),Calc!$Y$8:$Y$500,0)),Calc!$D$8:$D$500,0)),
INDEX(Calc!$F$8:$F$500,MATCH(INDEX(Calc!$D$8:$D$500,MATCH(SMALL(IF((Calc!$K$8:$K$500=Kanban!C$11)*(Calc!$C$8:$C$500=Kanban!$C$7)*(Calc!$Y$8:$Y$500&gt;0),Calc!$Y$8:$Y$500,99999),$B104),Calc!$Y$8:$Y$500,0)),Calc!$D$8:$D$500,0)) ),"-")</f>
        <v>-</v>
      </c>
      <c r="F106" s="53" t="str">
        <f t="array" ref="F106">IFERROR(IF(Kanban!$C$7="All",INDEX(Calc!$F$8:$F$500,MATCH(INDEX(Calc!$D$8:$D$500,MATCH(SMALL(IF((Calc!$K$8:$K$500=Kanban!D$11)*(Calc!$Y$8:$Y$500&gt;0),Calc!$Y$8:$Y$500,99999),$B104),Calc!$Y$8:$Y$500,0)),Calc!$D$8:$D$500,0)),
INDEX(Calc!$F$8:$F$500,MATCH(INDEX(Calc!$D$8:$D$500,MATCH(SMALL(IF((Calc!$K$8:$K$500=Kanban!D$11)*(Calc!$C$8:$C$500=Kanban!$C$7)*(Calc!$Y$8:$Y$500&gt;0),Calc!$Y$8:$Y$500,99999),$B104),Calc!$Y$8:$Y$500,0)),Calc!$D$8:$D$500,0)) ),"-")</f>
        <v>-</v>
      </c>
      <c r="G106" s="53" t="str">
        <f t="array" ref="G106">IFERROR(IF(Kanban!$C$7="All",INDEX(Calc!$F$8:$F$500,MATCH(INDEX(Calc!$D$8:$D$500,MATCH(SMALL(IF((Calc!$K$8:$K$500=Kanban!E$11)*(Calc!$Y$8:$Y$500&gt;0),Calc!$Y$8:$Y$500,99999),$B104),Calc!$Y$8:$Y$500,0)),Calc!$D$8:$D$500,0)),
INDEX(Calc!$F$8:$F$500,MATCH(INDEX(Calc!$D$8:$D$500,MATCH(SMALL(IF((Calc!$K$8:$K$500=Kanban!E$11)*(Calc!$C$8:$C$500=Kanban!$C$7)*(Calc!$Y$8:$Y$500&gt;0),Calc!$Y$8:$Y$500,99999),$B104),Calc!$Y$8:$Y$500,0)),Calc!$D$8:$D$500,0)) ),"-")</f>
        <v>-</v>
      </c>
      <c r="H106" s="53" t="str">
        <f t="array" ref="H106">IFERROR(IF(Kanban!$C$7="All",INDEX(Calc!$F$8:$F$500,MATCH(INDEX(Calc!$D$8:$D$500,MATCH(SMALL(IF((Calc!$K$8:$K$500=Kanban!F$11)*(Calc!$Y$8:$Y$500&gt;0),Calc!$Y$8:$Y$500,99999),$B104),Calc!$Y$8:$Y$500,0)),Calc!$D$8:$D$500,0)),
INDEX(Calc!$F$8:$F$500,MATCH(INDEX(Calc!$D$8:$D$500,MATCH(SMALL(IF((Calc!$K$8:$K$500=Kanban!F$11)*(Calc!$C$8:$C$500=Kanban!$C$7)*(Calc!$Y$8:$Y$500&gt;0),Calc!$Y$8:$Y$500,99999),$B104),Calc!$Y$8:$Y$500,0)),Calc!$D$8:$D$500,0)) ),"-")</f>
        <v>-</v>
      </c>
      <c r="I106" s="53" t="str">
        <f t="array" ref="I106">IFERROR(IF(Kanban!$C$7="All",INDEX(Calc!$F$8:$F$500,MATCH(INDEX(Calc!$D$8:$D$500,MATCH(SMALL(IF((Calc!$K$8:$K$500=Kanban!G$11)*(Calc!$Y$8:$Y$500&gt;0),Calc!$Y$8:$Y$500,99999),$B104),Calc!$Y$8:$Y$500,0)),Calc!$D$8:$D$500,0)),
INDEX(Calc!$F$8:$F$500,MATCH(INDEX(Calc!$D$8:$D$500,MATCH(SMALL(IF((Calc!$K$8:$K$500=Kanban!G$11)*(Calc!$C$8:$C$500=Kanban!$C$7)*(Calc!$Y$8:$Y$500&gt;0),Calc!$Y$8:$Y$500,99999),$B104),Calc!$Y$8:$Y$500,0)),Calc!$D$8:$D$500,0)) ),"-")</f>
        <v>-</v>
      </c>
      <c r="J106" s="53" t="str">
        <f t="array" ref="J106">IFERROR(IF(Kanban!$C$7="All",INDEX(Calc!$F$8:$F$500,MATCH(INDEX(Calc!$D$8:$D$500,MATCH(SMALL(IF((Calc!$K$8:$K$500=Kanban!H$11)*(Calc!$Y$8:$Y$500&gt;0),Calc!$Y$8:$Y$500,99999),$B104),Calc!$Y$8:$Y$500,0)),Calc!$D$8:$D$500,0)),
INDEX(Calc!$F$8:$F$500,MATCH(INDEX(Calc!$D$8:$D$500,MATCH(SMALL(IF((Calc!$K$8:$K$500=Kanban!H$11)*(Calc!$C$8:$C$500=Kanban!$C$7)*(Calc!$Y$8:$Y$500&gt;0),Calc!$Y$8:$Y$500,99999),$B104),Calc!$Y$8:$Y$500,0)),Calc!$D$8:$D$500,0)) ),"-")</f>
        <v>-</v>
      </c>
    </row>
    <row r="107" spans="2:10" x14ac:dyDescent="0.35">
      <c r="B107" s="54">
        <f t="shared" si="45"/>
        <v>35</v>
      </c>
      <c r="C107" s="18"/>
      <c r="D107" s="18"/>
      <c r="E107" s="52" t="str">
        <f t="shared" ref="E107:J107" si="70">IFERROR(E109,"-")</f>
        <v>-</v>
      </c>
      <c r="F107" s="52" t="str">
        <f t="shared" si="70"/>
        <v>-</v>
      </c>
      <c r="G107" s="52" t="str">
        <f t="shared" si="70"/>
        <v>-</v>
      </c>
      <c r="H107" s="52" t="str">
        <f t="shared" si="70"/>
        <v>-</v>
      </c>
      <c r="I107" s="52" t="str">
        <f t="shared" si="70"/>
        <v>-</v>
      </c>
      <c r="J107" s="52" t="str">
        <f t="shared" si="70"/>
        <v>-</v>
      </c>
    </row>
    <row r="108" spans="2:10" x14ac:dyDescent="0.35">
      <c r="B108" s="54">
        <f t="shared" si="45"/>
        <v>35</v>
      </c>
      <c r="C108" s="18"/>
      <c r="D108" s="18"/>
      <c r="E108" s="52" t="str">
        <f t="shared" ref="E108:J108" si="71">IFERROR(E109,"-")</f>
        <v>-</v>
      </c>
      <c r="F108" s="52" t="str">
        <f t="shared" si="71"/>
        <v>-</v>
      </c>
      <c r="G108" s="52" t="str">
        <f t="shared" si="71"/>
        <v>-</v>
      </c>
      <c r="H108" s="52" t="str">
        <f t="shared" si="71"/>
        <v>-</v>
      </c>
      <c r="I108" s="52" t="str">
        <f t="shared" si="71"/>
        <v>-</v>
      </c>
      <c r="J108" s="52" t="str">
        <f t="shared" si="71"/>
        <v>-</v>
      </c>
    </row>
    <row r="109" spans="2:10" x14ac:dyDescent="0.35">
      <c r="B109" s="54">
        <f t="shared" si="45"/>
        <v>35</v>
      </c>
      <c r="C109" s="18"/>
      <c r="D109" s="18"/>
      <c r="E109" s="53" t="str">
        <f t="array" ref="E109">IFERROR(IF(Kanban!$C$7="All",INDEX(Calc!$F$8:$F$500,MATCH(INDEX(Calc!$D$8:$D$500,MATCH(SMALL(IF((Calc!$K$8:$K$500=Kanban!C$11)*(Calc!$Y$8:$Y$500&gt;0),Calc!$Y$8:$Y$500,99999),$B107),Calc!$Y$8:$Y$500,0)),Calc!$D$8:$D$500,0)),
INDEX(Calc!$F$8:$F$500,MATCH(INDEX(Calc!$D$8:$D$500,MATCH(SMALL(IF((Calc!$K$8:$K$500=Kanban!C$11)*(Calc!$C$8:$C$500=Kanban!$C$7)*(Calc!$Y$8:$Y$500&gt;0),Calc!$Y$8:$Y$500,99999),$B107),Calc!$Y$8:$Y$500,0)),Calc!$D$8:$D$500,0)) ),"-")</f>
        <v>-</v>
      </c>
      <c r="F109" s="53" t="str">
        <f t="array" ref="F109">IFERROR(IF(Kanban!$C$7="All",INDEX(Calc!$F$8:$F$500,MATCH(INDEX(Calc!$D$8:$D$500,MATCH(SMALL(IF((Calc!$K$8:$K$500=Kanban!D$11)*(Calc!$Y$8:$Y$500&gt;0),Calc!$Y$8:$Y$500,99999),$B107),Calc!$Y$8:$Y$500,0)),Calc!$D$8:$D$500,0)),
INDEX(Calc!$F$8:$F$500,MATCH(INDEX(Calc!$D$8:$D$500,MATCH(SMALL(IF((Calc!$K$8:$K$500=Kanban!D$11)*(Calc!$C$8:$C$500=Kanban!$C$7)*(Calc!$Y$8:$Y$500&gt;0),Calc!$Y$8:$Y$500,99999),$B107),Calc!$Y$8:$Y$500,0)),Calc!$D$8:$D$500,0)) ),"-")</f>
        <v>-</v>
      </c>
      <c r="G109" s="53" t="str">
        <f t="array" ref="G109">IFERROR(IF(Kanban!$C$7="All",INDEX(Calc!$F$8:$F$500,MATCH(INDEX(Calc!$D$8:$D$500,MATCH(SMALL(IF((Calc!$K$8:$K$500=Kanban!E$11)*(Calc!$Y$8:$Y$500&gt;0),Calc!$Y$8:$Y$500,99999),$B107),Calc!$Y$8:$Y$500,0)),Calc!$D$8:$D$500,0)),
INDEX(Calc!$F$8:$F$500,MATCH(INDEX(Calc!$D$8:$D$500,MATCH(SMALL(IF((Calc!$K$8:$K$500=Kanban!E$11)*(Calc!$C$8:$C$500=Kanban!$C$7)*(Calc!$Y$8:$Y$500&gt;0),Calc!$Y$8:$Y$500,99999),$B107),Calc!$Y$8:$Y$500,0)),Calc!$D$8:$D$500,0)) ),"-")</f>
        <v>-</v>
      </c>
      <c r="H109" s="53" t="str">
        <f t="array" ref="H109">IFERROR(IF(Kanban!$C$7="All",INDEX(Calc!$F$8:$F$500,MATCH(INDEX(Calc!$D$8:$D$500,MATCH(SMALL(IF((Calc!$K$8:$K$500=Kanban!F$11)*(Calc!$Y$8:$Y$500&gt;0),Calc!$Y$8:$Y$500,99999),$B107),Calc!$Y$8:$Y$500,0)),Calc!$D$8:$D$500,0)),
INDEX(Calc!$F$8:$F$500,MATCH(INDEX(Calc!$D$8:$D$500,MATCH(SMALL(IF((Calc!$K$8:$K$500=Kanban!F$11)*(Calc!$C$8:$C$500=Kanban!$C$7)*(Calc!$Y$8:$Y$500&gt;0),Calc!$Y$8:$Y$500,99999),$B107),Calc!$Y$8:$Y$500,0)),Calc!$D$8:$D$500,0)) ),"-")</f>
        <v>-</v>
      </c>
      <c r="I109" s="53" t="str">
        <f t="array" ref="I109">IFERROR(IF(Kanban!$C$7="All",INDEX(Calc!$F$8:$F$500,MATCH(INDEX(Calc!$D$8:$D$500,MATCH(SMALL(IF((Calc!$K$8:$K$500=Kanban!G$11)*(Calc!$Y$8:$Y$500&gt;0),Calc!$Y$8:$Y$500,99999),$B107),Calc!$Y$8:$Y$500,0)),Calc!$D$8:$D$500,0)),
INDEX(Calc!$F$8:$F$500,MATCH(INDEX(Calc!$D$8:$D$500,MATCH(SMALL(IF((Calc!$K$8:$K$500=Kanban!G$11)*(Calc!$C$8:$C$500=Kanban!$C$7)*(Calc!$Y$8:$Y$500&gt;0),Calc!$Y$8:$Y$500,99999),$B107),Calc!$Y$8:$Y$500,0)),Calc!$D$8:$D$500,0)) ),"-")</f>
        <v>-</v>
      </c>
      <c r="J109" s="53" t="str">
        <f t="array" ref="J109">IFERROR(IF(Kanban!$C$7="All",INDEX(Calc!$F$8:$F$500,MATCH(INDEX(Calc!$D$8:$D$500,MATCH(SMALL(IF((Calc!$K$8:$K$500=Kanban!H$11)*(Calc!$Y$8:$Y$500&gt;0),Calc!$Y$8:$Y$500,99999),$B107),Calc!$Y$8:$Y$500,0)),Calc!$D$8:$D$500,0)),
INDEX(Calc!$F$8:$F$500,MATCH(INDEX(Calc!$D$8:$D$500,MATCH(SMALL(IF((Calc!$K$8:$K$500=Kanban!H$11)*(Calc!$C$8:$C$500=Kanban!$C$7)*(Calc!$Y$8:$Y$500&gt;0),Calc!$Y$8:$Y$500,99999),$B107),Calc!$Y$8:$Y$500,0)),Calc!$D$8:$D$500,0)) ),"-")</f>
        <v>-</v>
      </c>
    </row>
    <row r="110" spans="2:10" x14ac:dyDescent="0.35">
      <c r="B110" s="54">
        <f t="shared" si="45"/>
        <v>36</v>
      </c>
      <c r="C110" s="18"/>
      <c r="D110" s="18"/>
      <c r="E110" s="52" t="str">
        <f t="shared" ref="E110:J110" si="72">IFERROR(E112,"-")</f>
        <v>-</v>
      </c>
      <c r="F110" s="52" t="str">
        <f t="shared" si="72"/>
        <v>-</v>
      </c>
      <c r="G110" s="52" t="str">
        <f t="shared" si="72"/>
        <v>-</v>
      </c>
      <c r="H110" s="52" t="str">
        <f t="shared" si="72"/>
        <v>-</v>
      </c>
      <c r="I110" s="52" t="str">
        <f t="shared" si="72"/>
        <v>-</v>
      </c>
      <c r="J110" s="52" t="str">
        <f t="shared" si="72"/>
        <v>-</v>
      </c>
    </row>
    <row r="111" spans="2:10" x14ac:dyDescent="0.35">
      <c r="B111" s="54">
        <f t="shared" si="45"/>
        <v>36</v>
      </c>
      <c r="C111" s="18"/>
      <c r="D111" s="18"/>
      <c r="E111" s="52" t="str">
        <f t="shared" ref="E111:J111" si="73">IFERROR(E112,"-")</f>
        <v>-</v>
      </c>
      <c r="F111" s="52" t="str">
        <f t="shared" si="73"/>
        <v>-</v>
      </c>
      <c r="G111" s="52" t="str">
        <f t="shared" si="73"/>
        <v>-</v>
      </c>
      <c r="H111" s="52" t="str">
        <f t="shared" si="73"/>
        <v>-</v>
      </c>
      <c r="I111" s="52" t="str">
        <f t="shared" si="73"/>
        <v>-</v>
      </c>
      <c r="J111" s="52" t="str">
        <f t="shared" si="73"/>
        <v>-</v>
      </c>
    </row>
    <row r="112" spans="2:10" x14ac:dyDescent="0.35">
      <c r="B112" s="54">
        <f t="shared" si="45"/>
        <v>36</v>
      </c>
      <c r="C112" s="18"/>
      <c r="D112" s="18"/>
      <c r="E112" s="53" t="str">
        <f t="array" ref="E112">IFERROR(IF(Kanban!$C$7="All",INDEX(Calc!$F$8:$F$500,MATCH(INDEX(Calc!$D$8:$D$500,MATCH(SMALL(IF((Calc!$K$8:$K$500=Kanban!C$11)*(Calc!$Y$8:$Y$500&gt;0),Calc!$Y$8:$Y$500,99999),$B110),Calc!$Y$8:$Y$500,0)),Calc!$D$8:$D$500,0)),
INDEX(Calc!$F$8:$F$500,MATCH(INDEX(Calc!$D$8:$D$500,MATCH(SMALL(IF((Calc!$K$8:$K$500=Kanban!C$11)*(Calc!$C$8:$C$500=Kanban!$C$7)*(Calc!$Y$8:$Y$500&gt;0),Calc!$Y$8:$Y$500,99999),$B110),Calc!$Y$8:$Y$500,0)),Calc!$D$8:$D$500,0)) ),"-")</f>
        <v>-</v>
      </c>
      <c r="F112" s="53" t="str">
        <f t="array" ref="F112">IFERROR(IF(Kanban!$C$7="All",INDEX(Calc!$F$8:$F$500,MATCH(INDEX(Calc!$D$8:$D$500,MATCH(SMALL(IF((Calc!$K$8:$K$500=Kanban!D$11)*(Calc!$Y$8:$Y$500&gt;0),Calc!$Y$8:$Y$500,99999),$B110),Calc!$Y$8:$Y$500,0)),Calc!$D$8:$D$500,0)),
INDEX(Calc!$F$8:$F$500,MATCH(INDEX(Calc!$D$8:$D$500,MATCH(SMALL(IF((Calc!$K$8:$K$500=Kanban!D$11)*(Calc!$C$8:$C$500=Kanban!$C$7)*(Calc!$Y$8:$Y$500&gt;0),Calc!$Y$8:$Y$500,99999),$B110),Calc!$Y$8:$Y$500,0)),Calc!$D$8:$D$500,0)) ),"-")</f>
        <v>-</v>
      </c>
      <c r="G112" s="53" t="str">
        <f t="array" ref="G112">IFERROR(IF(Kanban!$C$7="All",INDEX(Calc!$F$8:$F$500,MATCH(INDEX(Calc!$D$8:$D$500,MATCH(SMALL(IF((Calc!$K$8:$K$500=Kanban!E$11)*(Calc!$Y$8:$Y$500&gt;0),Calc!$Y$8:$Y$500,99999),$B110),Calc!$Y$8:$Y$500,0)),Calc!$D$8:$D$500,0)),
INDEX(Calc!$F$8:$F$500,MATCH(INDEX(Calc!$D$8:$D$500,MATCH(SMALL(IF((Calc!$K$8:$K$500=Kanban!E$11)*(Calc!$C$8:$C$500=Kanban!$C$7)*(Calc!$Y$8:$Y$500&gt;0),Calc!$Y$8:$Y$500,99999),$B110),Calc!$Y$8:$Y$500,0)),Calc!$D$8:$D$500,0)) ),"-")</f>
        <v>-</v>
      </c>
      <c r="H112" s="53" t="str">
        <f t="array" ref="H112">IFERROR(IF(Kanban!$C$7="All",INDEX(Calc!$F$8:$F$500,MATCH(INDEX(Calc!$D$8:$D$500,MATCH(SMALL(IF((Calc!$K$8:$K$500=Kanban!F$11)*(Calc!$Y$8:$Y$500&gt;0),Calc!$Y$8:$Y$500,99999),$B110),Calc!$Y$8:$Y$500,0)),Calc!$D$8:$D$500,0)),
INDEX(Calc!$F$8:$F$500,MATCH(INDEX(Calc!$D$8:$D$500,MATCH(SMALL(IF((Calc!$K$8:$K$500=Kanban!F$11)*(Calc!$C$8:$C$500=Kanban!$C$7)*(Calc!$Y$8:$Y$500&gt;0),Calc!$Y$8:$Y$500,99999),$B110),Calc!$Y$8:$Y$500,0)),Calc!$D$8:$D$500,0)) ),"-")</f>
        <v>-</v>
      </c>
      <c r="I112" s="53" t="str">
        <f t="array" ref="I112">IFERROR(IF(Kanban!$C$7="All",INDEX(Calc!$F$8:$F$500,MATCH(INDEX(Calc!$D$8:$D$500,MATCH(SMALL(IF((Calc!$K$8:$K$500=Kanban!G$11)*(Calc!$Y$8:$Y$500&gt;0),Calc!$Y$8:$Y$500,99999),$B110),Calc!$Y$8:$Y$500,0)),Calc!$D$8:$D$500,0)),
INDEX(Calc!$F$8:$F$500,MATCH(INDEX(Calc!$D$8:$D$500,MATCH(SMALL(IF((Calc!$K$8:$K$500=Kanban!G$11)*(Calc!$C$8:$C$500=Kanban!$C$7)*(Calc!$Y$8:$Y$500&gt;0),Calc!$Y$8:$Y$500,99999),$B110),Calc!$Y$8:$Y$500,0)),Calc!$D$8:$D$500,0)) ),"-")</f>
        <v>-</v>
      </c>
      <c r="J112" s="53" t="str">
        <f t="array" ref="J112">IFERROR(IF(Kanban!$C$7="All",INDEX(Calc!$F$8:$F$500,MATCH(INDEX(Calc!$D$8:$D$500,MATCH(SMALL(IF((Calc!$K$8:$K$500=Kanban!H$11)*(Calc!$Y$8:$Y$500&gt;0),Calc!$Y$8:$Y$500,99999),$B110),Calc!$Y$8:$Y$500,0)),Calc!$D$8:$D$500,0)),
INDEX(Calc!$F$8:$F$500,MATCH(INDEX(Calc!$D$8:$D$500,MATCH(SMALL(IF((Calc!$K$8:$K$500=Kanban!H$11)*(Calc!$C$8:$C$500=Kanban!$C$7)*(Calc!$Y$8:$Y$500&gt;0),Calc!$Y$8:$Y$500,99999),$B110),Calc!$Y$8:$Y$500,0)),Calc!$D$8:$D$500,0)) ),"-")</f>
        <v>-</v>
      </c>
    </row>
    <row r="113" spans="2:10" x14ac:dyDescent="0.35">
      <c r="B113" s="54">
        <f t="shared" si="45"/>
        <v>37</v>
      </c>
      <c r="C113" s="18"/>
      <c r="D113" s="18"/>
      <c r="E113" s="52" t="str">
        <f t="shared" ref="E113:J113" si="74">IFERROR(E115,"-")</f>
        <v>-</v>
      </c>
      <c r="F113" s="52" t="str">
        <f t="shared" si="74"/>
        <v>-</v>
      </c>
      <c r="G113" s="52" t="str">
        <f t="shared" si="74"/>
        <v>-</v>
      </c>
      <c r="H113" s="52" t="str">
        <f t="shared" si="74"/>
        <v>-</v>
      </c>
      <c r="I113" s="52" t="str">
        <f t="shared" si="74"/>
        <v>-</v>
      </c>
      <c r="J113" s="52" t="str">
        <f t="shared" si="74"/>
        <v>-</v>
      </c>
    </row>
    <row r="114" spans="2:10" x14ac:dyDescent="0.35">
      <c r="B114" s="54">
        <f t="shared" si="45"/>
        <v>37</v>
      </c>
      <c r="C114" s="18"/>
      <c r="D114" s="18"/>
      <c r="E114" s="52" t="str">
        <f t="shared" ref="E114:J114" si="75">IFERROR(E115,"-")</f>
        <v>-</v>
      </c>
      <c r="F114" s="52" t="str">
        <f t="shared" si="75"/>
        <v>-</v>
      </c>
      <c r="G114" s="52" t="str">
        <f t="shared" si="75"/>
        <v>-</v>
      </c>
      <c r="H114" s="52" t="str">
        <f t="shared" si="75"/>
        <v>-</v>
      </c>
      <c r="I114" s="52" t="str">
        <f t="shared" si="75"/>
        <v>-</v>
      </c>
      <c r="J114" s="52" t="str">
        <f t="shared" si="75"/>
        <v>-</v>
      </c>
    </row>
    <row r="115" spans="2:10" x14ac:dyDescent="0.35">
      <c r="B115" s="54">
        <f t="shared" si="45"/>
        <v>37</v>
      </c>
      <c r="C115" s="18"/>
      <c r="D115" s="18"/>
      <c r="E115" s="53" t="str">
        <f t="array" ref="E115">IFERROR(IF(Kanban!$C$7="All",INDEX(Calc!$F$8:$F$500,MATCH(INDEX(Calc!$D$8:$D$500,MATCH(SMALL(IF((Calc!$K$8:$K$500=Kanban!C$11)*(Calc!$Y$8:$Y$500&gt;0),Calc!$Y$8:$Y$500,99999),$B113),Calc!$Y$8:$Y$500,0)),Calc!$D$8:$D$500,0)),
INDEX(Calc!$F$8:$F$500,MATCH(INDEX(Calc!$D$8:$D$500,MATCH(SMALL(IF((Calc!$K$8:$K$500=Kanban!C$11)*(Calc!$C$8:$C$500=Kanban!$C$7)*(Calc!$Y$8:$Y$500&gt;0),Calc!$Y$8:$Y$500,99999),$B113),Calc!$Y$8:$Y$500,0)),Calc!$D$8:$D$500,0)) ),"-")</f>
        <v>-</v>
      </c>
      <c r="F115" s="53" t="str">
        <f t="array" ref="F115">IFERROR(IF(Kanban!$C$7="All",INDEX(Calc!$F$8:$F$500,MATCH(INDEX(Calc!$D$8:$D$500,MATCH(SMALL(IF((Calc!$K$8:$K$500=Kanban!D$11)*(Calc!$Y$8:$Y$500&gt;0),Calc!$Y$8:$Y$500,99999),$B113),Calc!$Y$8:$Y$500,0)),Calc!$D$8:$D$500,0)),
INDEX(Calc!$F$8:$F$500,MATCH(INDEX(Calc!$D$8:$D$500,MATCH(SMALL(IF((Calc!$K$8:$K$500=Kanban!D$11)*(Calc!$C$8:$C$500=Kanban!$C$7)*(Calc!$Y$8:$Y$500&gt;0),Calc!$Y$8:$Y$500,99999),$B113),Calc!$Y$8:$Y$500,0)),Calc!$D$8:$D$500,0)) ),"-")</f>
        <v>-</v>
      </c>
      <c r="G115" s="53" t="str">
        <f t="array" ref="G115">IFERROR(IF(Kanban!$C$7="All",INDEX(Calc!$F$8:$F$500,MATCH(INDEX(Calc!$D$8:$D$500,MATCH(SMALL(IF((Calc!$K$8:$K$500=Kanban!E$11)*(Calc!$Y$8:$Y$500&gt;0),Calc!$Y$8:$Y$500,99999),$B113),Calc!$Y$8:$Y$500,0)),Calc!$D$8:$D$500,0)),
INDEX(Calc!$F$8:$F$500,MATCH(INDEX(Calc!$D$8:$D$500,MATCH(SMALL(IF((Calc!$K$8:$K$500=Kanban!E$11)*(Calc!$C$8:$C$500=Kanban!$C$7)*(Calc!$Y$8:$Y$500&gt;0),Calc!$Y$8:$Y$500,99999),$B113),Calc!$Y$8:$Y$500,0)),Calc!$D$8:$D$500,0)) ),"-")</f>
        <v>-</v>
      </c>
      <c r="H115" s="53" t="str">
        <f t="array" ref="H115">IFERROR(IF(Kanban!$C$7="All",INDEX(Calc!$F$8:$F$500,MATCH(INDEX(Calc!$D$8:$D$500,MATCH(SMALL(IF((Calc!$K$8:$K$500=Kanban!F$11)*(Calc!$Y$8:$Y$500&gt;0),Calc!$Y$8:$Y$500,99999),$B113),Calc!$Y$8:$Y$500,0)),Calc!$D$8:$D$500,0)),
INDEX(Calc!$F$8:$F$500,MATCH(INDEX(Calc!$D$8:$D$500,MATCH(SMALL(IF((Calc!$K$8:$K$500=Kanban!F$11)*(Calc!$C$8:$C$500=Kanban!$C$7)*(Calc!$Y$8:$Y$500&gt;0),Calc!$Y$8:$Y$500,99999),$B113),Calc!$Y$8:$Y$500,0)),Calc!$D$8:$D$500,0)) ),"-")</f>
        <v>-</v>
      </c>
      <c r="I115" s="53" t="str">
        <f t="array" ref="I115">IFERROR(IF(Kanban!$C$7="All",INDEX(Calc!$F$8:$F$500,MATCH(INDEX(Calc!$D$8:$D$500,MATCH(SMALL(IF((Calc!$K$8:$K$500=Kanban!G$11)*(Calc!$Y$8:$Y$500&gt;0),Calc!$Y$8:$Y$500,99999),$B113),Calc!$Y$8:$Y$500,0)),Calc!$D$8:$D$500,0)),
INDEX(Calc!$F$8:$F$500,MATCH(INDEX(Calc!$D$8:$D$500,MATCH(SMALL(IF((Calc!$K$8:$K$500=Kanban!G$11)*(Calc!$C$8:$C$500=Kanban!$C$7)*(Calc!$Y$8:$Y$500&gt;0),Calc!$Y$8:$Y$500,99999),$B113),Calc!$Y$8:$Y$500,0)),Calc!$D$8:$D$500,0)) ),"-")</f>
        <v>-</v>
      </c>
      <c r="J115" s="53" t="str">
        <f t="array" ref="J115">IFERROR(IF(Kanban!$C$7="All",INDEX(Calc!$F$8:$F$500,MATCH(INDEX(Calc!$D$8:$D$500,MATCH(SMALL(IF((Calc!$K$8:$K$500=Kanban!H$11)*(Calc!$Y$8:$Y$500&gt;0),Calc!$Y$8:$Y$500,99999),$B113),Calc!$Y$8:$Y$500,0)),Calc!$D$8:$D$500,0)),
INDEX(Calc!$F$8:$F$500,MATCH(INDEX(Calc!$D$8:$D$500,MATCH(SMALL(IF((Calc!$K$8:$K$500=Kanban!H$11)*(Calc!$C$8:$C$500=Kanban!$C$7)*(Calc!$Y$8:$Y$500&gt;0),Calc!$Y$8:$Y$500,99999),$B113),Calc!$Y$8:$Y$500,0)),Calc!$D$8:$D$500,0)) ),"-")</f>
        <v>-</v>
      </c>
    </row>
    <row r="116" spans="2:10" x14ac:dyDescent="0.35">
      <c r="B116" s="54">
        <f t="shared" si="45"/>
        <v>38</v>
      </c>
      <c r="C116" s="18"/>
      <c r="D116" s="18"/>
      <c r="E116" s="52" t="str">
        <f t="shared" ref="E116:J116" si="76">IFERROR(E118,"-")</f>
        <v>-</v>
      </c>
      <c r="F116" s="52" t="str">
        <f t="shared" si="76"/>
        <v>-</v>
      </c>
      <c r="G116" s="52" t="str">
        <f t="shared" si="76"/>
        <v>-</v>
      </c>
      <c r="H116" s="52" t="str">
        <f t="shared" si="76"/>
        <v>-</v>
      </c>
      <c r="I116" s="52" t="str">
        <f t="shared" si="76"/>
        <v>-</v>
      </c>
      <c r="J116" s="52" t="str">
        <f t="shared" si="76"/>
        <v>-</v>
      </c>
    </row>
    <row r="117" spans="2:10" x14ac:dyDescent="0.35">
      <c r="B117" s="54">
        <f t="shared" si="45"/>
        <v>38</v>
      </c>
      <c r="C117" s="18"/>
      <c r="D117" s="18"/>
      <c r="E117" s="52" t="str">
        <f t="shared" ref="E117:J117" si="77">IFERROR(E118,"-")</f>
        <v>-</v>
      </c>
      <c r="F117" s="52" t="str">
        <f t="shared" si="77"/>
        <v>-</v>
      </c>
      <c r="G117" s="52" t="str">
        <f t="shared" si="77"/>
        <v>-</v>
      </c>
      <c r="H117" s="52" t="str">
        <f t="shared" si="77"/>
        <v>-</v>
      </c>
      <c r="I117" s="52" t="str">
        <f t="shared" si="77"/>
        <v>-</v>
      </c>
      <c r="J117" s="52" t="str">
        <f t="shared" si="77"/>
        <v>-</v>
      </c>
    </row>
    <row r="118" spans="2:10" x14ac:dyDescent="0.35">
      <c r="B118" s="54">
        <f t="shared" si="45"/>
        <v>38</v>
      </c>
      <c r="C118" s="18"/>
      <c r="D118" s="18"/>
      <c r="E118" s="53" t="str">
        <f t="array" ref="E118">IFERROR(IF(Kanban!$C$7="All",INDEX(Calc!$F$8:$F$500,MATCH(INDEX(Calc!$D$8:$D$500,MATCH(SMALL(IF((Calc!$K$8:$K$500=Kanban!C$11)*(Calc!$Y$8:$Y$500&gt;0),Calc!$Y$8:$Y$500,99999),$B116),Calc!$Y$8:$Y$500,0)),Calc!$D$8:$D$500,0)),
INDEX(Calc!$F$8:$F$500,MATCH(INDEX(Calc!$D$8:$D$500,MATCH(SMALL(IF((Calc!$K$8:$K$500=Kanban!C$11)*(Calc!$C$8:$C$500=Kanban!$C$7)*(Calc!$Y$8:$Y$500&gt;0),Calc!$Y$8:$Y$500,99999),$B116),Calc!$Y$8:$Y$500,0)),Calc!$D$8:$D$500,0)) ),"-")</f>
        <v>-</v>
      </c>
      <c r="F118" s="53" t="str">
        <f t="array" ref="F118">IFERROR(IF(Kanban!$C$7="All",INDEX(Calc!$F$8:$F$500,MATCH(INDEX(Calc!$D$8:$D$500,MATCH(SMALL(IF((Calc!$K$8:$K$500=Kanban!D$11)*(Calc!$Y$8:$Y$500&gt;0),Calc!$Y$8:$Y$500,99999),$B116),Calc!$Y$8:$Y$500,0)),Calc!$D$8:$D$500,0)),
INDEX(Calc!$F$8:$F$500,MATCH(INDEX(Calc!$D$8:$D$500,MATCH(SMALL(IF((Calc!$K$8:$K$500=Kanban!D$11)*(Calc!$C$8:$C$500=Kanban!$C$7)*(Calc!$Y$8:$Y$500&gt;0),Calc!$Y$8:$Y$500,99999),$B116),Calc!$Y$8:$Y$500,0)),Calc!$D$8:$D$500,0)) ),"-")</f>
        <v>-</v>
      </c>
      <c r="G118" s="53" t="str">
        <f t="array" ref="G118">IFERROR(IF(Kanban!$C$7="All",INDEX(Calc!$F$8:$F$500,MATCH(INDEX(Calc!$D$8:$D$500,MATCH(SMALL(IF((Calc!$K$8:$K$500=Kanban!E$11)*(Calc!$Y$8:$Y$500&gt;0),Calc!$Y$8:$Y$500,99999),$B116),Calc!$Y$8:$Y$500,0)),Calc!$D$8:$D$500,0)),
INDEX(Calc!$F$8:$F$500,MATCH(INDEX(Calc!$D$8:$D$500,MATCH(SMALL(IF((Calc!$K$8:$K$500=Kanban!E$11)*(Calc!$C$8:$C$500=Kanban!$C$7)*(Calc!$Y$8:$Y$500&gt;0),Calc!$Y$8:$Y$500,99999),$B116),Calc!$Y$8:$Y$500,0)),Calc!$D$8:$D$500,0)) ),"-")</f>
        <v>-</v>
      </c>
      <c r="H118" s="53" t="str">
        <f t="array" ref="H118">IFERROR(IF(Kanban!$C$7="All",INDEX(Calc!$F$8:$F$500,MATCH(INDEX(Calc!$D$8:$D$500,MATCH(SMALL(IF((Calc!$K$8:$K$500=Kanban!F$11)*(Calc!$Y$8:$Y$500&gt;0),Calc!$Y$8:$Y$500,99999),$B116),Calc!$Y$8:$Y$500,0)),Calc!$D$8:$D$500,0)),
INDEX(Calc!$F$8:$F$500,MATCH(INDEX(Calc!$D$8:$D$500,MATCH(SMALL(IF((Calc!$K$8:$K$500=Kanban!F$11)*(Calc!$C$8:$C$500=Kanban!$C$7)*(Calc!$Y$8:$Y$500&gt;0),Calc!$Y$8:$Y$500,99999),$B116),Calc!$Y$8:$Y$500,0)),Calc!$D$8:$D$500,0)) ),"-")</f>
        <v>-</v>
      </c>
      <c r="I118" s="53" t="str">
        <f t="array" ref="I118">IFERROR(IF(Kanban!$C$7="All",INDEX(Calc!$F$8:$F$500,MATCH(INDEX(Calc!$D$8:$D$500,MATCH(SMALL(IF((Calc!$K$8:$K$500=Kanban!G$11)*(Calc!$Y$8:$Y$500&gt;0),Calc!$Y$8:$Y$500,99999),$B116),Calc!$Y$8:$Y$500,0)),Calc!$D$8:$D$500,0)),
INDEX(Calc!$F$8:$F$500,MATCH(INDEX(Calc!$D$8:$D$500,MATCH(SMALL(IF((Calc!$K$8:$K$500=Kanban!G$11)*(Calc!$C$8:$C$500=Kanban!$C$7)*(Calc!$Y$8:$Y$500&gt;0),Calc!$Y$8:$Y$500,99999),$B116),Calc!$Y$8:$Y$500,0)),Calc!$D$8:$D$500,0)) ),"-")</f>
        <v>-</v>
      </c>
      <c r="J118" s="53" t="str">
        <f t="array" ref="J118">IFERROR(IF(Kanban!$C$7="All",INDEX(Calc!$F$8:$F$500,MATCH(INDEX(Calc!$D$8:$D$500,MATCH(SMALL(IF((Calc!$K$8:$K$500=Kanban!H$11)*(Calc!$Y$8:$Y$500&gt;0),Calc!$Y$8:$Y$500,99999),$B116),Calc!$Y$8:$Y$500,0)),Calc!$D$8:$D$500,0)),
INDEX(Calc!$F$8:$F$500,MATCH(INDEX(Calc!$D$8:$D$500,MATCH(SMALL(IF((Calc!$K$8:$K$500=Kanban!H$11)*(Calc!$C$8:$C$500=Kanban!$C$7)*(Calc!$Y$8:$Y$500&gt;0),Calc!$Y$8:$Y$500,99999),$B116),Calc!$Y$8:$Y$500,0)),Calc!$D$8:$D$500,0)) ),"-")</f>
        <v>-</v>
      </c>
    </row>
    <row r="119" spans="2:10" x14ac:dyDescent="0.35">
      <c r="B119" s="54">
        <f t="shared" si="45"/>
        <v>39</v>
      </c>
      <c r="C119" s="18"/>
      <c r="D119" s="18"/>
      <c r="E119" s="52" t="str">
        <f t="shared" ref="E119:J119" si="78">IFERROR(E121,"-")</f>
        <v>-</v>
      </c>
      <c r="F119" s="52" t="str">
        <f t="shared" si="78"/>
        <v>-</v>
      </c>
      <c r="G119" s="52" t="str">
        <f t="shared" si="78"/>
        <v>-</v>
      </c>
      <c r="H119" s="52" t="str">
        <f t="shared" si="78"/>
        <v>-</v>
      </c>
      <c r="I119" s="52" t="str">
        <f t="shared" si="78"/>
        <v>-</v>
      </c>
      <c r="J119" s="52" t="str">
        <f t="shared" si="78"/>
        <v>-</v>
      </c>
    </row>
    <row r="120" spans="2:10" x14ac:dyDescent="0.35">
      <c r="B120" s="54">
        <f t="shared" si="45"/>
        <v>39</v>
      </c>
      <c r="C120" s="18"/>
      <c r="D120" s="18"/>
      <c r="E120" s="52" t="str">
        <f t="shared" ref="E120:J120" si="79">IFERROR(E121,"-")</f>
        <v>-</v>
      </c>
      <c r="F120" s="52" t="str">
        <f t="shared" si="79"/>
        <v>-</v>
      </c>
      <c r="G120" s="52" t="str">
        <f t="shared" si="79"/>
        <v>-</v>
      </c>
      <c r="H120" s="52" t="str">
        <f t="shared" si="79"/>
        <v>-</v>
      </c>
      <c r="I120" s="52" t="str">
        <f t="shared" si="79"/>
        <v>-</v>
      </c>
      <c r="J120" s="52" t="str">
        <f t="shared" si="79"/>
        <v>-</v>
      </c>
    </row>
    <row r="121" spans="2:10" x14ac:dyDescent="0.35">
      <c r="B121" s="54">
        <f t="shared" si="45"/>
        <v>39</v>
      </c>
      <c r="C121" s="18"/>
      <c r="D121" s="18"/>
      <c r="E121" s="53" t="str">
        <f t="array" ref="E121">IFERROR(IF(Kanban!$C$7="All",INDEX(Calc!$F$8:$F$500,MATCH(INDEX(Calc!$D$8:$D$500,MATCH(SMALL(IF((Calc!$K$8:$K$500=Kanban!C$11)*(Calc!$Y$8:$Y$500&gt;0),Calc!$Y$8:$Y$500,99999),$B119),Calc!$Y$8:$Y$500,0)),Calc!$D$8:$D$500,0)),
INDEX(Calc!$F$8:$F$500,MATCH(INDEX(Calc!$D$8:$D$500,MATCH(SMALL(IF((Calc!$K$8:$K$500=Kanban!C$11)*(Calc!$C$8:$C$500=Kanban!$C$7)*(Calc!$Y$8:$Y$500&gt;0),Calc!$Y$8:$Y$500,99999),$B119),Calc!$Y$8:$Y$500,0)),Calc!$D$8:$D$500,0)) ),"-")</f>
        <v>-</v>
      </c>
      <c r="F121" s="53" t="str">
        <f t="array" ref="F121">IFERROR(IF(Kanban!$C$7="All",INDEX(Calc!$F$8:$F$500,MATCH(INDEX(Calc!$D$8:$D$500,MATCH(SMALL(IF((Calc!$K$8:$K$500=Kanban!D$11)*(Calc!$Y$8:$Y$500&gt;0),Calc!$Y$8:$Y$500,99999),$B119),Calc!$Y$8:$Y$500,0)),Calc!$D$8:$D$500,0)),
INDEX(Calc!$F$8:$F$500,MATCH(INDEX(Calc!$D$8:$D$500,MATCH(SMALL(IF((Calc!$K$8:$K$500=Kanban!D$11)*(Calc!$C$8:$C$500=Kanban!$C$7)*(Calc!$Y$8:$Y$500&gt;0),Calc!$Y$8:$Y$500,99999),$B119),Calc!$Y$8:$Y$500,0)),Calc!$D$8:$D$500,0)) ),"-")</f>
        <v>-</v>
      </c>
      <c r="G121" s="53" t="str">
        <f t="array" ref="G121">IFERROR(IF(Kanban!$C$7="All",INDEX(Calc!$F$8:$F$500,MATCH(INDEX(Calc!$D$8:$D$500,MATCH(SMALL(IF((Calc!$K$8:$K$500=Kanban!E$11)*(Calc!$Y$8:$Y$500&gt;0),Calc!$Y$8:$Y$500,99999),$B119),Calc!$Y$8:$Y$500,0)),Calc!$D$8:$D$500,0)),
INDEX(Calc!$F$8:$F$500,MATCH(INDEX(Calc!$D$8:$D$500,MATCH(SMALL(IF((Calc!$K$8:$K$500=Kanban!E$11)*(Calc!$C$8:$C$500=Kanban!$C$7)*(Calc!$Y$8:$Y$500&gt;0),Calc!$Y$8:$Y$500,99999),$B119),Calc!$Y$8:$Y$500,0)),Calc!$D$8:$D$500,0)) ),"-")</f>
        <v>-</v>
      </c>
      <c r="H121" s="53" t="str">
        <f t="array" ref="H121">IFERROR(IF(Kanban!$C$7="All",INDEX(Calc!$F$8:$F$500,MATCH(INDEX(Calc!$D$8:$D$500,MATCH(SMALL(IF((Calc!$K$8:$K$500=Kanban!F$11)*(Calc!$Y$8:$Y$500&gt;0),Calc!$Y$8:$Y$500,99999),$B119),Calc!$Y$8:$Y$500,0)),Calc!$D$8:$D$500,0)),
INDEX(Calc!$F$8:$F$500,MATCH(INDEX(Calc!$D$8:$D$500,MATCH(SMALL(IF((Calc!$K$8:$K$500=Kanban!F$11)*(Calc!$C$8:$C$500=Kanban!$C$7)*(Calc!$Y$8:$Y$500&gt;0),Calc!$Y$8:$Y$500,99999),$B119),Calc!$Y$8:$Y$500,0)),Calc!$D$8:$D$500,0)) ),"-")</f>
        <v>-</v>
      </c>
      <c r="I121" s="53" t="str">
        <f t="array" ref="I121">IFERROR(IF(Kanban!$C$7="All",INDEX(Calc!$F$8:$F$500,MATCH(INDEX(Calc!$D$8:$D$500,MATCH(SMALL(IF((Calc!$K$8:$K$500=Kanban!G$11)*(Calc!$Y$8:$Y$500&gt;0),Calc!$Y$8:$Y$500,99999),$B119),Calc!$Y$8:$Y$500,0)),Calc!$D$8:$D$500,0)),
INDEX(Calc!$F$8:$F$500,MATCH(INDEX(Calc!$D$8:$D$500,MATCH(SMALL(IF((Calc!$K$8:$K$500=Kanban!G$11)*(Calc!$C$8:$C$500=Kanban!$C$7)*(Calc!$Y$8:$Y$500&gt;0),Calc!$Y$8:$Y$500,99999),$B119),Calc!$Y$8:$Y$500,0)),Calc!$D$8:$D$500,0)) ),"-")</f>
        <v>-</v>
      </c>
      <c r="J121" s="53" t="str">
        <f t="array" ref="J121">IFERROR(IF(Kanban!$C$7="All",INDEX(Calc!$F$8:$F$500,MATCH(INDEX(Calc!$D$8:$D$500,MATCH(SMALL(IF((Calc!$K$8:$K$500=Kanban!H$11)*(Calc!$Y$8:$Y$500&gt;0),Calc!$Y$8:$Y$500,99999),$B119),Calc!$Y$8:$Y$500,0)),Calc!$D$8:$D$500,0)),
INDEX(Calc!$F$8:$F$500,MATCH(INDEX(Calc!$D$8:$D$500,MATCH(SMALL(IF((Calc!$K$8:$K$500=Kanban!H$11)*(Calc!$C$8:$C$500=Kanban!$C$7)*(Calc!$Y$8:$Y$500&gt;0),Calc!$Y$8:$Y$500,99999),$B119),Calc!$Y$8:$Y$500,0)),Calc!$D$8:$D$500,0)) ),"-")</f>
        <v>-</v>
      </c>
    </row>
    <row r="122" spans="2:10" x14ac:dyDescent="0.35">
      <c r="B122" s="54">
        <f t="shared" si="45"/>
        <v>40</v>
      </c>
      <c r="C122" s="18"/>
      <c r="D122" s="18"/>
      <c r="E122" s="52" t="str">
        <f t="shared" ref="E122:J122" si="80">IFERROR(E124,"-")</f>
        <v>-</v>
      </c>
      <c r="F122" s="52" t="str">
        <f t="shared" si="80"/>
        <v>-</v>
      </c>
      <c r="G122" s="52" t="str">
        <f t="shared" si="80"/>
        <v>-</v>
      </c>
      <c r="H122" s="52" t="str">
        <f t="shared" si="80"/>
        <v>-</v>
      </c>
      <c r="I122" s="52" t="str">
        <f t="shared" si="80"/>
        <v>-</v>
      </c>
      <c r="J122" s="52" t="str">
        <f t="shared" si="80"/>
        <v>-</v>
      </c>
    </row>
    <row r="123" spans="2:10" x14ac:dyDescent="0.35">
      <c r="B123" s="54">
        <f t="shared" si="45"/>
        <v>40</v>
      </c>
      <c r="C123" s="18"/>
      <c r="D123" s="18"/>
      <c r="E123" s="52" t="str">
        <f t="shared" ref="E123:J123" si="81">IFERROR(E124,"-")</f>
        <v>-</v>
      </c>
      <c r="F123" s="52" t="str">
        <f t="shared" si="81"/>
        <v>-</v>
      </c>
      <c r="G123" s="52" t="str">
        <f t="shared" si="81"/>
        <v>-</v>
      </c>
      <c r="H123" s="52" t="str">
        <f t="shared" si="81"/>
        <v>-</v>
      </c>
      <c r="I123" s="52" t="str">
        <f t="shared" si="81"/>
        <v>-</v>
      </c>
      <c r="J123" s="52" t="str">
        <f t="shared" si="81"/>
        <v>-</v>
      </c>
    </row>
    <row r="124" spans="2:10" x14ac:dyDescent="0.35">
      <c r="B124" s="54">
        <f t="shared" si="45"/>
        <v>40</v>
      </c>
      <c r="C124" s="18"/>
      <c r="D124" s="18"/>
      <c r="E124" s="53" t="str">
        <f t="array" ref="E124">IFERROR(IF(Kanban!$C$7="All",INDEX(Calc!$F$8:$F$500,MATCH(INDEX(Calc!$D$8:$D$500,MATCH(SMALL(IF((Calc!$K$8:$K$500=Kanban!C$11)*(Calc!$Y$8:$Y$500&gt;0),Calc!$Y$8:$Y$500,99999),$B122),Calc!$Y$8:$Y$500,0)),Calc!$D$8:$D$500,0)),
INDEX(Calc!$F$8:$F$500,MATCH(INDEX(Calc!$D$8:$D$500,MATCH(SMALL(IF((Calc!$K$8:$K$500=Kanban!C$11)*(Calc!$C$8:$C$500=Kanban!$C$7)*(Calc!$Y$8:$Y$500&gt;0),Calc!$Y$8:$Y$500,99999),$B122),Calc!$Y$8:$Y$500,0)),Calc!$D$8:$D$500,0)) ),"-")</f>
        <v>-</v>
      </c>
      <c r="F124" s="53" t="str">
        <f t="array" ref="F124">IFERROR(IF(Kanban!$C$7="All",INDEX(Calc!$F$8:$F$500,MATCH(INDEX(Calc!$D$8:$D$500,MATCH(SMALL(IF((Calc!$K$8:$K$500=Kanban!D$11)*(Calc!$Y$8:$Y$500&gt;0),Calc!$Y$8:$Y$500,99999),$B122),Calc!$Y$8:$Y$500,0)),Calc!$D$8:$D$500,0)),
INDEX(Calc!$F$8:$F$500,MATCH(INDEX(Calc!$D$8:$D$500,MATCH(SMALL(IF((Calc!$K$8:$K$500=Kanban!D$11)*(Calc!$C$8:$C$500=Kanban!$C$7)*(Calc!$Y$8:$Y$500&gt;0),Calc!$Y$8:$Y$500,99999),$B122),Calc!$Y$8:$Y$500,0)),Calc!$D$8:$D$500,0)) ),"-")</f>
        <v>-</v>
      </c>
      <c r="G124" s="53" t="str">
        <f t="array" ref="G124">IFERROR(IF(Kanban!$C$7="All",INDEX(Calc!$F$8:$F$500,MATCH(INDEX(Calc!$D$8:$D$500,MATCH(SMALL(IF((Calc!$K$8:$K$500=Kanban!E$11)*(Calc!$Y$8:$Y$500&gt;0),Calc!$Y$8:$Y$500,99999),$B122),Calc!$Y$8:$Y$500,0)),Calc!$D$8:$D$500,0)),
INDEX(Calc!$F$8:$F$500,MATCH(INDEX(Calc!$D$8:$D$500,MATCH(SMALL(IF((Calc!$K$8:$K$500=Kanban!E$11)*(Calc!$C$8:$C$500=Kanban!$C$7)*(Calc!$Y$8:$Y$500&gt;0),Calc!$Y$8:$Y$500,99999),$B122),Calc!$Y$8:$Y$500,0)),Calc!$D$8:$D$500,0)) ),"-")</f>
        <v>-</v>
      </c>
      <c r="H124" s="53" t="str">
        <f t="array" ref="H124">IFERROR(IF(Kanban!$C$7="All",INDEX(Calc!$F$8:$F$500,MATCH(INDEX(Calc!$D$8:$D$500,MATCH(SMALL(IF((Calc!$K$8:$K$500=Kanban!F$11)*(Calc!$Y$8:$Y$500&gt;0),Calc!$Y$8:$Y$500,99999),$B122),Calc!$Y$8:$Y$500,0)),Calc!$D$8:$D$500,0)),
INDEX(Calc!$F$8:$F$500,MATCH(INDEX(Calc!$D$8:$D$500,MATCH(SMALL(IF((Calc!$K$8:$K$500=Kanban!F$11)*(Calc!$C$8:$C$500=Kanban!$C$7)*(Calc!$Y$8:$Y$500&gt;0),Calc!$Y$8:$Y$500,99999),$B122),Calc!$Y$8:$Y$500,0)),Calc!$D$8:$D$500,0)) ),"-")</f>
        <v>-</v>
      </c>
      <c r="I124" s="53" t="str">
        <f t="array" ref="I124">IFERROR(IF(Kanban!$C$7="All",INDEX(Calc!$F$8:$F$500,MATCH(INDEX(Calc!$D$8:$D$500,MATCH(SMALL(IF((Calc!$K$8:$K$500=Kanban!G$11)*(Calc!$Y$8:$Y$500&gt;0),Calc!$Y$8:$Y$500,99999),$B122),Calc!$Y$8:$Y$500,0)),Calc!$D$8:$D$500,0)),
INDEX(Calc!$F$8:$F$500,MATCH(INDEX(Calc!$D$8:$D$500,MATCH(SMALL(IF((Calc!$K$8:$K$500=Kanban!G$11)*(Calc!$C$8:$C$500=Kanban!$C$7)*(Calc!$Y$8:$Y$500&gt;0),Calc!$Y$8:$Y$500,99999),$B122),Calc!$Y$8:$Y$500,0)),Calc!$D$8:$D$500,0)) ),"-")</f>
        <v>-</v>
      </c>
      <c r="J124" s="53" t="str">
        <f t="array" ref="J124">IFERROR(IF(Kanban!$C$7="All",INDEX(Calc!$F$8:$F$500,MATCH(INDEX(Calc!$D$8:$D$500,MATCH(SMALL(IF((Calc!$K$8:$K$500=Kanban!H$11)*(Calc!$Y$8:$Y$500&gt;0),Calc!$Y$8:$Y$500,99999),$B122),Calc!$Y$8:$Y$500,0)),Calc!$D$8:$D$500,0)),
INDEX(Calc!$F$8:$F$500,MATCH(INDEX(Calc!$D$8:$D$500,MATCH(SMALL(IF((Calc!$K$8:$K$500=Kanban!H$11)*(Calc!$C$8:$C$500=Kanban!$C$7)*(Calc!$Y$8:$Y$500&gt;0),Calc!$Y$8:$Y$500,99999),$B122),Calc!$Y$8:$Y$500,0)),Calc!$D$8:$D$500,0)) ),"-")</f>
        <v>-</v>
      </c>
    </row>
    <row r="125" spans="2:10" x14ac:dyDescent="0.35">
      <c r="B125" s="54">
        <f t="shared" si="45"/>
        <v>41</v>
      </c>
      <c r="C125" s="18"/>
      <c r="D125" s="18"/>
      <c r="E125" s="52" t="str">
        <f t="shared" ref="E125:J125" si="82">IFERROR(E127,"-")</f>
        <v>-</v>
      </c>
      <c r="F125" s="52" t="str">
        <f t="shared" si="82"/>
        <v>-</v>
      </c>
      <c r="G125" s="52" t="str">
        <f t="shared" si="82"/>
        <v>-</v>
      </c>
      <c r="H125" s="52" t="str">
        <f t="shared" si="82"/>
        <v>-</v>
      </c>
      <c r="I125" s="52" t="str">
        <f t="shared" si="82"/>
        <v>-</v>
      </c>
      <c r="J125" s="52" t="str">
        <f t="shared" si="82"/>
        <v>-</v>
      </c>
    </row>
    <row r="126" spans="2:10" x14ac:dyDescent="0.35">
      <c r="B126" s="54">
        <f t="shared" si="45"/>
        <v>41</v>
      </c>
      <c r="C126" s="18"/>
      <c r="D126" s="18"/>
      <c r="E126" s="52" t="str">
        <f t="shared" ref="E126:J126" si="83">IFERROR(E127,"-")</f>
        <v>-</v>
      </c>
      <c r="F126" s="52" t="str">
        <f t="shared" si="83"/>
        <v>-</v>
      </c>
      <c r="G126" s="52" t="str">
        <f t="shared" si="83"/>
        <v>-</v>
      </c>
      <c r="H126" s="52" t="str">
        <f t="shared" si="83"/>
        <v>-</v>
      </c>
      <c r="I126" s="52" t="str">
        <f t="shared" si="83"/>
        <v>-</v>
      </c>
      <c r="J126" s="52" t="str">
        <f t="shared" si="83"/>
        <v>-</v>
      </c>
    </row>
    <row r="127" spans="2:10" x14ac:dyDescent="0.35">
      <c r="B127" s="54">
        <f t="shared" si="45"/>
        <v>41</v>
      </c>
      <c r="C127" s="18"/>
      <c r="D127" s="18"/>
      <c r="E127" s="53" t="str">
        <f t="array" ref="E127">IFERROR(IF(Kanban!$C$7="All",INDEX(Calc!$F$8:$F$500,MATCH(INDEX(Calc!$D$8:$D$500,MATCH(SMALL(IF((Calc!$K$8:$K$500=Kanban!C$11)*(Calc!$Y$8:$Y$500&gt;0),Calc!$Y$8:$Y$500,99999),$B125),Calc!$Y$8:$Y$500,0)),Calc!$D$8:$D$500,0)),
INDEX(Calc!$F$8:$F$500,MATCH(INDEX(Calc!$D$8:$D$500,MATCH(SMALL(IF((Calc!$K$8:$K$500=Kanban!C$11)*(Calc!$C$8:$C$500=Kanban!$C$7)*(Calc!$Y$8:$Y$500&gt;0),Calc!$Y$8:$Y$500,99999),$B125),Calc!$Y$8:$Y$500,0)),Calc!$D$8:$D$500,0)) ),"-")</f>
        <v>-</v>
      </c>
      <c r="F127" s="53" t="str">
        <f t="array" ref="F127">IFERROR(IF(Kanban!$C$7="All",INDEX(Calc!$F$8:$F$500,MATCH(INDEX(Calc!$D$8:$D$500,MATCH(SMALL(IF((Calc!$K$8:$K$500=Kanban!D$11)*(Calc!$Y$8:$Y$500&gt;0),Calc!$Y$8:$Y$500,99999),$B125),Calc!$Y$8:$Y$500,0)),Calc!$D$8:$D$500,0)),
INDEX(Calc!$F$8:$F$500,MATCH(INDEX(Calc!$D$8:$D$500,MATCH(SMALL(IF((Calc!$K$8:$K$500=Kanban!D$11)*(Calc!$C$8:$C$500=Kanban!$C$7)*(Calc!$Y$8:$Y$500&gt;0),Calc!$Y$8:$Y$500,99999),$B125),Calc!$Y$8:$Y$500,0)),Calc!$D$8:$D$500,0)) ),"-")</f>
        <v>-</v>
      </c>
      <c r="G127" s="53" t="str">
        <f t="array" ref="G127">IFERROR(IF(Kanban!$C$7="All",INDEX(Calc!$F$8:$F$500,MATCH(INDEX(Calc!$D$8:$D$500,MATCH(SMALL(IF((Calc!$K$8:$K$500=Kanban!E$11)*(Calc!$Y$8:$Y$500&gt;0),Calc!$Y$8:$Y$500,99999),$B125),Calc!$Y$8:$Y$500,0)),Calc!$D$8:$D$500,0)),
INDEX(Calc!$F$8:$F$500,MATCH(INDEX(Calc!$D$8:$D$500,MATCH(SMALL(IF((Calc!$K$8:$K$500=Kanban!E$11)*(Calc!$C$8:$C$500=Kanban!$C$7)*(Calc!$Y$8:$Y$500&gt;0),Calc!$Y$8:$Y$500,99999),$B125),Calc!$Y$8:$Y$500,0)),Calc!$D$8:$D$500,0)) ),"-")</f>
        <v>-</v>
      </c>
      <c r="H127" s="53" t="str">
        <f t="array" ref="H127">IFERROR(IF(Kanban!$C$7="All",INDEX(Calc!$F$8:$F$500,MATCH(INDEX(Calc!$D$8:$D$500,MATCH(SMALL(IF((Calc!$K$8:$K$500=Kanban!F$11)*(Calc!$Y$8:$Y$500&gt;0),Calc!$Y$8:$Y$500,99999),$B125),Calc!$Y$8:$Y$500,0)),Calc!$D$8:$D$500,0)),
INDEX(Calc!$F$8:$F$500,MATCH(INDEX(Calc!$D$8:$D$500,MATCH(SMALL(IF((Calc!$K$8:$K$500=Kanban!F$11)*(Calc!$C$8:$C$500=Kanban!$C$7)*(Calc!$Y$8:$Y$500&gt;0),Calc!$Y$8:$Y$500,99999),$B125),Calc!$Y$8:$Y$500,0)),Calc!$D$8:$D$500,0)) ),"-")</f>
        <v>-</v>
      </c>
      <c r="I127" s="53" t="str">
        <f t="array" ref="I127">IFERROR(IF(Kanban!$C$7="All",INDEX(Calc!$F$8:$F$500,MATCH(INDEX(Calc!$D$8:$D$500,MATCH(SMALL(IF((Calc!$K$8:$K$500=Kanban!G$11)*(Calc!$Y$8:$Y$500&gt;0),Calc!$Y$8:$Y$500,99999),$B125),Calc!$Y$8:$Y$500,0)),Calc!$D$8:$D$500,0)),
INDEX(Calc!$F$8:$F$500,MATCH(INDEX(Calc!$D$8:$D$500,MATCH(SMALL(IF((Calc!$K$8:$K$500=Kanban!G$11)*(Calc!$C$8:$C$500=Kanban!$C$7)*(Calc!$Y$8:$Y$500&gt;0),Calc!$Y$8:$Y$500,99999),$B125),Calc!$Y$8:$Y$500,0)),Calc!$D$8:$D$500,0)) ),"-")</f>
        <v>-</v>
      </c>
      <c r="J127" s="53" t="str">
        <f t="array" ref="J127">IFERROR(IF(Kanban!$C$7="All",INDEX(Calc!$F$8:$F$500,MATCH(INDEX(Calc!$D$8:$D$500,MATCH(SMALL(IF((Calc!$K$8:$K$500=Kanban!H$11)*(Calc!$Y$8:$Y$500&gt;0),Calc!$Y$8:$Y$500,99999),$B125),Calc!$Y$8:$Y$500,0)),Calc!$D$8:$D$500,0)),
INDEX(Calc!$F$8:$F$500,MATCH(INDEX(Calc!$D$8:$D$500,MATCH(SMALL(IF((Calc!$K$8:$K$500=Kanban!H$11)*(Calc!$C$8:$C$500=Kanban!$C$7)*(Calc!$Y$8:$Y$500&gt;0),Calc!$Y$8:$Y$500,99999),$B125),Calc!$Y$8:$Y$500,0)),Calc!$D$8:$D$500,0)) ),"-")</f>
        <v>-</v>
      </c>
    </row>
    <row r="128" spans="2:10" x14ac:dyDescent="0.35">
      <c r="B128" s="54">
        <f t="shared" si="45"/>
        <v>42</v>
      </c>
      <c r="C128" s="18"/>
      <c r="D128" s="18"/>
      <c r="E128" s="52" t="str">
        <f t="shared" ref="E128:J128" si="84">IFERROR(E130,"-")</f>
        <v>-</v>
      </c>
      <c r="F128" s="52" t="str">
        <f t="shared" si="84"/>
        <v>-</v>
      </c>
      <c r="G128" s="52" t="str">
        <f t="shared" si="84"/>
        <v>-</v>
      </c>
      <c r="H128" s="52" t="str">
        <f t="shared" si="84"/>
        <v>-</v>
      </c>
      <c r="I128" s="52" t="str">
        <f t="shared" si="84"/>
        <v>-</v>
      </c>
      <c r="J128" s="52" t="str">
        <f t="shared" si="84"/>
        <v>-</v>
      </c>
    </row>
    <row r="129" spans="2:10" x14ac:dyDescent="0.35">
      <c r="B129" s="54">
        <f t="shared" si="45"/>
        <v>42</v>
      </c>
      <c r="C129" s="18"/>
      <c r="D129" s="18"/>
      <c r="E129" s="52" t="str">
        <f t="shared" ref="E129:J129" si="85">IFERROR(E130,"-")</f>
        <v>-</v>
      </c>
      <c r="F129" s="52" t="str">
        <f t="shared" si="85"/>
        <v>-</v>
      </c>
      <c r="G129" s="52" t="str">
        <f t="shared" si="85"/>
        <v>-</v>
      </c>
      <c r="H129" s="52" t="str">
        <f t="shared" si="85"/>
        <v>-</v>
      </c>
      <c r="I129" s="52" t="str">
        <f t="shared" si="85"/>
        <v>-</v>
      </c>
      <c r="J129" s="52" t="str">
        <f t="shared" si="85"/>
        <v>-</v>
      </c>
    </row>
    <row r="130" spans="2:10" x14ac:dyDescent="0.35">
      <c r="B130" s="54">
        <f t="shared" si="45"/>
        <v>42</v>
      </c>
      <c r="C130" s="18"/>
      <c r="D130" s="18"/>
      <c r="E130" s="53" t="str">
        <f t="array" ref="E130">IFERROR(IF(Kanban!$C$7="All",INDEX(Calc!$F$8:$F$500,MATCH(INDEX(Calc!$D$8:$D$500,MATCH(SMALL(IF((Calc!$K$8:$K$500=Kanban!C$11)*(Calc!$Y$8:$Y$500&gt;0),Calc!$Y$8:$Y$500,99999),$B128),Calc!$Y$8:$Y$500,0)),Calc!$D$8:$D$500,0)),
INDEX(Calc!$F$8:$F$500,MATCH(INDEX(Calc!$D$8:$D$500,MATCH(SMALL(IF((Calc!$K$8:$K$500=Kanban!C$11)*(Calc!$C$8:$C$500=Kanban!$C$7)*(Calc!$Y$8:$Y$500&gt;0),Calc!$Y$8:$Y$500,99999),$B128),Calc!$Y$8:$Y$500,0)),Calc!$D$8:$D$500,0)) ),"-")</f>
        <v>-</v>
      </c>
      <c r="F130" s="53" t="str">
        <f t="array" ref="F130">IFERROR(IF(Kanban!$C$7="All",INDEX(Calc!$F$8:$F$500,MATCH(INDEX(Calc!$D$8:$D$500,MATCH(SMALL(IF((Calc!$K$8:$K$500=Kanban!D$11)*(Calc!$Y$8:$Y$500&gt;0),Calc!$Y$8:$Y$500,99999),$B128),Calc!$Y$8:$Y$500,0)),Calc!$D$8:$D$500,0)),
INDEX(Calc!$F$8:$F$500,MATCH(INDEX(Calc!$D$8:$D$500,MATCH(SMALL(IF((Calc!$K$8:$K$500=Kanban!D$11)*(Calc!$C$8:$C$500=Kanban!$C$7)*(Calc!$Y$8:$Y$500&gt;0),Calc!$Y$8:$Y$500,99999),$B128),Calc!$Y$8:$Y$500,0)),Calc!$D$8:$D$500,0)) ),"-")</f>
        <v>-</v>
      </c>
      <c r="G130" s="53" t="str">
        <f t="array" ref="G130">IFERROR(IF(Kanban!$C$7="All",INDEX(Calc!$F$8:$F$500,MATCH(INDEX(Calc!$D$8:$D$500,MATCH(SMALL(IF((Calc!$K$8:$K$500=Kanban!E$11)*(Calc!$Y$8:$Y$500&gt;0),Calc!$Y$8:$Y$500,99999),$B128),Calc!$Y$8:$Y$500,0)),Calc!$D$8:$D$500,0)),
INDEX(Calc!$F$8:$F$500,MATCH(INDEX(Calc!$D$8:$D$500,MATCH(SMALL(IF((Calc!$K$8:$K$500=Kanban!E$11)*(Calc!$C$8:$C$500=Kanban!$C$7)*(Calc!$Y$8:$Y$500&gt;0),Calc!$Y$8:$Y$500,99999),$B128),Calc!$Y$8:$Y$500,0)),Calc!$D$8:$D$500,0)) ),"-")</f>
        <v>-</v>
      </c>
      <c r="H130" s="53" t="str">
        <f t="array" ref="H130">IFERROR(IF(Kanban!$C$7="All",INDEX(Calc!$F$8:$F$500,MATCH(INDEX(Calc!$D$8:$D$500,MATCH(SMALL(IF((Calc!$K$8:$K$500=Kanban!F$11)*(Calc!$Y$8:$Y$500&gt;0),Calc!$Y$8:$Y$500,99999),$B128),Calc!$Y$8:$Y$500,0)),Calc!$D$8:$D$500,0)),
INDEX(Calc!$F$8:$F$500,MATCH(INDEX(Calc!$D$8:$D$500,MATCH(SMALL(IF((Calc!$K$8:$K$500=Kanban!F$11)*(Calc!$C$8:$C$500=Kanban!$C$7)*(Calc!$Y$8:$Y$500&gt;0),Calc!$Y$8:$Y$500,99999),$B128),Calc!$Y$8:$Y$500,0)),Calc!$D$8:$D$500,0)) ),"-")</f>
        <v>-</v>
      </c>
      <c r="I130" s="53" t="str">
        <f t="array" ref="I130">IFERROR(IF(Kanban!$C$7="All",INDEX(Calc!$F$8:$F$500,MATCH(INDEX(Calc!$D$8:$D$500,MATCH(SMALL(IF((Calc!$K$8:$K$500=Kanban!G$11)*(Calc!$Y$8:$Y$500&gt;0),Calc!$Y$8:$Y$500,99999),$B128),Calc!$Y$8:$Y$500,0)),Calc!$D$8:$D$500,0)),
INDEX(Calc!$F$8:$F$500,MATCH(INDEX(Calc!$D$8:$D$500,MATCH(SMALL(IF((Calc!$K$8:$K$500=Kanban!G$11)*(Calc!$C$8:$C$500=Kanban!$C$7)*(Calc!$Y$8:$Y$500&gt;0),Calc!$Y$8:$Y$500,99999),$B128),Calc!$Y$8:$Y$500,0)),Calc!$D$8:$D$500,0)) ),"-")</f>
        <v>-</v>
      </c>
      <c r="J130" s="53" t="str">
        <f t="array" ref="J130">IFERROR(IF(Kanban!$C$7="All",INDEX(Calc!$F$8:$F$500,MATCH(INDEX(Calc!$D$8:$D$500,MATCH(SMALL(IF((Calc!$K$8:$K$500=Kanban!H$11)*(Calc!$Y$8:$Y$500&gt;0),Calc!$Y$8:$Y$500,99999),$B128),Calc!$Y$8:$Y$500,0)),Calc!$D$8:$D$500,0)),
INDEX(Calc!$F$8:$F$500,MATCH(INDEX(Calc!$D$8:$D$500,MATCH(SMALL(IF((Calc!$K$8:$K$500=Kanban!H$11)*(Calc!$C$8:$C$500=Kanban!$C$7)*(Calc!$Y$8:$Y$500&gt;0),Calc!$Y$8:$Y$500,99999),$B128),Calc!$Y$8:$Y$500,0)),Calc!$D$8:$D$500,0)) ),"-")</f>
        <v>-</v>
      </c>
    </row>
    <row r="131" spans="2:10" x14ac:dyDescent="0.35">
      <c r="B131" s="54">
        <f t="shared" si="45"/>
        <v>43</v>
      </c>
      <c r="C131" s="18"/>
      <c r="D131" s="18"/>
      <c r="E131" s="52" t="str">
        <f t="shared" ref="E131:J131" si="86">IFERROR(E133,"-")</f>
        <v>-</v>
      </c>
      <c r="F131" s="52" t="str">
        <f t="shared" si="86"/>
        <v>-</v>
      </c>
      <c r="G131" s="52" t="str">
        <f t="shared" si="86"/>
        <v>-</v>
      </c>
      <c r="H131" s="52" t="str">
        <f t="shared" si="86"/>
        <v>-</v>
      </c>
      <c r="I131" s="52" t="str">
        <f t="shared" si="86"/>
        <v>-</v>
      </c>
      <c r="J131" s="52" t="str">
        <f t="shared" si="86"/>
        <v>-</v>
      </c>
    </row>
    <row r="132" spans="2:10" x14ac:dyDescent="0.35">
      <c r="B132" s="54">
        <f t="shared" si="45"/>
        <v>43</v>
      </c>
      <c r="C132" s="18"/>
      <c r="D132" s="18"/>
      <c r="E132" s="52" t="str">
        <f t="shared" ref="E132:J132" si="87">IFERROR(E133,"-")</f>
        <v>-</v>
      </c>
      <c r="F132" s="52" t="str">
        <f t="shared" si="87"/>
        <v>-</v>
      </c>
      <c r="G132" s="52" t="str">
        <f t="shared" si="87"/>
        <v>-</v>
      </c>
      <c r="H132" s="52" t="str">
        <f t="shared" si="87"/>
        <v>-</v>
      </c>
      <c r="I132" s="52" t="str">
        <f t="shared" si="87"/>
        <v>-</v>
      </c>
      <c r="J132" s="52" t="str">
        <f t="shared" si="87"/>
        <v>-</v>
      </c>
    </row>
    <row r="133" spans="2:10" x14ac:dyDescent="0.35">
      <c r="B133" s="54">
        <f t="shared" si="45"/>
        <v>43</v>
      </c>
      <c r="C133" s="18"/>
      <c r="D133" s="18"/>
      <c r="E133" s="53" t="str">
        <f t="array" ref="E133">IFERROR(IF(Kanban!$C$7="All",INDEX(Calc!$F$8:$F$500,MATCH(INDEX(Calc!$D$8:$D$500,MATCH(SMALL(IF((Calc!$K$8:$K$500=Kanban!C$11)*(Calc!$Y$8:$Y$500&gt;0),Calc!$Y$8:$Y$500,99999),$B131),Calc!$Y$8:$Y$500,0)),Calc!$D$8:$D$500,0)),
INDEX(Calc!$F$8:$F$500,MATCH(INDEX(Calc!$D$8:$D$500,MATCH(SMALL(IF((Calc!$K$8:$K$500=Kanban!C$11)*(Calc!$C$8:$C$500=Kanban!$C$7)*(Calc!$Y$8:$Y$500&gt;0),Calc!$Y$8:$Y$500,99999),$B131),Calc!$Y$8:$Y$500,0)),Calc!$D$8:$D$500,0)) ),"-")</f>
        <v>-</v>
      </c>
      <c r="F133" s="53" t="str">
        <f t="array" ref="F133">IFERROR(IF(Kanban!$C$7="All",INDEX(Calc!$F$8:$F$500,MATCH(INDEX(Calc!$D$8:$D$500,MATCH(SMALL(IF((Calc!$K$8:$K$500=Kanban!D$11)*(Calc!$Y$8:$Y$500&gt;0),Calc!$Y$8:$Y$500,99999),$B131),Calc!$Y$8:$Y$500,0)),Calc!$D$8:$D$500,0)),
INDEX(Calc!$F$8:$F$500,MATCH(INDEX(Calc!$D$8:$D$500,MATCH(SMALL(IF((Calc!$K$8:$K$500=Kanban!D$11)*(Calc!$C$8:$C$500=Kanban!$C$7)*(Calc!$Y$8:$Y$500&gt;0),Calc!$Y$8:$Y$500,99999),$B131),Calc!$Y$8:$Y$500,0)),Calc!$D$8:$D$500,0)) ),"-")</f>
        <v>-</v>
      </c>
      <c r="G133" s="53" t="str">
        <f t="array" ref="G133">IFERROR(IF(Kanban!$C$7="All",INDEX(Calc!$F$8:$F$500,MATCH(INDEX(Calc!$D$8:$D$500,MATCH(SMALL(IF((Calc!$K$8:$K$500=Kanban!E$11)*(Calc!$Y$8:$Y$500&gt;0),Calc!$Y$8:$Y$500,99999),$B131),Calc!$Y$8:$Y$500,0)),Calc!$D$8:$D$500,0)),
INDEX(Calc!$F$8:$F$500,MATCH(INDEX(Calc!$D$8:$D$500,MATCH(SMALL(IF((Calc!$K$8:$K$500=Kanban!E$11)*(Calc!$C$8:$C$500=Kanban!$C$7)*(Calc!$Y$8:$Y$500&gt;0),Calc!$Y$8:$Y$500,99999),$B131),Calc!$Y$8:$Y$500,0)),Calc!$D$8:$D$500,0)) ),"-")</f>
        <v>-</v>
      </c>
      <c r="H133" s="53" t="str">
        <f t="array" ref="H133">IFERROR(IF(Kanban!$C$7="All",INDEX(Calc!$F$8:$F$500,MATCH(INDEX(Calc!$D$8:$D$500,MATCH(SMALL(IF((Calc!$K$8:$K$500=Kanban!F$11)*(Calc!$Y$8:$Y$500&gt;0),Calc!$Y$8:$Y$500,99999),$B131),Calc!$Y$8:$Y$500,0)),Calc!$D$8:$D$500,0)),
INDEX(Calc!$F$8:$F$500,MATCH(INDEX(Calc!$D$8:$D$500,MATCH(SMALL(IF((Calc!$K$8:$K$500=Kanban!F$11)*(Calc!$C$8:$C$500=Kanban!$C$7)*(Calc!$Y$8:$Y$500&gt;0),Calc!$Y$8:$Y$500,99999),$B131),Calc!$Y$8:$Y$500,0)),Calc!$D$8:$D$500,0)) ),"-")</f>
        <v>-</v>
      </c>
      <c r="I133" s="53" t="str">
        <f t="array" ref="I133">IFERROR(IF(Kanban!$C$7="All",INDEX(Calc!$F$8:$F$500,MATCH(INDEX(Calc!$D$8:$D$500,MATCH(SMALL(IF((Calc!$K$8:$K$500=Kanban!G$11)*(Calc!$Y$8:$Y$500&gt;0),Calc!$Y$8:$Y$500,99999),$B131),Calc!$Y$8:$Y$500,0)),Calc!$D$8:$D$500,0)),
INDEX(Calc!$F$8:$F$500,MATCH(INDEX(Calc!$D$8:$D$500,MATCH(SMALL(IF((Calc!$K$8:$K$500=Kanban!G$11)*(Calc!$C$8:$C$500=Kanban!$C$7)*(Calc!$Y$8:$Y$500&gt;0),Calc!$Y$8:$Y$500,99999),$B131),Calc!$Y$8:$Y$500,0)),Calc!$D$8:$D$500,0)) ),"-")</f>
        <v>-</v>
      </c>
      <c r="J133" s="53" t="str">
        <f t="array" ref="J133">IFERROR(IF(Kanban!$C$7="All",INDEX(Calc!$F$8:$F$500,MATCH(INDEX(Calc!$D$8:$D$500,MATCH(SMALL(IF((Calc!$K$8:$K$500=Kanban!H$11)*(Calc!$Y$8:$Y$500&gt;0),Calc!$Y$8:$Y$500,99999),$B131),Calc!$Y$8:$Y$500,0)),Calc!$D$8:$D$500,0)),
INDEX(Calc!$F$8:$F$500,MATCH(INDEX(Calc!$D$8:$D$500,MATCH(SMALL(IF((Calc!$K$8:$K$500=Kanban!H$11)*(Calc!$C$8:$C$500=Kanban!$C$7)*(Calc!$Y$8:$Y$500&gt;0),Calc!$Y$8:$Y$500,99999),$B131),Calc!$Y$8:$Y$500,0)),Calc!$D$8:$D$500,0)) ),"-")</f>
        <v>-</v>
      </c>
    </row>
    <row r="134" spans="2:10" x14ac:dyDescent="0.35">
      <c r="B134" s="54">
        <f t="shared" si="45"/>
        <v>44</v>
      </c>
      <c r="C134" s="18"/>
      <c r="D134" s="18"/>
      <c r="E134" s="52" t="str">
        <f t="shared" ref="E134:J134" si="88">IFERROR(E136,"-")</f>
        <v>-</v>
      </c>
      <c r="F134" s="52" t="str">
        <f t="shared" si="88"/>
        <v>-</v>
      </c>
      <c r="G134" s="52" t="str">
        <f t="shared" si="88"/>
        <v>-</v>
      </c>
      <c r="H134" s="52" t="str">
        <f t="shared" si="88"/>
        <v>-</v>
      </c>
      <c r="I134" s="52" t="str">
        <f t="shared" si="88"/>
        <v>-</v>
      </c>
      <c r="J134" s="52" t="str">
        <f t="shared" si="88"/>
        <v>-</v>
      </c>
    </row>
    <row r="135" spans="2:10" x14ac:dyDescent="0.35">
      <c r="B135" s="54">
        <f t="shared" ref="B135:B198" si="89">IF(COUNTIF(B132:B134,B134)=3,B134+1,B134)</f>
        <v>44</v>
      </c>
      <c r="C135" s="18"/>
      <c r="D135" s="18"/>
      <c r="E135" s="52" t="str">
        <f t="shared" ref="E135:J135" si="90">IFERROR(E136,"-")</f>
        <v>-</v>
      </c>
      <c r="F135" s="52" t="str">
        <f t="shared" si="90"/>
        <v>-</v>
      </c>
      <c r="G135" s="52" t="str">
        <f t="shared" si="90"/>
        <v>-</v>
      </c>
      <c r="H135" s="52" t="str">
        <f t="shared" si="90"/>
        <v>-</v>
      </c>
      <c r="I135" s="52" t="str">
        <f t="shared" si="90"/>
        <v>-</v>
      </c>
      <c r="J135" s="52" t="str">
        <f t="shared" si="90"/>
        <v>-</v>
      </c>
    </row>
    <row r="136" spans="2:10" x14ac:dyDescent="0.35">
      <c r="B136" s="54">
        <f t="shared" si="89"/>
        <v>44</v>
      </c>
      <c r="C136" s="18"/>
      <c r="D136" s="18"/>
      <c r="E136" s="53" t="str">
        <f t="array" ref="E136">IFERROR(IF(Kanban!$C$7="All",INDEX(Calc!$F$8:$F$500,MATCH(INDEX(Calc!$D$8:$D$500,MATCH(SMALL(IF((Calc!$K$8:$K$500=Kanban!C$11)*(Calc!$Y$8:$Y$500&gt;0),Calc!$Y$8:$Y$500,99999),$B134),Calc!$Y$8:$Y$500,0)),Calc!$D$8:$D$500,0)),
INDEX(Calc!$F$8:$F$500,MATCH(INDEX(Calc!$D$8:$D$500,MATCH(SMALL(IF((Calc!$K$8:$K$500=Kanban!C$11)*(Calc!$C$8:$C$500=Kanban!$C$7)*(Calc!$Y$8:$Y$500&gt;0),Calc!$Y$8:$Y$500,99999),$B134),Calc!$Y$8:$Y$500,0)),Calc!$D$8:$D$500,0)) ),"-")</f>
        <v>-</v>
      </c>
      <c r="F136" s="53" t="str">
        <f t="array" ref="F136">IFERROR(IF(Kanban!$C$7="All",INDEX(Calc!$F$8:$F$500,MATCH(INDEX(Calc!$D$8:$D$500,MATCH(SMALL(IF((Calc!$K$8:$K$500=Kanban!D$11)*(Calc!$Y$8:$Y$500&gt;0),Calc!$Y$8:$Y$500,99999),$B134),Calc!$Y$8:$Y$500,0)),Calc!$D$8:$D$500,0)),
INDEX(Calc!$F$8:$F$500,MATCH(INDEX(Calc!$D$8:$D$500,MATCH(SMALL(IF((Calc!$K$8:$K$500=Kanban!D$11)*(Calc!$C$8:$C$500=Kanban!$C$7)*(Calc!$Y$8:$Y$500&gt;0),Calc!$Y$8:$Y$500,99999),$B134),Calc!$Y$8:$Y$500,0)),Calc!$D$8:$D$500,0)) ),"-")</f>
        <v>-</v>
      </c>
      <c r="G136" s="53" t="str">
        <f t="array" ref="G136">IFERROR(IF(Kanban!$C$7="All",INDEX(Calc!$F$8:$F$500,MATCH(INDEX(Calc!$D$8:$D$500,MATCH(SMALL(IF((Calc!$K$8:$K$500=Kanban!E$11)*(Calc!$Y$8:$Y$500&gt;0),Calc!$Y$8:$Y$500,99999),$B134),Calc!$Y$8:$Y$500,0)),Calc!$D$8:$D$500,0)),
INDEX(Calc!$F$8:$F$500,MATCH(INDEX(Calc!$D$8:$D$500,MATCH(SMALL(IF((Calc!$K$8:$K$500=Kanban!E$11)*(Calc!$C$8:$C$500=Kanban!$C$7)*(Calc!$Y$8:$Y$500&gt;0),Calc!$Y$8:$Y$500,99999),$B134),Calc!$Y$8:$Y$500,0)),Calc!$D$8:$D$500,0)) ),"-")</f>
        <v>-</v>
      </c>
      <c r="H136" s="53" t="str">
        <f t="array" ref="H136">IFERROR(IF(Kanban!$C$7="All",INDEX(Calc!$F$8:$F$500,MATCH(INDEX(Calc!$D$8:$D$500,MATCH(SMALL(IF((Calc!$K$8:$K$500=Kanban!F$11)*(Calc!$Y$8:$Y$500&gt;0),Calc!$Y$8:$Y$500,99999),$B134),Calc!$Y$8:$Y$500,0)),Calc!$D$8:$D$500,0)),
INDEX(Calc!$F$8:$F$500,MATCH(INDEX(Calc!$D$8:$D$500,MATCH(SMALL(IF((Calc!$K$8:$K$500=Kanban!F$11)*(Calc!$C$8:$C$500=Kanban!$C$7)*(Calc!$Y$8:$Y$500&gt;0),Calc!$Y$8:$Y$500,99999),$B134),Calc!$Y$8:$Y$500,0)),Calc!$D$8:$D$500,0)) ),"-")</f>
        <v>-</v>
      </c>
      <c r="I136" s="53" t="str">
        <f t="array" ref="I136">IFERROR(IF(Kanban!$C$7="All",INDEX(Calc!$F$8:$F$500,MATCH(INDEX(Calc!$D$8:$D$500,MATCH(SMALL(IF((Calc!$K$8:$K$500=Kanban!G$11)*(Calc!$Y$8:$Y$500&gt;0),Calc!$Y$8:$Y$500,99999),$B134),Calc!$Y$8:$Y$500,0)),Calc!$D$8:$D$500,0)),
INDEX(Calc!$F$8:$F$500,MATCH(INDEX(Calc!$D$8:$D$500,MATCH(SMALL(IF((Calc!$K$8:$K$500=Kanban!G$11)*(Calc!$C$8:$C$500=Kanban!$C$7)*(Calc!$Y$8:$Y$500&gt;0),Calc!$Y$8:$Y$500,99999),$B134),Calc!$Y$8:$Y$500,0)),Calc!$D$8:$D$500,0)) ),"-")</f>
        <v>-</v>
      </c>
      <c r="J136" s="53" t="str">
        <f t="array" ref="J136">IFERROR(IF(Kanban!$C$7="All",INDEX(Calc!$F$8:$F$500,MATCH(INDEX(Calc!$D$8:$D$500,MATCH(SMALL(IF((Calc!$K$8:$K$500=Kanban!H$11)*(Calc!$Y$8:$Y$500&gt;0),Calc!$Y$8:$Y$500,99999),$B134),Calc!$Y$8:$Y$500,0)),Calc!$D$8:$D$500,0)),
INDEX(Calc!$F$8:$F$500,MATCH(INDEX(Calc!$D$8:$D$500,MATCH(SMALL(IF((Calc!$K$8:$K$500=Kanban!H$11)*(Calc!$C$8:$C$500=Kanban!$C$7)*(Calc!$Y$8:$Y$500&gt;0),Calc!$Y$8:$Y$500,99999),$B134),Calc!$Y$8:$Y$500,0)),Calc!$D$8:$D$500,0)) ),"-")</f>
        <v>-</v>
      </c>
    </row>
    <row r="137" spans="2:10" x14ac:dyDescent="0.35">
      <c r="B137" s="54">
        <f t="shared" si="89"/>
        <v>45</v>
      </c>
      <c r="C137" s="18"/>
      <c r="D137" s="18"/>
      <c r="E137" s="52" t="str">
        <f t="shared" ref="E137:J137" si="91">IFERROR(E139,"-")</f>
        <v>-</v>
      </c>
      <c r="F137" s="52" t="str">
        <f t="shared" si="91"/>
        <v>-</v>
      </c>
      <c r="G137" s="52" t="str">
        <f t="shared" si="91"/>
        <v>-</v>
      </c>
      <c r="H137" s="52" t="str">
        <f t="shared" si="91"/>
        <v>-</v>
      </c>
      <c r="I137" s="52" t="str">
        <f t="shared" si="91"/>
        <v>-</v>
      </c>
      <c r="J137" s="52" t="str">
        <f t="shared" si="91"/>
        <v>-</v>
      </c>
    </row>
    <row r="138" spans="2:10" x14ac:dyDescent="0.35">
      <c r="B138" s="54">
        <f t="shared" si="89"/>
        <v>45</v>
      </c>
      <c r="C138" s="18"/>
      <c r="D138" s="18"/>
      <c r="E138" s="52" t="str">
        <f t="shared" ref="E138:J138" si="92">IFERROR(E139,"-")</f>
        <v>-</v>
      </c>
      <c r="F138" s="52" t="str">
        <f t="shared" si="92"/>
        <v>-</v>
      </c>
      <c r="G138" s="52" t="str">
        <f t="shared" si="92"/>
        <v>-</v>
      </c>
      <c r="H138" s="52" t="str">
        <f t="shared" si="92"/>
        <v>-</v>
      </c>
      <c r="I138" s="52" t="str">
        <f t="shared" si="92"/>
        <v>-</v>
      </c>
      <c r="J138" s="52" t="str">
        <f t="shared" si="92"/>
        <v>-</v>
      </c>
    </row>
    <row r="139" spans="2:10" x14ac:dyDescent="0.35">
      <c r="B139" s="54">
        <f t="shared" si="89"/>
        <v>45</v>
      </c>
      <c r="C139" s="18"/>
      <c r="D139" s="18"/>
      <c r="E139" s="53" t="str">
        <f t="array" ref="E139">IFERROR(IF(Kanban!$C$7="All",INDEX(Calc!$F$8:$F$500,MATCH(INDEX(Calc!$D$8:$D$500,MATCH(SMALL(IF((Calc!$K$8:$K$500=Kanban!C$11)*(Calc!$Y$8:$Y$500&gt;0),Calc!$Y$8:$Y$500,99999),$B137),Calc!$Y$8:$Y$500,0)),Calc!$D$8:$D$500,0)),
INDEX(Calc!$F$8:$F$500,MATCH(INDEX(Calc!$D$8:$D$500,MATCH(SMALL(IF((Calc!$K$8:$K$500=Kanban!C$11)*(Calc!$C$8:$C$500=Kanban!$C$7)*(Calc!$Y$8:$Y$500&gt;0),Calc!$Y$8:$Y$500,99999),$B137),Calc!$Y$8:$Y$500,0)),Calc!$D$8:$D$500,0)) ),"-")</f>
        <v>-</v>
      </c>
      <c r="F139" s="53" t="str">
        <f t="array" ref="F139">IFERROR(IF(Kanban!$C$7="All",INDEX(Calc!$F$8:$F$500,MATCH(INDEX(Calc!$D$8:$D$500,MATCH(SMALL(IF((Calc!$K$8:$K$500=Kanban!D$11)*(Calc!$Y$8:$Y$500&gt;0),Calc!$Y$8:$Y$500,99999),$B137),Calc!$Y$8:$Y$500,0)),Calc!$D$8:$D$500,0)),
INDEX(Calc!$F$8:$F$500,MATCH(INDEX(Calc!$D$8:$D$500,MATCH(SMALL(IF((Calc!$K$8:$K$500=Kanban!D$11)*(Calc!$C$8:$C$500=Kanban!$C$7)*(Calc!$Y$8:$Y$500&gt;0),Calc!$Y$8:$Y$500,99999),$B137),Calc!$Y$8:$Y$500,0)),Calc!$D$8:$D$500,0)) ),"-")</f>
        <v>-</v>
      </c>
      <c r="G139" s="53" t="str">
        <f t="array" ref="G139">IFERROR(IF(Kanban!$C$7="All",INDEX(Calc!$F$8:$F$500,MATCH(INDEX(Calc!$D$8:$D$500,MATCH(SMALL(IF((Calc!$K$8:$K$500=Kanban!E$11)*(Calc!$Y$8:$Y$500&gt;0),Calc!$Y$8:$Y$500,99999),$B137),Calc!$Y$8:$Y$500,0)),Calc!$D$8:$D$500,0)),
INDEX(Calc!$F$8:$F$500,MATCH(INDEX(Calc!$D$8:$D$500,MATCH(SMALL(IF((Calc!$K$8:$K$500=Kanban!E$11)*(Calc!$C$8:$C$500=Kanban!$C$7)*(Calc!$Y$8:$Y$500&gt;0),Calc!$Y$8:$Y$500,99999),$B137),Calc!$Y$8:$Y$500,0)),Calc!$D$8:$D$500,0)) ),"-")</f>
        <v>-</v>
      </c>
      <c r="H139" s="53" t="str">
        <f t="array" ref="H139">IFERROR(IF(Kanban!$C$7="All",INDEX(Calc!$F$8:$F$500,MATCH(INDEX(Calc!$D$8:$D$500,MATCH(SMALL(IF((Calc!$K$8:$K$500=Kanban!F$11)*(Calc!$Y$8:$Y$500&gt;0),Calc!$Y$8:$Y$500,99999),$B137),Calc!$Y$8:$Y$500,0)),Calc!$D$8:$D$500,0)),
INDEX(Calc!$F$8:$F$500,MATCH(INDEX(Calc!$D$8:$D$500,MATCH(SMALL(IF((Calc!$K$8:$K$500=Kanban!F$11)*(Calc!$C$8:$C$500=Kanban!$C$7)*(Calc!$Y$8:$Y$500&gt;0),Calc!$Y$8:$Y$500,99999),$B137),Calc!$Y$8:$Y$500,0)),Calc!$D$8:$D$500,0)) ),"-")</f>
        <v>-</v>
      </c>
      <c r="I139" s="53" t="str">
        <f t="array" ref="I139">IFERROR(IF(Kanban!$C$7="All",INDEX(Calc!$F$8:$F$500,MATCH(INDEX(Calc!$D$8:$D$500,MATCH(SMALL(IF((Calc!$K$8:$K$500=Kanban!G$11)*(Calc!$Y$8:$Y$500&gt;0),Calc!$Y$8:$Y$500,99999),$B137),Calc!$Y$8:$Y$500,0)),Calc!$D$8:$D$500,0)),
INDEX(Calc!$F$8:$F$500,MATCH(INDEX(Calc!$D$8:$D$500,MATCH(SMALL(IF((Calc!$K$8:$K$500=Kanban!G$11)*(Calc!$C$8:$C$500=Kanban!$C$7)*(Calc!$Y$8:$Y$500&gt;0),Calc!$Y$8:$Y$500,99999),$B137),Calc!$Y$8:$Y$500,0)),Calc!$D$8:$D$500,0)) ),"-")</f>
        <v>-</v>
      </c>
      <c r="J139" s="53" t="str">
        <f t="array" ref="J139">IFERROR(IF(Kanban!$C$7="All",INDEX(Calc!$F$8:$F$500,MATCH(INDEX(Calc!$D$8:$D$500,MATCH(SMALL(IF((Calc!$K$8:$K$500=Kanban!H$11)*(Calc!$Y$8:$Y$500&gt;0),Calc!$Y$8:$Y$500,99999),$B137),Calc!$Y$8:$Y$500,0)),Calc!$D$8:$D$500,0)),
INDEX(Calc!$F$8:$F$500,MATCH(INDEX(Calc!$D$8:$D$500,MATCH(SMALL(IF((Calc!$K$8:$K$500=Kanban!H$11)*(Calc!$C$8:$C$500=Kanban!$C$7)*(Calc!$Y$8:$Y$500&gt;0),Calc!$Y$8:$Y$500,99999),$B137),Calc!$Y$8:$Y$500,0)),Calc!$D$8:$D$500,0)) ),"-")</f>
        <v>-</v>
      </c>
    </row>
    <row r="140" spans="2:10" x14ac:dyDescent="0.35">
      <c r="B140" s="54">
        <f t="shared" si="89"/>
        <v>46</v>
      </c>
      <c r="C140" s="18"/>
      <c r="D140" s="18"/>
      <c r="E140" s="52" t="str">
        <f t="shared" ref="E140:J140" si="93">IFERROR(E142,"-")</f>
        <v>-</v>
      </c>
      <c r="F140" s="52" t="str">
        <f t="shared" si="93"/>
        <v>-</v>
      </c>
      <c r="G140" s="52" t="str">
        <f t="shared" si="93"/>
        <v>-</v>
      </c>
      <c r="H140" s="52" t="str">
        <f t="shared" si="93"/>
        <v>-</v>
      </c>
      <c r="I140" s="52" t="str">
        <f t="shared" si="93"/>
        <v>-</v>
      </c>
      <c r="J140" s="52" t="str">
        <f t="shared" si="93"/>
        <v>-</v>
      </c>
    </row>
    <row r="141" spans="2:10" x14ac:dyDescent="0.35">
      <c r="B141" s="54">
        <f t="shared" si="89"/>
        <v>46</v>
      </c>
      <c r="C141" s="18"/>
      <c r="D141" s="18"/>
      <c r="E141" s="52" t="str">
        <f t="shared" ref="E141:J141" si="94">IFERROR(E142,"-")</f>
        <v>-</v>
      </c>
      <c r="F141" s="52" t="str">
        <f t="shared" si="94"/>
        <v>-</v>
      </c>
      <c r="G141" s="52" t="str">
        <f t="shared" si="94"/>
        <v>-</v>
      </c>
      <c r="H141" s="52" t="str">
        <f t="shared" si="94"/>
        <v>-</v>
      </c>
      <c r="I141" s="52" t="str">
        <f t="shared" si="94"/>
        <v>-</v>
      </c>
      <c r="J141" s="52" t="str">
        <f t="shared" si="94"/>
        <v>-</v>
      </c>
    </row>
    <row r="142" spans="2:10" x14ac:dyDescent="0.35">
      <c r="B142" s="54">
        <f t="shared" si="89"/>
        <v>46</v>
      </c>
      <c r="C142" s="18"/>
      <c r="D142" s="18"/>
      <c r="E142" s="53" t="str">
        <f t="array" ref="E142">IFERROR(IF(Kanban!$C$7="All",INDEX(Calc!$F$8:$F$500,MATCH(INDEX(Calc!$D$8:$D$500,MATCH(SMALL(IF((Calc!$K$8:$K$500=Kanban!C$11)*(Calc!$Y$8:$Y$500&gt;0),Calc!$Y$8:$Y$500,99999),$B140),Calc!$Y$8:$Y$500,0)),Calc!$D$8:$D$500,0)),
INDEX(Calc!$F$8:$F$500,MATCH(INDEX(Calc!$D$8:$D$500,MATCH(SMALL(IF((Calc!$K$8:$K$500=Kanban!C$11)*(Calc!$C$8:$C$500=Kanban!$C$7)*(Calc!$Y$8:$Y$500&gt;0),Calc!$Y$8:$Y$500,99999),$B140),Calc!$Y$8:$Y$500,0)),Calc!$D$8:$D$500,0)) ),"-")</f>
        <v>-</v>
      </c>
      <c r="F142" s="53" t="str">
        <f t="array" ref="F142">IFERROR(IF(Kanban!$C$7="All",INDEX(Calc!$F$8:$F$500,MATCH(INDEX(Calc!$D$8:$D$500,MATCH(SMALL(IF((Calc!$K$8:$K$500=Kanban!D$11)*(Calc!$Y$8:$Y$500&gt;0),Calc!$Y$8:$Y$500,99999),$B140),Calc!$Y$8:$Y$500,0)),Calc!$D$8:$D$500,0)),
INDEX(Calc!$F$8:$F$500,MATCH(INDEX(Calc!$D$8:$D$500,MATCH(SMALL(IF((Calc!$K$8:$K$500=Kanban!D$11)*(Calc!$C$8:$C$500=Kanban!$C$7)*(Calc!$Y$8:$Y$500&gt;0),Calc!$Y$8:$Y$500,99999),$B140),Calc!$Y$8:$Y$500,0)),Calc!$D$8:$D$500,0)) ),"-")</f>
        <v>-</v>
      </c>
      <c r="G142" s="53" t="str">
        <f t="array" ref="G142">IFERROR(IF(Kanban!$C$7="All",INDEX(Calc!$F$8:$F$500,MATCH(INDEX(Calc!$D$8:$D$500,MATCH(SMALL(IF((Calc!$K$8:$K$500=Kanban!E$11)*(Calc!$Y$8:$Y$500&gt;0),Calc!$Y$8:$Y$500,99999),$B140),Calc!$Y$8:$Y$500,0)),Calc!$D$8:$D$500,0)),
INDEX(Calc!$F$8:$F$500,MATCH(INDEX(Calc!$D$8:$D$500,MATCH(SMALL(IF((Calc!$K$8:$K$500=Kanban!E$11)*(Calc!$C$8:$C$500=Kanban!$C$7)*(Calc!$Y$8:$Y$500&gt;0),Calc!$Y$8:$Y$500,99999),$B140),Calc!$Y$8:$Y$500,0)),Calc!$D$8:$D$500,0)) ),"-")</f>
        <v>-</v>
      </c>
      <c r="H142" s="53" t="str">
        <f t="array" ref="H142">IFERROR(IF(Kanban!$C$7="All",INDEX(Calc!$F$8:$F$500,MATCH(INDEX(Calc!$D$8:$D$500,MATCH(SMALL(IF((Calc!$K$8:$K$500=Kanban!F$11)*(Calc!$Y$8:$Y$500&gt;0),Calc!$Y$8:$Y$500,99999),$B140),Calc!$Y$8:$Y$500,0)),Calc!$D$8:$D$500,0)),
INDEX(Calc!$F$8:$F$500,MATCH(INDEX(Calc!$D$8:$D$500,MATCH(SMALL(IF((Calc!$K$8:$K$500=Kanban!F$11)*(Calc!$C$8:$C$500=Kanban!$C$7)*(Calc!$Y$8:$Y$500&gt;0),Calc!$Y$8:$Y$500,99999),$B140),Calc!$Y$8:$Y$500,0)),Calc!$D$8:$D$500,0)) ),"-")</f>
        <v>-</v>
      </c>
      <c r="I142" s="53" t="str">
        <f t="array" ref="I142">IFERROR(IF(Kanban!$C$7="All",INDEX(Calc!$F$8:$F$500,MATCH(INDEX(Calc!$D$8:$D$500,MATCH(SMALL(IF((Calc!$K$8:$K$500=Kanban!G$11)*(Calc!$Y$8:$Y$500&gt;0),Calc!$Y$8:$Y$500,99999),$B140),Calc!$Y$8:$Y$500,0)),Calc!$D$8:$D$500,0)),
INDEX(Calc!$F$8:$F$500,MATCH(INDEX(Calc!$D$8:$D$500,MATCH(SMALL(IF((Calc!$K$8:$K$500=Kanban!G$11)*(Calc!$C$8:$C$500=Kanban!$C$7)*(Calc!$Y$8:$Y$500&gt;0),Calc!$Y$8:$Y$500,99999),$B140),Calc!$Y$8:$Y$500,0)),Calc!$D$8:$D$500,0)) ),"-")</f>
        <v>-</v>
      </c>
      <c r="J142" s="53" t="str">
        <f t="array" ref="J142">IFERROR(IF(Kanban!$C$7="All",INDEX(Calc!$F$8:$F$500,MATCH(INDEX(Calc!$D$8:$D$500,MATCH(SMALL(IF((Calc!$K$8:$K$500=Kanban!H$11)*(Calc!$Y$8:$Y$500&gt;0),Calc!$Y$8:$Y$500,99999),$B140),Calc!$Y$8:$Y$500,0)),Calc!$D$8:$D$500,0)),
INDEX(Calc!$F$8:$F$500,MATCH(INDEX(Calc!$D$8:$D$500,MATCH(SMALL(IF((Calc!$K$8:$K$500=Kanban!H$11)*(Calc!$C$8:$C$500=Kanban!$C$7)*(Calc!$Y$8:$Y$500&gt;0),Calc!$Y$8:$Y$500,99999),$B140),Calc!$Y$8:$Y$500,0)),Calc!$D$8:$D$500,0)) ),"-")</f>
        <v>-</v>
      </c>
    </row>
    <row r="143" spans="2:10" x14ac:dyDescent="0.35">
      <c r="B143" s="54">
        <f t="shared" si="89"/>
        <v>47</v>
      </c>
      <c r="C143" s="18"/>
      <c r="D143" s="18"/>
      <c r="E143" s="52" t="str">
        <f t="shared" ref="E143:J143" si="95">IFERROR(E145,"-")</f>
        <v>-</v>
      </c>
      <c r="F143" s="52" t="str">
        <f t="shared" si="95"/>
        <v>-</v>
      </c>
      <c r="G143" s="52" t="str">
        <f t="shared" si="95"/>
        <v>-</v>
      </c>
      <c r="H143" s="52" t="str">
        <f t="shared" si="95"/>
        <v>-</v>
      </c>
      <c r="I143" s="52" t="str">
        <f t="shared" si="95"/>
        <v>-</v>
      </c>
      <c r="J143" s="52" t="str">
        <f t="shared" si="95"/>
        <v>-</v>
      </c>
    </row>
    <row r="144" spans="2:10" x14ac:dyDescent="0.35">
      <c r="B144" s="54">
        <f t="shared" si="89"/>
        <v>47</v>
      </c>
      <c r="C144" s="18"/>
      <c r="D144" s="18"/>
      <c r="E144" s="52" t="str">
        <f t="shared" ref="E144:J144" si="96">IFERROR(E145,"-")</f>
        <v>-</v>
      </c>
      <c r="F144" s="52" t="str">
        <f t="shared" si="96"/>
        <v>-</v>
      </c>
      <c r="G144" s="52" t="str">
        <f t="shared" si="96"/>
        <v>-</v>
      </c>
      <c r="H144" s="52" t="str">
        <f t="shared" si="96"/>
        <v>-</v>
      </c>
      <c r="I144" s="52" t="str">
        <f t="shared" si="96"/>
        <v>-</v>
      </c>
      <c r="J144" s="52" t="str">
        <f t="shared" si="96"/>
        <v>-</v>
      </c>
    </row>
    <row r="145" spans="2:10" x14ac:dyDescent="0.35">
      <c r="B145" s="54">
        <f t="shared" si="89"/>
        <v>47</v>
      </c>
      <c r="C145" s="18"/>
      <c r="D145" s="18"/>
      <c r="E145" s="53" t="str">
        <f t="array" ref="E145">IFERROR(IF(Kanban!$C$7="All",INDEX(Calc!$F$8:$F$500,MATCH(INDEX(Calc!$D$8:$D$500,MATCH(SMALL(IF((Calc!$K$8:$K$500=Kanban!C$11)*(Calc!$Y$8:$Y$500&gt;0),Calc!$Y$8:$Y$500,99999),$B143),Calc!$Y$8:$Y$500,0)),Calc!$D$8:$D$500,0)),
INDEX(Calc!$F$8:$F$500,MATCH(INDEX(Calc!$D$8:$D$500,MATCH(SMALL(IF((Calc!$K$8:$K$500=Kanban!C$11)*(Calc!$C$8:$C$500=Kanban!$C$7)*(Calc!$Y$8:$Y$500&gt;0),Calc!$Y$8:$Y$500,99999),$B143),Calc!$Y$8:$Y$500,0)),Calc!$D$8:$D$500,0)) ),"-")</f>
        <v>-</v>
      </c>
      <c r="F145" s="53" t="str">
        <f t="array" ref="F145">IFERROR(IF(Kanban!$C$7="All",INDEX(Calc!$F$8:$F$500,MATCH(INDEX(Calc!$D$8:$D$500,MATCH(SMALL(IF((Calc!$K$8:$K$500=Kanban!D$11)*(Calc!$Y$8:$Y$500&gt;0),Calc!$Y$8:$Y$500,99999),$B143),Calc!$Y$8:$Y$500,0)),Calc!$D$8:$D$500,0)),
INDEX(Calc!$F$8:$F$500,MATCH(INDEX(Calc!$D$8:$D$500,MATCH(SMALL(IF((Calc!$K$8:$K$500=Kanban!D$11)*(Calc!$C$8:$C$500=Kanban!$C$7)*(Calc!$Y$8:$Y$500&gt;0),Calc!$Y$8:$Y$500,99999),$B143),Calc!$Y$8:$Y$500,0)),Calc!$D$8:$D$500,0)) ),"-")</f>
        <v>-</v>
      </c>
      <c r="G145" s="53" t="str">
        <f t="array" ref="G145">IFERROR(IF(Kanban!$C$7="All",INDEX(Calc!$F$8:$F$500,MATCH(INDEX(Calc!$D$8:$D$500,MATCH(SMALL(IF((Calc!$K$8:$K$500=Kanban!E$11)*(Calc!$Y$8:$Y$500&gt;0),Calc!$Y$8:$Y$500,99999),$B143),Calc!$Y$8:$Y$500,0)),Calc!$D$8:$D$500,0)),
INDEX(Calc!$F$8:$F$500,MATCH(INDEX(Calc!$D$8:$D$500,MATCH(SMALL(IF((Calc!$K$8:$K$500=Kanban!E$11)*(Calc!$C$8:$C$500=Kanban!$C$7)*(Calc!$Y$8:$Y$500&gt;0),Calc!$Y$8:$Y$500,99999),$B143),Calc!$Y$8:$Y$500,0)),Calc!$D$8:$D$500,0)) ),"-")</f>
        <v>-</v>
      </c>
      <c r="H145" s="53" t="str">
        <f t="array" ref="H145">IFERROR(IF(Kanban!$C$7="All",INDEX(Calc!$F$8:$F$500,MATCH(INDEX(Calc!$D$8:$D$500,MATCH(SMALL(IF((Calc!$K$8:$K$500=Kanban!F$11)*(Calc!$Y$8:$Y$500&gt;0),Calc!$Y$8:$Y$500,99999),$B143),Calc!$Y$8:$Y$500,0)),Calc!$D$8:$D$500,0)),
INDEX(Calc!$F$8:$F$500,MATCH(INDEX(Calc!$D$8:$D$500,MATCH(SMALL(IF((Calc!$K$8:$K$500=Kanban!F$11)*(Calc!$C$8:$C$500=Kanban!$C$7)*(Calc!$Y$8:$Y$500&gt;0),Calc!$Y$8:$Y$500,99999),$B143),Calc!$Y$8:$Y$500,0)),Calc!$D$8:$D$500,0)) ),"-")</f>
        <v>-</v>
      </c>
      <c r="I145" s="53" t="str">
        <f t="array" ref="I145">IFERROR(IF(Kanban!$C$7="All",INDEX(Calc!$F$8:$F$500,MATCH(INDEX(Calc!$D$8:$D$500,MATCH(SMALL(IF((Calc!$K$8:$K$500=Kanban!G$11)*(Calc!$Y$8:$Y$500&gt;0),Calc!$Y$8:$Y$500,99999),$B143),Calc!$Y$8:$Y$500,0)),Calc!$D$8:$D$500,0)),
INDEX(Calc!$F$8:$F$500,MATCH(INDEX(Calc!$D$8:$D$500,MATCH(SMALL(IF((Calc!$K$8:$K$500=Kanban!G$11)*(Calc!$C$8:$C$500=Kanban!$C$7)*(Calc!$Y$8:$Y$500&gt;0),Calc!$Y$8:$Y$500,99999),$B143),Calc!$Y$8:$Y$500,0)),Calc!$D$8:$D$500,0)) ),"-")</f>
        <v>-</v>
      </c>
      <c r="J145" s="53" t="str">
        <f t="array" ref="J145">IFERROR(IF(Kanban!$C$7="All",INDEX(Calc!$F$8:$F$500,MATCH(INDEX(Calc!$D$8:$D$500,MATCH(SMALL(IF((Calc!$K$8:$K$500=Kanban!H$11)*(Calc!$Y$8:$Y$500&gt;0),Calc!$Y$8:$Y$500,99999),$B143),Calc!$Y$8:$Y$500,0)),Calc!$D$8:$D$500,0)),
INDEX(Calc!$F$8:$F$500,MATCH(INDEX(Calc!$D$8:$D$500,MATCH(SMALL(IF((Calc!$K$8:$K$500=Kanban!H$11)*(Calc!$C$8:$C$500=Kanban!$C$7)*(Calc!$Y$8:$Y$500&gt;0),Calc!$Y$8:$Y$500,99999),$B143),Calc!$Y$8:$Y$500,0)),Calc!$D$8:$D$500,0)) ),"-")</f>
        <v>-</v>
      </c>
    </row>
    <row r="146" spans="2:10" x14ac:dyDescent="0.35">
      <c r="B146" s="54">
        <f t="shared" si="89"/>
        <v>48</v>
      </c>
      <c r="C146" s="18"/>
      <c r="D146" s="18"/>
      <c r="E146" s="52" t="str">
        <f t="shared" ref="E146:J146" si="97">IFERROR(E148,"-")</f>
        <v>-</v>
      </c>
      <c r="F146" s="52" t="str">
        <f t="shared" si="97"/>
        <v>-</v>
      </c>
      <c r="G146" s="52" t="str">
        <f t="shared" si="97"/>
        <v>-</v>
      </c>
      <c r="H146" s="52" t="str">
        <f t="shared" si="97"/>
        <v>-</v>
      </c>
      <c r="I146" s="52" t="str">
        <f t="shared" si="97"/>
        <v>-</v>
      </c>
      <c r="J146" s="52" t="str">
        <f t="shared" si="97"/>
        <v>-</v>
      </c>
    </row>
    <row r="147" spans="2:10" x14ac:dyDescent="0.35">
      <c r="B147" s="54">
        <f t="shared" si="89"/>
        <v>48</v>
      </c>
      <c r="C147" s="18"/>
      <c r="D147" s="18"/>
      <c r="E147" s="52" t="str">
        <f t="shared" ref="E147:J147" si="98">IFERROR(E148,"-")</f>
        <v>-</v>
      </c>
      <c r="F147" s="52" t="str">
        <f t="shared" si="98"/>
        <v>-</v>
      </c>
      <c r="G147" s="52" t="str">
        <f t="shared" si="98"/>
        <v>-</v>
      </c>
      <c r="H147" s="52" t="str">
        <f t="shared" si="98"/>
        <v>-</v>
      </c>
      <c r="I147" s="52" t="str">
        <f t="shared" si="98"/>
        <v>-</v>
      </c>
      <c r="J147" s="52" t="str">
        <f t="shared" si="98"/>
        <v>-</v>
      </c>
    </row>
    <row r="148" spans="2:10" x14ac:dyDescent="0.35">
      <c r="B148" s="54">
        <f t="shared" si="89"/>
        <v>48</v>
      </c>
      <c r="C148" s="18"/>
      <c r="D148" s="18"/>
      <c r="E148" s="53" t="str">
        <f t="array" ref="E148">IFERROR(IF(Kanban!$C$7="All",INDEX(Calc!$F$8:$F$500,MATCH(INDEX(Calc!$D$8:$D$500,MATCH(SMALL(IF((Calc!$K$8:$K$500=Kanban!C$11)*(Calc!$Y$8:$Y$500&gt;0),Calc!$Y$8:$Y$500,99999),$B146),Calc!$Y$8:$Y$500,0)),Calc!$D$8:$D$500,0)),
INDEX(Calc!$F$8:$F$500,MATCH(INDEX(Calc!$D$8:$D$500,MATCH(SMALL(IF((Calc!$K$8:$K$500=Kanban!C$11)*(Calc!$C$8:$C$500=Kanban!$C$7)*(Calc!$Y$8:$Y$500&gt;0),Calc!$Y$8:$Y$500,99999),$B146),Calc!$Y$8:$Y$500,0)),Calc!$D$8:$D$500,0)) ),"-")</f>
        <v>-</v>
      </c>
      <c r="F148" s="53" t="str">
        <f t="array" ref="F148">IFERROR(IF(Kanban!$C$7="All",INDEX(Calc!$F$8:$F$500,MATCH(INDEX(Calc!$D$8:$D$500,MATCH(SMALL(IF((Calc!$K$8:$K$500=Kanban!D$11)*(Calc!$Y$8:$Y$500&gt;0),Calc!$Y$8:$Y$500,99999),$B146),Calc!$Y$8:$Y$500,0)),Calc!$D$8:$D$500,0)),
INDEX(Calc!$F$8:$F$500,MATCH(INDEX(Calc!$D$8:$D$500,MATCH(SMALL(IF((Calc!$K$8:$K$500=Kanban!D$11)*(Calc!$C$8:$C$500=Kanban!$C$7)*(Calc!$Y$8:$Y$500&gt;0),Calc!$Y$8:$Y$500,99999),$B146),Calc!$Y$8:$Y$500,0)),Calc!$D$8:$D$500,0)) ),"-")</f>
        <v>-</v>
      </c>
      <c r="G148" s="53" t="str">
        <f t="array" ref="G148">IFERROR(IF(Kanban!$C$7="All",INDEX(Calc!$F$8:$F$500,MATCH(INDEX(Calc!$D$8:$D$500,MATCH(SMALL(IF((Calc!$K$8:$K$500=Kanban!E$11)*(Calc!$Y$8:$Y$500&gt;0),Calc!$Y$8:$Y$500,99999),$B146),Calc!$Y$8:$Y$500,0)),Calc!$D$8:$D$500,0)),
INDEX(Calc!$F$8:$F$500,MATCH(INDEX(Calc!$D$8:$D$500,MATCH(SMALL(IF((Calc!$K$8:$K$500=Kanban!E$11)*(Calc!$C$8:$C$500=Kanban!$C$7)*(Calc!$Y$8:$Y$500&gt;0),Calc!$Y$8:$Y$500,99999),$B146),Calc!$Y$8:$Y$500,0)),Calc!$D$8:$D$500,0)) ),"-")</f>
        <v>-</v>
      </c>
      <c r="H148" s="53" t="str">
        <f t="array" ref="H148">IFERROR(IF(Kanban!$C$7="All",INDEX(Calc!$F$8:$F$500,MATCH(INDEX(Calc!$D$8:$D$500,MATCH(SMALL(IF((Calc!$K$8:$K$500=Kanban!F$11)*(Calc!$Y$8:$Y$500&gt;0),Calc!$Y$8:$Y$500,99999),$B146),Calc!$Y$8:$Y$500,0)),Calc!$D$8:$D$500,0)),
INDEX(Calc!$F$8:$F$500,MATCH(INDEX(Calc!$D$8:$D$500,MATCH(SMALL(IF((Calc!$K$8:$K$500=Kanban!F$11)*(Calc!$C$8:$C$500=Kanban!$C$7)*(Calc!$Y$8:$Y$500&gt;0),Calc!$Y$8:$Y$500,99999),$B146),Calc!$Y$8:$Y$500,0)),Calc!$D$8:$D$500,0)) ),"-")</f>
        <v>-</v>
      </c>
      <c r="I148" s="53" t="str">
        <f t="array" ref="I148">IFERROR(IF(Kanban!$C$7="All",INDEX(Calc!$F$8:$F$500,MATCH(INDEX(Calc!$D$8:$D$500,MATCH(SMALL(IF((Calc!$K$8:$K$500=Kanban!G$11)*(Calc!$Y$8:$Y$500&gt;0),Calc!$Y$8:$Y$500,99999),$B146),Calc!$Y$8:$Y$500,0)),Calc!$D$8:$D$500,0)),
INDEX(Calc!$F$8:$F$500,MATCH(INDEX(Calc!$D$8:$D$500,MATCH(SMALL(IF((Calc!$K$8:$K$500=Kanban!G$11)*(Calc!$C$8:$C$500=Kanban!$C$7)*(Calc!$Y$8:$Y$500&gt;0),Calc!$Y$8:$Y$500,99999),$B146),Calc!$Y$8:$Y$500,0)),Calc!$D$8:$D$500,0)) ),"-")</f>
        <v>-</v>
      </c>
      <c r="J148" s="53" t="str">
        <f t="array" ref="J148">IFERROR(IF(Kanban!$C$7="All",INDEX(Calc!$F$8:$F$500,MATCH(INDEX(Calc!$D$8:$D$500,MATCH(SMALL(IF((Calc!$K$8:$K$500=Kanban!H$11)*(Calc!$Y$8:$Y$500&gt;0),Calc!$Y$8:$Y$500,99999),$B146),Calc!$Y$8:$Y$500,0)),Calc!$D$8:$D$500,0)),
INDEX(Calc!$F$8:$F$500,MATCH(INDEX(Calc!$D$8:$D$500,MATCH(SMALL(IF((Calc!$K$8:$K$500=Kanban!H$11)*(Calc!$C$8:$C$500=Kanban!$C$7)*(Calc!$Y$8:$Y$500&gt;0),Calc!$Y$8:$Y$500,99999),$B146),Calc!$Y$8:$Y$500,0)),Calc!$D$8:$D$500,0)) ),"-")</f>
        <v>-</v>
      </c>
    </row>
    <row r="149" spans="2:10" x14ac:dyDescent="0.35">
      <c r="B149" s="54">
        <f t="shared" si="89"/>
        <v>49</v>
      </c>
      <c r="C149" s="18"/>
      <c r="D149" s="18"/>
      <c r="E149" s="52" t="str">
        <f t="shared" ref="E149:J149" si="99">IFERROR(E151,"-")</f>
        <v>-</v>
      </c>
      <c r="F149" s="52" t="str">
        <f t="shared" si="99"/>
        <v>-</v>
      </c>
      <c r="G149" s="52" t="str">
        <f t="shared" si="99"/>
        <v>-</v>
      </c>
      <c r="H149" s="52" t="str">
        <f t="shared" si="99"/>
        <v>-</v>
      </c>
      <c r="I149" s="52" t="str">
        <f t="shared" si="99"/>
        <v>-</v>
      </c>
      <c r="J149" s="52" t="str">
        <f t="shared" si="99"/>
        <v>-</v>
      </c>
    </row>
    <row r="150" spans="2:10" x14ac:dyDescent="0.35">
      <c r="B150" s="54">
        <f t="shared" si="89"/>
        <v>49</v>
      </c>
      <c r="C150" s="18"/>
      <c r="D150" s="18"/>
      <c r="E150" s="52" t="str">
        <f t="shared" ref="E150:J150" si="100">IFERROR(E151,"-")</f>
        <v>-</v>
      </c>
      <c r="F150" s="52" t="str">
        <f t="shared" si="100"/>
        <v>-</v>
      </c>
      <c r="G150" s="52" t="str">
        <f t="shared" si="100"/>
        <v>-</v>
      </c>
      <c r="H150" s="52" t="str">
        <f t="shared" si="100"/>
        <v>-</v>
      </c>
      <c r="I150" s="52" t="str">
        <f t="shared" si="100"/>
        <v>-</v>
      </c>
      <c r="J150" s="52" t="str">
        <f t="shared" si="100"/>
        <v>-</v>
      </c>
    </row>
    <row r="151" spans="2:10" x14ac:dyDescent="0.35">
      <c r="B151" s="54">
        <f t="shared" si="89"/>
        <v>49</v>
      </c>
      <c r="C151" s="18"/>
      <c r="D151" s="18"/>
      <c r="E151" s="53" t="str">
        <f t="array" ref="E151">IFERROR(IF(Kanban!$C$7="All",INDEX(Calc!$F$8:$F$500,MATCH(INDEX(Calc!$D$8:$D$500,MATCH(SMALL(IF((Calc!$K$8:$K$500=Kanban!C$11)*(Calc!$Y$8:$Y$500&gt;0),Calc!$Y$8:$Y$500,99999),$B149),Calc!$Y$8:$Y$500,0)),Calc!$D$8:$D$500,0)),
INDEX(Calc!$F$8:$F$500,MATCH(INDEX(Calc!$D$8:$D$500,MATCH(SMALL(IF((Calc!$K$8:$K$500=Kanban!C$11)*(Calc!$C$8:$C$500=Kanban!$C$7)*(Calc!$Y$8:$Y$500&gt;0),Calc!$Y$8:$Y$500,99999),$B149),Calc!$Y$8:$Y$500,0)),Calc!$D$8:$D$500,0)) ),"-")</f>
        <v>-</v>
      </c>
      <c r="F151" s="53" t="str">
        <f t="array" ref="F151">IFERROR(IF(Kanban!$C$7="All",INDEX(Calc!$F$8:$F$500,MATCH(INDEX(Calc!$D$8:$D$500,MATCH(SMALL(IF((Calc!$K$8:$K$500=Kanban!D$11)*(Calc!$Y$8:$Y$500&gt;0),Calc!$Y$8:$Y$500,99999),$B149),Calc!$Y$8:$Y$500,0)),Calc!$D$8:$D$500,0)),
INDEX(Calc!$F$8:$F$500,MATCH(INDEX(Calc!$D$8:$D$500,MATCH(SMALL(IF((Calc!$K$8:$K$500=Kanban!D$11)*(Calc!$C$8:$C$500=Kanban!$C$7)*(Calc!$Y$8:$Y$500&gt;0),Calc!$Y$8:$Y$500,99999),$B149),Calc!$Y$8:$Y$500,0)),Calc!$D$8:$D$500,0)) ),"-")</f>
        <v>-</v>
      </c>
      <c r="G151" s="53" t="str">
        <f t="array" ref="G151">IFERROR(IF(Kanban!$C$7="All",INDEX(Calc!$F$8:$F$500,MATCH(INDEX(Calc!$D$8:$D$500,MATCH(SMALL(IF((Calc!$K$8:$K$500=Kanban!E$11)*(Calc!$Y$8:$Y$500&gt;0),Calc!$Y$8:$Y$500,99999),$B149),Calc!$Y$8:$Y$500,0)),Calc!$D$8:$D$500,0)),
INDEX(Calc!$F$8:$F$500,MATCH(INDEX(Calc!$D$8:$D$500,MATCH(SMALL(IF((Calc!$K$8:$K$500=Kanban!E$11)*(Calc!$C$8:$C$500=Kanban!$C$7)*(Calc!$Y$8:$Y$500&gt;0),Calc!$Y$8:$Y$500,99999),$B149),Calc!$Y$8:$Y$500,0)),Calc!$D$8:$D$500,0)) ),"-")</f>
        <v>-</v>
      </c>
      <c r="H151" s="53" t="str">
        <f t="array" ref="H151">IFERROR(IF(Kanban!$C$7="All",INDEX(Calc!$F$8:$F$500,MATCH(INDEX(Calc!$D$8:$D$500,MATCH(SMALL(IF((Calc!$K$8:$K$500=Kanban!F$11)*(Calc!$Y$8:$Y$500&gt;0),Calc!$Y$8:$Y$500,99999),$B149),Calc!$Y$8:$Y$500,0)),Calc!$D$8:$D$500,0)),
INDEX(Calc!$F$8:$F$500,MATCH(INDEX(Calc!$D$8:$D$500,MATCH(SMALL(IF((Calc!$K$8:$K$500=Kanban!F$11)*(Calc!$C$8:$C$500=Kanban!$C$7)*(Calc!$Y$8:$Y$500&gt;0),Calc!$Y$8:$Y$500,99999),$B149),Calc!$Y$8:$Y$500,0)),Calc!$D$8:$D$500,0)) ),"-")</f>
        <v>-</v>
      </c>
      <c r="I151" s="53" t="str">
        <f t="array" ref="I151">IFERROR(IF(Kanban!$C$7="All",INDEX(Calc!$F$8:$F$500,MATCH(INDEX(Calc!$D$8:$D$500,MATCH(SMALL(IF((Calc!$K$8:$K$500=Kanban!G$11)*(Calc!$Y$8:$Y$500&gt;0),Calc!$Y$8:$Y$500,99999),$B149),Calc!$Y$8:$Y$500,0)),Calc!$D$8:$D$500,0)),
INDEX(Calc!$F$8:$F$500,MATCH(INDEX(Calc!$D$8:$D$500,MATCH(SMALL(IF((Calc!$K$8:$K$500=Kanban!G$11)*(Calc!$C$8:$C$500=Kanban!$C$7)*(Calc!$Y$8:$Y$500&gt;0),Calc!$Y$8:$Y$500,99999),$B149),Calc!$Y$8:$Y$500,0)),Calc!$D$8:$D$500,0)) ),"-")</f>
        <v>-</v>
      </c>
      <c r="J151" s="53" t="str">
        <f t="array" ref="J151">IFERROR(IF(Kanban!$C$7="All",INDEX(Calc!$F$8:$F$500,MATCH(INDEX(Calc!$D$8:$D$500,MATCH(SMALL(IF((Calc!$K$8:$K$500=Kanban!H$11)*(Calc!$Y$8:$Y$500&gt;0),Calc!$Y$8:$Y$500,99999),$B149),Calc!$Y$8:$Y$500,0)),Calc!$D$8:$D$500,0)),
INDEX(Calc!$F$8:$F$500,MATCH(INDEX(Calc!$D$8:$D$500,MATCH(SMALL(IF((Calc!$K$8:$K$500=Kanban!H$11)*(Calc!$C$8:$C$500=Kanban!$C$7)*(Calc!$Y$8:$Y$500&gt;0),Calc!$Y$8:$Y$500,99999),$B149),Calc!$Y$8:$Y$500,0)),Calc!$D$8:$D$500,0)) ),"-")</f>
        <v>-</v>
      </c>
    </row>
    <row r="152" spans="2:10" x14ac:dyDescent="0.35">
      <c r="B152" s="54">
        <f t="shared" si="89"/>
        <v>50</v>
      </c>
      <c r="C152" s="18"/>
      <c r="D152" s="18"/>
      <c r="E152" s="52" t="str">
        <f t="shared" ref="E152:J152" si="101">IFERROR(E154,"-")</f>
        <v>-</v>
      </c>
      <c r="F152" s="52" t="str">
        <f t="shared" si="101"/>
        <v>-</v>
      </c>
      <c r="G152" s="52" t="str">
        <f t="shared" si="101"/>
        <v>-</v>
      </c>
      <c r="H152" s="52" t="str">
        <f t="shared" si="101"/>
        <v>-</v>
      </c>
      <c r="I152" s="52" t="str">
        <f t="shared" si="101"/>
        <v>-</v>
      </c>
      <c r="J152" s="52" t="str">
        <f t="shared" si="101"/>
        <v>-</v>
      </c>
    </row>
    <row r="153" spans="2:10" x14ac:dyDescent="0.35">
      <c r="B153" s="54">
        <f t="shared" si="89"/>
        <v>50</v>
      </c>
      <c r="C153" s="18"/>
      <c r="D153" s="18"/>
      <c r="E153" s="52" t="str">
        <f t="shared" ref="E153:J153" si="102">IFERROR(E154,"-")</f>
        <v>-</v>
      </c>
      <c r="F153" s="52" t="str">
        <f t="shared" si="102"/>
        <v>-</v>
      </c>
      <c r="G153" s="52" t="str">
        <f t="shared" si="102"/>
        <v>-</v>
      </c>
      <c r="H153" s="52" t="str">
        <f t="shared" si="102"/>
        <v>-</v>
      </c>
      <c r="I153" s="52" t="str">
        <f t="shared" si="102"/>
        <v>-</v>
      </c>
      <c r="J153" s="52" t="str">
        <f t="shared" si="102"/>
        <v>-</v>
      </c>
    </row>
    <row r="154" spans="2:10" x14ac:dyDescent="0.35">
      <c r="B154" s="54">
        <f t="shared" si="89"/>
        <v>50</v>
      </c>
      <c r="C154" s="18"/>
      <c r="D154" s="18"/>
      <c r="E154" s="53" t="str">
        <f t="array" ref="E154">IFERROR(IF(Kanban!$C$7="All",INDEX(Calc!$F$8:$F$500,MATCH(INDEX(Calc!$D$8:$D$500,MATCH(SMALL(IF((Calc!$K$8:$K$500=Kanban!C$11)*(Calc!$Y$8:$Y$500&gt;0),Calc!$Y$8:$Y$500,99999),$B152),Calc!$Y$8:$Y$500,0)),Calc!$D$8:$D$500,0)),
INDEX(Calc!$F$8:$F$500,MATCH(INDEX(Calc!$D$8:$D$500,MATCH(SMALL(IF((Calc!$K$8:$K$500=Kanban!C$11)*(Calc!$C$8:$C$500=Kanban!$C$7)*(Calc!$Y$8:$Y$500&gt;0),Calc!$Y$8:$Y$500,99999),$B152),Calc!$Y$8:$Y$500,0)),Calc!$D$8:$D$500,0)) ),"-")</f>
        <v>-</v>
      </c>
      <c r="F154" s="53" t="str">
        <f t="array" ref="F154">IFERROR(IF(Kanban!$C$7="All",INDEX(Calc!$F$8:$F$500,MATCH(INDEX(Calc!$D$8:$D$500,MATCH(SMALL(IF((Calc!$K$8:$K$500=Kanban!D$11)*(Calc!$Y$8:$Y$500&gt;0),Calc!$Y$8:$Y$500,99999),$B152),Calc!$Y$8:$Y$500,0)),Calc!$D$8:$D$500,0)),
INDEX(Calc!$F$8:$F$500,MATCH(INDEX(Calc!$D$8:$D$500,MATCH(SMALL(IF((Calc!$K$8:$K$500=Kanban!D$11)*(Calc!$C$8:$C$500=Kanban!$C$7)*(Calc!$Y$8:$Y$500&gt;0),Calc!$Y$8:$Y$500,99999),$B152),Calc!$Y$8:$Y$500,0)),Calc!$D$8:$D$500,0)) ),"-")</f>
        <v>-</v>
      </c>
      <c r="G154" s="53" t="str">
        <f t="array" ref="G154">IFERROR(IF(Kanban!$C$7="All",INDEX(Calc!$F$8:$F$500,MATCH(INDEX(Calc!$D$8:$D$500,MATCH(SMALL(IF((Calc!$K$8:$K$500=Kanban!E$11)*(Calc!$Y$8:$Y$500&gt;0),Calc!$Y$8:$Y$500,99999),$B152),Calc!$Y$8:$Y$500,0)),Calc!$D$8:$D$500,0)),
INDEX(Calc!$F$8:$F$500,MATCH(INDEX(Calc!$D$8:$D$500,MATCH(SMALL(IF((Calc!$K$8:$K$500=Kanban!E$11)*(Calc!$C$8:$C$500=Kanban!$C$7)*(Calc!$Y$8:$Y$500&gt;0),Calc!$Y$8:$Y$500,99999),$B152),Calc!$Y$8:$Y$500,0)),Calc!$D$8:$D$500,0)) ),"-")</f>
        <v>-</v>
      </c>
      <c r="H154" s="53" t="str">
        <f t="array" ref="H154">IFERROR(IF(Kanban!$C$7="All",INDEX(Calc!$F$8:$F$500,MATCH(INDEX(Calc!$D$8:$D$500,MATCH(SMALL(IF((Calc!$K$8:$K$500=Kanban!F$11)*(Calc!$Y$8:$Y$500&gt;0),Calc!$Y$8:$Y$500,99999),$B152),Calc!$Y$8:$Y$500,0)),Calc!$D$8:$D$500,0)),
INDEX(Calc!$F$8:$F$500,MATCH(INDEX(Calc!$D$8:$D$500,MATCH(SMALL(IF((Calc!$K$8:$K$500=Kanban!F$11)*(Calc!$C$8:$C$500=Kanban!$C$7)*(Calc!$Y$8:$Y$500&gt;0),Calc!$Y$8:$Y$500,99999),$B152),Calc!$Y$8:$Y$500,0)),Calc!$D$8:$D$500,0)) ),"-")</f>
        <v>-</v>
      </c>
      <c r="I154" s="53" t="str">
        <f t="array" ref="I154">IFERROR(IF(Kanban!$C$7="All",INDEX(Calc!$F$8:$F$500,MATCH(INDEX(Calc!$D$8:$D$500,MATCH(SMALL(IF((Calc!$K$8:$K$500=Kanban!G$11)*(Calc!$Y$8:$Y$500&gt;0),Calc!$Y$8:$Y$500,99999),$B152),Calc!$Y$8:$Y$500,0)),Calc!$D$8:$D$500,0)),
INDEX(Calc!$F$8:$F$500,MATCH(INDEX(Calc!$D$8:$D$500,MATCH(SMALL(IF((Calc!$K$8:$K$500=Kanban!G$11)*(Calc!$C$8:$C$500=Kanban!$C$7)*(Calc!$Y$8:$Y$500&gt;0),Calc!$Y$8:$Y$500,99999),$B152),Calc!$Y$8:$Y$500,0)),Calc!$D$8:$D$500,0)) ),"-")</f>
        <v>-</v>
      </c>
      <c r="J154" s="53" t="str">
        <f t="array" ref="J154">IFERROR(IF(Kanban!$C$7="All",INDEX(Calc!$F$8:$F$500,MATCH(INDEX(Calc!$D$8:$D$500,MATCH(SMALL(IF((Calc!$K$8:$K$500=Kanban!H$11)*(Calc!$Y$8:$Y$500&gt;0),Calc!$Y$8:$Y$500,99999),$B152),Calc!$Y$8:$Y$500,0)),Calc!$D$8:$D$500,0)),
INDEX(Calc!$F$8:$F$500,MATCH(INDEX(Calc!$D$8:$D$500,MATCH(SMALL(IF((Calc!$K$8:$K$500=Kanban!H$11)*(Calc!$C$8:$C$500=Kanban!$C$7)*(Calc!$Y$8:$Y$500&gt;0),Calc!$Y$8:$Y$500,99999),$B152),Calc!$Y$8:$Y$500,0)),Calc!$D$8:$D$500,0)) ),"-")</f>
        <v>-</v>
      </c>
    </row>
    <row r="155" spans="2:10" x14ac:dyDescent="0.35">
      <c r="B155" s="54">
        <f t="shared" si="89"/>
        <v>51</v>
      </c>
      <c r="C155" s="18"/>
      <c r="D155" s="18"/>
      <c r="E155" s="52" t="str">
        <f t="shared" ref="E155:J155" si="103">IFERROR(E157,"-")</f>
        <v>-</v>
      </c>
      <c r="F155" s="52" t="str">
        <f t="shared" si="103"/>
        <v>-</v>
      </c>
      <c r="G155" s="52" t="str">
        <f t="shared" si="103"/>
        <v>-</v>
      </c>
      <c r="H155" s="52" t="str">
        <f t="shared" si="103"/>
        <v>-</v>
      </c>
      <c r="I155" s="52" t="str">
        <f t="shared" si="103"/>
        <v>-</v>
      </c>
      <c r="J155" s="52" t="str">
        <f t="shared" si="103"/>
        <v>-</v>
      </c>
    </row>
    <row r="156" spans="2:10" x14ac:dyDescent="0.35">
      <c r="B156" s="54">
        <f t="shared" si="89"/>
        <v>51</v>
      </c>
      <c r="C156" s="18"/>
      <c r="D156" s="18"/>
      <c r="E156" s="52" t="str">
        <f t="shared" ref="E156:J156" si="104">IFERROR(E157,"-")</f>
        <v>-</v>
      </c>
      <c r="F156" s="52" t="str">
        <f t="shared" si="104"/>
        <v>-</v>
      </c>
      <c r="G156" s="52" t="str">
        <f t="shared" si="104"/>
        <v>-</v>
      </c>
      <c r="H156" s="52" t="str">
        <f t="shared" si="104"/>
        <v>-</v>
      </c>
      <c r="I156" s="52" t="str">
        <f t="shared" si="104"/>
        <v>-</v>
      </c>
      <c r="J156" s="52" t="str">
        <f t="shared" si="104"/>
        <v>-</v>
      </c>
    </row>
    <row r="157" spans="2:10" x14ac:dyDescent="0.35">
      <c r="B157" s="54">
        <f t="shared" si="89"/>
        <v>51</v>
      </c>
      <c r="C157" s="18"/>
      <c r="D157" s="18"/>
      <c r="E157" s="53" t="str">
        <f t="array" ref="E157">IFERROR(IF(Kanban!$C$7="All",INDEX(Calc!$F$8:$F$500,MATCH(INDEX(Calc!$D$8:$D$500,MATCH(SMALL(IF((Calc!$K$8:$K$500=Kanban!C$11)*(Calc!$Y$8:$Y$500&gt;0),Calc!$Y$8:$Y$500,99999),$B155),Calc!$Y$8:$Y$500,0)),Calc!$D$8:$D$500,0)),
INDEX(Calc!$F$8:$F$500,MATCH(INDEX(Calc!$D$8:$D$500,MATCH(SMALL(IF((Calc!$K$8:$K$500=Kanban!C$11)*(Calc!$C$8:$C$500=Kanban!$C$7)*(Calc!$Y$8:$Y$500&gt;0),Calc!$Y$8:$Y$500,99999),$B155),Calc!$Y$8:$Y$500,0)),Calc!$D$8:$D$500,0)) ),"-")</f>
        <v>-</v>
      </c>
      <c r="F157" s="53" t="str">
        <f t="array" ref="F157">IFERROR(IF(Kanban!$C$7="All",INDEX(Calc!$F$8:$F$500,MATCH(INDEX(Calc!$D$8:$D$500,MATCH(SMALL(IF((Calc!$K$8:$K$500=Kanban!D$11)*(Calc!$Y$8:$Y$500&gt;0),Calc!$Y$8:$Y$500,99999),$B155),Calc!$Y$8:$Y$500,0)),Calc!$D$8:$D$500,0)),
INDEX(Calc!$F$8:$F$500,MATCH(INDEX(Calc!$D$8:$D$500,MATCH(SMALL(IF((Calc!$K$8:$K$500=Kanban!D$11)*(Calc!$C$8:$C$500=Kanban!$C$7)*(Calc!$Y$8:$Y$500&gt;0),Calc!$Y$8:$Y$500,99999),$B155),Calc!$Y$8:$Y$500,0)),Calc!$D$8:$D$500,0)) ),"-")</f>
        <v>-</v>
      </c>
      <c r="G157" s="53" t="str">
        <f t="array" ref="G157">IFERROR(IF(Kanban!$C$7="All",INDEX(Calc!$F$8:$F$500,MATCH(INDEX(Calc!$D$8:$D$500,MATCH(SMALL(IF((Calc!$K$8:$K$500=Kanban!E$11)*(Calc!$Y$8:$Y$500&gt;0),Calc!$Y$8:$Y$500,99999),$B155),Calc!$Y$8:$Y$500,0)),Calc!$D$8:$D$500,0)),
INDEX(Calc!$F$8:$F$500,MATCH(INDEX(Calc!$D$8:$D$500,MATCH(SMALL(IF((Calc!$K$8:$K$500=Kanban!E$11)*(Calc!$C$8:$C$500=Kanban!$C$7)*(Calc!$Y$8:$Y$500&gt;0),Calc!$Y$8:$Y$500,99999),$B155),Calc!$Y$8:$Y$500,0)),Calc!$D$8:$D$500,0)) ),"-")</f>
        <v>-</v>
      </c>
      <c r="H157" s="53" t="str">
        <f t="array" ref="H157">IFERROR(IF(Kanban!$C$7="All",INDEX(Calc!$F$8:$F$500,MATCH(INDEX(Calc!$D$8:$D$500,MATCH(SMALL(IF((Calc!$K$8:$K$500=Kanban!F$11)*(Calc!$Y$8:$Y$500&gt;0),Calc!$Y$8:$Y$500,99999),$B155),Calc!$Y$8:$Y$500,0)),Calc!$D$8:$D$500,0)),
INDEX(Calc!$F$8:$F$500,MATCH(INDEX(Calc!$D$8:$D$500,MATCH(SMALL(IF((Calc!$K$8:$K$500=Kanban!F$11)*(Calc!$C$8:$C$500=Kanban!$C$7)*(Calc!$Y$8:$Y$500&gt;0),Calc!$Y$8:$Y$500,99999),$B155),Calc!$Y$8:$Y$500,0)),Calc!$D$8:$D$500,0)) ),"-")</f>
        <v>-</v>
      </c>
      <c r="I157" s="53" t="str">
        <f t="array" ref="I157">IFERROR(IF(Kanban!$C$7="All",INDEX(Calc!$F$8:$F$500,MATCH(INDEX(Calc!$D$8:$D$500,MATCH(SMALL(IF((Calc!$K$8:$K$500=Kanban!G$11)*(Calc!$Y$8:$Y$500&gt;0),Calc!$Y$8:$Y$500,99999),$B155),Calc!$Y$8:$Y$500,0)),Calc!$D$8:$D$500,0)),
INDEX(Calc!$F$8:$F$500,MATCH(INDEX(Calc!$D$8:$D$500,MATCH(SMALL(IF((Calc!$K$8:$K$500=Kanban!G$11)*(Calc!$C$8:$C$500=Kanban!$C$7)*(Calc!$Y$8:$Y$500&gt;0),Calc!$Y$8:$Y$500,99999),$B155),Calc!$Y$8:$Y$500,0)),Calc!$D$8:$D$500,0)) ),"-")</f>
        <v>-</v>
      </c>
      <c r="J157" s="53" t="str">
        <f t="array" ref="J157">IFERROR(IF(Kanban!$C$7="All",INDEX(Calc!$F$8:$F$500,MATCH(INDEX(Calc!$D$8:$D$500,MATCH(SMALL(IF((Calc!$K$8:$K$500=Kanban!H$11)*(Calc!$Y$8:$Y$500&gt;0),Calc!$Y$8:$Y$500,99999),$B155),Calc!$Y$8:$Y$500,0)),Calc!$D$8:$D$500,0)),
INDEX(Calc!$F$8:$F$500,MATCH(INDEX(Calc!$D$8:$D$500,MATCH(SMALL(IF((Calc!$K$8:$K$500=Kanban!H$11)*(Calc!$C$8:$C$500=Kanban!$C$7)*(Calc!$Y$8:$Y$500&gt;0),Calc!$Y$8:$Y$500,99999),$B155),Calc!$Y$8:$Y$500,0)),Calc!$D$8:$D$500,0)) ),"-")</f>
        <v>-</v>
      </c>
    </row>
    <row r="158" spans="2:10" x14ac:dyDescent="0.35">
      <c r="B158" s="54">
        <f t="shared" si="89"/>
        <v>52</v>
      </c>
      <c r="C158" s="18"/>
      <c r="D158" s="18"/>
      <c r="E158" s="52" t="str">
        <f t="shared" ref="E158:J158" si="105">IFERROR(E160,"-")</f>
        <v>-</v>
      </c>
      <c r="F158" s="52" t="str">
        <f t="shared" si="105"/>
        <v>-</v>
      </c>
      <c r="G158" s="52" t="str">
        <f t="shared" si="105"/>
        <v>-</v>
      </c>
      <c r="H158" s="52" t="str">
        <f t="shared" si="105"/>
        <v>-</v>
      </c>
      <c r="I158" s="52" t="str">
        <f t="shared" si="105"/>
        <v>-</v>
      </c>
      <c r="J158" s="52" t="str">
        <f t="shared" si="105"/>
        <v>-</v>
      </c>
    </row>
    <row r="159" spans="2:10" x14ac:dyDescent="0.35">
      <c r="B159" s="54">
        <f t="shared" si="89"/>
        <v>52</v>
      </c>
      <c r="C159" s="18"/>
      <c r="D159" s="18"/>
      <c r="E159" s="52" t="str">
        <f t="shared" ref="E159:J159" si="106">IFERROR(E160,"-")</f>
        <v>-</v>
      </c>
      <c r="F159" s="52" t="str">
        <f t="shared" si="106"/>
        <v>-</v>
      </c>
      <c r="G159" s="52" t="str">
        <f t="shared" si="106"/>
        <v>-</v>
      </c>
      <c r="H159" s="52" t="str">
        <f t="shared" si="106"/>
        <v>-</v>
      </c>
      <c r="I159" s="52" t="str">
        <f t="shared" si="106"/>
        <v>-</v>
      </c>
      <c r="J159" s="52" t="str">
        <f t="shared" si="106"/>
        <v>-</v>
      </c>
    </row>
    <row r="160" spans="2:10" x14ac:dyDescent="0.35">
      <c r="B160" s="54">
        <f t="shared" si="89"/>
        <v>52</v>
      </c>
      <c r="C160" s="18"/>
      <c r="D160" s="18"/>
      <c r="E160" s="53" t="str">
        <f t="array" ref="E160">IFERROR(IF(Kanban!$C$7="All",INDEX(Calc!$F$8:$F$500,MATCH(INDEX(Calc!$D$8:$D$500,MATCH(SMALL(IF((Calc!$K$8:$K$500=Kanban!C$11)*(Calc!$Y$8:$Y$500&gt;0),Calc!$Y$8:$Y$500,99999),$B158),Calc!$Y$8:$Y$500,0)),Calc!$D$8:$D$500,0)),
INDEX(Calc!$F$8:$F$500,MATCH(INDEX(Calc!$D$8:$D$500,MATCH(SMALL(IF((Calc!$K$8:$K$500=Kanban!C$11)*(Calc!$C$8:$C$500=Kanban!$C$7)*(Calc!$Y$8:$Y$500&gt;0),Calc!$Y$8:$Y$500,99999),$B158),Calc!$Y$8:$Y$500,0)),Calc!$D$8:$D$500,0)) ),"-")</f>
        <v>-</v>
      </c>
      <c r="F160" s="53" t="str">
        <f t="array" ref="F160">IFERROR(IF(Kanban!$C$7="All",INDEX(Calc!$F$8:$F$500,MATCH(INDEX(Calc!$D$8:$D$500,MATCH(SMALL(IF((Calc!$K$8:$K$500=Kanban!D$11)*(Calc!$Y$8:$Y$500&gt;0),Calc!$Y$8:$Y$500,99999),$B158),Calc!$Y$8:$Y$500,0)),Calc!$D$8:$D$500,0)),
INDEX(Calc!$F$8:$F$500,MATCH(INDEX(Calc!$D$8:$D$500,MATCH(SMALL(IF((Calc!$K$8:$K$500=Kanban!D$11)*(Calc!$C$8:$C$500=Kanban!$C$7)*(Calc!$Y$8:$Y$500&gt;0),Calc!$Y$8:$Y$500,99999),$B158),Calc!$Y$8:$Y$500,0)),Calc!$D$8:$D$500,0)) ),"-")</f>
        <v>-</v>
      </c>
      <c r="G160" s="53" t="str">
        <f t="array" ref="G160">IFERROR(IF(Kanban!$C$7="All",INDEX(Calc!$F$8:$F$500,MATCH(INDEX(Calc!$D$8:$D$500,MATCH(SMALL(IF((Calc!$K$8:$K$500=Kanban!E$11)*(Calc!$Y$8:$Y$500&gt;0),Calc!$Y$8:$Y$500,99999),$B158),Calc!$Y$8:$Y$500,0)),Calc!$D$8:$D$500,0)),
INDEX(Calc!$F$8:$F$500,MATCH(INDEX(Calc!$D$8:$D$500,MATCH(SMALL(IF((Calc!$K$8:$K$500=Kanban!E$11)*(Calc!$C$8:$C$500=Kanban!$C$7)*(Calc!$Y$8:$Y$500&gt;0),Calc!$Y$8:$Y$500,99999),$B158),Calc!$Y$8:$Y$500,0)),Calc!$D$8:$D$500,0)) ),"-")</f>
        <v>-</v>
      </c>
      <c r="H160" s="53" t="str">
        <f t="array" ref="H160">IFERROR(IF(Kanban!$C$7="All",INDEX(Calc!$F$8:$F$500,MATCH(INDEX(Calc!$D$8:$D$500,MATCH(SMALL(IF((Calc!$K$8:$K$500=Kanban!F$11)*(Calc!$Y$8:$Y$500&gt;0),Calc!$Y$8:$Y$500,99999),$B158),Calc!$Y$8:$Y$500,0)),Calc!$D$8:$D$500,0)),
INDEX(Calc!$F$8:$F$500,MATCH(INDEX(Calc!$D$8:$D$500,MATCH(SMALL(IF((Calc!$K$8:$K$500=Kanban!F$11)*(Calc!$C$8:$C$500=Kanban!$C$7)*(Calc!$Y$8:$Y$500&gt;0),Calc!$Y$8:$Y$500,99999),$B158),Calc!$Y$8:$Y$500,0)),Calc!$D$8:$D$500,0)) ),"-")</f>
        <v>-</v>
      </c>
      <c r="I160" s="53" t="str">
        <f t="array" ref="I160">IFERROR(IF(Kanban!$C$7="All",INDEX(Calc!$F$8:$F$500,MATCH(INDEX(Calc!$D$8:$D$500,MATCH(SMALL(IF((Calc!$K$8:$K$500=Kanban!G$11)*(Calc!$Y$8:$Y$500&gt;0),Calc!$Y$8:$Y$500,99999),$B158),Calc!$Y$8:$Y$500,0)),Calc!$D$8:$D$500,0)),
INDEX(Calc!$F$8:$F$500,MATCH(INDEX(Calc!$D$8:$D$500,MATCH(SMALL(IF((Calc!$K$8:$K$500=Kanban!G$11)*(Calc!$C$8:$C$500=Kanban!$C$7)*(Calc!$Y$8:$Y$500&gt;0),Calc!$Y$8:$Y$500,99999),$B158),Calc!$Y$8:$Y$500,0)),Calc!$D$8:$D$500,0)) ),"-")</f>
        <v>-</v>
      </c>
      <c r="J160" s="53" t="str">
        <f t="array" ref="J160">IFERROR(IF(Kanban!$C$7="All",INDEX(Calc!$F$8:$F$500,MATCH(INDEX(Calc!$D$8:$D$500,MATCH(SMALL(IF((Calc!$K$8:$K$500=Kanban!H$11)*(Calc!$Y$8:$Y$500&gt;0),Calc!$Y$8:$Y$500,99999),$B158),Calc!$Y$8:$Y$500,0)),Calc!$D$8:$D$500,0)),
INDEX(Calc!$F$8:$F$500,MATCH(INDEX(Calc!$D$8:$D$500,MATCH(SMALL(IF((Calc!$K$8:$K$500=Kanban!H$11)*(Calc!$C$8:$C$500=Kanban!$C$7)*(Calc!$Y$8:$Y$500&gt;0),Calc!$Y$8:$Y$500,99999),$B158),Calc!$Y$8:$Y$500,0)),Calc!$D$8:$D$500,0)) ),"-")</f>
        <v>-</v>
      </c>
    </row>
    <row r="161" spans="2:10" x14ac:dyDescent="0.35">
      <c r="B161" s="54">
        <f t="shared" si="89"/>
        <v>53</v>
      </c>
      <c r="C161" s="18"/>
      <c r="D161" s="18"/>
      <c r="E161" s="52" t="str">
        <f t="shared" ref="E161:J161" si="107">IFERROR(E163,"-")</f>
        <v>-</v>
      </c>
      <c r="F161" s="52" t="str">
        <f t="shared" si="107"/>
        <v>-</v>
      </c>
      <c r="G161" s="52" t="str">
        <f t="shared" si="107"/>
        <v>-</v>
      </c>
      <c r="H161" s="52" t="str">
        <f t="shared" si="107"/>
        <v>-</v>
      </c>
      <c r="I161" s="52" t="str">
        <f t="shared" si="107"/>
        <v>-</v>
      </c>
      <c r="J161" s="52" t="str">
        <f t="shared" si="107"/>
        <v>-</v>
      </c>
    </row>
    <row r="162" spans="2:10" x14ac:dyDescent="0.35">
      <c r="B162" s="54">
        <f t="shared" si="89"/>
        <v>53</v>
      </c>
      <c r="C162" s="18"/>
      <c r="D162" s="18"/>
      <c r="E162" s="52" t="str">
        <f t="shared" ref="E162:J162" si="108">IFERROR(E163,"-")</f>
        <v>-</v>
      </c>
      <c r="F162" s="52" t="str">
        <f t="shared" si="108"/>
        <v>-</v>
      </c>
      <c r="G162" s="52" t="str">
        <f t="shared" si="108"/>
        <v>-</v>
      </c>
      <c r="H162" s="52" t="str">
        <f t="shared" si="108"/>
        <v>-</v>
      </c>
      <c r="I162" s="52" t="str">
        <f t="shared" si="108"/>
        <v>-</v>
      </c>
      <c r="J162" s="52" t="str">
        <f t="shared" si="108"/>
        <v>-</v>
      </c>
    </row>
    <row r="163" spans="2:10" x14ac:dyDescent="0.35">
      <c r="B163" s="54">
        <f t="shared" si="89"/>
        <v>53</v>
      </c>
      <c r="C163" s="18"/>
      <c r="D163" s="18"/>
      <c r="E163" s="53" t="str">
        <f t="array" ref="E163">IFERROR(IF(Kanban!$C$7="All",INDEX(Calc!$F$8:$F$500,MATCH(INDEX(Calc!$D$8:$D$500,MATCH(SMALL(IF((Calc!$K$8:$K$500=Kanban!C$11)*(Calc!$Y$8:$Y$500&gt;0),Calc!$Y$8:$Y$500,99999),$B161),Calc!$Y$8:$Y$500,0)),Calc!$D$8:$D$500,0)),
INDEX(Calc!$F$8:$F$500,MATCH(INDEX(Calc!$D$8:$D$500,MATCH(SMALL(IF((Calc!$K$8:$K$500=Kanban!C$11)*(Calc!$C$8:$C$500=Kanban!$C$7)*(Calc!$Y$8:$Y$500&gt;0),Calc!$Y$8:$Y$500,99999),$B161),Calc!$Y$8:$Y$500,0)),Calc!$D$8:$D$500,0)) ),"-")</f>
        <v>-</v>
      </c>
      <c r="F163" s="53" t="str">
        <f t="array" ref="F163">IFERROR(IF(Kanban!$C$7="All",INDEX(Calc!$F$8:$F$500,MATCH(INDEX(Calc!$D$8:$D$500,MATCH(SMALL(IF((Calc!$K$8:$K$500=Kanban!D$11)*(Calc!$Y$8:$Y$500&gt;0),Calc!$Y$8:$Y$500,99999),$B161),Calc!$Y$8:$Y$500,0)),Calc!$D$8:$D$500,0)),
INDEX(Calc!$F$8:$F$500,MATCH(INDEX(Calc!$D$8:$D$500,MATCH(SMALL(IF((Calc!$K$8:$K$500=Kanban!D$11)*(Calc!$C$8:$C$500=Kanban!$C$7)*(Calc!$Y$8:$Y$500&gt;0),Calc!$Y$8:$Y$500,99999),$B161),Calc!$Y$8:$Y$500,0)),Calc!$D$8:$D$500,0)) ),"-")</f>
        <v>-</v>
      </c>
      <c r="G163" s="53" t="str">
        <f t="array" ref="G163">IFERROR(IF(Kanban!$C$7="All",INDEX(Calc!$F$8:$F$500,MATCH(INDEX(Calc!$D$8:$D$500,MATCH(SMALL(IF((Calc!$K$8:$K$500=Kanban!E$11)*(Calc!$Y$8:$Y$500&gt;0),Calc!$Y$8:$Y$500,99999),$B161),Calc!$Y$8:$Y$500,0)),Calc!$D$8:$D$500,0)),
INDEX(Calc!$F$8:$F$500,MATCH(INDEX(Calc!$D$8:$D$500,MATCH(SMALL(IF((Calc!$K$8:$K$500=Kanban!E$11)*(Calc!$C$8:$C$500=Kanban!$C$7)*(Calc!$Y$8:$Y$500&gt;0),Calc!$Y$8:$Y$500,99999),$B161),Calc!$Y$8:$Y$500,0)),Calc!$D$8:$D$500,0)) ),"-")</f>
        <v>-</v>
      </c>
      <c r="H163" s="53" t="str">
        <f t="array" ref="H163">IFERROR(IF(Kanban!$C$7="All",INDEX(Calc!$F$8:$F$500,MATCH(INDEX(Calc!$D$8:$D$500,MATCH(SMALL(IF((Calc!$K$8:$K$500=Kanban!F$11)*(Calc!$Y$8:$Y$500&gt;0),Calc!$Y$8:$Y$500,99999),$B161),Calc!$Y$8:$Y$500,0)),Calc!$D$8:$D$500,0)),
INDEX(Calc!$F$8:$F$500,MATCH(INDEX(Calc!$D$8:$D$500,MATCH(SMALL(IF((Calc!$K$8:$K$500=Kanban!F$11)*(Calc!$C$8:$C$500=Kanban!$C$7)*(Calc!$Y$8:$Y$500&gt;0),Calc!$Y$8:$Y$500,99999),$B161),Calc!$Y$8:$Y$500,0)),Calc!$D$8:$D$500,0)) ),"-")</f>
        <v>-</v>
      </c>
      <c r="I163" s="53" t="str">
        <f t="array" ref="I163">IFERROR(IF(Kanban!$C$7="All",INDEX(Calc!$F$8:$F$500,MATCH(INDEX(Calc!$D$8:$D$500,MATCH(SMALL(IF((Calc!$K$8:$K$500=Kanban!G$11)*(Calc!$Y$8:$Y$500&gt;0),Calc!$Y$8:$Y$500,99999),$B161),Calc!$Y$8:$Y$500,0)),Calc!$D$8:$D$500,0)),
INDEX(Calc!$F$8:$F$500,MATCH(INDEX(Calc!$D$8:$D$500,MATCH(SMALL(IF((Calc!$K$8:$K$500=Kanban!G$11)*(Calc!$C$8:$C$500=Kanban!$C$7)*(Calc!$Y$8:$Y$500&gt;0),Calc!$Y$8:$Y$500,99999),$B161),Calc!$Y$8:$Y$500,0)),Calc!$D$8:$D$500,0)) ),"-")</f>
        <v>-</v>
      </c>
      <c r="J163" s="53" t="str">
        <f t="array" ref="J163">IFERROR(IF(Kanban!$C$7="All",INDEX(Calc!$F$8:$F$500,MATCH(INDEX(Calc!$D$8:$D$500,MATCH(SMALL(IF((Calc!$K$8:$K$500=Kanban!H$11)*(Calc!$Y$8:$Y$500&gt;0),Calc!$Y$8:$Y$500,99999),$B161),Calc!$Y$8:$Y$500,0)),Calc!$D$8:$D$500,0)),
INDEX(Calc!$F$8:$F$500,MATCH(INDEX(Calc!$D$8:$D$500,MATCH(SMALL(IF((Calc!$K$8:$K$500=Kanban!H$11)*(Calc!$C$8:$C$500=Kanban!$C$7)*(Calc!$Y$8:$Y$500&gt;0),Calc!$Y$8:$Y$500,99999),$B161),Calc!$Y$8:$Y$500,0)),Calc!$D$8:$D$500,0)) ),"-")</f>
        <v>-</v>
      </c>
    </row>
    <row r="164" spans="2:10" x14ac:dyDescent="0.35">
      <c r="B164" s="54">
        <f t="shared" si="89"/>
        <v>54</v>
      </c>
      <c r="C164" s="18"/>
      <c r="D164" s="18"/>
      <c r="E164" s="52" t="str">
        <f t="shared" ref="E164:J164" si="109">IFERROR(E166,"-")</f>
        <v>-</v>
      </c>
      <c r="F164" s="52" t="str">
        <f t="shared" si="109"/>
        <v>-</v>
      </c>
      <c r="G164" s="52" t="str">
        <f t="shared" si="109"/>
        <v>-</v>
      </c>
      <c r="H164" s="52" t="str">
        <f t="shared" si="109"/>
        <v>-</v>
      </c>
      <c r="I164" s="52" t="str">
        <f t="shared" si="109"/>
        <v>-</v>
      </c>
      <c r="J164" s="52" t="str">
        <f t="shared" si="109"/>
        <v>-</v>
      </c>
    </row>
    <row r="165" spans="2:10" x14ac:dyDescent="0.35">
      <c r="B165" s="54">
        <f t="shared" si="89"/>
        <v>54</v>
      </c>
      <c r="C165" s="18"/>
      <c r="D165" s="18"/>
      <c r="E165" s="52" t="str">
        <f t="shared" ref="E165:J165" si="110">IFERROR(E166,"-")</f>
        <v>-</v>
      </c>
      <c r="F165" s="52" t="str">
        <f t="shared" si="110"/>
        <v>-</v>
      </c>
      <c r="G165" s="52" t="str">
        <f t="shared" si="110"/>
        <v>-</v>
      </c>
      <c r="H165" s="52" t="str">
        <f t="shared" si="110"/>
        <v>-</v>
      </c>
      <c r="I165" s="52" t="str">
        <f t="shared" si="110"/>
        <v>-</v>
      </c>
      <c r="J165" s="52" t="str">
        <f t="shared" si="110"/>
        <v>-</v>
      </c>
    </row>
    <row r="166" spans="2:10" x14ac:dyDescent="0.35">
      <c r="B166" s="54">
        <f t="shared" si="89"/>
        <v>54</v>
      </c>
      <c r="C166" s="18"/>
      <c r="D166" s="18"/>
      <c r="E166" s="53" t="str">
        <f t="array" ref="E166">IFERROR(IF(Kanban!$C$7="All",INDEX(Calc!$F$8:$F$500,MATCH(INDEX(Calc!$D$8:$D$500,MATCH(SMALL(IF((Calc!$K$8:$K$500=Kanban!C$11)*(Calc!$Y$8:$Y$500&gt;0),Calc!$Y$8:$Y$500,99999),$B164),Calc!$Y$8:$Y$500,0)),Calc!$D$8:$D$500,0)),
INDEX(Calc!$F$8:$F$500,MATCH(INDEX(Calc!$D$8:$D$500,MATCH(SMALL(IF((Calc!$K$8:$K$500=Kanban!C$11)*(Calc!$C$8:$C$500=Kanban!$C$7)*(Calc!$Y$8:$Y$500&gt;0),Calc!$Y$8:$Y$500,99999),$B164),Calc!$Y$8:$Y$500,0)),Calc!$D$8:$D$500,0)) ),"-")</f>
        <v>-</v>
      </c>
      <c r="F166" s="53" t="str">
        <f t="array" ref="F166">IFERROR(IF(Kanban!$C$7="All",INDEX(Calc!$F$8:$F$500,MATCH(INDEX(Calc!$D$8:$D$500,MATCH(SMALL(IF((Calc!$K$8:$K$500=Kanban!D$11)*(Calc!$Y$8:$Y$500&gt;0),Calc!$Y$8:$Y$500,99999),$B164),Calc!$Y$8:$Y$500,0)),Calc!$D$8:$D$500,0)),
INDEX(Calc!$F$8:$F$500,MATCH(INDEX(Calc!$D$8:$D$500,MATCH(SMALL(IF((Calc!$K$8:$K$500=Kanban!D$11)*(Calc!$C$8:$C$500=Kanban!$C$7)*(Calc!$Y$8:$Y$500&gt;0),Calc!$Y$8:$Y$500,99999),$B164),Calc!$Y$8:$Y$500,0)),Calc!$D$8:$D$500,0)) ),"-")</f>
        <v>-</v>
      </c>
      <c r="G166" s="53" t="str">
        <f t="array" ref="G166">IFERROR(IF(Kanban!$C$7="All",INDEX(Calc!$F$8:$F$500,MATCH(INDEX(Calc!$D$8:$D$500,MATCH(SMALL(IF((Calc!$K$8:$K$500=Kanban!E$11)*(Calc!$Y$8:$Y$500&gt;0),Calc!$Y$8:$Y$500,99999),$B164),Calc!$Y$8:$Y$500,0)),Calc!$D$8:$D$500,0)),
INDEX(Calc!$F$8:$F$500,MATCH(INDEX(Calc!$D$8:$D$500,MATCH(SMALL(IF((Calc!$K$8:$K$500=Kanban!E$11)*(Calc!$C$8:$C$500=Kanban!$C$7)*(Calc!$Y$8:$Y$500&gt;0),Calc!$Y$8:$Y$500,99999),$B164),Calc!$Y$8:$Y$500,0)),Calc!$D$8:$D$500,0)) ),"-")</f>
        <v>-</v>
      </c>
      <c r="H166" s="53" t="str">
        <f t="array" ref="H166">IFERROR(IF(Kanban!$C$7="All",INDEX(Calc!$F$8:$F$500,MATCH(INDEX(Calc!$D$8:$D$500,MATCH(SMALL(IF((Calc!$K$8:$K$500=Kanban!F$11)*(Calc!$Y$8:$Y$500&gt;0),Calc!$Y$8:$Y$500,99999),$B164),Calc!$Y$8:$Y$500,0)),Calc!$D$8:$D$500,0)),
INDEX(Calc!$F$8:$F$500,MATCH(INDEX(Calc!$D$8:$D$500,MATCH(SMALL(IF((Calc!$K$8:$K$500=Kanban!F$11)*(Calc!$C$8:$C$500=Kanban!$C$7)*(Calc!$Y$8:$Y$500&gt;0),Calc!$Y$8:$Y$500,99999),$B164),Calc!$Y$8:$Y$500,0)),Calc!$D$8:$D$500,0)) ),"-")</f>
        <v>-</v>
      </c>
      <c r="I166" s="53" t="str">
        <f t="array" ref="I166">IFERROR(IF(Kanban!$C$7="All",INDEX(Calc!$F$8:$F$500,MATCH(INDEX(Calc!$D$8:$D$500,MATCH(SMALL(IF((Calc!$K$8:$K$500=Kanban!G$11)*(Calc!$Y$8:$Y$500&gt;0),Calc!$Y$8:$Y$500,99999),$B164),Calc!$Y$8:$Y$500,0)),Calc!$D$8:$D$500,0)),
INDEX(Calc!$F$8:$F$500,MATCH(INDEX(Calc!$D$8:$D$500,MATCH(SMALL(IF((Calc!$K$8:$K$500=Kanban!G$11)*(Calc!$C$8:$C$500=Kanban!$C$7)*(Calc!$Y$8:$Y$500&gt;0),Calc!$Y$8:$Y$500,99999),$B164),Calc!$Y$8:$Y$500,0)),Calc!$D$8:$D$500,0)) ),"-")</f>
        <v>-</v>
      </c>
      <c r="J166" s="53" t="str">
        <f t="array" ref="J166">IFERROR(IF(Kanban!$C$7="All",INDEX(Calc!$F$8:$F$500,MATCH(INDEX(Calc!$D$8:$D$500,MATCH(SMALL(IF((Calc!$K$8:$K$500=Kanban!H$11)*(Calc!$Y$8:$Y$500&gt;0),Calc!$Y$8:$Y$500,99999),$B164),Calc!$Y$8:$Y$500,0)),Calc!$D$8:$D$500,0)),
INDEX(Calc!$F$8:$F$500,MATCH(INDEX(Calc!$D$8:$D$500,MATCH(SMALL(IF((Calc!$K$8:$K$500=Kanban!H$11)*(Calc!$C$8:$C$500=Kanban!$C$7)*(Calc!$Y$8:$Y$500&gt;0),Calc!$Y$8:$Y$500,99999),$B164),Calc!$Y$8:$Y$500,0)),Calc!$D$8:$D$500,0)) ),"-")</f>
        <v>-</v>
      </c>
    </row>
    <row r="167" spans="2:10" x14ac:dyDescent="0.35">
      <c r="B167" s="54">
        <f t="shared" si="89"/>
        <v>55</v>
      </c>
      <c r="C167" s="18"/>
      <c r="D167" s="18"/>
      <c r="E167" s="52" t="str">
        <f t="shared" ref="E167:J167" si="111">IFERROR(E169,"-")</f>
        <v>-</v>
      </c>
      <c r="F167" s="52" t="str">
        <f t="shared" si="111"/>
        <v>-</v>
      </c>
      <c r="G167" s="52" t="str">
        <f t="shared" si="111"/>
        <v>-</v>
      </c>
      <c r="H167" s="52" t="str">
        <f t="shared" si="111"/>
        <v>-</v>
      </c>
      <c r="I167" s="52" t="str">
        <f t="shared" si="111"/>
        <v>-</v>
      </c>
      <c r="J167" s="52" t="str">
        <f t="shared" si="111"/>
        <v>-</v>
      </c>
    </row>
    <row r="168" spans="2:10" x14ac:dyDescent="0.35">
      <c r="B168" s="54">
        <f t="shared" si="89"/>
        <v>55</v>
      </c>
      <c r="C168" s="18"/>
      <c r="D168" s="18"/>
      <c r="E168" s="52" t="str">
        <f t="shared" ref="E168:J168" si="112">IFERROR(E169,"-")</f>
        <v>-</v>
      </c>
      <c r="F168" s="52" t="str">
        <f t="shared" si="112"/>
        <v>-</v>
      </c>
      <c r="G168" s="52" t="str">
        <f t="shared" si="112"/>
        <v>-</v>
      </c>
      <c r="H168" s="52" t="str">
        <f t="shared" si="112"/>
        <v>-</v>
      </c>
      <c r="I168" s="52" t="str">
        <f t="shared" si="112"/>
        <v>-</v>
      </c>
      <c r="J168" s="52" t="str">
        <f t="shared" si="112"/>
        <v>-</v>
      </c>
    </row>
    <row r="169" spans="2:10" x14ac:dyDescent="0.35">
      <c r="B169" s="54">
        <f t="shared" si="89"/>
        <v>55</v>
      </c>
      <c r="C169" s="18"/>
      <c r="D169" s="18"/>
      <c r="E169" s="53" t="str">
        <f t="array" ref="E169">IFERROR(IF(Kanban!$C$7="All",INDEX(Calc!$F$8:$F$500,MATCH(INDEX(Calc!$D$8:$D$500,MATCH(SMALL(IF((Calc!$K$8:$K$500=Kanban!C$11)*(Calc!$Y$8:$Y$500&gt;0),Calc!$Y$8:$Y$500,99999),$B167),Calc!$Y$8:$Y$500,0)),Calc!$D$8:$D$500,0)),
INDEX(Calc!$F$8:$F$500,MATCH(INDEX(Calc!$D$8:$D$500,MATCH(SMALL(IF((Calc!$K$8:$K$500=Kanban!C$11)*(Calc!$C$8:$C$500=Kanban!$C$7)*(Calc!$Y$8:$Y$500&gt;0),Calc!$Y$8:$Y$500,99999),$B167),Calc!$Y$8:$Y$500,0)),Calc!$D$8:$D$500,0)) ),"-")</f>
        <v>-</v>
      </c>
      <c r="F169" s="53" t="str">
        <f t="array" ref="F169">IFERROR(IF(Kanban!$C$7="All",INDEX(Calc!$F$8:$F$500,MATCH(INDEX(Calc!$D$8:$D$500,MATCH(SMALL(IF((Calc!$K$8:$K$500=Kanban!D$11)*(Calc!$Y$8:$Y$500&gt;0),Calc!$Y$8:$Y$500,99999),$B167),Calc!$Y$8:$Y$500,0)),Calc!$D$8:$D$500,0)),
INDEX(Calc!$F$8:$F$500,MATCH(INDEX(Calc!$D$8:$D$500,MATCH(SMALL(IF((Calc!$K$8:$K$500=Kanban!D$11)*(Calc!$C$8:$C$500=Kanban!$C$7)*(Calc!$Y$8:$Y$500&gt;0),Calc!$Y$8:$Y$500,99999),$B167),Calc!$Y$8:$Y$500,0)),Calc!$D$8:$D$500,0)) ),"-")</f>
        <v>-</v>
      </c>
      <c r="G169" s="53" t="str">
        <f t="array" ref="G169">IFERROR(IF(Kanban!$C$7="All",INDEX(Calc!$F$8:$F$500,MATCH(INDEX(Calc!$D$8:$D$500,MATCH(SMALL(IF((Calc!$K$8:$K$500=Kanban!E$11)*(Calc!$Y$8:$Y$500&gt;0),Calc!$Y$8:$Y$500,99999),$B167),Calc!$Y$8:$Y$500,0)),Calc!$D$8:$D$500,0)),
INDEX(Calc!$F$8:$F$500,MATCH(INDEX(Calc!$D$8:$D$500,MATCH(SMALL(IF((Calc!$K$8:$K$500=Kanban!E$11)*(Calc!$C$8:$C$500=Kanban!$C$7)*(Calc!$Y$8:$Y$500&gt;0),Calc!$Y$8:$Y$500,99999),$B167),Calc!$Y$8:$Y$500,0)),Calc!$D$8:$D$500,0)) ),"-")</f>
        <v>-</v>
      </c>
      <c r="H169" s="53" t="str">
        <f t="array" ref="H169">IFERROR(IF(Kanban!$C$7="All",INDEX(Calc!$F$8:$F$500,MATCH(INDEX(Calc!$D$8:$D$500,MATCH(SMALL(IF((Calc!$K$8:$K$500=Kanban!F$11)*(Calc!$Y$8:$Y$500&gt;0),Calc!$Y$8:$Y$500,99999),$B167),Calc!$Y$8:$Y$500,0)),Calc!$D$8:$D$500,0)),
INDEX(Calc!$F$8:$F$500,MATCH(INDEX(Calc!$D$8:$D$500,MATCH(SMALL(IF((Calc!$K$8:$K$500=Kanban!F$11)*(Calc!$C$8:$C$500=Kanban!$C$7)*(Calc!$Y$8:$Y$500&gt;0),Calc!$Y$8:$Y$500,99999),$B167),Calc!$Y$8:$Y$500,0)),Calc!$D$8:$D$500,0)) ),"-")</f>
        <v>-</v>
      </c>
      <c r="I169" s="53" t="str">
        <f t="array" ref="I169">IFERROR(IF(Kanban!$C$7="All",INDEX(Calc!$F$8:$F$500,MATCH(INDEX(Calc!$D$8:$D$500,MATCH(SMALL(IF((Calc!$K$8:$K$500=Kanban!G$11)*(Calc!$Y$8:$Y$500&gt;0),Calc!$Y$8:$Y$500,99999),$B167),Calc!$Y$8:$Y$500,0)),Calc!$D$8:$D$500,0)),
INDEX(Calc!$F$8:$F$500,MATCH(INDEX(Calc!$D$8:$D$500,MATCH(SMALL(IF((Calc!$K$8:$K$500=Kanban!G$11)*(Calc!$C$8:$C$500=Kanban!$C$7)*(Calc!$Y$8:$Y$500&gt;0),Calc!$Y$8:$Y$500,99999),$B167),Calc!$Y$8:$Y$500,0)),Calc!$D$8:$D$500,0)) ),"-")</f>
        <v>-</v>
      </c>
      <c r="J169" s="53" t="str">
        <f t="array" ref="J169">IFERROR(IF(Kanban!$C$7="All",INDEX(Calc!$F$8:$F$500,MATCH(INDEX(Calc!$D$8:$D$500,MATCH(SMALL(IF((Calc!$K$8:$K$500=Kanban!H$11)*(Calc!$Y$8:$Y$500&gt;0),Calc!$Y$8:$Y$500,99999),$B167),Calc!$Y$8:$Y$500,0)),Calc!$D$8:$D$500,0)),
INDEX(Calc!$F$8:$F$500,MATCH(INDEX(Calc!$D$8:$D$500,MATCH(SMALL(IF((Calc!$K$8:$K$500=Kanban!H$11)*(Calc!$C$8:$C$500=Kanban!$C$7)*(Calc!$Y$8:$Y$500&gt;0),Calc!$Y$8:$Y$500,99999),$B167),Calc!$Y$8:$Y$500,0)),Calc!$D$8:$D$500,0)) ),"-")</f>
        <v>-</v>
      </c>
    </row>
    <row r="170" spans="2:10" x14ac:dyDescent="0.35">
      <c r="B170" s="54">
        <f t="shared" si="89"/>
        <v>56</v>
      </c>
      <c r="C170" s="18"/>
      <c r="D170" s="18"/>
      <c r="E170" s="52" t="str">
        <f t="shared" ref="E170:J170" si="113">IFERROR(E172,"-")</f>
        <v>-</v>
      </c>
      <c r="F170" s="52" t="str">
        <f t="shared" si="113"/>
        <v>-</v>
      </c>
      <c r="G170" s="52" t="str">
        <f t="shared" si="113"/>
        <v>-</v>
      </c>
      <c r="H170" s="52" t="str">
        <f t="shared" si="113"/>
        <v>-</v>
      </c>
      <c r="I170" s="52" t="str">
        <f t="shared" si="113"/>
        <v>-</v>
      </c>
      <c r="J170" s="52" t="str">
        <f t="shared" si="113"/>
        <v>-</v>
      </c>
    </row>
    <row r="171" spans="2:10" x14ac:dyDescent="0.35">
      <c r="B171" s="54">
        <f t="shared" si="89"/>
        <v>56</v>
      </c>
      <c r="C171" s="18"/>
      <c r="D171" s="18"/>
      <c r="E171" s="52" t="str">
        <f t="shared" ref="E171:J171" si="114">IFERROR(E172,"-")</f>
        <v>-</v>
      </c>
      <c r="F171" s="52" t="str">
        <f t="shared" si="114"/>
        <v>-</v>
      </c>
      <c r="G171" s="52" t="str">
        <f t="shared" si="114"/>
        <v>-</v>
      </c>
      <c r="H171" s="52" t="str">
        <f t="shared" si="114"/>
        <v>-</v>
      </c>
      <c r="I171" s="52" t="str">
        <f t="shared" si="114"/>
        <v>-</v>
      </c>
      <c r="J171" s="52" t="str">
        <f t="shared" si="114"/>
        <v>-</v>
      </c>
    </row>
    <row r="172" spans="2:10" x14ac:dyDescent="0.35">
      <c r="B172" s="54">
        <f t="shared" si="89"/>
        <v>56</v>
      </c>
      <c r="C172" s="18"/>
      <c r="D172" s="18"/>
      <c r="E172" s="53" t="str">
        <f t="array" ref="E172">IFERROR(IF(Kanban!$C$7="All",INDEX(Calc!$F$8:$F$500,MATCH(INDEX(Calc!$D$8:$D$500,MATCH(SMALL(IF((Calc!$K$8:$K$500=Kanban!C$11)*(Calc!$Y$8:$Y$500&gt;0),Calc!$Y$8:$Y$500,99999),$B170),Calc!$Y$8:$Y$500,0)),Calc!$D$8:$D$500,0)),
INDEX(Calc!$F$8:$F$500,MATCH(INDEX(Calc!$D$8:$D$500,MATCH(SMALL(IF((Calc!$K$8:$K$500=Kanban!C$11)*(Calc!$C$8:$C$500=Kanban!$C$7)*(Calc!$Y$8:$Y$500&gt;0),Calc!$Y$8:$Y$500,99999),$B170),Calc!$Y$8:$Y$500,0)),Calc!$D$8:$D$500,0)) ),"-")</f>
        <v>-</v>
      </c>
      <c r="F172" s="53" t="str">
        <f t="array" ref="F172">IFERROR(IF(Kanban!$C$7="All",INDEX(Calc!$F$8:$F$500,MATCH(INDEX(Calc!$D$8:$D$500,MATCH(SMALL(IF((Calc!$K$8:$K$500=Kanban!D$11)*(Calc!$Y$8:$Y$500&gt;0),Calc!$Y$8:$Y$500,99999),$B170),Calc!$Y$8:$Y$500,0)),Calc!$D$8:$D$500,0)),
INDEX(Calc!$F$8:$F$500,MATCH(INDEX(Calc!$D$8:$D$500,MATCH(SMALL(IF((Calc!$K$8:$K$500=Kanban!D$11)*(Calc!$C$8:$C$500=Kanban!$C$7)*(Calc!$Y$8:$Y$500&gt;0),Calc!$Y$8:$Y$500,99999),$B170),Calc!$Y$8:$Y$500,0)),Calc!$D$8:$D$500,0)) ),"-")</f>
        <v>-</v>
      </c>
      <c r="G172" s="53" t="str">
        <f t="array" ref="G172">IFERROR(IF(Kanban!$C$7="All",INDEX(Calc!$F$8:$F$500,MATCH(INDEX(Calc!$D$8:$D$500,MATCH(SMALL(IF((Calc!$K$8:$K$500=Kanban!E$11)*(Calc!$Y$8:$Y$500&gt;0),Calc!$Y$8:$Y$500,99999),$B170),Calc!$Y$8:$Y$500,0)),Calc!$D$8:$D$500,0)),
INDEX(Calc!$F$8:$F$500,MATCH(INDEX(Calc!$D$8:$D$500,MATCH(SMALL(IF((Calc!$K$8:$K$500=Kanban!E$11)*(Calc!$C$8:$C$500=Kanban!$C$7)*(Calc!$Y$8:$Y$500&gt;0),Calc!$Y$8:$Y$500,99999),$B170),Calc!$Y$8:$Y$500,0)),Calc!$D$8:$D$500,0)) ),"-")</f>
        <v>-</v>
      </c>
      <c r="H172" s="53" t="str">
        <f t="array" ref="H172">IFERROR(IF(Kanban!$C$7="All",INDEX(Calc!$F$8:$F$500,MATCH(INDEX(Calc!$D$8:$D$500,MATCH(SMALL(IF((Calc!$K$8:$K$500=Kanban!F$11)*(Calc!$Y$8:$Y$500&gt;0),Calc!$Y$8:$Y$500,99999),$B170),Calc!$Y$8:$Y$500,0)),Calc!$D$8:$D$500,0)),
INDEX(Calc!$F$8:$F$500,MATCH(INDEX(Calc!$D$8:$D$500,MATCH(SMALL(IF((Calc!$K$8:$K$500=Kanban!F$11)*(Calc!$C$8:$C$500=Kanban!$C$7)*(Calc!$Y$8:$Y$500&gt;0),Calc!$Y$8:$Y$500,99999),$B170),Calc!$Y$8:$Y$500,0)),Calc!$D$8:$D$500,0)) ),"-")</f>
        <v>-</v>
      </c>
      <c r="I172" s="53" t="str">
        <f t="array" ref="I172">IFERROR(IF(Kanban!$C$7="All",INDEX(Calc!$F$8:$F$500,MATCH(INDEX(Calc!$D$8:$D$500,MATCH(SMALL(IF((Calc!$K$8:$K$500=Kanban!G$11)*(Calc!$Y$8:$Y$500&gt;0),Calc!$Y$8:$Y$500,99999),$B170),Calc!$Y$8:$Y$500,0)),Calc!$D$8:$D$500,0)),
INDEX(Calc!$F$8:$F$500,MATCH(INDEX(Calc!$D$8:$D$500,MATCH(SMALL(IF((Calc!$K$8:$K$500=Kanban!G$11)*(Calc!$C$8:$C$500=Kanban!$C$7)*(Calc!$Y$8:$Y$500&gt;0),Calc!$Y$8:$Y$500,99999),$B170),Calc!$Y$8:$Y$500,0)),Calc!$D$8:$D$500,0)) ),"-")</f>
        <v>-</v>
      </c>
      <c r="J172" s="53" t="str">
        <f t="array" ref="J172">IFERROR(IF(Kanban!$C$7="All",INDEX(Calc!$F$8:$F$500,MATCH(INDEX(Calc!$D$8:$D$500,MATCH(SMALL(IF((Calc!$K$8:$K$500=Kanban!H$11)*(Calc!$Y$8:$Y$500&gt;0),Calc!$Y$8:$Y$500,99999),$B170),Calc!$Y$8:$Y$500,0)),Calc!$D$8:$D$500,0)),
INDEX(Calc!$F$8:$F$500,MATCH(INDEX(Calc!$D$8:$D$500,MATCH(SMALL(IF((Calc!$K$8:$K$500=Kanban!H$11)*(Calc!$C$8:$C$500=Kanban!$C$7)*(Calc!$Y$8:$Y$500&gt;0),Calc!$Y$8:$Y$500,99999),$B170),Calc!$Y$8:$Y$500,0)),Calc!$D$8:$D$500,0)) ),"-")</f>
        <v>-</v>
      </c>
    </row>
    <row r="173" spans="2:10" x14ac:dyDescent="0.35">
      <c r="B173" s="54">
        <f t="shared" si="89"/>
        <v>57</v>
      </c>
      <c r="C173" s="18"/>
      <c r="D173" s="18"/>
      <c r="E173" s="52" t="str">
        <f t="shared" ref="E173:J173" si="115">IFERROR(E175,"-")</f>
        <v>-</v>
      </c>
      <c r="F173" s="52" t="str">
        <f t="shared" si="115"/>
        <v>-</v>
      </c>
      <c r="G173" s="52" t="str">
        <f t="shared" si="115"/>
        <v>-</v>
      </c>
      <c r="H173" s="52" t="str">
        <f t="shared" si="115"/>
        <v>-</v>
      </c>
      <c r="I173" s="52" t="str">
        <f t="shared" si="115"/>
        <v>-</v>
      </c>
      <c r="J173" s="52" t="str">
        <f t="shared" si="115"/>
        <v>-</v>
      </c>
    </row>
    <row r="174" spans="2:10" x14ac:dyDescent="0.35">
      <c r="B174" s="54">
        <f t="shared" si="89"/>
        <v>57</v>
      </c>
      <c r="C174" s="18"/>
      <c r="D174" s="18"/>
      <c r="E174" s="52" t="str">
        <f t="shared" ref="E174:J174" si="116">IFERROR(E175,"-")</f>
        <v>-</v>
      </c>
      <c r="F174" s="52" t="str">
        <f t="shared" si="116"/>
        <v>-</v>
      </c>
      <c r="G174" s="52" t="str">
        <f t="shared" si="116"/>
        <v>-</v>
      </c>
      <c r="H174" s="52" t="str">
        <f t="shared" si="116"/>
        <v>-</v>
      </c>
      <c r="I174" s="52" t="str">
        <f t="shared" si="116"/>
        <v>-</v>
      </c>
      <c r="J174" s="52" t="str">
        <f t="shared" si="116"/>
        <v>-</v>
      </c>
    </row>
    <row r="175" spans="2:10" x14ac:dyDescent="0.35">
      <c r="B175" s="54">
        <f t="shared" si="89"/>
        <v>57</v>
      </c>
      <c r="C175" s="18"/>
      <c r="D175" s="18"/>
      <c r="E175" s="53" t="str">
        <f t="array" ref="E175">IFERROR(IF(Kanban!$C$7="All",INDEX(Calc!$F$8:$F$500,MATCH(INDEX(Calc!$D$8:$D$500,MATCH(SMALL(IF((Calc!$K$8:$K$500=Kanban!C$11)*(Calc!$Y$8:$Y$500&gt;0),Calc!$Y$8:$Y$500,99999),$B173),Calc!$Y$8:$Y$500,0)),Calc!$D$8:$D$500,0)),
INDEX(Calc!$F$8:$F$500,MATCH(INDEX(Calc!$D$8:$D$500,MATCH(SMALL(IF((Calc!$K$8:$K$500=Kanban!C$11)*(Calc!$C$8:$C$500=Kanban!$C$7)*(Calc!$Y$8:$Y$500&gt;0),Calc!$Y$8:$Y$500,99999),$B173),Calc!$Y$8:$Y$500,0)),Calc!$D$8:$D$500,0)) ),"-")</f>
        <v>-</v>
      </c>
      <c r="F175" s="53" t="str">
        <f t="array" ref="F175">IFERROR(IF(Kanban!$C$7="All",INDEX(Calc!$F$8:$F$500,MATCH(INDEX(Calc!$D$8:$D$500,MATCH(SMALL(IF((Calc!$K$8:$K$500=Kanban!D$11)*(Calc!$Y$8:$Y$500&gt;0),Calc!$Y$8:$Y$500,99999),$B173),Calc!$Y$8:$Y$500,0)),Calc!$D$8:$D$500,0)),
INDEX(Calc!$F$8:$F$500,MATCH(INDEX(Calc!$D$8:$D$500,MATCH(SMALL(IF((Calc!$K$8:$K$500=Kanban!D$11)*(Calc!$C$8:$C$500=Kanban!$C$7)*(Calc!$Y$8:$Y$500&gt;0),Calc!$Y$8:$Y$500,99999),$B173),Calc!$Y$8:$Y$500,0)),Calc!$D$8:$D$500,0)) ),"-")</f>
        <v>-</v>
      </c>
      <c r="G175" s="53" t="str">
        <f t="array" ref="G175">IFERROR(IF(Kanban!$C$7="All",INDEX(Calc!$F$8:$F$500,MATCH(INDEX(Calc!$D$8:$D$500,MATCH(SMALL(IF((Calc!$K$8:$K$500=Kanban!E$11)*(Calc!$Y$8:$Y$500&gt;0),Calc!$Y$8:$Y$500,99999),$B173),Calc!$Y$8:$Y$500,0)),Calc!$D$8:$D$500,0)),
INDEX(Calc!$F$8:$F$500,MATCH(INDEX(Calc!$D$8:$D$500,MATCH(SMALL(IF((Calc!$K$8:$K$500=Kanban!E$11)*(Calc!$C$8:$C$500=Kanban!$C$7)*(Calc!$Y$8:$Y$500&gt;0),Calc!$Y$8:$Y$500,99999),$B173),Calc!$Y$8:$Y$500,0)),Calc!$D$8:$D$500,0)) ),"-")</f>
        <v>-</v>
      </c>
      <c r="H175" s="53" t="str">
        <f t="array" ref="H175">IFERROR(IF(Kanban!$C$7="All",INDEX(Calc!$F$8:$F$500,MATCH(INDEX(Calc!$D$8:$D$500,MATCH(SMALL(IF((Calc!$K$8:$K$500=Kanban!F$11)*(Calc!$Y$8:$Y$500&gt;0),Calc!$Y$8:$Y$500,99999),$B173),Calc!$Y$8:$Y$500,0)),Calc!$D$8:$D$500,0)),
INDEX(Calc!$F$8:$F$500,MATCH(INDEX(Calc!$D$8:$D$500,MATCH(SMALL(IF((Calc!$K$8:$K$500=Kanban!F$11)*(Calc!$C$8:$C$500=Kanban!$C$7)*(Calc!$Y$8:$Y$500&gt;0),Calc!$Y$8:$Y$500,99999),$B173),Calc!$Y$8:$Y$500,0)),Calc!$D$8:$D$500,0)) ),"-")</f>
        <v>-</v>
      </c>
      <c r="I175" s="53" t="str">
        <f t="array" ref="I175">IFERROR(IF(Kanban!$C$7="All",INDEX(Calc!$F$8:$F$500,MATCH(INDEX(Calc!$D$8:$D$500,MATCH(SMALL(IF((Calc!$K$8:$K$500=Kanban!G$11)*(Calc!$Y$8:$Y$500&gt;0),Calc!$Y$8:$Y$500,99999),$B173),Calc!$Y$8:$Y$500,0)),Calc!$D$8:$D$500,0)),
INDEX(Calc!$F$8:$F$500,MATCH(INDEX(Calc!$D$8:$D$500,MATCH(SMALL(IF((Calc!$K$8:$K$500=Kanban!G$11)*(Calc!$C$8:$C$500=Kanban!$C$7)*(Calc!$Y$8:$Y$500&gt;0),Calc!$Y$8:$Y$500,99999),$B173),Calc!$Y$8:$Y$500,0)),Calc!$D$8:$D$500,0)) ),"-")</f>
        <v>-</v>
      </c>
      <c r="J175" s="53" t="str">
        <f t="array" ref="J175">IFERROR(IF(Kanban!$C$7="All",INDEX(Calc!$F$8:$F$500,MATCH(INDEX(Calc!$D$8:$D$500,MATCH(SMALL(IF((Calc!$K$8:$K$500=Kanban!H$11)*(Calc!$Y$8:$Y$500&gt;0),Calc!$Y$8:$Y$500,99999),$B173),Calc!$Y$8:$Y$500,0)),Calc!$D$8:$D$500,0)),
INDEX(Calc!$F$8:$F$500,MATCH(INDEX(Calc!$D$8:$D$500,MATCH(SMALL(IF((Calc!$K$8:$K$500=Kanban!H$11)*(Calc!$C$8:$C$500=Kanban!$C$7)*(Calc!$Y$8:$Y$500&gt;0),Calc!$Y$8:$Y$500,99999),$B173),Calc!$Y$8:$Y$500,0)),Calc!$D$8:$D$500,0)) ),"-")</f>
        <v>-</v>
      </c>
    </row>
    <row r="176" spans="2:10" x14ac:dyDescent="0.35">
      <c r="B176" s="54">
        <f t="shared" si="89"/>
        <v>58</v>
      </c>
      <c r="C176" s="18"/>
      <c r="D176" s="18"/>
      <c r="E176" s="52" t="str">
        <f t="shared" ref="E176:J176" si="117">IFERROR(E178,"-")</f>
        <v>-</v>
      </c>
      <c r="F176" s="52" t="str">
        <f t="shared" si="117"/>
        <v>-</v>
      </c>
      <c r="G176" s="52" t="str">
        <f t="shared" si="117"/>
        <v>-</v>
      </c>
      <c r="H176" s="52" t="str">
        <f t="shared" si="117"/>
        <v>-</v>
      </c>
      <c r="I176" s="52" t="str">
        <f t="shared" si="117"/>
        <v>-</v>
      </c>
      <c r="J176" s="52" t="str">
        <f t="shared" si="117"/>
        <v>-</v>
      </c>
    </row>
    <row r="177" spans="2:10" x14ac:dyDescent="0.35">
      <c r="B177" s="54">
        <f t="shared" si="89"/>
        <v>58</v>
      </c>
      <c r="C177" s="18"/>
      <c r="D177" s="18"/>
      <c r="E177" s="52" t="str">
        <f t="shared" ref="E177:J177" si="118">IFERROR(E178,"-")</f>
        <v>-</v>
      </c>
      <c r="F177" s="52" t="str">
        <f t="shared" si="118"/>
        <v>-</v>
      </c>
      <c r="G177" s="52" t="str">
        <f t="shared" si="118"/>
        <v>-</v>
      </c>
      <c r="H177" s="52" t="str">
        <f t="shared" si="118"/>
        <v>-</v>
      </c>
      <c r="I177" s="52" t="str">
        <f t="shared" si="118"/>
        <v>-</v>
      </c>
      <c r="J177" s="52" t="str">
        <f t="shared" si="118"/>
        <v>-</v>
      </c>
    </row>
    <row r="178" spans="2:10" x14ac:dyDescent="0.35">
      <c r="B178" s="54">
        <f t="shared" si="89"/>
        <v>58</v>
      </c>
      <c r="C178" s="18"/>
      <c r="D178" s="18"/>
      <c r="E178" s="53" t="str">
        <f t="array" ref="E178">IFERROR(IF(Kanban!$C$7="All",INDEX(Calc!$F$8:$F$500,MATCH(INDEX(Calc!$D$8:$D$500,MATCH(SMALL(IF((Calc!$K$8:$K$500=Kanban!C$11)*(Calc!$Y$8:$Y$500&gt;0),Calc!$Y$8:$Y$500,99999),$B176),Calc!$Y$8:$Y$500,0)),Calc!$D$8:$D$500,0)),
INDEX(Calc!$F$8:$F$500,MATCH(INDEX(Calc!$D$8:$D$500,MATCH(SMALL(IF((Calc!$K$8:$K$500=Kanban!C$11)*(Calc!$C$8:$C$500=Kanban!$C$7)*(Calc!$Y$8:$Y$500&gt;0),Calc!$Y$8:$Y$500,99999),$B176),Calc!$Y$8:$Y$500,0)),Calc!$D$8:$D$500,0)) ),"-")</f>
        <v>-</v>
      </c>
      <c r="F178" s="53" t="str">
        <f t="array" ref="F178">IFERROR(IF(Kanban!$C$7="All",INDEX(Calc!$F$8:$F$500,MATCH(INDEX(Calc!$D$8:$D$500,MATCH(SMALL(IF((Calc!$K$8:$K$500=Kanban!D$11)*(Calc!$Y$8:$Y$500&gt;0),Calc!$Y$8:$Y$500,99999),$B176),Calc!$Y$8:$Y$500,0)),Calc!$D$8:$D$500,0)),
INDEX(Calc!$F$8:$F$500,MATCH(INDEX(Calc!$D$8:$D$500,MATCH(SMALL(IF((Calc!$K$8:$K$500=Kanban!D$11)*(Calc!$C$8:$C$500=Kanban!$C$7)*(Calc!$Y$8:$Y$500&gt;0),Calc!$Y$8:$Y$500,99999),$B176),Calc!$Y$8:$Y$500,0)),Calc!$D$8:$D$500,0)) ),"-")</f>
        <v>-</v>
      </c>
      <c r="G178" s="53" t="str">
        <f t="array" ref="G178">IFERROR(IF(Kanban!$C$7="All",INDEX(Calc!$F$8:$F$500,MATCH(INDEX(Calc!$D$8:$D$500,MATCH(SMALL(IF((Calc!$K$8:$K$500=Kanban!E$11)*(Calc!$Y$8:$Y$500&gt;0),Calc!$Y$8:$Y$500,99999),$B176),Calc!$Y$8:$Y$500,0)),Calc!$D$8:$D$500,0)),
INDEX(Calc!$F$8:$F$500,MATCH(INDEX(Calc!$D$8:$D$500,MATCH(SMALL(IF((Calc!$K$8:$K$500=Kanban!E$11)*(Calc!$C$8:$C$500=Kanban!$C$7)*(Calc!$Y$8:$Y$500&gt;0),Calc!$Y$8:$Y$500,99999),$B176),Calc!$Y$8:$Y$500,0)),Calc!$D$8:$D$500,0)) ),"-")</f>
        <v>-</v>
      </c>
      <c r="H178" s="53" t="str">
        <f t="array" ref="H178">IFERROR(IF(Kanban!$C$7="All",INDEX(Calc!$F$8:$F$500,MATCH(INDEX(Calc!$D$8:$D$500,MATCH(SMALL(IF((Calc!$K$8:$K$500=Kanban!F$11)*(Calc!$Y$8:$Y$500&gt;0),Calc!$Y$8:$Y$500,99999),$B176),Calc!$Y$8:$Y$500,0)),Calc!$D$8:$D$500,0)),
INDEX(Calc!$F$8:$F$500,MATCH(INDEX(Calc!$D$8:$D$500,MATCH(SMALL(IF((Calc!$K$8:$K$500=Kanban!F$11)*(Calc!$C$8:$C$500=Kanban!$C$7)*(Calc!$Y$8:$Y$500&gt;0),Calc!$Y$8:$Y$500,99999),$B176),Calc!$Y$8:$Y$500,0)),Calc!$D$8:$D$500,0)) ),"-")</f>
        <v>-</v>
      </c>
      <c r="I178" s="53" t="str">
        <f t="array" ref="I178">IFERROR(IF(Kanban!$C$7="All",INDEX(Calc!$F$8:$F$500,MATCH(INDEX(Calc!$D$8:$D$500,MATCH(SMALL(IF((Calc!$K$8:$K$500=Kanban!G$11)*(Calc!$Y$8:$Y$500&gt;0),Calc!$Y$8:$Y$500,99999),$B176),Calc!$Y$8:$Y$500,0)),Calc!$D$8:$D$500,0)),
INDEX(Calc!$F$8:$F$500,MATCH(INDEX(Calc!$D$8:$D$500,MATCH(SMALL(IF((Calc!$K$8:$K$500=Kanban!G$11)*(Calc!$C$8:$C$500=Kanban!$C$7)*(Calc!$Y$8:$Y$500&gt;0),Calc!$Y$8:$Y$500,99999),$B176),Calc!$Y$8:$Y$500,0)),Calc!$D$8:$D$500,0)) ),"-")</f>
        <v>-</v>
      </c>
      <c r="J178" s="53" t="str">
        <f t="array" ref="J178">IFERROR(IF(Kanban!$C$7="All",INDEX(Calc!$F$8:$F$500,MATCH(INDEX(Calc!$D$8:$D$500,MATCH(SMALL(IF((Calc!$K$8:$K$500=Kanban!H$11)*(Calc!$Y$8:$Y$500&gt;0),Calc!$Y$8:$Y$500,99999),$B176),Calc!$Y$8:$Y$500,0)),Calc!$D$8:$D$500,0)),
INDEX(Calc!$F$8:$F$500,MATCH(INDEX(Calc!$D$8:$D$500,MATCH(SMALL(IF((Calc!$K$8:$K$500=Kanban!H$11)*(Calc!$C$8:$C$500=Kanban!$C$7)*(Calc!$Y$8:$Y$500&gt;0),Calc!$Y$8:$Y$500,99999),$B176),Calc!$Y$8:$Y$500,0)),Calc!$D$8:$D$500,0)) ),"-")</f>
        <v>-</v>
      </c>
    </row>
    <row r="179" spans="2:10" x14ac:dyDescent="0.35">
      <c r="B179" s="54">
        <f t="shared" si="89"/>
        <v>59</v>
      </c>
      <c r="C179" s="18"/>
      <c r="D179" s="18"/>
      <c r="E179" s="52" t="str">
        <f t="shared" ref="E179:J179" si="119">IFERROR(E181,"-")</f>
        <v>-</v>
      </c>
      <c r="F179" s="52" t="str">
        <f t="shared" si="119"/>
        <v>-</v>
      </c>
      <c r="G179" s="52" t="str">
        <f t="shared" si="119"/>
        <v>-</v>
      </c>
      <c r="H179" s="52" t="str">
        <f t="shared" si="119"/>
        <v>-</v>
      </c>
      <c r="I179" s="52" t="str">
        <f t="shared" si="119"/>
        <v>-</v>
      </c>
      <c r="J179" s="52" t="str">
        <f t="shared" si="119"/>
        <v>-</v>
      </c>
    </row>
    <row r="180" spans="2:10" x14ac:dyDescent="0.35">
      <c r="B180" s="54">
        <f t="shared" si="89"/>
        <v>59</v>
      </c>
      <c r="C180" s="18"/>
      <c r="D180" s="18"/>
      <c r="E180" s="52" t="str">
        <f t="shared" ref="E180:J180" si="120">IFERROR(E181,"-")</f>
        <v>-</v>
      </c>
      <c r="F180" s="52" t="str">
        <f t="shared" si="120"/>
        <v>-</v>
      </c>
      <c r="G180" s="52" t="str">
        <f t="shared" si="120"/>
        <v>-</v>
      </c>
      <c r="H180" s="52" t="str">
        <f t="shared" si="120"/>
        <v>-</v>
      </c>
      <c r="I180" s="52" t="str">
        <f t="shared" si="120"/>
        <v>-</v>
      </c>
      <c r="J180" s="52" t="str">
        <f t="shared" si="120"/>
        <v>-</v>
      </c>
    </row>
    <row r="181" spans="2:10" x14ac:dyDescent="0.35">
      <c r="B181" s="54">
        <f t="shared" si="89"/>
        <v>59</v>
      </c>
      <c r="C181" s="18"/>
      <c r="D181" s="18"/>
      <c r="E181" s="53" t="str">
        <f t="array" ref="E181">IFERROR(IF(Kanban!$C$7="All",INDEX(Calc!$F$8:$F$500,MATCH(INDEX(Calc!$D$8:$D$500,MATCH(SMALL(IF((Calc!$K$8:$K$500=Kanban!C$11)*(Calc!$Y$8:$Y$500&gt;0),Calc!$Y$8:$Y$500,99999),$B179),Calc!$Y$8:$Y$500,0)),Calc!$D$8:$D$500,0)),
INDEX(Calc!$F$8:$F$500,MATCH(INDEX(Calc!$D$8:$D$500,MATCH(SMALL(IF((Calc!$K$8:$K$500=Kanban!C$11)*(Calc!$C$8:$C$500=Kanban!$C$7)*(Calc!$Y$8:$Y$500&gt;0),Calc!$Y$8:$Y$500,99999),$B179),Calc!$Y$8:$Y$500,0)),Calc!$D$8:$D$500,0)) ),"-")</f>
        <v>-</v>
      </c>
      <c r="F181" s="53" t="str">
        <f t="array" ref="F181">IFERROR(IF(Kanban!$C$7="All",INDEX(Calc!$F$8:$F$500,MATCH(INDEX(Calc!$D$8:$D$500,MATCH(SMALL(IF((Calc!$K$8:$K$500=Kanban!D$11)*(Calc!$Y$8:$Y$500&gt;0),Calc!$Y$8:$Y$500,99999),$B179),Calc!$Y$8:$Y$500,0)),Calc!$D$8:$D$500,0)),
INDEX(Calc!$F$8:$F$500,MATCH(INDEX(Calc!$D$8:$D$500,MATCH(SMALL(IF((Calc!$K$8:$K$500=Kanban!D$11)*(Calc!$C$8:$C$500=Kanban!$C$7)*(Calc!$Y$8:$Y$500&gt;0),Calc!$Y$8:$Y$500,99999),$B179),Calc!$Y$8:$Y$500,0)),Calc!$D$8:$D$500,0)) ),"-")</f>
        <v>-</v>
      </c>
      <c r="G181" s="53" t="str">
        <f t="array" ref="G181">IFERROR(IF(Kanban!$C$7="All",INDEX(Calc!$F$8:$F$500,MATCH(INDEX(Calc!$D$8:$D$500,MATCH(SMALL(IF((Calc!$K$8:$K$500=Kanban!E$11)*(Calc!$Y$8:$Y$500&gt;0),Calc!$Y$8:$Y$500,99999),$B179),Calc!$Y$8:$Y$500,0)),Calc!$D$8:$D$500,0)),
INDEX(Calc!$F$8:$F$500,MATCH(INDEX(Calc!$D$8:$D$500,MATCH(SMALL(IF((Calc!$K$8:$K$500=Kanban!E$11)*(Calc!$C$8:$C$500=Kanban!$C$7)*(Calc!$Y$8:$Y$500&gt;0),Calc!$Y$8:$Y$500,99999),$B179),Calc!$Y$8:$Y$500,0)),Calc!$D$8:$D$500,0)) ),"-")</f>
        <v>-</v>
      </c>
      <c r="H181" s="53" t="str">
        <f t="array" ref="H181">IFERROR(IF(Kanban!$C$7="All",INDEX(Calc!$F$8:$F$500,MATCH(INDEX(Calc!$D$8:$D$500,MATCH(SMALL(IF((Calc!$K$8:$K$500=Kanban!F$11)*(Calc!$Y$8:$Y$500&gt;0),Calc!$Y$8:$Y$500,99999),$B179),Calc!$Y$8:$Y$500,0)),Calc!$D$8:$D$500,0)),
INDEX(Calc!$F$8:$F$500,MATCH(INDEX(Calc!$D$8:$D$500,MATCH(SMALL(IF((Calc!$K$8:$K$500=Kanban!F$11)*(Calc!$C$8:$C$500=Kanban!$C$7)*(Calc!$Y$8:$Y$500&gt;0),Calc!$Y$8:$Y$500,99999),$B179),Calc!$Y$8:$Y$500,0)),Calc!$D$8:$D$500,0)) ),"-")</f>
        <v>-</v>
      </c>
      <c r="I181" s="53" t="str">
        <f t="array" ref="I181">IFERROR(IF(Kanban!$C$7="All",INDEX(Calc!$F$8:$F$500,MATCH(INDEX(Calc!$D$8:$D$500,MATCH(SMALL(IF((Calc!$K$8:$K$500=Kanban!G$11)*(Calc!$Y$8:$Y$500&gt;0),Calc!$Y$8:$Y$500,99999),$B179),Calc!$Y$8:$Y$500,0)),Calc!$D$8:$D$500,0)),
INDEX(Calc!$F$8:$F$500,MATCH(INDEX(Calc!$D$8:$D$500,MATCH(SMALL(IF((Calc!$K$8:$K$500=Kanban!G$11)*(Calc!$C$8:$C$500=Kanban!$C$7)*(Calc!$Y$8:$Y$500&gt;0),Calc!$Y$8:$Y$500,99999),$B179),Calc!$Y$8:$Y$500,0)),Calc!$D$8:$D$500,0)) ),"-")</f>
        <v>-</v>
      </c>
      <c r="J181" s="53" t="str">
        <f t="array" ref="J181">IFERROR(IF(Kanban!$C$7="All",INDEX(Calc!$F$8:$F$500,MATCH(INDEX(Calc!$D$8:$D$500,MATCH(SMALL(IF((Calc!$K$8:$K$500=Kanban!H$11)*(Calc!$Y$8:$Y$500&gt;0),Calc!$Y$8:$Y$500,99999),$B179),Calc!$Y$8:$Y$500,0)),Calc!$D$8:$D$500,0)),
INDEX(Calc!$F$8:$F$500,MATCH(INDEX(Calc!$D$8:$D$500,MATCH(SMALL(IF((Calc!$K$8:$K$500=Kanban!H$11)*(Calc!$C$8:$C$500=Kanban!$C$7)*(Calc!$Y$8:$Y$500&gt;0),Calc!$Y$8:$Y$500,99999),$B179),Calc!$Y$8:$Y$500,0)),Calc!$D$8:$D$500,0)) ),"-")</f>
        <v>-</v>
      </c>
    </row>
    <row r="182" spans="2:10" x14ac:dyDescent="0.35">
      <c r="B182" s="54">
        <f t="shared" si="89"/>
        <v>60</v>
      </c>
      <c r="C182" s="18"/>
      <c r="D182" s="18"/>
      <c r="E182" s="52" t="str">
        <f t="shared" ref="E182:J182" si="121">IFERROR(E184,"-")</f>
        <v>-</v>
      </c>
      <c r="F182" s="52" t="str">
        <f t="shared" si="121"/>
        <v>-</v>
      </c>
      <c r="G182" s="52" t="str">
        <f t="shared" si="121"/>
        <v>-</v>
      </c>
      <c r="H182" s="52" t="str">
        <f t="shared" si="121"/>
        <v>-</v>
      </c>
      <c r="I182" s="52" t="str">
        <f t="shared" si="121"/>
        <v>-</v>
      </c>
      <c r="J182" s="52" t="str">
        <f t="shared" si="121"/>
        <v>-</v>
      </c>
    </row>
    <row r="183" spans="2:10" x14ac:dyDescent="0.35">
      <c r="B183" s="54">
        <f t="shared" si="89"/>
        <v>60</v>
      </c>
      <c r="C183" s="18"/>
      <c r="D183" s="18"/>
      <c r="E183" s="52" t="str">
        <f t="shared" ref="E183:J183" si="122">IFERROR(E184,"-")</f>
        <v>-</v>
      </c>
      <c r="F183" s="52" t="str">
        <f t="shared" si="122"/>
        <v>-</v>
      </c>
      <c r="G183" s="52" t="str">
        <f t="shared" si="122"/>
        <v>-</v>
      </c>
      <c r="H183" s="52" t="str">
        <f t="shared" si="122"/>
        <v>-</v>
      </c>
      <c r="I183" s="52" t="str">
        <f t="shared" si="122"/>
        <v>-</v>
      </c>
      <c r="J183" s="52" t="str">
        <f t="shared" si="122"/>
        <v>-</v>
      </c>
    </row>
    <row r="184" spans="2:10" x14ac:dyDescent="0.35">
      <c r="B184" s="54">
        <f t="shared" si="89"/>
        <v>60</v>
      </c>
      <c r="C184" s="18"/>
      <c r="D184" s="18"/>
      <c r="E184" s="53" t="str">
        <f t="array" ref="E184">IFERROR(IF(Kanban!$C$7="All",INDEX(Calc!$F$8:$F$500,MATCH(INDEX(Calc!$D$8:$D$500,MATCH(SMALL(IF((Calc!$K$8:$K$500=Kanban!C$11)*(Calc!$Y$8:$Y$500&gt;0),Calc!$Y$8:$Y$500,99999),$B182),Calc!$Y$8:$Y$500,0)),Calc!$D$8:$D$500,0)),
INDEX(Calc!$F$8:$F$500,MATCH(INDEX(Calc!$D$8:$D$500,MATCH(SMALL(IF((Calc!$K$8:$K$500=Kanban!C$11)*(Calc!$C$8:$C$500=Kanban!$C$7)*(Calc!$Y$8:$Y$500&gt;0),Calc!$Y$8:$Y$500,99999),$B182),Calc!$Y$8:$Y$500,0)),Calc!$D$8:$D$500,0)) ),"-")</f>
        <v>-</v>
      </c>
      <c r="F184" s="53" t="str">
        <f t="array" ref="F184">IFERROR(IF(Kanban!$C$7="All",INDEX(Calc!$F$8:$F$500,MATCH(INDEX(Calc!$D$8:$D$500,MATCH(SMALL(IF((Calc!$K$8:$K$500=Kanban!D$11)*(Calc!$Y$8:$Y$500&gt;0),Calc!$Y$8:$Y$500,99999),$B182),Calc!$Y$8:$Y$500,0)),Calc!$D$8:$D$500,0)),
INDEX(Calc!$F$8:$F$500,MATCH(INDEX(Calc!$D$8:$D$500,MATCH(SMALL(IF((Calc!$K$8:$K$500=Kanban!D$11)*(Calc!$C$8:$C$500=Kanban!$C$7)*(Calc!$Y$8:$Y$500&gt;0),Calc!$Y$8:$Y$500,99999),$B182),Calc!$Y$8:$Y$500,0)),Calc!$D$8:$D$500,0)) ),"-")</f>
        <v>-</v>
      </c>
      <c r="G184" s="53" t="str">
        <f t="array" ref="G184">IFERROR(IF(Kanban!$C$7="All",INDEX(Calc!$F$8:$F$500,MATCH(INDEX(Calc!$D$8:$D$500,MATCH(SMALL(IF((Calc!$K$8:$K$500=Kanban!E$11)*(Calc!$Y$8:$Y$500&gt;0),Calc!$Y$8:$Y$500,99999),$B182),Calc!$Y$8:$Y$500,0)),Calc!$D$8:$D$500,0)),
INDEX(Calc!$F$8:$F$500,MATCH(INDEX(Calc!$D$8:$D$500,MATCH(SMALL(IF((Calc!$K$8:$K$500=Kanban!E$11)*(Calc!$C$8:$C$500=Kanban!$C$7)*(Calc!$Y$8:$Y$500&gt;0),Calc!$Y$8:$Y$500,99999),$B182),Calc!$Y$8:$Y$500,0)),Calc!$D$8:$D$500,0)) ),"-")</f>
        <v>-</v>
      </c>
      <c r="H184" s="53" t="str">
        <f t="array" ref="H184">IFERROR(IF(Kanban!$C$7="All",INDEX(Calc!$F$8:$F$500,MATCH(INDEX(Calc!$D$8:$D$500,MATCH(SMALL(IF((Calc!$K$8:$K$500=Kanban!F$11)*(Calc!$Y$8:$Y$500&gt;0),Calc!$Y$8:$Y$500,99999),$B182),Calc!$Y$8:$Y$500,0)),Calc!$D$8:$D$500,0)),
INDEX(Calc!$F$8:$F$500,MATCH(INDEX(Calc!$D$8:$D$500,MATCH(SMALL(IF((Calc!$K$8:$K$500=Kanban!F$11)*(Calc!$C$8:$C$500=Kanban!$C$7)*(Calc!$Y$8:$Y$500&gt;0),Calc!$Y$8:$Y$500,99999),$B182),Calc!$Y$8:$Y$500,0)),Calc!$D$8:$D$500,0)) ),"-")</f>
        <v>-</v>
      </c>
      <c r="I184" s="53" t="str">
        <f t="array" ref="I184">IFERROR(IF(Kanban!$C$7="All",INDEX(Calc!$F$8:$F$500,MATCH(INDEX(Calc!$D$8:$D$500,MATCH(SMALL(IF((Calc!$K$8:$K$500=Kanban!G$11)*(Calc!$Y$8:$Y$500&gt;0),Calc!$Y$8:$Y$500,99999),$B182),Calc!$Y$8:$Y$500,0)),Calc!$D$8:$D$500,0)),
INDEX(Calc!$F$8:$F$500,MATCH(INDEX(Calc!$D$8:$D$500,MATCH(SMALL(IF((Calc!$K$8:$K$500=Kanban!G$11)*(Calc!$C$8:$C$500=Kanban!$C$7)*(Calc!$Y$8:$Y$500&gt;0),Calc!$Y$8:$Y$500,99999),$B182),Calc!$Y$8:$Y$500,0)),Calc!$D$8:$D$500,0)) ),"-")</f>
        <v>-</v>
      </c>
      <c r="J184" s="53" t="str">
        <f t="array" ref="J184">IFERROR(IF(Kanban!$C$7="All",INDEX(Calc!$F$8:$F$500,MATCH(INDEX(Calc!$D$8:$D$500,MATCH(SMALL(IF((Calc!$K$8:$K$500=Kanban!H$11)*(Calc!$Y$8:$Y$500&gt;0),Calc!$Y$8:$Y$500,99999),$B182),Calc!$Y$8:$Y$500,0)),Calc!$D$8:$D$500,0)),
INDEX(Calc!$F$8:$F$500,MATCH(INDEX(Calc!$D$8:$D$500,MATCH(SMALL(IF((Calc!$K$8:$K$500=Kanban!H$11)*(Calc!$C$8:$C$500=Kanban!$C$7)*(Calc!$Y$8:$Y$500&gt;0),Calc!$Y$8:$Y$500,99999),$B182),Calc!$Y$8:$Y$500,0)),Calc!$D$8:$D$500,0)) ),"-")</f>
        <v>-</v>
      </c>
    </row>
    <row r="185" spans="2:10" x14ac:dyDescent="0.35">
      <c r="B185" s="54">
        <f t="shared" si="89"/>
        <v>61</v>
      </c>
      <c r="C185" s="18"/>
      <c r="D185" s="18"/>
      <c r="E185" s="52" t="str">
        <f t="shared" ref="E185:J185" si="123">IFERROR(E187,"-")</f>
        <v>-</v>
      </c>
      <c r="F185" s="52" t="str">
        <f t="shared" si="123"/>
        <v>-</v>
      </c>
      <c r="G185" s="52" t="str">
        <f t="shared" si="123"/>
        <v>-</v>
      </c>
      <c r="H185" s="52" t="str">
        <f t="shared" si="123"/>
        <v>-</v>
      </c>
      <c r="I185" s="52" t="str">
        <f t="shared" si="123"/>
        <v>-</v>
      </c>
      <c r="J185" s="52" t="str">
        <f t="shared" si="123"/>
        <v>-</v>
      </c>
    </row>
    <row r="186" spans="2:10" x14ac:dyDescent="0.35">
      <c r="B186" s="54">
        <f t="shared" si="89"/>
        <v>61</v>
      </c>
      <c r="C186" s="18"/>
      <c r="D186" s="18"/>
      <c r="E186" s="52" t="str">
        <f t="shared" ref="E186:J186" si="124">IFERROR(E187,"-")</f>
        <v>-</v>
      </c>
      <c r="F186" s="52" t="str">
        <f t="shared" si="124"/>
        <v>-</v>
      </c>
      <c r="G186" s="52" t="str">
        <f t="shared" si="124"/>
        <v>-</v>
      </c>
      <c r="H186" s="52" t="str">
        <f t="shared" si="124"/>
        <v>-</v>
      </c>
      <c r="I186" s="52" t="str">
        <f t="shared" si="124"/>
        <v>-</v>
      </c>
      <c r="J186" s="52" t="str">
        <f t="shared" si="124"/>
        <v>-</v>
      </c>
    </row>
    <row r="187" spans="2:10" x14ac:dyDescent="0.35">
      <c r="B187" s="54">
        <f t="shared" si="89"/>
        <v>61</v>
      </c>
      <c r="C187" s="18"/>
      <c r="D187" s="18"/>
      <c r="E187" s="53" t="str">
        <f t="array" ref="E187">IFERROR(IF(Kanban!$C$7="All",INDEX(Calc!$F$8:$F$500,MATCH(INDEX(Calc!$D$8:$D$500,MATCH(SMALL(IF((Calc!$K$8:$K$500=Kanban!C$11)*(Calc!$Y$8:$Y$500&gt;0),Calc!$Y$8:$Y$500,99999),$B185),Calc!$Y$8:$Y$500,0)),Calc!$D$8:$D$500,0)),
INDEX(Calc!$F$8:$F$500,MATCH(INDEX(Calc!$D$8:$D$500,MATCH(SMALL(IF((Calc!$K$8:$K$500=Kanban!C$11)*(Calc!$C$8:$C$500=Kanban!$C$7)*(Calc!$Y$8:$Y$500&gt;0),Calc!$Y$8:$Y$500,99999),$B185),Calc!$Y$8:$Y$500,0)),Calc!$D$8:$D$500,0)) ),"-")</f>
        <v>-</v>
      </c>
      <c r="F187" s="53" t="str">
        <f t="array" ref="F187">IFERROR(IF(Kanban!$C$7="All",INDEX(Calc!$F$8:$F$500,MATCH(INDEX(Calc!$D$8:$D$500,MATCH(SMALL(IF((Calc!$K$8:$K$500=Kanban!D$11)*(Calc!$Y$8:$Y$500&gt;0),Calc!$Y$8:$Y$500,99999),$B185),Calc!$Y$8:$Y$500,0)),Calc!$D$8:$D$500,0)),
INDEX(Calc!$F$8:$F$500,MATCH(INDEX(Calc!$D$8:$D$500,MATCH(SMALL(IF((Calc!$K$8:$K$500=Kanban!D$11)*(Calc!$C$8:$C$500=Kanban!$C$7)*(Calc!$Y$8:$Y$500&gt;0),Calc!$Y$8:$Y$500,99999),$B185),Calc!$Y$8:$Y$500,0)),Calc!$D$8:$D$500,0)) ),"-")</f>
        <v>-</v>
      </c>
      <c r="G187" s="53" t="str">
        <f t="array" ref="G187">IFERROR(IF(Kanban!$C$7="All",INDEX(Calc!$F$8:$F$500,MATCH(INDEX(Calc!$D$8:$D$500,MATCH(SMALL(IF((Calc!$K$8:$K$500=Kanban!E$11)*(Calc!$Y$8:$Y$500&gt;0),Calc!$Y$8:$Y$500,99999),$B185),Calc!$Y$8:$Y$500,0)),Calc!$D$8:$D$500,0)),
INDEX(Calc!$F$8:$F$500,MATCH(INDEX(Calc!$D$8:$D$500,MATCH(SMALL(IF((Calc!$K$8:$K$500=Kanban!E$11)*(Calc!$C$8:$C$500=Kanban!$C$7)*(Calc!$Y$8:$Y$500&gt;0),Calc!$Y$8:$Y$500,99999),$B185),Calc!$Y$8:$Y$500,0)),Calc!$D$8:$D$500,0)) ),"-")</f>
        <v>-</v>
      </c>
      <c r="H187" s="53" t="str">
        <f t="array" ref="H187">IFERROR(IF(Kanban!$C$7="All",INDEX(Calc!$F$8:$F$500,MATCH(INDEX(Calc!$D$8:$D$500,MATCH(SMALL(IF((Calc!$K$8:$K$500=Kanban!F$11)*(Calc!$Y$8:$Y$500&gt;0),Calc!$Y$8:$Y$500,99999),$B185),Calc!$Y$8:$Y$500,0)),Calc!$D$8:$D$500,0)),
INDEX(Calc!$F$8:$F$500,MATCH(INDEX(Calc!$D$8:$D$500,MATCH(SMALL(IF((Calc!$K$8:$K$500=Kanban!F$11)*(Calc!$C$8:$C$500=Kanban!$C$7)*(Calc!$Y$8:$Y$500&gt;0),Calc!$Y$8:$Y$500,99999),$B185),Calc!$Y$8:$Y$500,0)),Calc!$D$8:$D$500,0)) ),"-")</f>
        <v>-</v>
      </c>
      <c r="I187" s="53" t="str">
        <f t="array" ref="I187">IFERROR(IF(Kanban!$C$7="All",INDEX(Calc!$F$8:$F$500,MATCH(INDEX(Calc!$D$8:$D$500,MATCH(SMALL(IF((Calc!$K$8:$K$500=Kanban!G$11)*(Calc!$Y$8:$Y$500&gt;0),Calc!$Y$8:$Y$500,99999),$B185),Calc!$Y$8:$Y$500,0)),Calc!$D$8:$D$500,0)),
INDEX(Calc!$F$8:$F$500,MATCH(INDEX(Calc!$D$8:$D$500,MATCH(SMALL(IF((Calc!$K$8:$K$500=Kanban!G$11)*(Calc!$C$8:$C$500=Kanban!$C$7)*(Calc!$Y$8:$Y$500&gt;0),Calc!$Y$8:$Y$500,99999),$B185),Calc!$Y$8:$Y$500,0)),Calc!$D$8:$D$500,0)) ),"-")</f>
        <v>-</v>
      </c>
      <c r="J187" s="53" t="str">
        <f t="array" ref="J187">IFERROR(IF(Kanban!$C$7="All",INDEX(Calc!$F$8:$F$500,MATCH(INDEX(Calc!$D$8:$D$500,MATCH(SMALL(IF((Calc!$K$8:$K$500=Kanban!H$11)*(Calc!$Y$8:$Y$500&gt;0),Calc!$Y$8:$Y$500,99999),$B185),Calc!$Y$8:$Y$500,0)),Calc!$D$8:$D$500,0)),
INDEX(Calc!$F$8:$F$500,MATCH(INDEX(Calc!$D$8:$D$500,MATCH(SMALL(IF((Calc!$K$8:$K$500=Kanban!H$11)*(Calc!$C$8:$C$500=Kanban!$C$7)*(Calc!$Y$8:$Y$500&gt;0),Calc!$Y$8:$Y$500,99999),$B185),Calc!$Y$8:$Y$500,0)),Calc!$D$8:$D$500,0)) ),"-")</f>
        <v>-</v>
      </c>
    </row>
    <row r="188" spans="2:10" x14ac:dyDescent="0.35">
      <c r="B188" s="54">
        <f t="shared" si="89"/>
        <v>62</v>
      </c>
      <c r="C188" s="18"/>
      <c r="D188" s="18"/>
      <c r="E188" s="52" t="str">
        <f t="shared" ref="E188:J188" si="125">IFERROR(E190,"-")</f>
        <v>-</v>
      </c>
      <c r="F188" s="52" t="str">
        <f t="shared" si="125"/>
        <v>-</v>
      </c>
      <c r="G188" s="52" t="str">
        <f t="shared" si="125"/>
        <v>-</v>
      </c>
      <c r="H188" s="52" t="str">
        <f t="shared" si="125"/>
        <v>-</v>
      </c>
      <c r="I188" s="52" t="str">
        <f t="shared" si="125"/>
        <v>-</v>
      </c>
      <c r="J188" s="52" t="str">
        <f t="shared" si="125"/>
        <v>-</v>
      </c>
    </row>
    <row r="189" spans="2:10" x14ac:dyDescent="0.35">
      <c r="B189" s="54">
        <f t="shared" si="89"/>
        <v>62</v>
      </c>
      <c r="C189" s="18"/>
      <c r="D189" s="18"/>
      <c r="E189" s="52" t="str">
        <f t="shared" ref="E189:J189" si="126">IFERROR(E190,"-")</f>
        <v>-</v>
      </c>
      <c r="F189" s="52" t="str">
        <f t="shared" si="126"/>
        <v>-</v>
      </c>
      <c r="G189" s="52" t="str">
        <f t="shared" si="126"/>
        <v>-</v>
      </c>
      <c r="H189" s="52" t="str">
        <f t="shared" si="126"/>
        <v>-</v>
      </c>
      <c r="I189" s="52" t="str">
        <f t="shared" si="126"/>
        <v>-</v>
      </c>
      <c r="J189" s="52" t="str">
        <f t="shared" si="126"/>
        <v>-</v>
      </c>
    </row>
    <row r="190" spans="2:10" x14ac:dyDescent="0.35">
      <c r="B190" s="54">
        <f t="shared" si="89"/>
        <v>62</v>
      </c>
      <c r="C190" s="18"/>
      <c r="D190" s="18"/>
      <c r="E190" s="53" t="str">
        <f t="array" ref="E190">IFERROR(IF(Kanban!$C$7="All",INDEX(Calc!$F$8:$F$500,MATCH(INDEX(Calc!$D$8:$D$500,MATCH(SMALL(IF((Calc!$K$8:$K$500=Kanban!C$11)*(Calc!$Y$8:$Y$500&gt;0),Calc!$Y$8:$Y$500,99999),$B188),Calc!$Y$8:$Y$500,0)),Calc!$D$8:$D$500,0)),
INDEX(Calc!$F$8:$F$500,MATCH(INDEX(Calc!$D$8:$D$500,MATCH(SMALL(IF((Calc!$K$8:$K$500=Kanban!C$11)*(Calc!$C$8:$C$500=Kanban!$C$7)*(Calc!$Y$8:$Y$500&gt;0),Calc!$Y$8:$Y$500,99999),$B188),Calc!$Y$8:$Y$500,0)),Calc!$D$8:$D$500,0)) ),"-")</f>
        <v>-</v>
      </c>
      <c r="F190" s="53" t="str">
        <f t="array" ref="F190">IFERROR(IF(Kanban!$C$7="All",INDEX(Calc!$F$8:$F$500,MATCH(INDEX(Calc!$D$8:$D$500,MATCH(SMALL(IF((Calc!$K$8:$K$500=Kanban!D$11)*(Calc!$Y$8:$Y$500&gt;0),Calc!$Y$8:$Y$500,99999),$B188),Calc!$Y$8:$Y$500,0)),Calc!$D$8:$D$500,0)),
INDEX(Calc!$F$8:$F$500,MATCH(INDEX(Calc!$D$8:$D$500,MATCH(SMALL(IF((Calc!$K$8:$K$500=Kanban!D$11)*(Calc!$C$8:$C$500=Kanban!$C$7)*(Calc!$Y$8:$Y$500&gt;0),Calc!$Y$8:$Y$500,99999),$B188),Calc!$Y$8:$Y$500,0)),Calc!$D$8:$D$500,0)) ),"-")</f>
        <v>-</v>
      </c>
      <c r="G190" s="53" t="str">
        <f t="array" ref="G190">IFERROR(IF(Kanban!$C$7="All",INDEX(Calc!$F$8:$F$500,MATCH(INDEX(Calc!$D$8:$D$500,MATCH(SMALL(IF((Calc!$K$8:$K$500=Kanban!E$11)*(Calc!$Y$8:$Y$500&gt;0),Calc!$Y$8:$Y$500,99999),$B188),Calc!$Y$8:$Y$500,0)),Calc!$D$8:$D$500,0)),
INDEX(Calc!$F$8:$F$500,MATCH(INDEX(Calc!$D$8:$D$500,MATCH(SMALL(IF((Calc!$K$8:$K$500=Kanban!E$11)*(Calc!$C$8:$C$500=Kanban!$C$7)*(Calc!$Y$8:$Y$500&gt;0),Calc!$Y$8:$Y$500,99999),$B188),Calc!$Y$8:$Y$500,0)),Calc!$D$8:$D$500,0)) ),"-")</f>
        <v>-</v>
      </c>
      <c r="H190" s="53" t="str">
        <f t="array" ref="H190">IFERROR(IF(Kanban!$C$7="All",INDEX(Calc!$F$8:$F$500,MATCH(INDEX(Calc!$D$8:$D$500,MATCH(SMALL(IF((Calc!$K$8:$K$500=Kanban!F$11)*(Calc!$Y$8:$Y$500&gt;0),Calc!$Y$8:$Y$500,99999),$B188),Calc!$Y$8:$Y$500,0)),Calc!$D$8:$D$500,0)),
INDEX(Calc!$F$8:$F$500,MATCH(INDEX(Calc!$D$8:$D$500,MATCH(SMALL(IF((Calc!$K$8:$K$500=Kanban!F$11)*(Calc!$C$8:$C$500=Kanban!$C$7)*(Calc!$Y$8:$Y$500&gt;0),Calc!$Y$8:$Y$500,99999),$B188),Calc!$Y$8:$Y$500,0)),Calc!$D$8:$D$500,0)) ),"-")</f>
        <v>-</v>
      </c>
      <c r="I190" s="53" t="str">
        <f t="array" ref="I190">IFERROR(IF(Kanban!$C$7="All",INDEX(Calc!$F$8:$F$500,MATCH(INDEX(Calc!$D$8:$D$500,MATCH(SMALL(IF((Calc!$K$8:$K$500=Kanban!G$11)*(Calc!$Y$8:$Y$500&gt;0),Calc!$Y$8:$Y$500,99999),$B188),Calc!$Y$8:$Y$500,0)),Calc!$D$8:$D$500,0)),
INDEX(Calc!$F$8:$F$500,MATCH(INDEX(Calc!$D$8:$D$500,MATCH(SMALL(IF((Calc!$K$8:$K$500=Kanban!G$11)*(Calc!$C$8:$C$500=Kanban!$C$7)*(Calc!$Y$8:$Y$500&gt;0),Calc!$Y$8:$Y$500,99999),$B188),Calc!$Y$8:$Y$500,0)),Calc!$D$8:$D$500,0)) ),"-")</f>
        <v>-</v>
      </c>
      <c r="J190" s="53" t="str">
        <f t="array" ref="J190">IFERROR(IF(Kanban!$C$7="All",INDEX(Calc!$F$8:$F$500,MATCH(INDEX(Calc!$D$8:$D$500,MATCH(SMALL(IF((Calc!$K$8:$K$500=Kanban!H$11)*(Calc!$Y$8:$Y$500&gt;0),Calc!$Y$8:$Y$500,99999),$B188),Calc!$Y$8:$Y$500,0)),Calc!$D$8:$D$500,0)),
INDEX(Calc!$F$8:$F$500,MATCH(INDEX(Calc!$D$8:$D$500,MATCH(SMALL(IF((Calc!$K$8:$K$500=Kanban!H$11)*(Calc!$C$8:$C$500=Kanban!$C$7)*(Calc!$Y$8:$Y$500&gt;0),Calc!$Y$8:$Y$500,99999),$B188),Calc!$Y$8:$Y$500,0)),Calc!$D$8:$D$500,0)) ),"-")</f>
        <v>-</v>
      </c>
    </row>
    <row r="191" spans="2:10" x14ac:dyDescent="0.35">
      <c r="B191" s="54">
        <f t="shared" si="89"/>
        <v>63</v>
      </c>
      <c r="C191" s="18"/>
      <c r="D191" s="18"/>
      <c r="E191" s="52" t="str">
        <f t="shared" ref="E191:J191" si="127">IFERROR(E193,"-")</f>
        <v>-</v>
      </c>
      <c r="F191" s="52" t="str">
        <f t="shared" si="127"/>
        <v>-</v>
      </c>
      <c r="G191" s="52" t="str">
        <f t="shared" si="127"/>
        <v>-</v>
      </c>
      <c r="H191" s="52" t="str">
        <f t="shared" si="127"/>
        <v>-</v>
      </c>
      <c r="I191" s="52" t="str">
        <f t="shared" si="127"/>
        <v>-</v>
      </c>
      <c r="J191" s="52" t="str">
        <f t="shared" si="127"/>
        <v>-</v>
      </c>
    </row>
    <row r="192" spans="2:10" x14ac:dyDescent="0.35">
      <c r="B192" s="54">
        <f t="shared" si="89"/>
        <v>63</v>
      </c>
      <c r="C192" s="18"/>
      <c r="D192" s="18"/>
      <c r="E192" s="52" t="str">
        <f t="shared" ref="E192:J192" si="128">IFERROR(E193,"-")</f>
        <v>-</v>
      </c>
      <c r="F192" s="52" t="str">
        <f t="shared" si="128"/>
        <v>-</v>
      </c>
      <c r="G192" s="52" t="str">
        <f t="shared" si="128"/>
        <v>-</v>
      </c>
      <c r="H192" s="52" t="str">
        <f t="shared" si="128"/>
        <v>-</v>
      </c>
      <c r="I192" s="52" t="str">
        <f t="shared" si="128"/>
        <v>-</v>
      </c>
      <c r="J192" s="52" t="str">
        <f t="shared" si="128"/>
        <v>-</v>
      </c>
    </row>
    <row r="193" spans="2:10" x14ac:dyDescent="0.35">
      <c r="B193" s="54">
        <f t="shared" si="89"/>
        <v>63</v>
      </c>
      <c r="C193" s="18"/>
      <c r="D193" s="18"/>
      <c r="E193" s="53" t="str">
        <f t="array" ref="E193">IFERROR(IF(Kanban!$C$7="All",INDEX(Calc!$F$8:$F$500,MATCH(INDEX(Calc!$D$8:$D$500,MATCH(SMALL(IF((Calc!$K$8:$K$500=Kanban!C$11)*(Calc!$Y$8:$Y$500&gt;0),Calc!$Y$8:$Y$500,99999),$B191),Calc!$Y$8:$Y$500,0)),Calc!$D$8:$D$500,0)),
INDEX(Calc!$F$8:$F$500,MATCH(INDEX(Calc!$D$8:$D$500,MATCH(SMALL(IF((Calc!$K$8:$K$500=Kanban!C$11)*(Calc!$C$8:$C$500=Kanban!$C$7)*(Calc!$Y$8:$Y$500&gt;0),Calc!$Y$8:$Y$500,99999),$B191),Calc!$Y$8:$Y$500,0)),Calc!$D$8:$D$500,0)) ),"-")</f>
        <v>-</v>
      </c>
      <c r="F193" s="53" t="str">
        <f t="array" ref="F193">IFERROR(IF(Kanban!$C$7="All",INDEX(Calc!$F$8:$F$500,MATCH(INDEX(Calc!$D$8:$D$500,MATCH(SMALL(IF((Calc!$K$8:$K$500=Kanban!D$11)*(Calc!$Y$8:$Y$500&gt;0),Calc!$Y$8:$Y$500,99999),$B191),Calc!$Y$8:$Y$500,0)),Calc!$D$8:$D$500,0)),
INDEX(Calc!$F$8:$F$500,MATCH(INDEX(Calc!$D$8:$D$500,MATCH(SMALL(IF((Calc!$K$8:$K$500=Kanban!D$11)*(Calc!$C$8:$C$500=Kanban!$C$7)*(Calc!$Y$8:$Y$500&gt;0),Calc!$Y$8:$Y$500,99999),$B191),Calc!$Y$8:$Y$500,0)),Calc!$D$8:$D$500,0)) ),"-")</f>
        <v>-</v>
      </c>
      <c r="G193" s="53" t="str">
        <f t="array" ref="G193">IFERROR(IF(Kanban!$C$7="All",INDEX(Calc!$F$8:$F$500,MATCH(INDEX(Calc!$D$8:$D$500,MATCH(SMALL(IF((Calc!$K$8:$K$500=Kanban!E$11)*(Calc!$Y$8:$Y$500&gt;0),Calc!$Y$8:$Y$500,99999),$B191),Calc!$Y$8:$Y$500,0)),Calc!$D$8:$D$500,0)),
INDEX(Calc!$F$8:$F$500,MATCH(INDEX(Calc!$D$8:$D$500,MATCH(SMALL(IF((Calc!$K$8:$K$500=Kanban!E$11)*(Calc!$C$8:$C$500=Kanban!$C$7)*(Calc!$Y$8:$Y$500&gt;0),Calc!$Y$8:$Y$500,99999),$B191),Calc!$Y$8:$Y$500,0)),Calc!$D$8:$D$500,0)) ),"-")</f>
        <v>-</v>
      </c>
      <c r="H193" s="53" t="str">
        <f t="array" ref="H193">IFERROR(IF(Kanban!$C$7="All",INDEX(Calc!$F$8:$F$500,MATCH(INDEX(Calc!$D$8:$D$500,MATCH(SMALL(IF((Calc!$K$8:$K$500=Kanban!F$11)*(Calc!$Y$8:$Y$500&gt;0),Calc!$Y$8:$Y$500,99999),$B191),Calc!$Y$8:$Y$500,0)),Calc!$D$8:$D$500,0)),
INDEX(Calc!$F$8:$F$500,MATCH(INDEX(Calc!$D$8:$D$500,MATCH(SMALL(IF((Calc!$K$8:$K$500=Kanban!F$11)*(Calc!$C$8:$C$500=Kanban!$C$7)*(Calc!$Y$8:$Y$500&gt;0),Calc!$Y$8:$Y$500,99999),$B191),Calc!$Y$8:$Y$500,0)),Calc!$D$8:$D$500,0)) ),"-")</f>
        <v>-</v>
      </c>
      <c r="I193" s="53" t="str">
        <f t="array" ref="I193">IFERROR(IF(Kanban!$C$7="All",INDEX(Calc!$F$8:$F$500,MATCH(INDEX(Calc!$D$8:$D$500,MATCH(SMALL(IF((Calc!$K$8:$K$500=Kanban!G$11)*(Calc!$Y$8:$Y$500&gt;0),Calc!$Y$8:$Y$500,99999),$B191),Calc!$Y$8:$Y$500,0)),Calc!$D$8:$D$500,0)),
INDEX(Calc!$F$8:$F$500,MATCH(INDEX(Calc!$D$8:$D$500,MATCH(SMALL(IF((Calc!$K$8:$K$500=Kanban!G$11)*(Calc!$C$8:$C$500=Kanban!$C$7)*(Calc!$Y$8:$Y$500&gt;0),Calc!$Y$8:$Y$500,99999),$B191),Calc!$Y$8:$Y$500,0)),Calc!$D$8:$D$500,0)) ),"-")</f>
        <v>-</v>
      </c>
      <c r="J193" s="53" t="str">
        <f t="array" ref="J193">IFERROR(IF(Kanban!$C$7="All",INDEX(Calc!$F$8:$F$500,MATCH(INDEX(Calc!$D$8:$D$500,MATCH(SMALL(IF((Calc!$K$8:$K$500=Kanban!H$11)*(Calc!$Y$8:$Y$500&gt;0),Calc!$Y$8:$Y$500,99999),$B191),Calc!$Y$8:$Y$500,0)),Calc!$D$8:$D$500,0)),
INDEX(Calc!$F$8:$F$500,MATCH(INDEX(Calc!$D$8:$D$500,MATCH(SMALL(IF((Calc!$K$8:$K$500=Kanban!H$11)*(Calc!$C$8:$C$500=Kanban!$C$7)*(Calc!$Y$8:$Y$500&gt;0),Calc!$Y$8:$Y$500,99999),$B191),Calc!$Y$8:$Y$500,0)),Calc!$D$8:$D$500,0)) ),"-")</f>
        <v>-</v>
      </c>
    </row>
    <row r="194" spans="2:10" x14ac:dyDescent="0.35">
      <c r="B194" s="54">
        <f t="shared" si="89"/>
        <v>64</v>
      </c>
      <c r="C194" s="18"/>
      <c r="D194" s="18"/>
      <c r="E194" s="52" t="str">
        <f t="shared" ref="E194:J194" si="129">IFERROR(E196,"-")</f>
        <v>-</v>
      </c>
      <c r="F194" s="52" t="str">
        <f t="shared" si="129"/>
        <v>-</v>
      </c>
      <c r="G194" s="52" t="str">
        <f t="shared" si="129"/>
        <v>-</v>
      </c>
      <c r="H194" s="52" t="str">
        <f t="shared" si="129"/>
        <v>-</v>
      </c>
      <c r="I194" s="52" t="str">
        <f t="shared" si="129"/>
        <v>-</v>
      </c>
      <c r="J194" s="52" t="str">
        <f t="shared" si="129"/>
        <v>-</v>
      </c>
    </row>
    <row r="195" spans="2:10" x14ac:dyDescent="0.35">
      <c r="B195" s="54">
        <f t="shared" si="89"/>
        <v>64</v>
      </c>
      <c r="C195" s="18"/>
      <c r="D195" s="18"/>
      <c r="E195" s="52" t="str">
        <f t="shared" ref="E195:J195" si="130">IFERROR(E196,"-")</f>
        <v>-</v>
      </c>
      <c r="F195" s="52" t="str">
        <f t="shared" si="130"/>
        <v>-</v>
      </c>
      <c r="G195" s="52" t="str">
        <f t="shared" si="130"/>
        <v>-</v>
      </c>
      <c r="H195" s="52" t="str">
        <f t="shared" si="130"/>
        <v>-</v>
      </c>
      <c r="I195" s="52" t="str">
        <f t="shared" si="130"/>
        <v>-</v>
      </c>
      <c r="J195" s="52" t="str">
        <f t="shared" si="130"/>
        <v>-</v>
      </c>
    </row>
    <row r="196" spans="2:10" x14ac:dyDescent="0.35">
      <c r="B196" s="54">
        <f t="shared" si="89"/>
        <v>64</v>
      </c>
      <c r="C196" s="18"/>
      <c r="D196" s="18"/>
      <c r="E196" s="53" t="str">
        <f t="array" ref="E196">IFERROR(IF(Kanban!$C$7="All",INDEX(Calc!$F$8:$F$500,MATCH(INDEX(Calc!$D$8:$D$500,MATCH(SMALL(IF((Calc!$K$8:$K$500=Kanban!C$11)*(Calc!$Y$8:$Y$500&gt;0),Calc!$Y$8:$Y$500,99999),$B194),Calc!$Y$8:$Y$500,0)),Calc!$D$8:$D$500,0)),
INDEX(Calc!$F$8:$F$500,MATCH(INDEX(Calc!$D$8:$D$500,MATCH(SMALL(IF((Calc!$K$8:$K$500=Kanban!C$11)*(Calc!$C$8:$C$500=Kanban!$C$7)*(Calc!$Y$8:$Y$500&gt;0),Calc!$Y$8:$Y$500,99999),$B194),Calc!$Y$8:$Y$500,0)),Calc!$D$8:$D$500,0)) ),"-")</f>
        <v>-</v>
      </c>
      <c r="F196" s="53" t="str">
        <f t="array" ref="F196">IFERROR(IF(Kanban!$C$7="All",INDEX(Calc!$F$8:$F$500,MATCH(INDEX(Calc!$D$8:$D$500,MATCH(SMALL(IF((Calc!$K$8:$K$500=Kanban!D$11)*(Calc!$Y$8:$Y$500&gt;0),Calc!$Y$8:$Y$500,99999),$B194),Calc!$Y$8:$Y$500,0)),Calc!$D$8:$D$500,0)),
INDEX(Calc!$F$8:$F$500,MATCH(INDEX(Calc!$D$8:$D$500,MATCH(SMALL(IF((Calc!$K$8:$K$500=Kanban!D$11)*(Calc!$C$8:$C$500=Kanban!$C$7)*(Calc!$Y$8:$Y$500&gt;0),Calc!$Y$8:$Y$500,99999),$B194),Calc!$Y$8:$Y$500,0)),Calc!$D$8:$D$500,0)) ),"-")</f>
        <v>-</v>
      </c>
      <c r="G196" s="53" t="str">
        <f t="array" ref="G196">IFERROR(IF(Kanban!$C$7="All",INDEX(Calc!$F$8:$F$500,MATCH(INDEX(Calc!$D$8:$D$500,MATCH(SMALL(IF((Calc!$K$8:$K$500=Kanban!E$11)*(Calc!$Y$8:$Y$500&gt;0),Calc!$Y$8:$Y$500,99999),$B194),Calc!$Y$8:$Y$500,0)),Calc!$D$8:$D$500,0)),
INDEX(Calc!$F$8:$F$500,MATCH(INDEX(Calc!$D$8:$D$500,MATCH(SMALL(IF((Calc!$K$8:$K$500=Kanban!E$11)*(Calc!$C$8:$C$500=Kanban!$C$7)*(Calc!$Y$8:$Y$500&gt;0),Calc!$Y$8:$Y$500,99999),$B194),Calc!$Y$8:$Y$500,0)),Calc!$D$8:$D$500,0)) ),"-")</f>
        <v>-</v>
      </c>
      <c r="H196" s="53" t="str">
        <f t="array" ref="H196">IFERROR(IF(Kanban!$C$7="All",INDEX(Calc!$F$8:$F$500,MATCH(INDEX(Calc!$D$8:$D$500,MATCH(SMALL(IF((Calc!$K$8:$K$500=Kanban!F$11)*(Calc!$Y$8:$Y$500&gt;0),Calc!$Y$8:$Y$500,99999),$B194),Calc!$Y$8:$Y$500,0)),Calc!$D$8:$D$500,0)),
INDEX(Calc!$F$8:$F$500,MATCH(INDEX(Calc!$D$8:$D$500,MATCH(SMALL(IF((Calc!$K$8:$K$500=Kanban!F$11)*(Calc!$C$8:$C$500=Kanban!$C$7)*(Calc!$Y$8:$Y$500&gt;0),Calc!$Y$8:$Y$500,99999),$B194),Calc!$Y$8:$Y$500,0)),Calc!$D$8:$D$500,0)) ),"-")</f>
        <v>-</v>
      </c>
      <c r="I196" s="53" t="str">
        <f t="array" ref="I196">IFERROR(IF(Kanban!$C$7="All",INDEX(Calc!$F$8:$F$500,MATCH(INDEX(Calc!$D$8:$D$500,MATCH(SMALL(IF((Calc!$K$8:$K$500=Kanban!G$11)*(Calc!$Y$8:$Y$500&gt;0),Calc!$Y$8:$Y$500,99999),$B194),Calc!$Y$8:$Y$500,0)),Calc!$D$8:$D$500,0)),
INDEX(Calc!$F$8:$F$500,MATCH(INDEX(Calc!$D$8:$D$500,MATCH(SMALL(IF((Calc!$K$8:$K$500=Kanban!G$11)*(Calc!$C$8:$C$500=Kanban!$C$7)*(Calc!$Y$8:$Y$500&gt;0),Calc!$Y$8:$Y$500,99999),$B194),Calc!$Y$8:$Y$500,0)),Calc!$D$8:$D$500,0)) ),"-")</f>
        <v>-</v>
      </c>
      <c r="J196" s="53" t="str">
        <f t="array" ref="J196">IFERROR(IF(Kanban!$C$7="All",INDEX(Calc!$F$8:$F$500,MATCH(INDEX(Calc!$D$8:$D$500,MATCH(SMALL(IF((Calc!$K$8:$K$500=Kanban!H$11)*(Calc!$Y$8:$Y$500&gt;0),Calc!$Y$8:$Y$500,99999),$B194),Calc!$Y$8:$Y$500,0)),Calc!$D$8:$D$500,0)),
INDEX(Calc!$F$8:$F$500,MATCH(INDEX(Calc!$D$8:$D$500,MATCH(SMALL(IF((Calc!$K$8:$K$500=Kanban!H$11)*(Calc!$C$8:$C$500=Kanban!$C$7)*(Calc!$Y$8:$Y$500&gt;0),Calc!$Y$8:$Y$500,99999),$B194),Calc!$Y$8:$Y$500,0)),Calc!$D$8:$D$500,0)) ),"-")</f>
        <v>-</v>
      </c>
    </row>
    <row r="197" spans="2:10" x14ac:dyDescent="0.35">
      <c r="B197" s="54">
        <f t="shared" si="89"/>
        <v>65</v>
      </c>
      <c r="C197" s="18"/>
      <c r="D197" s="18"/>
      <c r="E197" s="52" t="str">
        <f t="shared" ref="E197:J197" si="131">IFERROR(E199,"-")</f>
        <v>-</v>
      </c>
      <c r="F197" s="52" t="str">
        <f t="shared" si="131"/>
        <v>-</v>
      </c>
      <c r="G197" s="52" t="str">
        <f t="shared" si="131"/>
        <v>-</v>
      </c>
      <c r="H197" s="52" t="str">
        <f t="shared" si="131"/>
        <v>-</v>
      </c>
      <c r="I197" s="52" t="str">
        <f t="shared" si="131"/>
        <v>-</v>
      </c>
      <c r="J197" s="52" t="str">
        <f t="shared" si="131"/>
        <v>-</v>
      </c>
    </row>
    <row r="198" spans="2:10" x14ac:dyDescent="0.35">
      <c r="B198" s="54">
        <f t="shared" si="89"/>
        <v>65</v>
      </c>
      <c r="C198" s="18"/>
      <c r="D198" s="18"/>
      <c r="E198" s="52" t="str">
        <f t="shared" ref="E198:J198" si="132">IFERROR(E199,"-")</f>
        <v>-</v>
      </c>
      <c r="F198" s="52" t="str">
        <f t="shared" si="132"/>
        <v>-</v>
      </c>
      <c r="G198" s="52" t="str">
        <f t="shared" si="132"/>
        <v>-</v>
      </c>
      <c r="H198" s="52" t="str">
        <f t="shared" si="132"/>
        <v>-</v>
      </c>
      <c r="I198" s="52" t="str">
        <f t="shared" si="132"/>
        <v>-</v>
      </c>
      <c r="J198" s="52" t="str">
        <f t="shared" si="132"/>
        <v>-</v>
      </c>
    </row>
    <row r="199" spans="2:10" x14ac:dyDescent="0.35">
      <c r="B199" s="54">
        <f t="shared" ref="B199:B262" si="133">IF(COUNTIF(B196:B198,B198)=3,B198+1,B198)</f>
        <v>65</v>
      </c>
      <c r="C199" s="18"/>
      <c r="D199" s="18"/>
      <c r="E199" s="53" t="str">
        <f t="array" ref="E199">IFERROR(IF(Kanban!$C$7="All",INDEX(Calc!$F$8:$F$500,MATCH(INDEX(Calc!$D$8:$D$500,MATCH(SMALL(IF((Calc!$K$8:$K$500=Kanban!C$11)*(Calc!$Y$8:$Y$500&gt;0),Calc!$Y$8:$Y$500,99999),$B197),Calc!$Y$8:$Y$500,0)),Calc!$D$8:$D$500,0)),
INDEX(Calc!$F$8:$F$500,MATCH(INDEX(Calc!$D$8:$D$500,MATCH(SMALL(IF((Calc!$K$8:$K$500=Kanban!C$11)*(Calc!$C$8:$C$500=Kanban!$C$7)*(Calc!$Y$8:$Y$500&gt;0),Calc!$Y$8:$Y$500,99999),$B197),Calc!$Y$8:$Y$500,0)),Calc!$D$8:$D$500,0)) ),"-")</f>
        <v>-</v>
      </c>
      <c r="F199" s="53" t="str">
        <f t="array" ref="F199">IFERROR(IF(Kanban!$C$7="All",INDEX(Calc!$F$8:$F$500,MATCH(INDEX(Calc!$D$8:$D$500,MATCH(SMALL(IF((Calc!$K$8:$K$500=Kanban!D$11)*(Calc!$Y$8:$Y$500&gt;0),Calc!$Y$8:$Y$500,99999),$B197),Calc!$Y$8:$Y$500,0)),Calc!$D$8:$D$500,0)),
INDEX(Calc!$F$8:$F$500,MATCH(INDEX(Calc!$D$8:$D$500,MATCH(SMALL(IF((Calc!$K$8:$K$500=Kanban!D$11)*(Calc!$C$8:$C$500=Kanban!$C$7)*(Calc!$Y$8:$Y$500&gt;0),Calc!$Y$8:$Y$500,99999),$B197),Calc!$Y$8:$Y$500,0)),Calc!$D$8:$D$500,0)) ),"-")</f>
        <v>-</v>
      </c>
      <c r="G199" s="53" t="str">
        <f t="array" ref="G199">IFERROR(IF(Kanban!$C$7="All",INDEX(Calc!$F$8:$F$500,MATCH(INDEX(Calc!$D$8:$D$500,MATCH(SMALL(IF((Calc!$K$8:$K$500=Kanban!E$11)*(Calc!$Y$8:$Y$500&gt;0),Calc!$Y$8:$Y$500,99999),$B197),Calc!$Y$8:$Y$500,0)),Calc!$D$8:$D$500,0)),
INDEX(Calc!$F$8:$F$500,MATCH(INDEX(Calc!$D$8:$D$500,MATCH(SMALL(IF((Calc!$K$8:$K$500=Kanban!E$11)*(Calc!$C$8:$C$500=Kanban!$C$7)*(Calc!$Y$8:$Y$500&gt;0),Calc!$Y$8:$Y$500,99999),$B197),Calc!$Y$8:$Y$500,0)),Calc!$D$8:$D$500,0)) ),"-")</f>
        <v>-</v>
      </c>
      <c r="H199" s="53" t="str">
        <f t="array" ref="H199">IFERROR(IF(Kanban!$C$7="All",INDEX(Calc!$F$8:$F$500,MATCH(INDEX(Calc!$D$8:$D$500,MATCH(SMALL(IF((Calc!$K$8:$K$500=Kanban!F$11)*(Calc!$Y$8:$Y$500&gt;0),Calc!$Y$8:$Y$500,99999),$B197),Calc!$Y$8:$Y$500,0)),Calc!$D$8:$D$500,0)),
INDEX(Calc!$F$8:$F$500,MATCH(INDEX(Calc!$D$8:$D$500,MATCH(SMALL(IF((Calc!$K$8:$K$500=Kanban!F$11)*(Calc!$C$8:$C$500=Kanban!$C$7)*(Calc!$Y$8:$Y$500&gt;0),Calc!$Y$8:$Y$500,99999),$B197),Calc!$Y$8:$Y$500,0)),Calc!$D$8:$D$500,0)) ),"-")</f>
        <v>-</v>
      </c>
      <c r="I199" s="53" t="str">
        <f t="array" ref="I199">IFERROR(IF(Kanban!$C$7="All",INDEX(Calc!$F$8:$F$500,MATCH(INDEX(Calc!$D$8:$D$500,MATCH(SMALL(IF((Calc!$K$8:$K$500=Kanban!G$11)*(Calc!$Y$8:$Y$500&gt;0),Calc!$Y$8:$Y$500,99999),$B197),Calc!$Y$8:$Y$500,0)),Calc!$D$8:$D$500,0)),
INDEX(Calc!$F$8:$F$500,MATCH(INDEX(Calc!$D$8:$D$500,MATCH(SMALL(IF((Calc!$K$8:$K$500=Kanban!G$11)*(Calc!$C$8:$C$500=Kanban!$C$7)*(Calc!$Y$8:$Y$500&gt;0),Calc!$Y$8:$Y$500,99999),$B197),Calc!$Y$8:$Y$500,0)),Calc!$D$8:$D$500,0)) ),"-")</f>
        <v>-</v>
      </c>
      <c r="J199" s="53" t="str">
        <f t="array" ref="J199">IFERROR(IF(Kanban!$C$7="All",INDEX(Calc!$F$8:$F$500,MATCH(INDEX(Calc!$D$8:$D$500,MATCH(SMALL(IF((Calc!$K$8:$K$500=Kanban!H$11)*(Calc!$Y$8:$Y$500&gt;0),Calc!$Y$8:$Y$500,99999),$B197),Calc!$Y$8:$Y$500,0)),Calc!$D$8:$D$500,0)),
INDEX(Calc!$F$8:$F$500,MATCH(INDEX(Calc!$D$8:$D$500,MATCH(SMALL(IF((Calc!$K$8:$K$500=Kanban!H$11)*(Calc!$C$8:$C$500=Kanban!$C$7)*(Calc!$Y$8:$Y$500&gt;0),Calc!$Y$8:$Y$500,99999),$B197),Calc!$Y$8:$Y$500,0)),Calc!$D$8:$D$500,0)) ),"-")</f>
        <v>-</v>
      </c>
    </row>
    <row r="200" spans="2:10" x14ac:dyDescent="0.35">
      <c r="B200" s="54">
        <f t="shared" si="133"/>
        <v>66</v>
      </c>
      <c r="C200" s="18"/>
      <c r="D200" s="18"/>
      <c r="E200" s="52" t="str">
        <f t="shared" ref="E200:J200" si="134">IFERROR(E202,"-")</f>
        <v>-</v>
      </c>
      <c r="F200" s="52" t="str">
        <f t="shared" si="134"/>
        <v>-</v>
      </c>
      <c r="G200" s="52" t="str">
        <f t="shared" si="134"/>
        <v>-</v>
      </c>
      <c r="H200" s="52" t="str">
        <f t="shared" si="134"/>
        <v>-</v>
      </c>
      <c r="I200" s="52" t="str">
        <f t="shared" si="134"/>
        <v>-</v>
      </c>
      <c r="J200" s="52" t="str">
        <f t="shared" si="134"/>
        <v>-</v>
      </c>
    </row>
    <row r="201" spans="2:10" x14ac:dyDescent="0.35">
      <c r="B201" s="54">
        <f t="shared" si="133"/>
        <v>66</v>
      </c>
      <c r="C201" s="18"/>
      <c r="D201" s="18"/>
      <c r="E201" s="52" t="str">
        <f t="shared" ref="E201:J201" si="135">IFERROR(E202,"-")</f>
        <v>-</v>
      </c>
      <c r="F201" s="52" t="str">
        <f t="shared" si="135"/>
        <v>-</v>
      </c>
      <c r="G201" s="52" t="str">
        <f t="shared" si="135"/>
        <v>-</v>
      </c>
      <c r="H201" s="52" t="str">
        <f t="shared" si="135"/>
        <v>-</v>
      </c>
      <c r="I201" s="52" t="str">
        <f t="shared" si="135"/>
        <v>-</v>
      </c>
      <c r="J201" s="52" t="str">
        <f t="shared" si="135"/>
        <v>-</v>
      </c>
    </row>
    <row r="202" spans="2:10" x14ac:dyDescent="0.35">
      <c r="B202" s="54">
        <f t="shared" si="133"/>
        <v>66</v>
      </c>
      <c r="C202" s="18"/>
      <c r="D202" s="18"/>
      <c r="E202" s="53" t="str">
        <f t="array" ref="E202">IFERROR(IF(Kanban!$C$7="All",INDEX(Calc!$F$8:$F$500,MATCH(INDEX(Calc!$D$8:$D$500,MATCH(SMALL(IF((Calc!$K$8:$K$500=Kanban!C$11)*(Calc!$Y$8:$Y$500&gt;0),Calc!$Y$8:$Y$500,99999),$B200),Calc!$Y$8:$Y$500,0)),Calc!$D$8:$D$500,0)),
INDEX(Calc!$F$8:$F$500,MATCH(INDEX(Calc!$D$8:$D$500,MATCH(SMALL(IF((Calc!$K$8:$K$500=Kanban!C$11)*(Calc!$C$8:$C$500=Kanban!$C$7)*(Calc!$Y$8:$Y$500&gt;0),Calc!$Y$8:$Y$500,99999),$B200),Calc!$Y$8:$Y$500,0)),Calc!$D$8:$D$500,0)) ),"-")</f>
        <v>-</v>
      </c>
      <c r="F202" s="53" t="str">
        <f t="array" ref="F202">IFERROR(IF(Kanban!$C$7="All",INDEX(Calc!$F$8:$F$500,MATCH(INDEX(Calc!$D$8:$D$500,MATCH(SMALL(IF((Calc!$K$8:$K$500=Kanban!D$11)*(Calc!$Y$8:$Y$500&gt;0),Calc!$Y$8:$Y$500,99999),$B200),Calc!$Y$8:$Y$500,0)),Calc!$D$8:$D$500,0)),
INDEX(Calc!$F$8:$F$500,MATCH(INDEX(Calc!$D$8:$D$500,MATCH(SMALL(IF((Calc!$K$8:$K$500=Kanban!D$11)*(Calc!$C$8:$C$500=Kanban!$C$7)*(Calc!$Y$8:$Y$500&gt;0),Calc!$Y$8:$Y$500,99999),$B200),Calc!$Y$8:$Y$500,0)),Calc!$D$8:$D$500,0)) ),"-")</f>
        <v>-</v>
      </c>
      <c r="G202" s="53" t="str">
        <f t="array" ref="G202">IFERROR(IF(Kanban!$C$7="All",INDEX(Calc!$F$8:$F$500,MATCH(INDEX(Calc!$D$8:$D$500,MATCH(SMALL(IF((Calc!$K$8:$K$500=Kanban!E$11)*(Calc!$Y$8:$Y$500&gt;0),Calc!$Y$8:$Y$500,99999),$B200),Calc!$Y$8:$Y$500,0)),Calc!$D$8:$D$500,0)),
INDEX(Calc!$F$8:$F$500,MATCH(INDEX(Calc!$D$8:$D$500,MATCH(SMALL(IF((Calc!$K$8:$K$500=Kanban!E$11)*(Calc!$C$8:$C$500=Kanban!$C$7)*(Calc!$Y$8:$Y$500&gt;0),Calc!$Y$8:$Y$500,99999),$B200),Calc!$Y$8:$Y$500,0)),Calc!$D$8:$D$500,0)) ),"-")</f>
        <v>-</v>
      </c>
      <c r="H202" s="53" t="str">
        <f t="array" ref="H202">IFERROR(IF(Kanban!$C$7="All",INDEX(Calc!$F$8:$F$500,MATCH(INDEX(Calc!$D$8:$D$500,MATCH(SMALL(IF((Calc!$K$8:$K$500=Kanban!F$11)*(Calc!$Y$8:$Y$500&gt;0),Calc!$Y$8:$Y$500,99999),$B200),Calc!$Y$8:$Y$500,0)),Calc!$D$8:$D$500,0)),
INDEX(Calc!$F$8:$F$500,MATCH(INDEX(Calc!$D$8:$D$500,MATCH(SMALL(IF((Calc!$K$8:$K$500=Kanban!F$11)*(Calc!$C$8:$C$500=Kanban!$C$7)*(Calc!$Y$8:$Y$500&gt;0),Calc!$Y$8:$Y$500,99999),$B200),Calc!$Y$8:$Y$500,0)),Calc!$D$8:$D$500,0)) ),"-")</f>
        <v>-</v>
      </c>
      <c r="I202" s="53" t="str">
        <f t="array" ref="I202">IFERROR(IF(Kanban!$C$7="All",INDEX(Calc!$F$8:$F$500,MATCH(INDEX(Calc!$D$8:$D$500,MATCH(SMALL(IF((Calc!$K$8:$K$500=Kanban!G$11)*(Calc!$Y$8:$Y$500&gt;0),Calc!$Y$8:$Y$500,99999),$B200),Calc!$Y$8:$Y$500,0)),Calc!$D$8:$D$500,0)),
INDEX(Calc!$F$8:$F$500,MATCH(INDEX(Calc!$D$8:$D$500,MATCH(SMALL(IF((Calc!$K$8:$K$500=Kanban!G$11)*(Calc!$C$8:$C$500=Kanban!$C$7)*(Calc!$Y$8:$Y$500&gt;0),Calc!$Y$8:$Y$500,99999),$B200),Calc!$Y$8:$Y$500,0)),Calc!$D$8:$D$500,0)) ),"-")</f>
        <v>-</v>
      </c>
      <c r="J202" s="53" t="str">
        <f t="array" ref="J202">IFERROR(IF(Kanban!$C$7="All",INDEX(Calc!$F$8:$F$500,MATCH(INDEX(Calc!$D$8:$D$500,MATCH(SMALL(IF((Calc!$K$8:$K$500=Kanban!H$11)*(Calc!$Y$8:$Y$500&gt;0),Calc!$Y$8:$Y$500,99999),$B200),Calc!$Y$8:$Y$500,0)),Calc!$D$8:$D$500,0)),
INDEX(Calc!$F$8:$F$500,MATCH(INDEX(Calc!$D$8:$D$500,MATCH(SMALL(IF((Calc!$K$8:$K$500=Kanban!H$11)*(Calc!$C$8:$C$500=Kanban!$C$7)*(Calc!$Y$8:$Y$500&gt;0),Calc!$Y$8:$Y$500,99999),$B200),Calc!$Y$8:$Y$500,0)),Calc!$D$8:$D$500,0)) ),"-")</f>
        <v>-</v>
      </c>
    </row>
    <row r="203" spans="2:10" x14ac:dyDescent="0.35">
      <c r="B203" s="54">
        <f t="shared" si="133"/>
        <v>67</v>
      </c>
      <c r="C203" s="18"/>
      <c r="D203" s="18"/>
      <c r="E203" s="52" t="str">
        <f t="shared" ref="E203:J203" si="136">IFERROR(E205,"-")</f>
        <v>-</v>
      </c>
      <c r="F203" s="52" t="str">
        <f t="shared" si="136"/>
        <v>-</v>
      </c>
      <c r="G203" s="52" t="str">
        <f t="shared" si="136"/>
        <v>-</v>
      </c>
      <c r="H203" s="52" t="str">
        <f t="shared" si="136"/>
        <v>-</v>
      </c>
      <c r="I203" s="52" t="str">
        <f t="shared" si="136"/>
        <v>-</v>
      </c>
      <c r="J203" s="52" t="str">
        <f t="shared" si="136"/>
        <v>-</v>
      </c>
    </row>
    <row r="204" spans="2:10" x14ac:dyDescent="0.35">
      <c r="B204" s="54">
        <f t="shared" si="133"/>
        <v>67</v>
      </c>
      <c r="C204" s="18"/>
      <c r="D204" s="18"/>
      <c r="E204" s="52" t="str">
        <f t="shared" ref="E204:J204" si="137">IFERROR(E205,"-")</f>
        <v>-</v>
      </c>
      <c r="F204" s="52" t="str">
        <f t="shared" si="137"/>
        <v>-</v>
      </c>
      <c r="G204" s="52" t="str">
        <f t="shared" si="137"/>
        <v>-</v>
      </c>
      <c r="H204" s="52" t="str">
        <f t="shared" si="137"/>
        <v>-</v>
      </c>
      <c r="I204" s="52" t="str">
        <f t="shared" si="137"/>
        <v>-</v>
      </c>
      <c r="J204" s="52" t="str">
        <f t="shared" si="137"/>
        <v>-</v>
      </c>
    </row>
    <row r="205" spans="2:10" x14ac:dyDescent="0.35">
      <c r="B205" s="54">
        <f t="shared" si="133"/>
        <v>67</v>
      </c>
      <c r="C205" s="18"/>
      <c r="D205" s="18"/>
      <c r="E205" s="53" t="str">
        <f t="array" ref="E205">IFERROR(IF(Kanban!$C$7="All",INDEX(Calc!$F$8:$F$500,MATCH(INDEX(Calc!$D$8:$D$500,MATCH(SMALL(IF((Calc!$K$8:$K$500=Kanban!C$11)*(Calc!$Y$8:$Y$500&gt;0),Calc!$Y$8:$Y$500,99999),$B203),Calc!$Y$8:$Y$500,0)),Calc!$D$8:$D$500,0)),
INDEX(Calc!$F$8:$F$500,MATCH(INDEX(Calc!$D$8:$D$500,MATCH(SMALL(IF((Calc!$K$8:$K$500=Kanban!C$11)*(Calc!$C$8:$C$500=Kanban!$C$7)*(Calc!$Y$8:$Y$500&gt;0),Calc!$Y$8:$Y$500,99999),$B203),Calc!$Y$8:$Y$500,0)),Calc!$D$8:$D$500,0)) ),"-")</f>
        <v>-</v>
      </c>
      <c r="F205" s="53" t="str">
        <f t="array" ref="F205">IFERROR(IF(Kanban!$C$7="All",INDEX(Calc!$F$8:$F$500,MATCH(INDEX(Calc!$D$8:$D$500,MATCH(SMALL(IF((Calc!$K$8:$K$500=Kanban!D$11)*(Calc!$Y$8:$Y$500&gt;0),Calc!$Y$8:$Y$500,99999),$B203),Calc!$Y$8:$Y$500,0)),Calc!$D$8:$D$500,0)),
INDEX(Calc!$F$8:$F$500,MATCH(INDEX(Calc!$D$8:$D$500,MATCH(SMALL(IF((Calc!$K$8:$K$500=Kanban!D$11)*(Calc!$C$8:$C$500=Kanban!$C$7)*(Calc!$Y$8:$Y$500&gt;0),Calc!$Y$8:$Y$500,99999),$B203),Calc!$Y$8:$Y$500,0)),Calc!$D$8:$D$500,0)) ),"-")</f>
        <v>-</v>
      </c>
      <c r="G205" s="53" t="str">
        <f t="array" ref="G205">IFERROR(IF(Kanban!$C$7="All",INDEX(Calc!$F$8:$F$500,MATCH(INDEX(Calc!$D$8:$D$500,MATCH(SMALL(IF((Calc!$K$8:$K$500=Kanban!E$11)*(Calc!$Y$8:$Y$500&gt;0),Calc!$Y$8:$Y$500,99999),$B203),Calc!$Y$8:$Y$500,0)),Calc!$D$8:$D$500,0)),
INDEX(Calc!$F$8:$F$500,MATCH(INDEX(Calc!$D$8:$D$500,MATCH(SMALL(IF((Calc!$K$8:$K$500=Kanban!E$11)*(Calc!$C$8:$C$500=Kanban!$C$7)*(Calc!$Y$8:$Y$500&gt;0),Calc!$Y$8:$Y$500,99999),$B203),Calc!$Y$8:$Y$500,0)),Calc!$D$8:$D$500,0)) ),"-")</f>
        <v>-</v>
      </c>
      <c r="H205" s="53" t="str">
        <f t="array" ref="H205">IFERROR(IF(Kanban!$C$7="All",INDEX(Calc!$F$8:$F$500,MATCH(INDEX(Calc!$D$8:$D$500,MATCH(SMALL(IF((Calc!$K$8:$K$500=Kanban!F$11)*(Calc!$Y$8:$Y$500&gt;0),Calc!$Y$8:$Y$500,99999),$B203),Calc!$Y$8:$Y$500,0)),Calc!$D$8:$D$500,0)),
INDEX(Calc!$F$8:$F$500,MATCH(INDEX(Calc!$D$8:$D$500,MATCH(SMALL(IF((Calc!$K$8:$K$500=Kanban!F$11)*(Calc!$C$8:$C$500=Kanban!$C$7)*(Calc!$Y$8:$Y$500&gt;0),Calc!$Y$8:$Y$500,99999),$B203),Calc!$Y$8:$Y$500,0)),Calc!$D$8:$D$500,0)) ),"-")</f>
        <v>-</v>
      </c>
      <c r="I205" s="53" t="str">
        <f t="array" ref="I205">IFERROR(IF(Kanban!$C$7="All",INDEX(Calc!$F$8:$F$500,MATCH(INDEX(Calc!$D$8:$D$500,MATCH(SMALL(IF((Calc!$K$8:$K$500=Kanban!G$11)*(Calc!$Y$8:$Y$500&gt;0),Calc!$Y$8:$Y$500,99999),$B203),Calc!$Y$8:$Y$500,0)),Calc!$D$8:$D$500,0)),
INDEX(Calc!$F$8:$F$500,MATCH(INDEX(Calc!$D$8:$D$500,MATCH(SMALL(IF((Calc!$K$8:$K$500=Kanban!G$11)*(Calc!$C$8:$C$500=Kanban!$C$7)*(Calc!$Y$8:$Y$500&gt;0),Calc!$Y$8:$Y$500,99999),$B203),Calc!$Y$8:$Y$500,0)),Calc!$D$8:$D$500,0)) ),"-")</f>
        <v>-</v>
      </c>
      <c r="J205" s="53" t="str">
        <f t="array" ref="J205">IFERROR(IF(Kanban!$C$7="All",INDEX(Calc!$F$8:$F$500,MATCH(INDEX(Calc!$D$8:$D$500,MATCH(SMALL(IF((Calc!$K$8:$K$500=Kanban!H$11)*(Calc!$Y$8:$Y$500&gt;0),Calc!$Y$8:$Y$500,99999),$B203),Calc!$Y$8:$Y$500,0)),Calc!$D$8:$D$500,0)),
INDEX(Calc!$F$8:$F$500,MATCH(INDEX(Calc!$D$8:$D$500,MATCH(SMALL(IF((Calc!$K$8:$K$500=Kanban!H$11)*(Calc!$C$8:$C$500=Kanban!$C$7)*(Calc!$Y$8:$Y$500&gt;0),Calc!$Y$8:$Y$500,99999),$B203),Calc!$Y$8:$Y$500,0)),Calc!$D$8:$D$500,0)) ),"-")</f>
        <v>-</v>
      </c>
    </row>
    <row r="206" spans="2:10" x14ac:dyDescent="0.35">
      <c r="B206" s="54">
        <f t="shared" si="133"/>
        <v>68</v>
      </c>
      <c r="C206" s="18"/>
      <c r="D206" s="18"/>
      <c r="E206" s="52" t="str">
        <f t="shared" ref="E206:J206" si="138">IFERROR(E208,"-")</f>
        <v>-</v>
      </c>
      <c r="F206" s="52" t="str">
        <f t="shared" si="138"/>
        <v>-</v>
      </c>
      <c r="G206" s="52" t="str">
        <f t="shared" si="138"/>
        <v>-</v>
      </c>
      <c r="H206" s="52" t="str">
        <f t="shared" si="138"/>
        <v>-</v>
      </c>
      <c r="I206" s="52" t="str">
        <f t="shared" si="138"/>
        <v>-</v>
      </c>
      <c r="J206" s="52" t="str">
        <f t="shared" si="138"/>
        <v>-</v>
      </c>
    </row>
    <row r="207" spans="2:10" x14ac:dyDescent="0.35">
      <c r="B207" s="54">
        <f t="shared" si="133"/>
        <v>68</v>
      </c>
      <c r="C207" s="18"/>
      <c r="D207" s="18"/>
      <c r="E207" s="52" t="str">
        <f t="shared" ref="E207:J207" si="139">IFERROR(E208,"-")</f>
        <v>-</v>
      </c>
      <c r="F207" s="52" t="str">
        <f t="shared" si="139"/>
        <v>-</v>
      </c>
      <c r="G207" s="52" t="str">
        <f t="shared" si="139"/>
        <v>-</v>
      </c>
      <c r="H207" s="52" t="str">
        <f t="shared" si="139"/>
        <v>-</v>
      </c>
      <c r="I207" s="52" t="str">
        <f t="shared" si="139"/>
        <v>-</v>
      </c>
      <c r="J207" s="52" t="str">
        <f t="shared" si="139"/>
        <v>-</v>
      </c>
    </row>
    <row r="208" spans="2:10" x14ac:dyDescent="0.35">
      <c r="B208" s="54">
        <f t="shared" si="133"/>
        <v>68</v>
      </c>
      <c r="C208" s="18"/>
      <c r="D208" s="18"/>
      <c r="E208" s="53" t="str">
        <f t="array" ref="E208">IFERROR(IF(Kanban!$C$7="All",INDEX(Calc!$F$8:$F$500,MATCH(INDEX(Calc!$D$8:$D$500,MATCH(SMALL(IF((Calc!$K$8:$K$500=Kanban!C$11)*(Calc!$Y$8:$Y$500&gt;0),Calc!$Y$8:$Y$500,99999),$B206),Calc!$Y$8:$Y$500,0)),Calc!$D$8:$D$500,0)),
INDEX(Calc!$F$8:$F$500,MATCH(INDEX(Calc!$D$8:$D$500,MATCH(SMALL(IF((Calc!$K$8:$K$500=Kanban!C$11)*(Calc!$C$8:$C$500=Kanban!$C$7)*(Calc!$Y$8:$Y$500&gt;0),Calc!$Y$8:$Y$500,99999),$B206),Calc!$Y$8:$Y$500,0)),Calc!$D$8:$D$500,0)) ),"-")</f>
        <v>-</v>
      </c>
      <c r="F208" s="53" t="str">
        <f t="array" ref="F208">IFERROR(IF(Kanban!$C$7="All",INDEX(Calc!$F$8:$F$500,MATCH(INDEX(Calc!$D$8:$D$500,MATCH(SMALL(IF((Calc!$K$8:$K$500=Kanban!D$11)*(Calc!$Y$8:$Y$500&gt;0),Calc!$Y$8:$Y$500,99999),$B206),Calc!$Y$8:$Y$500,0)),Calc!$D$8:$D$500,0)),
INDEX(Calc!$F$8:$F$500,MATCH(INDEX(Calc!$D$8:$D$500,MATCH(SMALL(IF((Calc!$K$8:$K$500=Kanban!D$11)*(Calc!$C$8:$C$500=Kanban!$C$7)*(Calc!$Y$8:$Y$500&gt;0),Calc!$Y$8:$Y$500,99999),$B206),Calc!$Y$8:$Y$500,0)),Calc!$D$8:$D$500,0)) ),"-")</f>
        <v>-</v>
      </c>
      <c r="G208" s="53" t="str">
        <f t="array" ref="G208">IFERROR(IF(Kanban!$C$7="All",INDEX(Calc!$F$8:$F$500,MATCH(INDEX(Calc!$D$8:$D$500,MATCH(SMALL(IF((Calc!$K$8:$K$500=Kanban!E$11)*(Calc!$Y$8:$Y$500&gt;0),Calc!$Y$8:$Y$500,99999),$B206),Calc!$Y$8:$Y$500,0)),Calc!$D$8:$D$500,0)),
INDEX(Calc!$F$8:$F$500,MATCH(INDEX(Calc!$D$8:$D$500,MATCH(SMALL(IF((Calc!$K$8:$K$500=Kanban!E$11)*(Calc!$C$8:$C$500=Kanban!$C$7)*(Calc!$Y$8:$Y$500&gt;0),Calc!$Y$8:$Y$500,99999),$B206),Calc!$Y$8:$Y$500,0)),Calc!$D$8:$D$500,0)) ),"-")</f>
        <v>-</v>
      </c>
      <c r="H208" s="53" t="str">
        <f t="array" ref="H208">IFERROR(IF(Kanban!$C$7="All",INDEX(Calc!$F$8:$F$500,MATCH(INDEX(Calc!$D$8:$D$500,MATCH(SMALL(IF((Calc!$K$8:$K$500=Kanban!F$11)*(Calc!$Y$8:$Y$500&gt;0),Calc!$Y$8:$Y$500,99999),$B206),Calc!$Y$8:$Y$500,0)),Calc!$D$8:$D$500,0)),
INDEX(Calc!$F$8:$F$500,MATCH(INDEX(Calc!$D$8:$D$500,MATCH(SMALL(IF((Calc!$K$8:$K$500=Kanban!F$11)*(Calc!$C$8:$C$500=Kanban!$C$7)*(Calc!$Y$8:$Y$500&gt;0),Calc!$Y$8:$Y$500,99999),$B206),Calc!$Y$8:$Y$500,0)),Calc!$D$8:$D$500,0)) ),"-")</f>
        <v>-</v>
      </c>
      <c r="I208" s="53" t="str">
        <f t="array" ref="I208">IFERROR(IF(Kanban!$C$7="All",INDEX(Calc!$F$8:$F$500,MATCH(INDEX(Calc!$D$8:$D$500,MATCH(SMALL(IF((Calc!$K$8:$K$500=Kanban!G$11)*(Calc!$Y$8:$Y$500&gt;0),Calc!$Y$8:$Y$500,99999),$B206),Calc!$Y$8:$Y$500,0)),Calc!$D$8:$D$500,0)),
INDEX(Calc!$F$8:$F$500,MATCH(INDEX(Calc!$D$8:$D$500,MATCH(SMALL(IF((Calc!$K$8:$K$500=Kanban!G$11)*(Calc!$C$8:$C$500=Kanban!$C$7)*(Calc!$Y$8:$Y$500&gt;0),Calc!$Y$8:$Y$500,99999),$B206),Calc!$Y$8:$Y$500,0)),Calc!$D$8:$D$500,0)) ),"-")</f>
        <v>-</v>
      </c>
      <c r="J208" s="53" t="str">
        <f t="array" ref="J208">IFERROR(IF(Kanban!$C$7="All",INDEX(Calc!$F$8:$F$500,MATCH(INDEX(Calc!$D$8:$D$500,MATCH(SMALL(IF((Calc!$K$8:$K$500=Kanban!H$11)*(Calc!$Y$8:$Y$500&gt;0),Calc!$Y$8:$Y$500,99999),$B206),Calc!$Y$8:$Y$500,0)),Calc!$D$8:$D$500,0)),
INDEX(Calc!$F$8:$F$500,MATCH(INDEX(Calc!$D$8:$D$500,MATCH(SMALL(IF((Calc!$K$8:$K$500=Kanban!H$11)*(Calc!$C$8:$C$500=Kanban!$C$7)*(Calc!$Y$8:$Y$500&gt;0),Calc!$Y$8:$Y$500,99999),$B206),Calc!$Y$8:$Y$500,0)),Calc!$D$8:$D$500,0)) ),"-")</f>
        <v>-</v>
      </c>
    </row>
    <row r="209" spans="2:10" x14ac:dyDescent="0.35">
      <c r="B209" s="54">
        <f t="shared" si="133"/>
        <v>69</v>
      </c>
      <c r="C209" s="18"/>
      <c r="D209" s="18"/>
      <c r="E209" s="52" t="str">
        <f t="shared" ref="E209:J209" si="140">IFERROR(E211,"-")</f>
        <v>-</v>
      </c>
      <c r="F209" s="52" t="str">
        <f t="shared" si="140"/>
        <v>-</v>
      </c>
      <c r="G209" s="52" t="str">
        <f t="shared" si="140"/>
        <v>-</v>
      </c>
      <c r="H209" s="52" t="str">
        <f t="shared" si="140"/>
        <v>-</v>
      </c>
      <c r="I209" s="52" t="str">
        <f t="shared" si="140"/>
        <v>-</v>
      </c>
      <c r="J209" s="52" t="str">
        <f t="shared" si="140"/>
        <v>-</v>
      </c>
    </row>
    <row r="210" spans="2:10" x14ac:dyDescent="0.35">
      <c r="B210" s="54">
        <f t="shared" si="133"/>
        <v>69</v>
      </c>
      <c r="C210" s="18"/>
      <c r="D210" s="18"/>
      <c r="E210" s="52" t="str">
        <f t="shared" ref="E210:J210" si="141">IFERROR(E211,"-")</f>
        <v>-</v>
      </c>
      <c r="F210" s="52" t="str">
        <f t="shared" si="141"/>
        <v>-</v>
      </c>
      <c r="G210" s="52" t="str">
        <f t="shared" si="141"/>
        <v>-</v>
      </c>
      <c r="H210" s="52" t="str">
        <f t="shared" si="141"/>
        <v>-</v>
      </c>
      <c r="I210" s="52" t="str">
        <f t="shared" si="141"/>
        <v>-</v>
      </c>
      <c r="J210" s="52" t="str">
        <f t="shared" si="141"/>
        <v>-</v>
      </c>
    </row>
    <row r="211" spans="2:10" x14ac:dyDescent="0.35">
      <c r="B211" s="54">
        <f t="shared" si="133"/>
        <v>69</v>
      </c>
      <c r="C211" s="18"/>
      <c r="D211" s="18"/>
      <c r="E211" s="53" t="str">
        <f t="array" ref="E211">IFERROR(IF(Kanban!$C$7="All",INDEX(Calc!$F$8:$F$500,MATCH(INDEX(Calc!$D$8:$D$500,MATCH(SMALL(IF((Calc!$K$8:$K$500=Kanban!C$11)*(Calc!$Y$8:$Y$500&gt;0),Calc!$Y$8:$Y$500,99999),$B209),Calc!$Y$8:$Y$500,0)),Calc!$D$8:$D$500,0)),
INDEX(Calc!$F$8:$F$500,MATCH(INDEX(Calc!$D$8:$D$500,MATCH(SMALL(IF((Calc!$K$8:$K$500=Kanban!C$11)*(Calc!$C$8:$C$500=Kanban!$C$7)*(Calc!$Y$8:$Y$500&gt;0),Calc!$Y$8:$Y$500,99999),$B209),Calc!$Y$8:$Y$500,0)),Calc!$D$8:$D$500,0)) ),"-")</f>
        <v>-</v>
      </c>
      <c r="F211" s="53" t="str">
        <f t="array" ref="F211">IFERROR(IF(Kanban!$C$7="All",INDEX(Calc!$F$8:$F$500,MATCH(INDEX(Calc!$D$8:$D$500,MATCH(SMALL(IF((Calc!$K$8:$K$500=Kanban!D$11)*(Calc!$Y$8:$Y$500&gt;0),Calc!$Y$8:$Y$500,99999),$B209),Calc!$Y$8:$Y$500,0)),Calc!$D$8:$D$500,0)),
INDEX(Calc!$F$8:$F$500,MATCH(INDEX(Calc!$D$8:$D$500,MATCH(SMALL(IF((Calc!$K$8:$K$500=Kanban!D$11)*(Calc!$C$8:$C$500=Kanban!$C$7)*(Calc!$Y$8:$Y$500&gt;0),Calc!$Y$8:$Y$500,99999),$B209),Calc!$Y$8:$Y$500,0)),Calc!$D$8:$D$500,0)) ),"-")</f>
        <v>-</v>
      </c>
      <c r="G211" s="53" t="str">
        <f t="array" ref="G211">IFERROR(IF(Kanban!$C$7="All",INDEX(Calc!$F$8:$F$500,MATCH(INDEX(Calc!$D$8:$D$500,MATCH(SMALL(IF((Calc!$K$8:$K$500=Kanban!E$11)*(Calc!$Y$8:$Y$500&gt;0),Calc!$Y$8:$Y$500,99999),$B209),Calc!$Y$8:$Y$500,0)),Calc!$D$8:$D$500,0)),
INDEX(Calc!$F$8:$F$500,MATCH(INDEX(Calc!$D$8:$D$500,MATCH(SMALL(IF((Calc!$K$8:$K$500=Kanban!E$11)*(Calc!$C$8:$C$500=Kanban!$C$7)*(Calc!$Y$8:$Y$500&gt;0),Calc!$Y$8:$Y$500,99999),$B209),Calc!$Y$8:$Y$500,0)),Calc!$D$8:$D$500,0)) ),"-")</f>
        <v>-</v>
      </c>
      <c r="H211" s="53" t="str">
        <f t="array" ref="H211">IFERROR(IF(Kanban!$C$7="All",INDEX(Calc!$F$8:$F$500,MATCH(INDEX(Calc!$D$8:$D$500,MATCH(SMALL(IF((Calc!$K$8:$K$500=Kanban!F$11)*(Calc!$Y$8:$Y$500&gt;0),Calc!$Y$8:$Y$500,99999),$B209),Calc!$Y$8:$Y$500,0)),Calc!$D$8:$D$500,0)),
INDEX(Calc!$F$8:$F$500,MATCH(INDEX(Calc!$D$8:$D$500,MATCH(SMALL(IF((Calc!$K$8:$K$500=Kanban!F$11)*(Calc!$C$8:$C$500=Kanban!$C$7)*(Calc!$Y$8:$Y$500&gt;0),Calc!$Y$8:$Y$500,99999),$B209),Calc!$Y$8:$Y$500,0)),Calc!$D$8:$D$500,0)) ),"-")</f>
        <v>-</v>
      </c>
      <c r="I211" s="53" t="str">
        <f t="array" ref="I211">IFERROR(IF(Kanban!$C$7="All",INDEX(Calc!$F$8:$F$500,MATCH(INDEX(Calc!$D$8:$D$500,MATCH(SMALL(IF((Calc!$K$8:$K$500=Kanban!G$11)*(Calc!$Y$8:$Y$500&gt;0),Calc!$Y$8:$Y$500,99999),$B209),Calc!$Y$8:$Y$500,0)),Calc!$D$8:$D$500,0)),
INDEX(Calc!$F$8:$F$500,MATCH(INDEX(Calc!$D$8:$D$500,MATCH(SMALL(IF((Calc!$K$8:$K$500=Kanban!G$11)*(Calc!$C$8:$C$500=Kanban!$C$7)*(Calc!$Y$8:$Y$500&gt;0),Calc!$Y$8:$Y$500,99999),$B209),Calc!$Y$8:$Y$500,0)),Calc!$D$8:$D$500,0)) ),"-")</f>
        <v>-</v>
      </c>
      <c r="J211" s="53" t="str">
        <f t="array" ref="J211">IFERROR(IF(Kanban!$C$7="All",INDEX(Calc!$F$8:$F$500,MATCH(INDEX(Calc!$D$8:$D$500,MATCH(SMALL(IF((Calc!$K$8:$K$500=Kanban!H$11)*(Calc!$Y$8:$Y$500&gt;0),Calc!$Y$8:$Y$500,99999),$B209),Calc!$Y$8:$Y$500,0)),Calc!$D$8:$D$500,0)),
INDEX(Calc!$F$8:$F$500,MATCH(INDEX(Calc!$D$8:$D$500,MATCH(SMALL(IF((Calc!$K$8:$K$500=Kanban!H$11)*(Calc!$C$8:$C$500=Kanban!$C$7)*(Calc!$Y$8:$Y$500&gt;0),Calc!$Y$8:$Y$500,99999),$B209),Calc!$Y$8:$Y$500,0)),Calc!$D$8:$D$500,0)) ),"-")</f>
        <v>-</v>
      </c>
    </row>
    <row r="212" spans="2:10" x14ac:dyDescent="0.35">
      <c r="B212" s="54">
        <f t="shared" si="133"/>
        <v>70</v>
      </c>
      <c r="C212" s="18"/>
      <c r="D212" s="18"/>
      <c r="E212" s="52" t="str">
        <f t="shared" ref="E212:J212" si="142">IFERROR(E214,"-")</f>
        <v>-</v>
      </c>
      <c r="F212" s="52" t="str">
        <f t="shared" si="142"/>
        <v>-</v>
      </c>
      <c r="G212" s="52" t="str">
        <f t="shared" si="142"/>
        <v>-</v>
      </c>
      <c r="H212" s="52" t="str">
        <f t="shared" si="142"/>
        <v>-</v>
      </c>
      <c r="I212" s="52" t="str">
        <f t="shared" si="142"/>
        <v>-</v>
      </c>
      <c r="J212" s="52" t="str">
        <f t="shared" si="142"/>
        <v>-</v>
      </c>
    </row>
    <row r="213" spans="2:10" x14ac:dyDescent="0.35">
      <c r="B213" s="54">
        <f t="shared" si="133"/>
        <v>70</v>
      </c>
      <c r="C213" s="18"/>
      <c r="D213" s="18"/>
      <c r="E213" s="52" t="str">
        <f t="shared" ref="E213:J213" si="143">IFERROR(E214,"-")</f>
        <v>-</v>
      </c>
      <c r="F213" s="52" t="str">
        <f t="shared" si="143"/>
        <v>-</v>
      </c>
      <c r="G213" s="52" t="str">
        <f t="shared" si="143"/>
        <v>-</v>
      </c>
      <c r="H213" s="52" t="str">
        <f t="shared" si="143"/>
        <v>-</v>
      </c>
      <c r="I213" s="52" t="str">
        <f t="shared" si="143"/>
        <v>-</v>
      </c>
      <c r="J213" s="52" t="str">
        <f t="shared" si="143"/>
        <v>-</v>
      </c>
    </row>
    <row r="214" spans="2:10" x14ac:dyDescent="0.35">
      <c r="B214" s="54">
        <f t="shared" si="133"/>
        <v>70</v>
      </c>
      <c r="C214" s="18"/>
      <c r="D214" s="18"/>
      <c r="E214" s="53" t="str">
        <f t="array" ref="E214">IFERROR(IF(Kanban!$C$7="All",INDEX(Calc!$F$8:$F$500,MATCH(INDEX(Calc!$D$8:$D$500,MATCH(SMALL(IF((Calc!$K$8:$K$500=Kanban!C$11)*(Calc!$Y$8:$Y$500&gt;0),Calc!$Y$8:$Y$500,99999),$B212),Calc!$Y$8:$Y$500,0)),Calc!$D$8:$D$500,0)),
INDEX(Calc!$F$8:$F$500,MATCH(INDEX(Calc!$D$8:$D$500,MATCH(SMALL(IF((Calc!$K$8:$K$500=Kanban!C$11)*(Calc!$C$8:$C$500=Kanban!$C$7)*(Calc!$Y$8:$Y$500&gt;0),Calc!$Y$8:$Y$500,99999),$B212),Calc!$Y$8:$Y$500,0)),Calc!$D$8:$D$500,0)) ),"-")</f>
        <v>-</v>
      </c>
      <c r="F214" s="53" t="str">
        <f t="array" ref="F214">IFERROR(IF(Kanban!$C$7="All",INDEX(Calc!$F$8:$F$500,MATCH(INDEX(Calc!$D$8:$D$500,MATCH(SMALL(IF((Calc!$K$8:$K$500=Kanban!D$11)*(Calc!$Y$8:$Y$500&gt;0),Calc!$Y$8:$Y$500,99999),$B212),Calc!$Y$8:$Y$500,0)),Calc!$D$8:$D$500,0)),
INDEX(Calc!$F$8:$F$500,MATCH(INDEX(Calc!$D$8:$D$500,MATCH(SMALL(IF((Calc!$K$8:$K$500=Kanban!D$11)*(Calc!$C$8:$C$500=Kanban!$C$7)*(Calc!$Y$8:$Y$500&gt;0),Calc!$Y$8:$Y$500,99999),$B212),Calc!$Y$8:$Y$500,0)),Calc!$D$8:$D$500,0)) ),"-")</f>
        <v>-</v>
      </c>
      <c r="G214" s="53" t="str">
        <f t="array" ref="G214">IFERROR(IF(Kanban!$C$7="All",INDEX(Calc!$F$8:$F$500,MATCH(INDEX(Calc!$D$8:$D$500,MATCH(SMALL(IF((Calc!$K$8:$K$500=Kanban!E$11)*(Calc!$Y$8:$Y$500&gt;0),Calc!$Y$8:$Y$500,99999),$B212),Calc!$Y$8:$Y$500,0)),Calc!$D$8:$D$500,0)),
INDEX(Calc!$F$8:$F$500,MATCH(INDEX(Calc!$D$8:$D$500,MATCH(SMALL(IF((Calc!$K$8:$K$500=Kanban!E$11)*(Calc!$C$8:$C$500=Kanban!$C$7)*(Calc!$Y$8:$Y$500&gt;0),Calc!$Y$8:$Y$500,99999),$B212),Calc!$Y$8:$Y$500,0)),Calc!$D$8:$D$500,0)) ),"-")</f>
        <v>-</v>
      </c>
      <c r="H214" s="53" t="str">
        <f t="array" ref="H214">IFERROR(IF(Kanban!$C$7="All",INDEX(Calc!$F$8:$F$500,MATCH(INDEX(Calc!$D$8:$D$500,MATCH(SMALL(IF((Calc!$K$8:$K$500=Kanban!F$11)*(Calc!$Y$8:$Y$500&gt;0),Calc!$Y$8:$Y$500,99999),$B212),Calc!$Y$8:$Y$500,0)),Calc!$D$8:$D$500,0)),
INDEX(Calc!$F$8:$F$500,MATCH(INDEX(Calc!$D$8:$D$500,MATCH(SMALL(IF((Calc!$K$8:$K$500=Kanban!F$11)*(Calc!$C$8:$C$500=Kanban!$C$7)*(Calc!$Y$8:$Y$500&gt;0),Calc!$Y$8:$Y$500,99999),$B212),Calc!$Y$8:$Y$500,0)),Calc!$D$8:$D$500,0)) ),"-")</f>
        <v>-</v>
      </c>
      <c r="I214" s="53" t="str">
        <f t="array" ref="I214">IFERROR(IF(Kanban!$C$7="All",INDEX(Calc!$F$8:$F$500,MATCH(INDEX(Calc!$D$8:$D$500,MATCH(SMALL(IF((Calc!$K$8:$K$500=Kanban!G$11)*(Calc!$Y$8:$Y$500&gt;0),Calc!$Y$8:$Y$500,99999),$B212),Calc!$Y$8:$Y$500,0)),Calc!$D$8:$D$500,0)),
INDEX(Calc!$F$8:$F$500,MATCH(INDEX(Calc!$D$8:$D$500,MATCH(SMALL(IF((Calc!$K$8:$K$500=Kanban!G$11)*(Calc!$C$8:$C$500=Kanban!$C$7)*(Calc!$Y$8:$Y$500&gt;0),Calc!$Y$8:$Y$500,99999),$B212),Calc!$Y$8:$Y$500,0)),Calc!$D$8:$D$500,0)) ),"-")</f>
        <v>-</v>
      </c>
      <c r="J214" s="53" t="str">
        <f t="array" ref="J214">IFERROR(IF(Kanban!$C$7="All",INDEX(Calc!$F$8:$F$500,MATCH(INDEX(Calc!$D$8:$D$500,MATCH(SMALL(IF((Calc!$K$8:$K$500=Kanban!H$11)*(Calc!$Y$8:$Y$500&gt;0),Calc!$Y$8:$Y$500,99999),$B212),Calc!$Y$8:$Y$500,0)),Calc!$D$8:$D$500,0)),
INDEX(Calc!$F$8:$F$500,MATCH(INDEX(Calc!$D$8:$D$500,MATCH(SMALL(IF((Calc!$K$8:$K$500=Kanban!H$11)*(Calc!$C$8:$C$500=Kanban!$C$7)*(Calc!$Y$8:$Y$500&gt;0),Calc!$Y$8:$Y$500,99999),$B212),Calc!$Y$8:$Y$500,0)),Calc!$D$8:$D$500,0)) ),"-")</f>
        <v>-</v>
      </c>
    </row>
    <row r="215" spans="2:10" x14ac:dyDescent="0.35">
      <c r="B215" s="54">
        <f t="shared" si="133"/>
        <v>71</v>
      </c>
      <c r="C215" s="18"/>
      <c r="D215" s="18"/>
      <c r="E215" s="52" t="str">
        <f t="shared" ref="E215:J215" si="144">IFERROR(E217,"-")</f>
        <v>-</v>
      </c>
      <c r="F215" s="52" t="str">
        <f t="shared" si="144"/>
        <v>-</v>
      </c>
      <c r="G215" s="52" t="str">
        <f t="shared" si="144"/>
        <v>-</v>
      </c>
      <c r="H215" s="52" t="str">
        <f t="shared" si="144"/>
        <v>-</v>
      </c>
      <c r="I215" s="52" t="str">
        <f t="shared" si="144"/>
        <v>-</v>
      </c>
      <c r="J215" s="52" t="str">
        <f t="shared" si="144"/>
        <v>-</v>
      </c>
    </row>
    <row r="216" spans="2:10" x14ac:dyDescent="0.35">
      <c r="B216" s="54">
        <f t="shared" si="133"/>
        <v>71</v>
      </c>
      <c r="C216" s="18"/>
      <c r="D216" s="18"/>
      <c r="E216" s="52" t="str">
        <f t="shared" ref="E216:J216" si="145">IFERROR(E217,"-")</f>
        <v>-</v>
      </c>
      <c r="F216" s="52" t="str">
        <f t="shared" si="145"/>
        <v>-</v>
      </c>
      <c r="G216" s="52" t="str">
        <f t="shared" si="145"/>
        <v>-</v>
      </c>
      <c r="H216" s="52" t="str">
        <f t="shared" si="145"/>
        <v>-</v>
      </c>
      <c r="I216" s="52" t="str">
        <f t="shared" si="145"/>
        <v>-</v>
      </c>
      <c r="J216" s="52" t="str">
        <f t="shared" si="145"/>
        <v>-</v>
      </c>
    </row>
    <row r="217" spans="2:10" x14ac:dyDescent="0.35">
      <c r="B217" s="54">
        <f t="shared" si="133"/>
        <v>71</v>
      </c>
      <c r="C217" s="18"/>
      <c r="D217" s="18"/>
      <c r="E217" s="53" t="str">
        <f t="array" ref="E217">IFERROR(IF(Kanban!$C$7="All",INDEX(Calc!$F$8:$F$500,MATCH(INDEX(Calc!$D$8:$D$500,MATCH(SMALL(IF((Calc!$K$8:$K$500=Kanban!C$11)*(Calc!$Y$8:$Y$500&gt;0),Calc!$Y$8:$Y$500,99999),$B215),Calc!$Y$8:$Y$500,0)),Calc!$D$8:$D$500,0)),
INDEX(Calc!$F$8:$F$500,MATCH(INDEX(Calc!$D$8:$D$500,MATCH(SMALL(IF((Calc!$K$8:$K$500=Kanban!C$11)*(Calc!$C$8:$C$500=Kanban!$C$7)*(Calc!$Y$8:$Y$500&gt;0),Calc!$Y$8:$Y$500,99999),$B215),Calc!$Y$8:$Y$500,0)),Calc!$D$8:$D$500,0)) ),"-")</f>
        <v>-</v>
      </c>
      <c r="F217" s="53" t="str">
        <f t="array" ref="F217">IFERROR(IF(Kanban!$C$7="All",INDEX(Calc!$F$8:$F$500,MATCH(INDEX(Calc!$D$8:$D$500,MATCH(SMALL(IF((Calc!$K$8:$K$500=Kanban!D$11)*(Calc!$Y$8:$Y$500&gt;0),Calc!$Y$8:$Y$500,99999),$B215),Calc!$Y$8:$Y$500,0)),Calc!$D$8:$D$500,0)),
INDEX(Calc!$F$8:$F$500,MATCH(INDEX(Calc!$D$8:$D$500,MATCH(SMALL(IF((Calc!$K$8:$K$500=Kanban!D$11)*(Calc!$C$8:$C$500=Kanban!$C$7)*(Calc!$Y$8:$Y$500&gt;0),Calc!$Y$8:$Y$500,99999),$B215),Calc!$Y$8:$Y$500,0)),Calc!$D$8:$D$500,0)) ),"-")</f>
        <v>-</v>
      </c>
      <c r="G217" s="53" t="str">
        <f t="array" ref="G217">IFERROR(IF(Kanban!$C$7="All",INDEX(Calc!$F$8:$F$500,MATCH(INDEX(Calc!$D$8:$D$500,MATCH(SMALL(IF((Calc!$K$8:$K$500=Kanban!E$11)*(Calc!$Y$8:$Y$500&gt;0),Calc!$Y$8:$Y$500,99999),$B215),Calc!$Y$8:$Y$500,0)),Calc!$D$8:$D$500,0)),
INDEX(Calc!$F$8:$F$500,MATCH(INDEX(Calc!$D$8:$D$500,MATCH(SMALL(IF((Calc!$K$8:$K$500=Kanban!E$11)*(Calc!$C$8:$C$500=Kanban!$C$7)*(Calc!$Y$8:$Y$500&gt;0),Calc!$Y$8:$Y$500,99999),$B215),Calc!$Y$8:$Y$500,0)),Calc!$D$8:$D$500,0)) ),"-")</f>
        <v>-</v>
      </c>
      <c r="H217" s="53" t="str">
        <f t="array" ref="H217">IFERROR(IF(Kanban!$C$7="All",INDEX(Calc!$F$8:$F$500,MATCH(INDEX(Calc!$D$8:$D$500,MATCH(SMALL(IF((Calc!$K$8:$K$500=Kanban!F$11)*(Calc!$Y$8:$Y$500&gt;0),Calc!$Y$8:$Y$500,99999),$B215),Calc!$Y$8:$Y$500,0)),Calc!$D$8:$D$500,0)),
INDEX(Calc!$F$8:$F$500,MATCH(INDEX(Calc!$D$8:$D$500,MATCH(SMALL(IF((Calc!$K$8:$K$500=Kanban!F$11)*(Calc!$C$8:$C$500=Kanban!$C$7)*(Calc!$Y$8:$Y$500&gt;0),Calc!$Y$8:$Y$500,99999),$B215),Calc!$Y$8:$Y$500,0)),Calc!$D$8:$D$500,0)) ),"-")</f>
        <v>-</v>
      </c>
      <c r="I217" s="53" t="str">
        <f t="array" ref="I217">IFERROR(IF(Kanban!$C$7="All",INDEX(Calc!$F$8:$F$500,MATCH(INDEX(Calc!$D$8:$D$500,MATCH(SMALL(IF((Calc!$K$8:$K$500=Kanban!G$11)*(Calc!$Y$8:$Y$500&gt;0),Calc!$Y$8:$Y$500,99999),$B215),Calc!$Y$8:$Y$500,0)),Calc!$D$8:$D$500,0)),
INDEX(Calc!$F$8:$F$500,MATCH(INDEX(Calc!$D$8:$D$500,MATCH(SMALL(IF((Calc!$K$8:$K$500=Kanban!G$11)*(Calc!$C$8:$C$500=Kanban!$C$7)*(Calc!$Y$8:$Y$500&gt;0),Calc!$Y$8:$Y$500,99999),$B215),Calc!$Y$8:$Y$500,0)),Calc!$D$8:$D$500,0)) ),"-")</f>
        <v>-</v>
      </c>
      <c r="J217" s="53" t="str">
        <f t="array" ref="J217">IFERROR(IF(Kanban!$C$7="All",INDEX(Calc!$F$8:$F$500,MATCH(INDEX(Calc!$D$8:$D$500,MATCH(SMALL(IF((Calc!$K$8:$K$500=Kanban!H$11)*(Calc!$Y$8:$Y$500&gt;0),Calc!$Y$8:$Y$500,99999),$B215),Calc!$Y$8:$Y$500,0)),Calc!$D$8:$D$500,0)),
INDEX(Calc!$F$8:$F$500,MATCH(INDEX(Calc!$D$8:$D$500,MATCH(SMALL(IF((Calc!$K$8:$K$500=Kanban!H$11)*(Calc!$C$8:$C$500=Kanban!$C$7)*(Calc!$Y$8:$Y$500&gt;0),Calc!$Y$8:$Y$500,99999),$B215),Calc!$Y$8:$Y$500,0)),Calc!$D$8:$D$500,0)) ),"-")</f>
        <v>-</v>
      </c>
    </row>
    <row r="218" spans="2:10" x14ac:dyDescent="0.35">
      <c r="B218" s="54">
        <f t="shared" si="133"/>
        <v>72</v>
      </c>
      <c r="C218" s="18"/>
      <c r="D218" s="18"/>
      <c r="E218" s="52" t="str">
        <f t="shared" ref="E218:J218" si="146">IFERROR(E220,"-")</f>
        <v>-</v>
      </c>
      <c r="F218" s="52" t="str">
        <f t="shared" si="146"/>
        <v>-</v>
      </c>
      <c r="G218" s="52" t="str">
        <f t="shared" si="146"/>
        <v>-</v>
      </c>
      <c r="H218" s="52" t="str">
        <f t="shared" si="146"/>
        <v>-</v>
      </c>
      <c r="I218" s="52" t="str">
        <f t="shared" si="146"/>
        <v>-</v>
      </c>
      <c r="J218" s="52" t="str">
        <f t="shared" si="146"/>
        <v>-</v>
      </c>
    </row>
    <row r="219" spans="2:10" x14ac:dyDescent="0.35">
      <c r="B219" s="54">
        <f t="shared" si="133"/>
        <v>72</v>
      </c>
      <c r="C219" s="18"/>
      <c r="D219" s="18"/>
      <c r="E219" s="52" t="str">
        <f t="shared" ref="E219:J219" si="147">IFERROR(E220,"-")</f>
        <v>-</v>
      </c>
      <c r="F219" s="52" t="str">
        <f t="shared" si="147"/>
        <v>-</v>
      </c>
      <c r="G219" s="52" t="str">
        <f t="shared" si="147"/>
        <v>-</v>
      </c>
      <c r="H219" s="52" t="str">
        <f t="shared" si="147"/>
        <v>-</v>
      </c>
      <c r="I219" s="52" t="str">
        <f t="shared" si="147"/>
        <v>-</v>
      </c>
      <c r="J219" s="52" t="str">
        <f t="shared" si="147"/>
        <v>-</v>
      </c>
    </row>
    <row r="220" spans="2:10" x14ac:dyDescent="0.35">
      <c r="B220" s="54">
        <f t="shared" si="133"/>
        <v>72</v>
      </c>
      <c r="C220" s="18"/>
      <c r="D220" s="18"/>
      <c r="E220" s="53" t="str">
        <f t="array" ref="E220">IFERROR(IF(Kanban!$C$7="All",INDEX(Calc!$F$8:$F$500,MATCH(INDEX(Calc!$D$8:$D$500,MATCH(SMALL(IF((Calc!$K$8:$K$500=Kanban!C$11)*(Calc!$Y$8:$Y$500&gt;0),Calc!$Y$8:$Y$500,99999),$B218),Calc!$Y$8:$Y$500,0)),Calc!$D$8:$D$500,0)),
INDEX(Calc!$F$8:$F$500,MATCH(INDEX(Calc!$D$8:$D$500,MATCH(SMALL(IF((Calc!$K$8:$K$500=Kanban!C$11)*(Calc!$C$8:$C$500=Kanban!$C$7)*(Calc!$Y$8:$Y$500&gt;0),Calc!$Y$8:$Y$500,99999),$B218),Calc!$Y$8:$Y$500,0)),Calc!$D$8:$D$500,0)) ),"-")</f>
        <v>-</v>
      </c>
      <c r="F220" s="53" t="str">
        <f t="array" ref="F220">IFERROR(IF(Kanban!$C$7="All",INDEX(Calc!$F$8:$F$500,MATCH(INDEX(Calc!$D$8:$D$500,MATCH(SMALL(IF((Calc!$K$8:$K$500=Kanban!D$11)*(Calc!$Y$8:$Y$500&gt;0),Calc!$Y$8:$Y$500,99999),$B218),Calc!$Y$8:$Y$500,0)),Calc!$D$8:$D$500,0)),
INDEX(Calc!$F$8:$F$500,MATCH(INDEX(Calc!$D$8:$D$500,MATCH(SMALL(IF((Calc!$K$8:$K$500=Kanban!D$11)*(Calc!$C$8:$C$500=Kanban!$C$7)*(Calc!$Y$8:$Y$500&gt;0),Calc!$Y$8:$Y$500,99999),$B218),Calc!$Y$8:$Y$500,0)),Calc!$D$8:$D$500,0)) ),"-")</f>
        <v>-</v>
      </c>
      <c r="G220" s="53" t="str">
        <f t="array" ref="G220">IFERROR(IF(Kanban!$C$7="All",INDEX(Calc!$F$8:$F$500,MATCH(INDEX(Calc!$D$8:$D$500,MATCH(SMALL(IF((Calc!$K$8:$K$500=Kanban!E$11)*(Calc!$Y$8:$Y$500&gt;0),Calc!$Y$8:$Y$500,99999),$B218),Calc!$Y$8:$Y$500,0)),Calc!$D$8:$D$500,0)),
INDEX(Calc!$F$8:$F$500,MATCH(INDEX(Calc!$D$8:$D$500,MATCH(SMALL(IF((Calc!$K$8:$K$500=Kanban!E$11)*(Calc!$C$8:$C$500=Kanban!$C$7)*(Calc!$Y$8:$Y$500&gt;0),Calc!$Y$8:$Y$500,99999),$B218),Calc!$Y$8:$Y$500,0)),Calc!$D$8:$D$500,0)) ),"-")</f>
        <v>-</v>
      </c>
      <c r="H220" s="53" t="str">
        <f t="array" ref="H220">IFERROR(IF(Kanban!$C$7="All",INDEX(Calc!$F$8:$F$500,MATCH(INDEX(Calc!$D$8:$D$500,MATCH(SMALL(IF((Calc!$K$8:$K$500=Kanban!F$11)*(Calc!$Y$8:$Y$500&gt;0),Calc!$Y$8:$Y$500,99999),$B218),Calc!$Y$8:$Y$500,0)),Calc!$D$8:$D$500,0)),
INDEX(Calc!$F$8:$F$500,MATCH(INDEX(Calc!$D$8:$D$500,MATCH(SMALL(IF((Calc!$K$8:$K$500=Kanban!F$11)*(Calc!$C$8:$C$500=Kanban!$C$7)*(Calc!$Y$8:$Y$500&gt;0),Calc!$Y$8:$Y$500,99999),$B218),Calc!$Y$8:$Y$500,0)),Calc!$D$8:$D$500,0)) ),"-")</f>
        <v>-</v>
      </c>
      <c r="I220" s="53" t="str">
        <f t="array" ref="I220">IFERROR(IF(Kanban!$C$7="All",INDEX(Calc!$F$8:$F$500,MATCH(INDEX(Calc!$D$8:$D$500,MATCH(SMALL(IF((Calc!$K$8:$K$500=Kanban!G$11)*(Calc!$Y$8:$Y$500&gt;0),Calc!$Y$8:$Y$500,99999),$B218),Calc!$Y$8:$Y$500,0)),Calc!$D$8:$D$500,0)),
INDEX(Calc!$F$8:$F$500,MATCH(INDEX(Calc!$D$8:$D$500,MATCH(SMALL(IF((Calc!$K$8:$K$500=Kanban!G$11)*(Calc!$C$8:$C$500=Kanban!$C$7)*(Calc!$Y$8:$Y$500&gt;0),Calc!$Y$8:$Y$500,99999),$B218),Calc!$Y$8:$Y$500,0)),Calc!$D$8:$D$500,0)) ),"-")</f>
        <v>-</v>
      </c>
      <c r="J220" s="53" t="str">
        <f t="array" ref="J220">IFERROR(IF(Kanban!$C$7="All",INDEX(Calc!$F$8:$F$500,MATCH(INDEX(Calc!$D$8:$D$500,MATCH(SMALL(IF((Calc!$K$8:$K$500=Kanban!H$11)*(Calc!$Y$8:$Y$500&gt;0),Calc!$Y$8:$Y$500,99999),$B218),Calc!$Y$8:$Y$500,0)),Calc!$D$8:$D$500,0)),
INDEX(Calc!$F$8:$F$500,MATCH(INDEX(Calc!$D$8:$D$500,MATCH(SMALL(IF((Calc!$K$8:$K$500=Kanban!H$11)*(Calc!$C$8:$C$500=Kanban!$C$7)*(Calc!$Y$8:$Y$500&gt;0),Calc!$Y$8:$Y$500,99999),$B218),Calc!$Y$8:$Y$500,0)),Calc!$D$8:$D$500,0)) ),"-")</f>
        <v>-</v>
      </c>
    </row>
    <row r="221" spans="2:10" x14ac:dyDescent="0.35">
      <c r="B221" s="54">
        <f t="shared" si="133"/>
        <v>73</v>
      </c>
      <c r="C221" s="18"/>
      <c r="D221" s="18"/>
      <c r="E221" s="52" t="str">
        <f t="shared" ref="E221:J221" si="148">IFERROR(E223,"-")</f>
        <v>-</v>
      </c>
      <c r="F221" s="52" t="str">
        <f t="shared" si="148"/>
        <v>-</v>
      </c>
      <c r="G221" s="52" t="str">
        <f t="shared" si="148"/>
        <v>-</v>
      </c>
      <c r="H221" s="52" t="str">
        <f t="shared" si="148"/>
        <v>-</v>
      </c>
      <c r="I221" s="52" t="str">
        <f t="shared" si="148"/>
        <v>-</v>
      </c>
      <c r="J221" s="52" t="str">
        <f t="shared" si="148"/>
        <v>-</v>
      </c>
    </row>
    <row r="222" spans="2:10" x14ac:dyDescent="0.35">
      <c r="B222" s="54">
        <f t="shared" si="133"/>
        <v>73</v>
      </c>
      <c r="C222" s="18"/>
      <c r="D222" s="18"/>
      <c r="E222" s="52" t="str">
        <f t="shared" ref="E222:J222" si="149">IFERROR(E223,"-")</f>
        <v>-</v>
      </c>
      <c r="F222" s="52" t="str">
        <f t="shared" si="149"/>
        <v>-</v>
      </c>
      <c r="G222" s="52" t="str">
        <f t="shared" si="149"/>
        <v>-</v>
      </c>
      <c r="H222" s="52" t="str">
        <f t="shared" si="149"/>
        <v>-</v>
      </c>
      <c r="I222" s="52" t="str">
        <f t="shared" si="149"/>
        <v>-</v>
      </c>
      <c r="J222" s="52" t="str">
        <f t="shared" si="149"/>
        <v>-</v>
      </c>
    </row>
    <row r="223" spans="2:10" x14ac:dyDescent="0.35">
      <c r="B223" s="54">
        <f t="shared" si="133"/>
        <v>73</v>
      </c>
      <c r="C223" s="18"/>
      <c r="D223" s="18"/>
      <c r="E223" s="53" t="str">
        <f t="array" ref="E223">IFERROR(IF(Kanban!$C$7="All",INDEX(Calc!$F$8:$F$500,MATCH(INDEX(Calc!$D$8:$D$500,MATCH(SMALL(IF((Calc!$K$8:$K$500=Kanban!C$11)*(Calc!$Y$8:$Y$500&gt;0),Calc!$Y$8:$Y$500,99999),$B221),Calc!$Y$8:$Y$500,0)),Calc!$D$8:$D$500,0)),
INDEX(Calc!$F$8:$F$500,MATCH(INDEX(Calc!$D$8:$D$500,MATCH(SMALL(IF((Calc!$K$8:$K$500=Kanban!C$11)*(Calc!$C$8:$C$500=Kanban!$C$7)*(Calc!$Y$8:$Y$500&gt;0),Calc!$Y$8:$Y$500,99999),$B221),Calc!$Y$8:$Y$500,0)),Calc!$D$8:$D$500,0)) ),"-")</f>
        <v>-</v>
      </c>
      <c r="F223" s="53" t="str">
        <f t="array" ref="F223">IFERROR(IF(Kanban!$C$7="All",INDEX(Calc!$F$8:$F$500,MATCH(INDEX(Calc!$D$8:$D$500,MATCH(SMALL(IF((Calc!$K$8:$K$500=Kanban!D$11)*(Calc!$Y$8:$Y$500&gt;0),Calc!$Y$8:$Y$500,99999),$B221),Calc!$Y$8:$Y$500,0)),Calc!$D$8:$D$500,0)),
INDEX(Calc!$F$8:$F$500,MATCH(INDEX(Calc!$D$8:$D$500,MATCH(SMALL(IF((Calc!$K$8:$K$500=Kanban!D$11)*(Calc!$C$8:$C$500=Kanban!$C$7)*(Calc!$Y$8:$Y$500&gt;0),Calc!$Y$8:$Y$500,99999),$B221),Calc!$Y$8:$Y$500,0)),Calc!$D$8:$D$500,0)) ),"-")</f>
        <v>-</v>
      </c>
      <c r="G223" s="53" t="str">
        <f t="array" ref="G223">IFERROR(IF(Kanban!$C$7="All",INDEX(Calc!$F$8:$F$500,MATCH(INDEX(Calc!$D$8:$D$500,MATCH(SMALL(IF((Calc!$K$8:$K$500=Kanban!E$11)*(Calc!$Y$8:$Y$500&gt;0),Calc!$Y$8:$Y$500,99999),$B221),Calc!$Y$8:$Y$500,0)),Calc!$D$8:$D$500,0)),
INDEX(Calc!$F$8:$F$500,MATCH(INDEX(Calc!$D$8:$D$500,MATCH(SMALL(IF((Calc!$K$8:$K$500=Kanban!E$11)*(Calc!$C$8:$C$500=Kanban!$C$7)*(Calc!$Y$8:$Y$500&gt;0),Calc!$Y$8:$Y$500,99999),$B221),Calc!$Y$8:$Y$500,0)),Calc!$D$8:$D$500,0)) ),"-")</f>
        <v>-</v>
      </c>
      <c r="H223" s="53" t="str">
        <f t="array" ref="H223">IFERROR(IF(Kanban!$C$7="All",INDEX(Calc!$F$8:$F$500,MATCH(INDEX(Calc!$D$8:$D$500,MATCH(SMALL(IF((Calc!$K$8:$K$500=Kanban!F$11)*(Calc!$Y$8:$Y$500&gt;0),Calc!$Y$8:$Y$500,99999),$B221),Calc!$Y$8:$Y$500,0)),Calc!$D$8:$D$500,0)),
INDEX(Calc!$F$8:$F$500,MATCH(INDEX(Calc!$D$8:$D$500,MATCH(SMALL(IF((Calc!$K$8:$K$500=Kanban!F$11)*(Calc!$C$8:$C$500=Kanban!$C$7)*(Calc!$Y$8:$Y$500&gt;0),Calc!$Y$8:$Y$500,99999),$B221),Calc!$Y$8:$Y$500,0)),Calc!$D$8:$D$500,0)) ),"-")</f>
        <v>-</v>
      </c>
      <c r="I223" s="53" t="str">
        <f t="array" ref="I223">IFERROR(IF(Kanban!$C$7="All",INDEX(Calc!$F$8:$F$500,MATCH(INDEX(Calc!$D$8:$D$500,MATCH(SMALL(IF((Calc!$K$8:$K$500=Kanban!G$11)*(Calc!$Y$8:$Y$500&gt;0),Calc!$Y$8:$Y$500,99999),$B221),Calc!$Y$8:$Y$500,0)),Calc!$D$8:$D$500,0)),
INDEX(Calc!$F$8:$F$500,MATCH(INDEX(Calc!$D$8:$D$500,MATCH(SMALL(IF((Calc!$K$8:$K$500=Kanban!G$11)*(Calc!$C$8:$C$500=Kanban!$C$7)*(Calc!$Y$8:$Y$500&gt;0),Calc!$Y$8:$Y$500,99999),$B221),Calc!$Y$8:$Y$500,0)),Calc!$D$8:$D$500,0)) ),"-")</f>
        <v>-</v>
      </c>
      <c r="J223" s="53" t="str">
        <f t="array" ref="J223">IFERROR(IF(Kanban!$C$7="All",INDEX(Calc!$F$8:$F$500,MATCH(INDEX(Calc!$D$8:$D$500,MATCH(SMALL(IF((Calc!$K$8:$K$500=Kanban!H$11)*(Calc!$Y$8:$Y$500&gt;0),Calc!$Y$8:$Y$500,99999),$B221),Calc!$Y$8:$Y$500,0)),Calc!$D$8:$D$500,0)),
INDEX(Calc!$F$8:$F$500,MATCH(INDEX(Calc!$D$8:$D$500,MATCH(SMALL(IF((Calc!$K$8:$K$500=Kanban!H$11)*(Calc!$C$8:$C$500=Kanban!$C$7)*(Calc!$Y$8:$Y$500&gt;0),Calc!$Y$8:$Y$500,99999),$B221),Calc!$Y$8:$Y$500,0)),Calc!$D$8:$D$500,0)) ),"-")</f>
        <v>-</v>
      </c>
    </row>
    <row r="224" spans="2:10" x14ac:dyDescent="0.35">
      <c r="B224" s="54">
        <f t="shared" si="133"/>
        <v>74</v>
      </c>
      <c r="C224" s="18"/>
      <c r="D224" s="18"/>
      <c r="E224" s="52" t="str">
        <f t="shared" ref="E224:J224" si="150">IFERROR(E226,"-")</f>
        <v>-</v>
      </c>
      <c r="F224" s="52" t="str">
        <f t="shared" si="150"/>
        <v>-</v>
      </c>
      <c r="G224" s="52" t="str">
        <f t="shared" si="150"/>
        <v>-</v>
      </c>
      <c r="H224" s="52" t="str">
        <f t="shared" si="150"/>
        <v>-</v>
      </c>
      <c r="I224" s="52" t="str">
        <f t="shared" si="150"/>
        <v>-</v>
      </c>
      <c r="J224" s="52" t="str">
        <f t="shared" si="150"/>
        <v>-</v>
      </c>
    </row>
    <row r="225" spans="2:10" x14ac:dyDescent="0.35">
      <c r="B225" s="54">
        <f t="shared" si="133"/>
        <v>74</v>
      </c>
      <c r="C225" s="18"/>
      <c r="D225" s="18"/>
      <c r="E225" s="52" t="str">
        <f t="shared" ref="E225:J225" si="151">IFERROR(E226,"-")</f>
        <v>-</v>
      </c>
      <c r="F225" s="52" t="str">
        <f t="shared" si="151"/>
        <v>-</v>
      </c>
      <c r="G225" s="52" t="str">
        <f t="shared" si="151"/>
        <v>-</v>
      </c>
      <c r="H225" s="52" t="str">
        <f t="shared" si="151"/>
        <v>-</v>
      </c>
      <c r="I225" s="52" t="str">
        <f t="shared" si="151"/>
        <v>-</v>
      </c>
      <c r="J225" s="52" t="str">
        <f t="shared" si="151"/>
        <v>-</v>
      </c>
    </row>
    <row r="226" spans="2:10" x14ac:dyDescent="0.35">
      <c r="B226" s="54">
        <f t="shared" si="133"/>
        <v>74</v>
      </c>
      <c r="C226" s="18"/>
      <c r="D226" s="18"/>
      <c r="E226" s="53" t="str">
        <f t="array" ref="E226">IFERROR(IF(Kanban!$C$7="All",INDEX(Calc!$F$8:$F$500,MATCH(INDEX(Calc!$D$8:$D$500,MATCH(SMALL(IF((Calc!$K$8:$K$500=Kanban!C$11)*(Calc!$Y$8:$Y$500&gt;0),Calc!$Y$8:$Y$500,99999),$B224),Calc!$Y$8:$Y$500,0)),Calc!$D$8:$D$500,0)),
INDEX(Calc!$F$8:$F$500,MATCH(INDEX(Calc!$D$8:$D$500,MATCH(SMALL(IF((Calc!$K$8:$K$500=Kanban!C$11)*(Calc!$C$8:$C$500=Kanban!$C$7)*(Calc!$Y$8:$Y$500&gt;0),Calc!$Y$8:$Y$500,99999),$B224),Calc!$Y$8:$Y$500,0)),Calc!$D$8:$D$500,0)) ),"-")</f>
        <v>-</v>
      </c>
      <c r="F226" s="53" t="str">
        <f t="array" ref="F226">IFERROR(IF(Kanban!$C$7="All",INDEX(Calc!$F$8:$F$500,MATCH(INDEX(Calc!$D$8:$D$500,MATCH(SMALL(IF((Calc!$K$8:$K$500=Kanban!D$11)*(Calc!$Y$8:$Y$500&gt;0),Calc!$Y$8:$Y$500,99999),$B224),Calc!$Y$8:$Y$500,0)),Calc!$D$8:$D$500,0)),
INDEX(Calc!$F$8:$F$500,MATCH(INDEX(Calc!$D$8:$D$500,MATCH(SMALL(IF((Calc!$K$8:$K$500=Kanban!D$11)*(Calc!$C$8:$C$500=Kanban!$C$7)*(Calc!$Y$8:$Y$500&gt;0),Calc!$Y$8:$Y$500,99999),$B224),Calc!$Y$8:$Y$500,0)),Calc!$D$8:$D$500,0)) ),"-")</f>
        <v>-</v>
      </c>
      <c r="G226" s="53" t="str">
        <f t="array" ref="G226">IFERROR(IF(Kanban!$C$7="All",INDEX(Calc!$F$8:$F$500,MATCH(INDEX(Calc!$D$8:$D$500,MATCH(SMALL(IF((Calc!$K$8:$K$500=Kanban!E$11)*(Calc!$Y$8:$Y$500&gt;0),Calc!$Y$8:$Y$500,99999),$B224),Calc!$Y$8:$Y$500,0)),Calc!$D$8:$D$500,0)),
INDEX(Calc!$F$8:$F$500,MATCH(INDEX(Calc!$D$8:$D$500,MATCH(SMALL(IF((Calc!$K$8:$K$500=Kanban!E$11)*(Calc!$C$8:$C$500=Kanban!$C$7)*(Calc!$Y$8:$Y$500&gt;0),Calc!$Y$8:$Y$500,99999),$B224),Calc!$Y$8:$Y$500,0)),Calc!$D$8:$D$500,0)) ),"-")</f>
        <v>-</v>
      </c>
      <c r="H226" s="53" t="str">
        <f t="array" ref="H226">IFERROR(IF(Kanban!$C$7="All",INDEX(Calc!$F$8:$F$500,MATCH(INDEX(Calc!$D$8:$D$500,MATCH(SMALL(IF((Calc!$K$8:$K$500=Kanban!F$11)*(Calc!$Y$8:$Y$500&gt;0),Calc!$Y$8:$Y$500,99999),$B224),Calc!$Y$8:$Y$500,0)),Calc!$D$8:$D$500,0)),
INDEX(Calc!$F$8:$F$500,MATCH(INDEX(Calc!$D$8:$D$500,MATCH(SMALL(IF((Calc!$K$8:$K$500=Kanban!F$11)*(Calc!$C$8:$C$500=Kanban!$C$7)*(Calc!$Y$8:$Y$500&gt;0),Calc!$Y$8:$Y$500,99999),$B224),Calc!$Y$8:$Y$500,0)),Calc!$D$8:$D$500,0)) ),"-")</f>
        <v>-</v>
      </c>
      <c r="I226" s="53" t="str">
        <f t="array" ref="I226">IFERROR(IF(Kanban!$C$7="All",INDEX(Calc!$F$8:$F$500,MATCH(INDEX(Calc!$D$8:$D$500,MATCH(SMALL(IF((Calc!$K$8:$K$500=Kanban!G$11)*(Calc!$Y$8:$Y$500&gt;0),Calc!$Y$8:$Y$500,99999),$B224),Calc!$Y$8:$Y$500,0)),Calc!$D$8:$D$500,0)),
INDEX(Calc!$F$8:$F$500,MATCH(INDEX(Calc!$D$8:$D$500,MATCH(SMALL(IF((Calc!$K$8:$K$500=Kanban!G$11)*(Calc!$C$8:$C$500=Kanban!$C$7)*(Calc!$Y$8:$Y$500&gt;0),Calc!$Y$8:$Y$500,99999),$B224),Calc!$Y$8:$Y$500,0)),Calc!$D$8:$D$500,0)) ),"-")</f>
        <v>-</v>
      </c>
      <c r="J226" s="53" t="str">
        <f t="array" ref="J226">IFERROR(IF(Kanban!$C$7="All",INDEX(Calc!$F$8:$F$500,MATCH(INDEX(Calc!$D$8:$D$500,MATCH(SMALL(IF((Calc!$K$8:$K$500=Kanban!H$11)*(Calc!$Y$8:$Y$500&gt;0),Calc!$Y$8:$Y$500,99999),$B224),Calc!$Y$8:$Y$500,0)),Calc!$D$8:$D$500,0)),
INDEX(Calc!$F$8:$F$500,MATCH(INDEX(Calc!$D$8:$D$500,MATCH(SMALL(IF((Calc!$K$8:$K$500=Kanban!H$11)*(Calc!$C$8:$C$500=Kanban!$C$7)*(Calc!$Y$8:$Y$500&gt;0),Calc!$Y$8:$Y$500,99999),$B224),Calc!$Y$8:$Y$500,0)),Calc!$D$8:$D$500,0)) ),"-")</f>
        <v>-</v>
      </c>
    </row>
    <row r="227" spans="2:10" x14ac:dyDescent="0.35">
      <c r="B227" s="54">
        <f t="shared" si="133"/>
        <v>75</v>
      </c>
      <c r="C227" s="18"/>
      <c r="D227" s="18"/>
      <c r="E227" s="52" t="str">
        <f t="shared" ref="E227:J227" si="152">IFERROR(E229,"-")</f>
        <v>-</v>
      </c>
      <c r="F227" s="52" t="str">
        <f t="shared" si="152"/>
        <v>-</v>
      </c>
      <c r="G227" s="52" t="str">
        <f t="shared" si="152"/>
        <v>-</v>
      </c>
      <c r="H227" s="52" t="str">
        <f t="shared" si="152"/>
        <v>-</v>
      </c>
      <c r="I227" s="52" t="str">
        <f t="shared" si="152"/>
        <v>-</v>
      </c>
      <c r="J227" s="52" t="str">
        <f t="shared" si="152"/>
        <v>-</v>
      </c>
    </row>
    <row r="228" spans="2:10" x14ac:dyDescent="0.35">
      <c r="B228" s="54">
        <f t="shared" si="133"/>
        <v>75</v>
      </c>
      <c r="C228" s="18"/>
      <c r="D228" s="18"/>
      <c r="E228" s="52" t="str">
        <f t="shared" ref="E228:J228" si="153">IFERROR(E229,"-")</f>
        <v>-</v>
      </c>
      <c r="F228" s="52" t="str">
        <f t="shared" si="153"/>
        <v>-</v>
      </c>
      <c r="G228" s="52" t="str">
        <f t="shared" si="153"/>
        <v>-</v>
      </c>
      <c r="H228" s="52" t="str">
        <f t="shared" si="153"/>
        <v>-</v>
      </c>
      <c r="I228" s="52" t="str">
        <f t="shared" si="153"/>
        <v>-</v>
      </c>
      <c r="J228" s="52" t="str">
        <f t="shared" si="153"/>
        <v>-</v>
      </c>
    </row>
    <row r="229" spans="2:10" x14ac:dyDescent="0.35">
      <c r="B229" s="54">
        <f t="shared" si="133"/>
        <v>75</v>
      </c>
      <c r="C229" s="18"/>
      <c r="D229" s="18"/>
      <c r="E229" s="53" t="str">
        <f t="array" ref="E229">IFERROR(IF(Kanban!$C$7="All",INDEX(Calc!$F$8:$F$500,MATCH(INDEX(Calc!$D$8:$D$500,MATCH(SMALL(IF((Calc!$K$8:$K$500=Kanban!C$11)*(Calc!$Y$8:$Y$500&gt;0),Calc!$Y$8:$Y$500,99999),$B227),Calc!$Y$8:$Y$500,0)),Calc!$D$8:$D$500,0)),
INDEX(Calc!$F$8:$F$500,MATCH(INDEX(Calc!$D$8:$D$500,MATCH(SMALL(IF((Calc!$K$8:$K$500=Kanban!C$11)*(Calc!$C$8:$C$500=Kanban!$C$7)*(Calc!$Y$8:$Y$500&gt;0),Calc!$Y$8:$Y$500,99999),$B227),Calc!$Y$8:$Y$500,0)),Calc!$D$8:$D$500,0)) ),"-")</f>
        <v>-</v>
      </c>
      <c r="F229" s="53" t="str">
        <f t="array" ref="F229">IFERROR(IF(Kanban!$C$7="All",INDEX(Calc!$F$8:$F$500,MATCH(INDEX(Calc!$D$8:$D$500,MATCH(SMALL(IF((Calc!$K$8:$K$500=Kanban!D$11)*(Calc!$Y$8:$Y$500&gt;0),Calc!$Y$8:$Y$500,99999),$B227),Calc!$Y$8:$Y$500,0)),Calc!$D$8:$D$500,0)),
INDEX(Calc!$F$8:$F$500,MATCH(INDEX(Calc!$D$8:$D$500,MATCH(SMALL(IF((Calc!$K$8:$K$500=Kanban!D$11)*(Calc!$C$8:$C$500=Kanban!$C$7)*(Calc!$Y$8:$Y$500&gt;0),Calc!$Y$8:$Y$500,99999),$B227),Calc!$Y$8:$Y$500,0)),Calc!$D$8:$D$500,0)) ),"-")</f>
        <v>-</v>
      </c>
      <c r="G229" s="53" t="str">
        <f t="array" ref="G229">IFERROR(IF(Kanban!$C$7="All",INDEX(Calc!$F$8:$F$500,MATCH(INDEX(Calc!$D$8:$D$500,MATCH(SMALL(IF((Calc!$K$8:$K$500=Kanban!E$11)*(Calc!$Y$8:$Y$500&gt;0),Calc!$Y$8:$Y$500,99999),$B227),Calc!$Y$8:$Y$500,0)),Calc!$D$8:$D$500,0)),
INDEX(Calc!$F$8:$F$500,MATCH(INDEX(Calc!$D$8:$D$500,MATCH(SMALL(IF((Calc!$K$8:$K$500=Kanban!E$11)*(Calc!$C$8:$C$500=Kanban!$C$7)*(Calc!$Y$8:$Y$500&gt;0),Calc!$Y$8:$Y$500,99999),$B227),Calc!$Y$8:$Y$500,0)),Calc!$D$8:$D$500,0)) ),"-")</f>
        <v>-</v>
      </c>
      <c r="H229" s="53" t="str">
        <f t="array" ref="H229">IFERROR(IF(Kanban!$C$7="All",INDEX(Calc!$F$8:$F$500,MATCH(INDEX(Calc!$D$8:$D$500,MATCH(SMALL(IF((Calc!$K$8:$K$500=Kanban!F$11)*(Calc!$Y$8:$Y$500&gt;0),Calc!$Y$8:$Y$500,99999),$B227),Calc!$Y$8:$Y$500,0)),Calc!$D$8:$D$500,0)),
INDEX(Calc!$F$8:$F$500,MATCH(INDEX(Calc!$D$8:$D$500,MATCH(SMALL(IF((Calc!$K$8:$K$500=Kanban!F$11)*(Calc!$C$8:$C$500=Kanban!$C$7)*(Calc!$Y$8:$Y$500&gt;0),Calc!$Y$8:$Y$500,99999),$B227),Calc!$Y$8:$Y$500,0)),Calc!$D$8:$D$500,0)) ),"-")</f>
        <v>-</v>
      </c>
      <c r="I229" s="53" t="str">
        <f t="array" ref="I229">IFERROR(IF(Kanban!$C$7="All",INDEX(Calc!$F$8:$F$500,MATCH(INDEX(Calc!$D$8:$D$500,MATCH(SMALL(IF((Calc!$K$8:$K$500=Kanban!G$11)*(Calc!$Y$8:$Y$500&gt;0),Calc!$Y$8:$Y$500,99999),$B227),Calc!$Y$8:$Y$500,0)),Calc!$D$8:$D$500,0)),
INDEX(Calc!$F$8:$F$500,MATCH(INDEX(Calc!$D$8:$D$500,MATCH(SMALL(IF((Calc!$K$8:$K$500=Kanban!G$11)*(Calc!$C$8:$C$500=Kanban!$C$7)*(Calc!$Y$8:$Y$500&gt;0),Calc!$Y$8:$Y$500,99999),$B227),Calc!$Y$8:$Y$500,0)),Calc!$D$8:$D$500,0)) ),"-")</f>
        <v>-</v>
      </c>
      <c r="J229" s="53" t="str">
        <f t="array" ref="J229">IFERROR(IF(Kanban!$C$7="All",INDEX(Calc!$F$8:$F$500,MATCH(INDEX(Calc!$D$8:$D$500,MATCH(SMALL(IF((Calc!$K$8:$K$500=Kanban!H$11)*(Calc!$Y$8:$Y$500&gt;0),Calc!$Y$8:$Y$500,99999),$B227),Calc!$Y$8:$Y$500,0)),Calc!$D$8:$D$500,0)),
INDEX(Calc!$F$8:$F$500,MATCH(INDEX(Calc!$D$8:$D$500,MATCH(SMALL(IF((Calc!$K$8:$K$500=Kanban!H$11)*(Calc!$C$8:$C$500=Kanban!$C$7)*(Calc!$Y$8:$Y$500&gt;0),Calc!$Y$8:$Y$500,99999),$B227),Calc!$Y$8:$Y$500,0)),Calc!$D$8:$D$500,0)) ),"-")</f>
        <v>-</v>
      </c>
    </row>
    <row r="230" spans="2:10" x14ac:dyDescent="0.35">
      <c r="B230" s="54">
        <f t="shared" si="133"/>
        <v>76</v>
      </c>
      <c r="C230" s="18"/>
      <c r="D230" s="18"/>
      <c r="E230" s="52" t="str">
        <f t="shared" ref="E230:J230" si="154">IFERROR(E232,"-")</f>
        <v>-</v>
      </c>
      <c r="F230" s="52" t="str">
        <f t="shared" si="154"/>
        <v>-</v>
      </c>
      <c r="G230" s="52" t="str">
        <f t="shared" si="154"/>
        <v>-</v>
      </c>
      <c r="H230" s="52" t="str">
        <f t="shared" si="154"/>
        <v>-</v>
      </c>
      <c r="I230" s="52" t="str">
        <f t="shared" si="154"/>
        <v>-</v>
      </c>
      <c r="J230" s="52" t="str">
        <f t="shared" si="154"/>
        <v>-</v>
      </c>
    </row>
    <row r="231" spans="2:10" x14ac:dyDescent="0.35">
      <c r="B231" s="54">
        <f t="shared" si="133"/>
        <v>76</v>
      </c>
      <c r="C231" s="18"/>
      <c r="D231" s="18"/>
      <c r="E231" s="52" t="str">
        <f t="shared" ref="E231:J231" si="155">IFERROR(E232,"-")</f>
        <v>-</v>
      </c>
      <c r="F231" s="52" t="str">
        <f t="shared" si="155"/>
        <v>-</v>
      </c>
      <c r="G231" s="52" t="str">
        <f t="shared" si="155"/>
        <v>-</v>
      </c>
      <c r="H231" s="52" t="str">
        <f t="shared" si="155"/>
        <v>-</v>
      </c>
      <c r="I231" s="52" t="str">
        <f t="shared" si="155"/>
        <v>-</v>
      </c>
      <c r="J231" s="52" t="str">
        <f t="shared" si="155"/>
        <v>-</v>
      </c>
    </row>
    <row r="232" spans="2:10" x14ac:dyDescent="0.35">
      <c r="B232" s="54">
        <f t="shared" si="133"/>
        <v>76</v>
      </c>
      <c r="C232" s="18"/>
      <c r="D232" s="18"/>
      <c r="E232" s="53" t="str">
        <f t="array" ref="E232">IFERROR(IF(Kanban!$C$7="All",INDEX(Calc!$F$8:$F$500,MATCH(INDEX(Calc!$D$8:$D$500,MATCH(SMALL(IF((Calc!$K$8:$K$500=Kanban!C$11)*(Calc!$Y$8:$Y$500&gt;0),Calc!$Y$8:$Y$500,99999),$B230),Calc!$Y$8:$Y$500,0)),Calc!$D$8:$D$500,0)),
INDEX(Calc!$F$8:$F$500,MATCH(INDEX(Calc!$D$8:$D$500,MATCH(SMALL(IF((Calc!$K$8:$K$500=Kanban!C$11)*(Calc!$C$8:$C$500=Kanban!$C$7)*(Calc!$Y$8:$Y$500&gt;0),Calc!$Y$8:$Y$500,99999),$B230),Calc!$Y$8:$Y$500,0)),Calc!$D$8:$D$500,0)) ),"-")</f>
        <v>-</v>
      </c>
      <c r="F232" s="53" t="str">
        <f t="array" ref="F232">IFERROR(IF(Kanban!$C$7="All",INDEX(Calc!$F$8:$F$500,MATCH(INDEX(Calc!$D$8:$D$500,MATCH(SMALL(IF((Calc!$K$8:$K$500=Kanban!D$11)*(Calc!$Y$8:$Y$500&gt;0),Calc!$Y$8:$Y$500,99999),$B230),Calc!$Y$8:$Y$500,0)),Calc!$D$8:$D$500,0)),
INDEX(Calc!$F$8:$F$500,MATCH(INDEX(Calc!$D$8:$D$500,MATCH(SMALL(IF((Calc!$K$8:$K$500=Kanban!D$11)*(Calc!$C$8:$C$500=Kanban!$C$7)*(Calc!$Y$8:$Y$500&gt;0),Calc!$Y$8:$Y$500,99999),$B230),Calc!$Y$8:$Y$500,0)),Calc!$D$8:$D$500,0)) ),"-")</f>
        <v>-</v>
      </c>
      <c r="G232" s="53" t="str">
        <f t="array" ref="G232">IFERROR(IF(Kanban!$C$7="All",INDEX(Calc!$F$8:$F$500,MATCH(INDEX(Calc!$D$8:$D$500,MATCH(SMALL(IF((Calc!$K$8:$K$500=Kanban!E$11)*(Calc!$Y$8:$Y$500&gt;0),Calc!$Y$8:$Y$500,99999),$B230),Calc!$Y$8:$Y$500,0)),Calc!$D$8:$D$500,0)),
INDEX(Calc!$F$8:$F$500,MATCH(INDEX(Calc!$D$8:$D$500,MATCH(SMALL(IF((Calc!$K$8:$K$500=Kanban!E$11)*(Calc!$C$8:$C$500=Kanban!$C$7)*(Calc!$Y$8:$Y$500&gt;0),Calc!$Y$8:$Y$500,99999),$B230),Calc!$Y$8:$Y$500,0)),Calc!$D$8:$D$500,0)) ),"-")</f>
        <v>-</v>
      </c>
      <c r="H232" s="53" t="str">
        <f t="array" ref="H232">IFERROR(IF(Kanban!$C$7="All",INDEX(Calc!$F$8:$F$500,MATCH(INDEX(Calc!$D$8:$D$500,MATCH(SMALL(IF((Calc!$K$8:$K$500=Kanban!F$11)*(Calc!$Y$8:$Y$500&gt;0),Calc!$Y$8:$Y$500,99999),$B230),Calc!$Y$8:$Y$500,0)),Calc!$D$8:$D$500,0)),
INDEX(Calc!$F$8:$F$500,MATCH(INDEX(Calc!$D$8:$D$500,MATCH(SMALL(IF((Calc!$K$8:$K$500=Kanban!F$11)*(Calc!$C$8:$C$500=Kanban!$C$7)*(Calc!$Y$8:$Y$500&gt;0),Calc!$Y$8:$Y$500,99999),$B230),Calc!$Y$8:$Y$500,0)),Calc!$D$8:$D$500,0)) ),"-")</f>
        <v>-</v>
      </c>
      <c r="I232" s="53" t="str">
        <f t="array" ref="I232">IFERROR(IF(Kanban!$C$7="All",INDEX(Calc!$F$8:$F$500,MATCH(INDEX(Calc!$D$8:$D$500,MATCH(SMALL(IF((Calc!$K$8:$K$500=Kanban!G$11)*(Calc!$Y$8:$Y$500&gt;0),Calc!$Y$8:$Y$500,99999),$B230),Calc!$Y$8:$Y$500,0)),Calc!$D$8:$D$500,0)),
INDEX(Calc!$F$8:$F$500,MATCH(INDEX(Calc!$D$8:$D$500,MATCH(SMALL(IF((Calc!$K$8:$K$500=Kanban!G$11)*(Calc!$C$8:$C$500=Kanban!$C$7)*(Calc!$Y$8:$Y$500&gt;0),Calc!$Y$8:$Y$500,99999),$B230),Calc!$Y$8:$Y$500,0)),Calc!$D$8:$D$500,0)) ),"-")</f>
        <v>-</v>
      </c>
      <c r="J232" s="53" t="str">
        <f t="array" ref="J232">IFERROR(IF(Kanban!$C$7="All",INDEX(Calc!$F$8:$F$500,MATCH(INDEX(Calc!$D$8:$D$500,MATCH(SMALL(IF((Calc!$K$8:$K$500=Kanban!H$11)*(Calc!$Y$8:$Y$500&gt;0),Calc!$Y$8:$Y$500,99999),$B230),Calc!$Y$8:$Y$500,0)),Calc!$D$8:$D$500,0)),
INDEX(Calc!$F$8:$F$500,MATCH(INDEX(Calc!$D$8:$D$500,MATCH(SMALL(IF((Calc!$K$8:$K$500=Kanban!H$11)*(Calc!$C$8:$C$500=Kanban!$C$7)*(Calc!$Y$8:$Y$500&gt;0),Calc!$Y$8:$Y$500,99999),$B230),Calc!$Y$8:$Y$500,0)),Calc!$D$8:$D$500,0)) ),"-")</f>
        <v>-</v>
      </c>
    </row>
    <row r="233" spans="2:10" x14ac:dyDescent="0.35">
      <c r="B233" s="54">
        <f t="shared" si="133"/>
        <v>77</v>
      </c>
      <c r="C233" s="18"/>
      <c r="D233" s="18"/>
      <c r="E233" s="52" t="str">
        <f t="shared" ref="E233:J233" si="156">IFERROR(E235,"-")</f>
        <v>-</v>
      </c>
      <c r="F233" s="52" t="str">
        <f t="shared" si="156"/>
        <v>-</v>
      </c>
      <c r="G233" s="52" t="str">
        <f t="shared" si="156"/>
        <v>-</v>
      </c>
      <c r="H233" s="52" t="str">
        <f t="shared" si="156"/>
        <v>-</v>
      </c>
      <c r="I233" s="52" t="str">
        <f t="shared" si="156"/>
        <v>-</v>
      </c>
      <c r="J233" s="52" t="str">
        <f t="shared" si="156"/>
        <v>-</v>
      </c>
    </row>
    <row r="234" spans="2:10" x14ac:dyDescent="0.35">
      <c r="B234" s="54">
        <f t="shared" si="133"/>
        <v>77</v>
      </c>
      <c r="C234" s="18"/>
      <c r="D234" s="18"/>
      <c r="E234" s="52" t="str">
        <f t="shared" ref="E234:J234" si="157">IFERROR(E235,"-")</f>
        <v>-</v>
      </c>
      <c r="F234" s="52" t="str">
        <f t="shared" si="157"/>
        <v>-</v>
      </c>
      <c r="G234" s="52" t="str">
        <f t="shared" si="157"/>
        <v>-</v>
      </c>
      <c r="H234" s="52" t="str">
        <f t="shared" si="157"/>
        <v>-</v>
      </c>
      <c r="I234" s="52" t="str">
        <f t="shared" si="157"/>
        <v>-</v>
      </c>
      <c r="J234" s="52" t="str">
        <f t="shared" si="157"/>
        <v>-</v>
      </c>
    </row>
    <row r="235" spans="2:10" x14ac:dyDescent="0.35">
      <c r="B235" s="54">
        <f t="shared" si="133"/>
        <v>77</v>
      </c>
      <c r="C235" s="18"/>
      <c r="D235" s="18"/>
      <c r="E235" s="53" t="str">
        <f t="array" ref="E235">IFERROR(IF(Kanban!$C$7="All",INDEX(Calc!$F$8:$F$500,MATCH(INDEX(Calc!$D$8:$D$500,MATCH(SMALL(IF((Calc!$K$8:$K$500=Kanban!C$11)*(Calc!$Y$8:$Y$500&gt;0),Calc!$Y$8:$Y$500,99999),$B233),Calc!$Y$8:$Y$500,0)),Calc!$D$8:$D$500,0)),
INDEX(Calc!$F$8:$F$500,MATCH(INDEX(Calc!$D$8:$D$500,MATCH(SMALL(IF((Calc!$K$8:$K$500=Kanban!C$11)*(Calc!$C$8:$C$500=Kanban!$C$7)*(Calc!$Y$8:$Y$500&gt;0),Calc!$Y$8:$Y$500,99999),$B233),Calc!$Y$8:$Y$500,0)),Calc!$D$8:$D$500,0)) ),"-")</f>
        <v>-</v>
      </c>
      <c r="F235" s="53" t="str">
        <f t="array" ref="F235">IFERROR(IF(Kanban!$C$7="All",INDEX(Calc!$F$8:$F$500,MATCH(INDEX(Calc!$D$8:$D$500,MATCH(SMALL(IF((Calc!$K$8:$K$500=Kanban!D$11)*(Calc!$Y$8:$Y$500&gt;0),Calc!$Y$8:$Y$500,99999),$B233),Calc!$Y$8:$Y$500,0)),Calc!$D$8:$D$500,0)),
INDEX(Calc!$F$8:$F$500,MATCH(INDEX(Calc!$D$8:$D$500,MATCH(SMALL(IF((Calc!$K$8:$K$500=Kanban!D$11)*(Calc!$C$8:$C$500=Kanban!$C$7)*(Calc!$Y$8:$Y$500&gt;0),Calc!$Y$8:$Y$500,99999),$B233),Calc!$Y$8:$Y$500,0)),Calc!$D$8:$D$500,0)) ),"-")</f>
        <v>-</v>
      </c>
      <c r="G235" s="53" t="str">
        <f t="array" ref="G235">IFERROR(IF(Kanban!$C$7="All",INDEX(Calc!$F$8:$F$500,MATCH(INDEX(Calc!$D$8:$D$500,MATCH(SMALL(IF((Calc!$K$8:$K$500=Kanban!E$11)*(Calc!$Y$8:$Y$500&gt;0),Calc!$Y$8:$Y$500,99999),$B233),Calc!$Y$8:$Y$500,0)),Calc!$D$8:$D$500,0)),
INDEX(Calc!$F$8:$F$500,MATCH(INDEX(Calc!$D$8:$D$500,MATCH(SMALL(IF((Calc!$K$8:$K$500=Kanban!E$11)*(Calc!$C$8:$C$500=Kanban!$C$7)*(Calc!$Y$8:$Y$500&gt;0),Calc!$Y$8:$Y$500,99999),$B233),Calc!$Y$8:$Y$500,0)),Calc!$D$8:$D$500,0)) ),"-")</f>
        <v>-</v>
      </c>
      <c r="H235" s="53" t="str">
        <f t="array" ref="H235">IFERROR(IF(Kanban!$C$7="All",INDEX(Calc!$F$8:$F$500,MATCH(INDEX(Calc!$D$8:$D$500,MATCH(SMALL(IF((Calc!$K$8:$K$500=Kanban!F$11)*(Calc!$Y$8:$Y$500&gt;0),Calc!$Y$8:$Y$500,99999),$B233),Calc!$Y$8:$Y$500,0)),Calc!$D$8:$D$500,0)),
INDEX(Calc!$F$8:$F$500,MATCH(INDEX(Calc!$D$8:$D$500,MATCH(SMALL(IF((Calc!$K$8:$K$500=Kanban!F$11)*(Calc!$C$8:$C$500=Kanban!$C$7)*(Calc!$Y$8:$Y$500&gt;0),Calc!$Y$8:$Y$500,99999),$B233),Calc!$Y$8:$Y$500,0)),Calc!$D$8:$D$500,0)) ),"-")</f>
        <v>-</v>
      </c>
      <c r="I235" s="53" t="str">
        <f t="array" ref="I235">IFERROR(IF(Kanban!$C$7="All",INDEX(Calc!$F$8:$F$500,MATCH(INDEX(Calc!$D$8:$D$500,MATCH(SMALL(IF((Calc!$K$8:$K$500=Kanban!G$11)*(Calc!$Y$8:$Y$500&gt;0),Calc!$Y$8:$Y$500,99999),$B233),Calc!$Y$8:$Y$500,0)),Calc!$D$8:$D$500,0)),
INDEX(Calc!$F$8:$F$500,MATCH(INDEX(Calc!$D$8:$D$500,MATCH(SMALL(IF((Calc!$K$8:$K$500=Kanban!G$11)*(Calc!$C$8:$C$500=Kanban!$C$7)*(Calc!$Y$8:$Y$500&gt;0),Calc!$Y$8:$Y$500,99999),$B233),Calc!$Y$8:$Y$500,0)),Calc!$D$8:$D$500,0)) ),"-")</f>
        <v>-</v>
      </c>
      <c r="J235" s="53" t="str">
        <f t="array" ref="J235">IFERROR(IF(Kanban!$C$7="All",INDEX(Calc!$F$8:$F$500,MATCH(INDEX(Calc!$D$8:$D$500,MATCH(SMALL(IF((Calc!$K$8:$K$500=Kanban!H$11)*(Calc!$Y$8:$Y$500&gt;0),Calc!$Y$8:$Y$500,99999),$B233),Calc!$Y$8:$Y$500,0)),Calc!$D$8:$D$500,0)),
INDEX(Calc!$F$8:$F$500,MATCH(INDEX(Calc!$D$8:$D$500,MATCH(SMALL(IF((Calc!$K$8:$K$500=Kanban!H$11)*(Calc!$C$8:$C$500=Kanban!$C$7)*(Calc!$Y$8:$Y$500&gt;0),Calc!$Y$8:$Y$500,99999),$B233),Calc!$Y$8:$Y$500,0)),Calc!$D$8:$D$500,0)) ),"-")</f>
        <v>-</v>
      </c>
    </row>
    <row r="236" spans="2:10" x14ac:dyDescent="0.35">
      <c r="B236" s="54">
        <f t="shared" si="133"/>
        <v>78</v>
      </c>
      <c r="C236" s="18"/>
      <c r="D236" s="18"/>
      <c r="E236" s="52" t="str">
        <f t="shared" ref="E236:J236" si="158">IFERROR(E238,"-")</f>
        <v>-</v>
      </c>
      <c r="F236" s="52" t="str">
        <f t="shared" si="158"/>
        <v>-</v>
      </c>
      <c r="G236" s="52" t="str">
        <f t="shared" si="158"/>
        <v>-</v>
      </c>
      <c r="H236" s="52" t="str">
        <f t="shared" si="158"/>
        <v>-</v>
      </c>
      <c r="I236" s="52" t="str">
        <f t="shared" si="158"/>
        <v>-</v>
      </c>
      <c r="J236" s="52" t="str">
        <f t="shared" si="158"/>
        <v>-</v>
      </c>
    </row>
    <row r="237" spans="2:10" x14ac:dyDescent="0.35">
      <c r="B237" s="54">
        <f t="shared" si="133"/>
        <v>78</v>
      </c>
      <c r="C237" s="18"/>
      <c r="D237" s="18"/>
      <c r="E237" s="52" t="str">
        <f t="shared" ref="E237:J237" si="159">IFERROR(E238,"-")</f>
        <v>-</v>
      </c>
      <c r="F237" s="52" t="str">
        <f t="shared" si="159"/>
        <v>-</v>
      </c>
      <c r="G237" s="52" t="str">
        <f t="shared" si="159"/>
        <v>-</v>
      </c>
      <c r="H237" s="52" t="str">
        <f t="shared" si="159"/>
        <v>-</v>
      </c>
      <c r="I237" s="52" t="str">
        <f t="shared" si="159"/>
        <v>-</v>
      </c>
      <c r="J237" s="52" t="str">
        <f t="shared" si="159"/>
        <v>-</v>
      </c>
    </row>
    <row r="238" spans="2:10" x14ac:dyDescent="0.35">
      <c r="B238" s="54">
        <f t="shared" si="133"/>
        <v>78</v>
      </c>
      <c r="C238" s="18"/>
      <c r="D238" s="18"/>
      <c r="E238" s="53" t="str">
        <f t="array" ref="E238">IFERROR(IF(Kanban!$C$7="All",INDEX(Calc!$F$8:$F$500,MATCH(INDEX(Calc!$D$8:$D$500,MATCH(SMALL(IF((Calc!$K$8:$K$500=Kanban!C$11)*(Calc!$Y$8:$Y$500&gt;0),Calc!$Y$8:$Y$500,99999),$B236),Calc!$Y$8:$Y$500,0)),Calc!$D$8:$D$500,0)),
INDEX(Calc!$F$8:$F$500,MATCH(INDEX(Calc!$D$8:$D$500,MATCH(SMALL(IF((Calc!$K$8:$K$500=Kanban!C$11)*(Calc!$C$8:$C$500=Kanban!$C$7)*(Calc!$Y$8:$Y$500&gt;0),Calc!$Y$8:$Y$500,99999),$B236),Calc!$Y$8:$Y$500,0)),Calc!$D$8:$D$500,0)) ),"-")</f>
        <v>-</v>
      </c>
      <c r="F238" s="53" t="str">
        <f t="array" ref="F238">IFERROR(IF(Kanban!$C$7="All",INDEX(Calc!$F$8:$F$500,MATCH(INDEX(Calc!$D$8:$D$500,MATCH(SMALL(IF((Calc!$K$8:$K$500=Kanban!D$11)*(Calc!$Y$8:$Y$500&gt;0),Calc!$Y$8:$Y$500,99999),$B236),Calc!$Y$8:$Y$500,0)),Calc!$D$8:$D$500,0)),
INDEX(Calc!$F$8:$F$500,MATCH(INDEX(Calc!$D$8:$D$500,MATCH(SMALL(IF((Calc!$K$8:$K$500=Kanban!D$11)*(Calc!$C$8:$C$500=Kanban!$C$7)*(Calc!$Y$8:$Y$500&gt;0),Calc!$Y$8:$Y$500,99999),$B236),Calc!$Y$8:$Y$500,0)),Calc!$D$8:$D$500,0)) ),"-")</f>
        <v>-</v>
      </c>
      <c r="G238" s="53" t="str">
        <f t="array" ref="G238">IFERROR(IF(Kanban!$C$7="All",INDEX(Calc!$F$8:$F$500,MATCH(INDEX(Calc!$D$8:$D$500,MATCH(SMALL(IF((Calc!$K$8:$K$500=Kanban!E$11)*(Calc!$Y$8:$Y$500&gt;0),Calc!$Y$8:$Y$500,99999),$B236),Calc!$Y$8:$Y$500,0)),Calc!$D$8:$D$500,0)),
INDEX(Calc!$F$8:$F$500,MATCH(INDEX(Calc!$D$8:$D$500,MATCH(SMALL(IF((Calc!$K$8:$K$500=Kanban!E$11)*(Calc!$C$8:$C$500=Kanban!$C$7)*(Calc!$Y$8:$Y$500&gt;0),Calc!$Y$8:$Y$500,99999),$B236),Calc!$Y$8:$Y$500,0)),Calc!$D$8:$D$500,0)) ),"-")</f>
        <v>-</v>
      </c>
      <c r="H238" s="53" t="str">
        <f t="array" ref="H238">IFERROR(IF(Kanban!$C$7="All",INDEX(Calc!$F$8:$F$500,MATCH(INDEX(Calc!$D$8:$D$500,MATCH(SMALL(IF((Calc!$K$8:$K$500=Kanban!F$11)*(Calc!$Y$8:$Y$500&gt;0),Calc!$Y$8:$Y$500,99999),$B236),Calc!$Y$8:$Y$500,0)),Calc!$D$8:$D$500,0)),
INDEX(Calc!$F$8:$F$500,MATCH(INDEX(Calc!$D$8:$D$500,MATCH(SMALL(IF((Calc!$K$8:$K$500=Kanban!F$11)*(Calc!$C$8:$C$500=Kanban!$C$7)*(Calc!$Y$8:$Y$500&gt;0),Calc!$Y$8:$Y$500,99999),$B236),Calc!$Y$8:$Y$500,0)),Calc!$D$8:$D$500,0)) ),"-")</f>
        <v>-</v>
      </c>
      <c r="I238" s="53" t="str">
        <f t="array" ref="I238">IFERROR(IF(Kanban!$C$7="All",INDEX(Calc!$F$8:$F$500,MATCH(INDEX(Calc!$D$8:$D$500,MATCH(SMALL(IF((Calc!$K$8:$K$500=Kanban!G$11)*(Calc!$Y$8:$Y$500&gt;0),Calc!$Y$8:$Y$500,99999),$B236),Calc!$Y$8:$Y$500,0)),Calc!$D$8:$D$500,0)),
INDEX(Calc!$F$8:$F$500,MATCH(INDEX(Calc!$D$8:$D$500,MATCH(SMALL(IF((Calc!$K$8:$K$500=Kanban!G$11)*(Calc!$C$8:$C$500=Kanban!$C$7)*(Calc!$Y$8:$Y$500&gt;0),Calc!$Y$8:$Y$500,99999),$B236),Calc!$Y$8:$Y$500,0)),Calc!$D$8:$D$500,0)) ),"-")</f>
        <v>-</v>
      </c>
      <c r="J238" s="53" t="str">
        <f t="array" ref="J238">IFERROR(IF(Kanban!$C$7="All",INDEX(Calc!$F$8:$F$500,MATCH(INDEX(Calc!$D$8:$D$500,MATCH(SMALL(IF((Calc!$K$8:$K$500=Kanban!H$11)*(Calc!$Y$8:$Y$500&gt;0),Calc!$Y$8:$Y$500,99999),$B236),Calc!$Y$8:$Y$500,0)),Calc!$D$8:$D$500,0)),
INDEX(Calc!$F$8:$F$500,MATCH(INDEX(Calc!$D$8:$D$500,MATCH(SMALL(IF((Calc!$K$8:$K$500=Kanban!H$11)*(Calc!$C$8:$C$500=Kanban!$C$7)*(Calc!$Y$8:$Y$500&gt;0),Calc!$Y$8:$Y$500,99999),$B236),Calc!$Y$8:$Y$500,0)),Calc!$D$8:$D$500,0)) ),"-")</f>
        <v>-</v>
      </c>
    </row>
    <row r="239" spans="2:10" x14ac:dyDescent="0.35">
      <c r="B239" s="54">
        <f t="shared" si="133"/>
        <v>79</v>
      </c>
      <c r="C239" s="18"/>
      <c r="D239" s="18"/>
      <c r="E239" s="52" t="str">
        <f t="shared" ref="E239:J239" si="160">IFERROR(E241,"-")</f>
        <v>-</v>
      </c>
      <c r="F239" s="52" t="str">
        <f t="shared" si="160"/>
        <v>-</v>
      </c>
      <c r="G239" s="52" t="str">
        <f t="shared" si="160"/>
        <v>-</v>
      </c>
      <c r="H239" s="52" t="str">
        <f t="shared" si="160"/>
        <v>-</v>
      </c>
      <c r="I239" s="52" t="str">
        <f t="shared" si="160"/>
        <v>-</v>
      </c>
      <c r="J239" s="52" t="str">
        <f t="shared" si="160"/>
        <v>-</v>
      </c>
    </row>
    <row r="240" spans="2:10" x14ac:dyDescent="0.35">
      <c r="B240" s="54">
        <f t="shared" si="133"/>
        <v>79</v>
      </c>
      <c r="C240" s="18"/>
      <c r="D240" s="18"/>
      <c r="E240" s="52" t="str">
        <f t="shared" ref="E240:J240" si="161">IFERROR(E241,"-")</f>
        <v>-</v>
      </c>
      <c r="F240" s="52" t="str">
        <f t="shared" si="161"/>
        <v>-</v>
      </c>
      <c r="G240" s="52" t="str">
        <f t="shared" si="161"/>
        <v>-</v>
      </c>
      <c r="H240" s="52" t="str">
        <f t="shared" si="161"/>
        <v>-</v>
      </c>
      <c r="I240" s="52" t="str">
        <f t="shared" si="161"/>
        <v>-</v>
      </c>
      <c r="J240" s="52" t="str">
        <f t="shared" si="161"/>
        <v>-</v>
      </c>
    </row>
    <row r="241" spans="2:10" x14ac:dyDescent="0.35">
      <c r="B241" s="54">
        <f t="shared" si="133"/>
        <v>79</v>
      </c>
      <c r="C241" s="18"/>
      <c r="D241" s="18"/>
      <c r="E241" s="53" t="str">
        <f t="array" ref="E241">IFERROR(IF(Kanban!$C$7="All",INDEX(Calc!$F$8:$F$500,MATCH(INDEX(Calc!$D$8:$D$500,MATCH(SMALL(IF((Calc!$K$8:$K$500=Kanban!C$11)*(Calc!$Y$8:$Y$500&gt;0),Calc!$Y$8:$Y$500,99999),$B239),Calc!$Y$8:$Y$500,0)),Calc!$D$8:$D$500,0)),
INDEX(Calc!$F$8:$F$500,MATCH(INDEX(Calc!$D$8:$D$500,MATCH(SMALL(IF((Calc!$K$8:$K$500=Kanban!C$11)*(Calc!$C$8:$C$500=Kanban!$C$7)*(Calc!$Y$8:$Y$500&gt;0),Calc!$Y$8:$Y$500,99999),$B239),Calc!$Y$8:$Y$500,0)),Calc!$D$8:$D$500,0)) ),"-")</f>
        <v>-</v>
      </c>
      <c r="F241" s="53" t="str">
        <f t="array" ref="F241">IFERROR(IF(Kanban!$C$7="All",INDEX(Calc!$F$8:$F$500,MATCH(INDEX(Calc!$D$8:$D$500,MATCH(SMALL(IF((Calc!$K$8:$K$500=Kanban!D$11)*(Calc!$Y$8:$Y$500&gt;0),Calc!$Y$8:$Y$500,99999),$B239),Calc!$Y$8:$Y$500,0)),Calc!$D$8:$D$500,0)),
INDEX(Calc!$F$8:$F$500,MATCH(INDEX(Calc!$D$8:$D$500,MATCH(SMALL(IF((Calc!$K$8:$K$500=Kanban!D$11)*(Calc!$C$8:$C$500=Kanban!$C$7)*(Calc!$Y$8:$Y$500&gt;0),Calc!$Y$8:$Y$500,99999),$B239),Calc!$Y$8:$Y$500,0)),Calc!$D$8:$D$500,0)) ),"-")</f>
        <v>-</v>
      </c>
      <c r="G241" s="53" t="str">
        <f t="array" ref="G241">IFERROR(IF(Kanban!$C$7="All",INDEX(Calc!$F$8:$F$500,MATCH(INDEX(Calc!$D$8:$D$500,MATCH(SMALL(IF((Calc!$K$8:$K$500=Kanban!E$11)*(Calc!$Y$8:$Y$500&gt;0),Calc!$Y$8:$Y$500,99999),$B239),Calc!$Y$8:$Y$500,0)),Calc!$D$8:$D$500,0)),
INDEX(Calc!$F$8:$F$500,MATCH(INDEX(Calc!$D$8:$D$500,MATCH(SMALL(IF((Calc!$K$8:$K$500=Kanban!E$11)*(Calc!$C$8:$C$500=Kanban!$C$7)*(Calc!$Y$8:$Y$500&gt;0),Calc!$Y$8:$Y$500,99999),$B239),Calc!$Y$8:$Y$500,0)),Calc!$D$8:$D$500,0)) ),"-")</f>
        <v>-</v>
      </c>
      <c r="H241" s="53" t="str">
        <f t="array" ref="H241">IFERROR(IF(Kanban!$C$7="All",INDEX(Calc!$F$8:$F$500,MATCH(INDEX(Calc!$D$8:$D$500,MATCH(SMALL(IF((Calc!$K$8:$K$500=Kanban!F$11)*(Calc!$Y$8:$Y$500&gt;0),Calc!$Y$8:$Y$500,99999),$B239),Calc!$Y$8:$Y$500,0)),Calc!$D$8:$D$500,0)),
INDEX(Calc!$F$8:$F$500,MATCH(INDEX(Calc!$D$8:$D$500,MATCH(SMALL(IF((Calc!$K$8:$K$500=Kanban!F$11)*(Calc!$C$8:$C$500=Kanban!$C$7)*(Calc!$Y$8:$Y$500&gt;0),Calc!$Y$8:$Y$500,99999),$B239),Calc!$Y$8:$Y$500,0)),Calc!$D$8:$D$500,0)) ),"-")</f>
        <v>-</v>
      </c>
      <c r="I241" s="53" t="str">
        <f t="array" ref="I241">IFERROR(IF(Kanban!$C$7="All",INDEX(Calc!$F$8:$F$500,MATCH(INDEX(Calc!$D$8:$D$500,MATCH(SMALL(IF((Calc!$K$8:$K$500=Kanban!G$11)*(Calc!$Y$8:$Y$500&gt;0),Calc!$Y$8:$Y$500,99999),$B239),Calc!$Y$8:$Y$500,0)),Calc!$D$8:$D$500,0)),
INDEX(Calc!$F$8:$F$500,MATCH(INDEX(Calc!$D$8:$D$500,MATCH(SMALL(IF((Calc!$K$8:$K$500=Kanban!G$11)*(Calc!$C$8:$C$500=Kanban!$C$7)*(Calc!$Y$8:$Y$500&gt;0),Calc!$Y$8:$Y$500,99999),$B239),Calc!$Y$8:$Y$500,0)),Calc!$D$8:$D$500,0)) ),"-")</f>
        <v>-</v>
      </c>
      <c r="J241" s="53" t="str">
        <f t="array" ref="J241">IFERROR(IF(Kanban!$C$7="All",INDEX(Calc!$F$8:$F$500,MATCH(INDEX(Calc!$D$8:$D$500,MATCH(SMALL(IF((Calc!$K$8:$K$500=Kanban!H$11)*(Calc!$Y$8:$Y$500&gt;0),Calc!$Y$8:$Y$500,99999),$B239),Calc!$Y$8:$Y$500,0)),Calc!$D$8:$D$500,0)),
INDEX(Calc!$F$8:$F$500,MATCH(INDEX(Calc!$D$8:$D$500,MATCH(SMALL(IF((Calc!$K$8:$K$500=Kanban!H$11)*(Calc!$C$8:$C$500=Kanban!$C$7)*(Calc!$Y$8:$Y$500&gt;0),Calc!$Y$8:$Y$500,99999),$B239),Calc!$Y$8:$Y$500,0)),Calc!$D$8:$D$500,0)) ),"-")</f>
        <v>-</v>
      </c>
    </row>
    <row r="242" spans="2:10" x14ac:dyDescent="0.35">
      <c r="B242" s="54">
        <f t="shared" si="133"/>
        <v>80</v>
      </c>
      <c r="C242" s="18"/>
      <c r="D242" s="18"/>
      <c r="E242" s="52" t="str">
        <f t="shared" ref="E242:J242" si="162">IFERROR(E244,"-")</f>
        <v>-</v>
      </c>
      <c r="F242" s="52" t="str">
        <f t="shared" si="162"/>
        <v>-</v>
      </c>
      <c r="G242" s="52" t="str">
        <f t="shared" si="162"/>
        <v>-</v>
      </c>
      <c r="H242" s="52" t="str">
        <f t="shared" si="162"/>
        <v>-</v>
      </c>
      <c r="I242" s="52" t="str">
        <f t="shared" si="162"/>
        <v>-</v>
      </c>
      <c r="J242" s="52" t="str">
        <f t="shared" si="162"/>
        <v>-</v>
      </c>
    </row>
    <row r="243" spans="2:10" x14ac:dyDescent="0.35">
      <c r="B243" s="54">
        <f t="shared" si="133"/>
        <v>80</v>
      </c>
      <c r="C243" s="18"/>
      <c r="D243" s="18"/>
      <c r="E243" s="52" t="str">
        <f t="shared" ref="E243:J243" si="163">IFERROR(E244,"-")</f>
        <v>-</v>
      </c>
      <c r="F243" s="52" t="str">
        <f t="shared" si="163"/>
        <v>-</v>
      </c>
      <c r="G243" s="52" t="str">
        <f t="shared" si="163"/>
        <v>-</v>
      </c>
      <c r="H243" s="52" t="str">
        <f t="shared" si="163"/>
        <v>-</v>
      </c>
      <c r="I243" s="52" t="str">
        <f t="shared" si="163"/>
        <v>-</v>
      </c>
      <c r="J243" s="52" t="str">
        <f t="shared" si="163"/>
        <v>-</v>
      </c>
    </row>
    <row r="244" spans="2:10" x14ac:dyDescent="0.35">
      <c r="B244" s="54">
        <f t="shared" si="133"/>
        <v>80</v>
      </c>
      <c r="C244" s="18"/>
      <c r="D244" s="18"/>
      <c r="E244" s="53" t="str">
        <f t="array" ref="E244">IFERROR(IF(Kanban!$C$7="All",INDEX(Calc!$F$8:$F$500,MATCH(INDEX(Calc!$D$8:$D$500,MATCH(SMALL(IF((Calc!$K$8:$K$500=Kanban!C$11)*(Calc!$Y$8:$Y$500&gt;0),Calc!$Y$8:$Y$500,99999),$B242),Calc!$Y$8:$Y$500,0)),Calc!$D$8:$D$500,0)),
INDEX(Calc!$F$8:$F$500,MATCH(INDEX(Calc!$D$8:$D$500,MATCH(SMALL(IF((Calc!$K$8:$K$500=Kanban!C$11)*(Calc!$C$8:$C$500=Kanban!$C$7)*(Calc!$Y$8:$Y$500&gt;0),Calc!$Y$8:$Y$500,99999),$B242),Calc!$Y$8:$Y$500,0)),Calc!$D$8:$D$500,0)) ),"-")</f>
        <v>-</v>
      </c>
      <c r="F244" s="53" t="str">
        <f t="array" ref="F244">IFERROR(IF(Kanban!$C$7="All",INDEX(Calc!$F$8:$F$500,MATCH(INDEX(Calc!$D$8:$D$500,MATCH(SMALL(IF((Calc!$K$8:$K$500=Kanban!D$11)*(Calc!$Y$8:$Y$500&gt;0),Calc!$Y$8:$Y$500,99999),$B242),Calc!$Y$8:$Y$500,0)),Calc!$D$8:$D$500,0)),
INDEX(Calc!$F$8:$F$500,MATCH(INDEX(Calc!$D$8:$D$500,MATCH(SMALL(IF((Calc!$K$8:$K$500=Kanban!D$11)*(Calc!$C$8:$C$500=Kanban!$C$7)*(Calc!$Y$8:$Y$500&gt;0),Calc!$Y$8:$Y$500,99999),$B242),Calc!$Y$8:$Y$500,0)),Calc!$D$8:$D$500,0)) ),"-")</f>
        <v>-</v>
      </c>
      <c r="G244" s="53" t="str">
        <f t="array" ref="G244">IFERROR(IF(Kanban!$C$7="All",INDEX(Calc!$F$8:$F$500,MATCH(INDEX(Calc!$D$8:$D$500,MATCH(SMALL(IF((Calc!$K$8:$K$500=Kanban!E$11)*(Calc!$Y$8:$Y$500&gt;0),Calc!$Y$8:$Y$500,99999),$B242),Calc!$Y$8:$Y$500,0)),Calc!$D$8:$D$500,0)),
INDEX(Calc!$F$8:$F$500,MATCH(INDEX(Calc!$D$8:$D$500,MATCH(SMALL(IF((Calc!$K$8:$K$500=Kanban!E$11)*(Calc!$C$8:$C$500=Kanban!$C$7)*(Calc!$Y$8:$Y$500&gt;0),Calc!$Y$8:$Y$500,99999),$B242),Calc!$Y$8:$Y$500,0)),Calc!$D$8:$D$500,0)) ),"-")</f>
        <v>-</v>
      </c>
      <c r="H244" s="53" t="str">
        <f t="array" ref="H244">IFERROR(IF(Kanban!$C$7="All",INDEX(Calc!$F$8:$F$500,MATCH(INDEX(Calc!$D$8:$D$500,MATCH(SMALL(IF((Calc!$K$8:$K$500=Kanban!F$11)*(Calc!$Y$8:$Y$500&gt;0),Calc!$Y$8:$Y$500,99999),$B242),Calc!$Y$8:$Y$500,0)),Calc!$D$8:$D$500,0)),
INDEX(Calc!$F$8:$F$500,MATCH(INDEX(Calc!$D$8:$D$500,MATCH(SMALL(IF((Calc!$K$8:$K$500=Kanban!F$11)*(Calc!$C$8:$C$500=Kanban!$C$7)*(Calc!$Y$8:$Y$500&gt;0),Calc!$Y$8:$Y$500,99999),$B242),Calc!$Y$8:$Y$500,0)),Calc!$D$8:$D$500,0)) ),"-")</f>
        <v>-</v>
      </c>
      <c r="I244" s="53" t="str">
        <f t="array" ref="I244">IFERROR(IF(Kanban!$C$7="All",INDEX(Calc!$F$8:$F$500,MATCH(INDEX(Calc!$D$8:$D$500,MATCH(SMALL(IF((Calc!$K$8:$K$500=Kanban!G$11)*(Calc!$Y$8:$Y$500&gt;0),Calc!$Y$8:$Y$500,99999),$B242),Calc!$Y$8:$Y$500,0)),Calc!$D$8:$D$500,0)),
INDEX(Calc!$F$8:$F$500,MATCH(INDEX(Calc!$D$8:$D$500,MATCH(SMALL(IF((Calc!$K$8:$K$500=Kanban!G$11)*(Calc!$C$8:$C$500=Kanban!$C$7)*(Calc!$Y$8:$Y$500&gt;0),Calc!$Y$8:$Y$500,99999),$B242),Calc!$Y$8:$Y$500,0)),Calc!$D$8:$D$500,0)) ),"-")</f>
        <v>-</v>
      </c>
      <c r="J244" s="53" t="str">
        <f t="array" ref="J244">IFERROR(IF(Kanban!$C$7="All",INDEX(Calc!$F$8:$F$500,MATCH(INDEX(Calc!$D$8:$D$500,MATCH(SMALL(IF((Calc!$K$8:$K$500=Kanban!H$11)*(Calc!$Y$8:$Y$500&gt;0),Calc!$Y$8:$Y$500,99999),$B242),Calc!$Y$8:$Y$500,0)),Calc!$D$8:$D$500,0)),
INDEX(Calc!$F$8:$F$500,MATCH(INDEX(Calc!$D$8:$D$500,MATCH(SMALL(IF((Calc!$K$8:$K$500=Kanban!H$11)*(Calc!$C$8:$C$500=Kanban!$C$7)*(Calc!$Y$8:$Y$500&gt;0),Calc!$Y$8:$Y$500,99999),$B242),Calc!$Y$8:$Y$500,0)),Calc!$D$8:$D$500,0)) ),"-")</f>
        <v>-</v>
      </c>
    </row>
    <row r="245" spans="2:10" x14ac:dyDescent="0.35">
      <c r="B245" s="54">
        <f t="shared" si="133"/>
        <v>81</v>
      </c>
      <c r="C245" s="18"/>
      <c r="D245" s="18"/>
      <c r="E245" s="52" t="str">
        <f t="shared" ref="E245:J245" si="164">IFERROR(E247,"-")</f>
        <v>-</v>
      </c>
      <c r="F245" s="52" t="str">
        <f t="shared" si="164"/>
        <v>-</v>
      </c>
      <c r="G245" s="52" t="str">
        <f t="shared" si="164"/>
        <v>-</v>
      </c>
      <c r="H245" s="52" t="str">
        <f t="shared" si="164"/>
        <v>-</v>
      </c>
      <c r="I245" s="52" t="str">
        <f t="shared" si="164"/>
        <v>-</v>
      </c>
      <c r="J245" s="52" t="str">
        <f t="shared" si="164"/>
        <v>-</v>
      </c>
    </row>
    <row r="246" spans="2:10" x14ac:dyDescent="0.35">
      <c r="B246" s="54">
        <f t="shared" si="133"/>
        <v>81</v>
      </c>
      <c r="C246" s="18"/>
      <c r="D246" s="18"/>
      <c r="E246" s="52" t="str">
        <f t="shared" ref="E246:J246" si="165">IFERROR(E247,"-")</f>
        <v>-</v>
      </c>
      <c r="F246" s="52" t="str">
        <f t="shared" si="165"/>
        <v>-</v>
      </c>
      <c r="G246" s="52" t="str">
        <f t="shared" si="165"/>
        <v>-</v>
      </c>
      <c r="H246" s="52" t="str">
        <f t="shared" si="165"/>
        <v>-</v>
      </c>
      <c r="I246" s="52" t="str">
        <f t="shared" si="165"/>
        <v>-</v>
      </c>
      <c r="J246" s="52" t="str">
        <f t="shared" si="165"/>
        <v>-</v>
      </c>
    </row>
    <row r="247" spans="2:10" x14ac:dyDescent="0.35">
      <c r="B247" s="54">
        <f t="shared" si="133"/>
        <v>81</v>
      </c>
      <c r="C247" s="18"/>
      <c r="D247" s="18"/>
      <c r="E247" s="53" t="str">
        <f t="array" ref="E247">IFERROR(IF(Kanban!$C$7="All",INDEX(Calc!$F$8:$F$500,MATCH(INDEX(Calc!$D$8:$D$500,MATCH(SMALL(IF((Calc!$K$8:$K$500=Kanban!C$11)*(Calc!$Y$8:$Y$500&gt;0),Calc!$Y$8:$Y$500,99999),$B245),Calc!$Y$8:$Y$500,0)),Calc!$D$8:$D$500,0)),
INDEX(Calc!$F$8:$F$500,MATCH(INDEX(Calc!$D$8:$D$500,MATCH(SMALL(IF((Calc!$K$8:$K$500=Kanban!C$11)*(Calc!$C$8:$C$500=Kanban!$C$7)*(Calc!$Y$8:$Y$500&gt;0),Calc!$Y$8:$Y$500,99999),$B245),Calc!$Y$8:$Y$500,0)),Calc!$D$8:$D$500,0)) ),"-")</f>
        <v>-</v>
      </c>
      <c r="F247" s="53" t="str">
        <f t="array" ref="F247">IFERROR(IF(Kanban!$C$7="All",INDEX(Calc!$F$8:$F$500,MATCH(INDEX(Calc!$D$8:$D$500,MATCH(SMALL(IF((Calc!$K$8:$K$500=Kanban!D$11)*(Calc!$Y$8:$Y$500&gt;0),Calc!$Y$8:$Y$500,99999),$B245),Calc!$Y$8:$Y$500,0)),Calc!$D$8:$D$500,0)),
INDEX(Calc!$F$8:$F$500,MATCH(INDEX(Calc!$D$8:$D$500,MATCH(SMALL(IF((Calc!$K$8:$K$500=Kanban!D$11)*(Calc!$C$8:$C$500=Kanban!$C$7)*(Calc!$Y$8:$Y$500&gt;0),Calc!$Y$8:$Y$500,99999),$B245),Calc!$Y$8:$Y$500,0)),Calc!$D$8:$D$500,0)) ),"-")</f>
        <v>-</v>
      </c>
      <c r="G247" s="53" t="str">
        <f t="array" ref="G247">IFERROR(IF(Kanban!$C$7="All",INDEX(Calc!$F$8:$F$500,MATCH(INDEX(Calc!$D$8:$D$500,MATCH(SMALL(IF((Calc!$K$8:$K$500=Kanban!E$11)*(Calc!$Y$8:$Y$500&gt;0),Calc!$Y$8:$Y$500,99999),$B245),Calc!$Y$8:$Y$500,0)),Calc!$D$8:$D$500,0)),
INDEX(Calc!$F$8:$F$500,MATCH(INDEX(Calc!$D$8:$D$500,MATCH(SMALL(IF((Calc!$K$8:$K$500=Kanban!E$11)*(Calc!$C$8:$C$500=Kanban!$C$7)*(Calc!$Y$8:$Y$500&gt;0),Calc!$Y$8:$Y$500,99999),$B245),Calc!$Y$8:$Y$500,0)),Calc!$D$8:$D$500,0)) ),"-")</f>
        <v>-</v>
      </c>
      <c r="H247" s="53" t="str">
        <f t="array" ref="H247">IFERROR(IF(Kanban!$C$7="All",INDEX(Calc!$F$8:$F$500,MATCH(INDEX(Calc!$D$8:$D$500,MATCH(SMALL(IF((Calc!$K$8:$K$500=Kanban!F$11)*(Calc!$Y$8:$Y$500&gt;0),Calc!$Y$8:$Y$500,99999),$B245),Calc!$Y$8:$Y$500,0)),Calc!$D$8:$D$500,0)),
INDEX(Calc!$F$8:$F$500,MATCH(INDEX(Calc!$D$8:$D$500,MATCH(SMALL(IF((Calc!$K$8:$K$500=Kanban!F$11)*(Calc!$C$8:$C$500=Kanban!$C$7)*(Calc!$Y$8:$Y$500&gt;0),Calc!$Y$8:$Y$500,99999),$B245),Calc!$Y$8:$Y$500,0)),Calc!$D$8:$D$500,0)) ),"-")</f>
        <v>-</v>
      </c>
      <c r="I247" s="53" t="str">
        <f t="array" ref="I247">IFERROR(IF(Kanban!$C$7="All",INDEX(Calc!$F$8:$F$500,MATCH(INDEX(Calc!$D$8:$D$500,MATCH(SMALL(IF((Calc!$K$8:$K$500=Kanban!G$11)*(Calc!$Y$8:$Y$500&gt;0),Calc!$Y$8:$Y$500,99999),$B245),Calc!$Y$8:$Y$500,0)),Calc!$D$8:$D$500,0)),
INDEX(Calc!$F$8:$F$500,MATCH(INDEX(Calc!$D$8:$D$500,MATCH(SMALL(IF((Calc!$K$8:$K$500=Kanban!G$11)*(Calc!$C$8:$C$500=Kanban!$C$7)*(Calc!$Y$8:$Y$500&gt;0),Calc!$Y$8:$Y$500,99999),$B245),Calc!$Y$8:$Y$500,0)),Calc!$D$8:$D$500,0)) ),"-")</f>
        <v>-</v>
      </c>
      <c r="J247" s="53" t="str">
        <f t="array" ref="J247">IFERROR(IF(Kanban!$C$7="All",INDEX(Calc!$F$8:$F$500,MATCH(INDEX(Calc!$D$8:$D$500,MATCH(SMALL(IF((Calc!$K$8:$K$500=Kanban!H$11)*(Calc!$Y$8:$Y$500&gt;0),Calc!$Y$8:$Y$500,99999),$B245),Calc!$Y$8:$Y$500,0)),Calc!$D$8:$D$500,0)),
INDEX(Calc!$F$8:$F$500,MATCH(INDEX(Calc!$D$8:$D$500,MATCH(SMALL(IF((Calc!$K$8:$K$500=Kanban!H$11)*(Calc!$C$8:$C$500=Kanban!$C$7)*(Calc!$Y$8:$Y$500&gt;0),Calc!$Y$8:$Y$500,99999),$B245),Calc!$Y$8:$Y$500,0)),Calc!$D$8:$D$500,0)) ),"-")</f>
        <v>-</v>
      </c>
    </row>
    <row r="248" spans="2:10" x14ac:dyDescent="0.35">
      <c r="B248" s="54">
        <f t="shared" si="133"/>
        <v>82</v>
      </c>
      <c r="C248" s="18"/>
      <c r="D248" s="18"/>
      <c r="E248" s="52" t="str">
        <f t="shared" ref="E248:J248" si="166">IFERROR(E250,"-")</f>
        <v>-</v>
      </c>
      <c r="F248" s="52" t="str">
        <f t="shared" si="166"/>
        <v>-</v>
      </c>
      <c r="G248" s="52" t="str">
        <f t="shared" si="166"/>
        <v>-</v>
      </c>
      <c r="H248" s="52" t="str">
        <f t="shared" si="166"/>
        <v>-</v>
      </c>
      <c r="I248" s="52" t="str">
        <f t="shared" si="166"/>
        <v>-</v>
      </c>
      <c r="J248" s="52" t="str">
        <f t="shared" si="166"/>
        <v>-</v>
      </c>
    </row>
    <row r="249" spans="2:10" x14ac:dyDescent="0.35">
      <c r="B249" s="54">
        <f t="shared" si="133"/>
        <v>82</v>
      </c>
      <c r="C249" s="18"/>
      <c r="D249" s="18"/>
      <c r="E249" s="52" t="str">
        <f t="shared" ref="E249:J249" si="167">IFERROR(E250,"-")</f>
        <v>-</v>
      </c>
      <c r="F249" s="52" t="str">
        <f t="shared" si="167"/>
        <v>-</v>
      </c>
      <c r="G249" s="52" t="str">
        <f t="shared" si="167"/>
        <v>-</v>
      </c>
      <c r="H249" s="52" t="str">
        <f t="shared" si="167"/>
        <v>-</v>
      </c>
      <c r="I249" s="52" t="str">
        <f t="shared" si="167"/>
        <v>-</v>
      </c>
      <c r="J249" s="52" t="str">
        <f t="shared" si="167"/>
        <v>-</v>
      </c>
    </row>
    <row r="250" spans="2:10" x14ac:dyDescent="0.35">
      <c r="B250" s="54">
        <f t="shared" si="133"/>
        <v>82</v>
      </c>
      <c r="C250" s="18"/>
      <c r="D250" s="18"/>
      <c r="E250" s="53" t="str">
        <f t="array" ref="E250">IFERROR(IF(Kanban!$C$7="All",INDEX(Calc!$F$8:$F$500,MATCH(INDEX(Calc!$D$8:$D$500,MATCH(SMALL(IF((Calc!$K$8:$K$500=Kanban!C$11)*(Calc!$Y$8:$Y$500&gt;0),Calc!$Y$8:$Y$500,99999),$B248),Calc!$Y$8:$Y$500,0)),Calc!$D$8:$D$500,0)),
INDEX(Calc!$F$8:$F$500,MATCH(INDEX(Calc!$D$8:$D$500,MATCH(SMALL(IF((Calc!$K$8:$K$500=Kanban!C$11)*(Calc!$C$8:$C$500=Kanban!$C$7)*(Calc!$Y$8:$Y$500&gt;0),Calc!$Y$8:$Y$500,99999),$B248),Calc!$Y$8:$Y$500,0)),Calc!$D$8:$D$500,0)) ),"-")</f>
        <v>-</v>
      </c>
      <c r="F250" s="53" t="str">
        <f t="array" ref="F250">IFERROR(IF(Kanban!$C$7="All",INDEX(Calc!$F$8:$F$500,MATCH(INDEX(Calc!$D$8:$D$500,MATCH(SMALL(IF((Calc!$K$8:$K$500=Kanban!D$11)*(Calc!$Y$8:$Y$500&gt;0),Calc!$Y$8:$Y$500,99999),$B248),Calc!$Y$8:$Y$500,0)),Calc!$D$8:$D$500,0)),
INDEX(Calc!$F$8:$F$500,MATCH(INDEX(Calc!$D$8:$D$500,MATCH(SMALL(IF((Calc!$K$8:$K$500=Kanban!D$11)*(Calc!$C$8:$C$500=Kanban!$C$7)*(Calc!$Y$8:$Y$500&gt;0),Calc!$Y$8:$Y$500,99999),$B248),Calc!$Y$8:$Y$500,0)),Calc!$D$8:$D$500,0)) ),"-")</f>
        <v>-</v>
      </c>
      <c r="G250" s="53" t="str">
        <f t="array" ref="G250">IFERROR(IF(Kanban!$C$7="All",INDEX(Calc!$F$8:$F$500,MATCH(INDEX(Calc!$D$8:$D$500,MATCH(SMALL(IF((Calc!$K$8:$K$500=Kanban!E$11)*(Calc!$Y$8:$Y$500&gt;0),Calc!$Y$8:$Y$500,99999),$B248),Calc!$Y$8:$Y$500,0)),Calc!$D$8:$D$500,0)),
INDEX(Calc!$F$8:$F$500,MATCH(INDEX(Calc!$D$8:$D$500,MATCH(SMALL(IF((Calc!$K$8:$K$500=Kanban!E$11)*(Calc!$C$8:$C$500=Kanban!$C$7)*(Calc!$Y$8:$Y$500&gt;0),Calc!$Y$8:$Y$500,99999),$B248),Calc!$Y$8:$Y$500,0)),Calc!$D$8:$D$500,0)) ),"-")</f>
        <v>-</v>
      </c>
      <c r="H250" s="53" t="str">
        <f t="array" ref="H250">IFERROR(IF(Kanban!$C$7="All",INDEX(Calc!$F$8:$F$500,MATCH(INDEX(Calc!$D$8:$D$500,MATCH(SMALL(IF((Calc!$K$8:$K$500=Kanban!F$11)*(Calc!$Y$8:$Y$500&gt;0),Calc!$Y$8:$Y$500,99999),$B248),Calc!$Y$8:$Y$500,0)),Calc!$D$8:$D$500,0)),
INDEX(Calc!$F$8:$F$500,MATCH(INDEX(Calc!$D$8:$D$500,MATCH(SMALL(IF((Calc!$K$8:$K$500=Kanban!F$11)*(Calc!$C$8:$C$500=Kanban!$C$7)*(Calc!$Y$8:$Y$500&gt;0),Calc!$Y$8:$Y$500,99999),$B248),Calc!$Y$8:$Y$500,0)),Calc!$D$8:$D$500,0)) ),"-")</f>
        <v>-</v>
      </c>
      <c r="I250" s="53" t="str">
        <f t="array" ref="I250">IFERROR(IF(Kanban!$C$7="All",INDEX(Calc!$F$8:$F$500,MATCH(INDEX(Calc!$D$8:$D$500,MATCH(SMALL(IF((Calc!$K$8:$K$500=Kanban!G$11)*(Calc!$Y$8:$Y$500&gt;0),Calc!$Y$8:$Y$500,99999),$B248),Calc!$Y$8:$Y$500,0)),Calc!$D$8:$D$500,0)),
INDEX(Calc!$F$8:$F$500,MATCH(INDEX(Calc!$D$8:$D$500,MATCH(SMALL(IF((Calc!$K$8:$K$500=Kanban!G$11)*(Calc!$C$8:$C$500=Kanban!$C$7)*(Calc!$Y$8:$Y$500&gt;0),Calc!$Y$8:$Y$500,99999),$B248),Calc!$Y$8:$Y$500,0)),Calc!$D$8:$D$500,0)) ),"-")</f>
        <v>-</v>
      </c>
      <c r="J250" s="53" t="str">
        <f t="array" ref="J250">IFERROR(IF(Kanban!$C$7="All",INDEX(Calc!$F$8:$F$500,MATCH(INDEX(Calc!$D$8:$D$500,MATCH(SMALL(IF((Calc!$K$8:$K$500=Kanban!H$11)*(Calc!$Y$8:$Y$500&gt;0),Calc!$Y$8:$Y$500,99999),$B248),Calc!$Y$8:$Y$500,0)),Calc!$D$8:$D$500,0)),
INDEX(Calc!$F$8:$F$500,MATCH(INDEX(Calc!$D$8:$D$500,MATCH(SMALL(IF((Calc!$K$8:$K$500=Kanban!H$11)*(Calc!$C$8:$C$500=Kanban!$C$7)*(Calc!$Y$8:$Y$500&gt;0),Calc!$Y$8:$Y$500,99999),$B248),Calc!$Y$8:$Y$500,0)),Calc!$D$8:$D$500,0)) ),"-")</f>
        <v>-</v>
      </c>
    </row>
    <row r="251" spans="2:10" x14ac:dyDescent="0.35">
      <c r="B251" s="54">
        <f t="shared" si="133"/>
        <v>83</v>
      </c>
      <c r="C251" s="18"/>
      <c r="D251" s="18"/>
      <c r="E251" s="52" t="str">
        <f t="shared" ref="E251:J251" si="168">IFERROR(E253,"-")</f>
        <v>-</v>
      </c>
      <c r="F251" s="52" t="str">
        <f t="shared" si="168"/>
        <v>-</v>
      </c>
      <c r="G251" s="52" t="str">
        <f t="shared" si="168"/>
        <v>-</v>
      </c>
      <c r="H251" s="52" t="str">
        <f t="shared" si="168"/>
        <v>-</v>
      </c>
      <c r="I251" s="52" t="str">
        <f t="shared" si="168"/>
        <v>-</v>
      </c>
      <c r="J251" s="52" t="str">
        <f t="shared" si="168"/>
        <v>-</v>
      </c>
    </row>
    <row r="252" spans="2:10" x14ac:dyDescent="0.35">
      <c r="B252" s="54">
        <f t="shared" si="133"/>
        <v>83</v>
      </c>
      <c r="C252" s="18"/>
      <c r="D252" s="18"/>
      <c r="E252" s="52" t="str">
        <f t="shared" ref="E252:J252" si="169">IFERROR(E253,"-")</f>
        <v>-</v>
      </c>
      <c r="F252" s="52" t="str">
        <f t="shared" si="169"/>
        <v>-</v>
      </c>
      <c r="G252" s="52" t="str">
        <f t="shared" si="169"/>
        <v>-</v>
      </c>
      <c r="H252" s="52" t="str">
        <f t="shared" si="169"/>
        <v>-</v>
      </c>
      <c r="I252" s="52" t="str">
        <f t="shared" si="169"/>
        <v>-</v>
      </c>
      <c r="J252" s="52" t="str">
        <f t="shared" si="169"/>
        <v>-</v>
      </c>
    </row>
    <row r="253" spans="2:10" x14ac:dyDescent="0.35">
      <c r="B253" s="54">
        <f t="shared" si="133"/>
        <v>83</v>
      </c>
      <c r="C253" s="18"/>
      <c r="D253" s="18"/>
      <c r="E253" s="53" t="str">
        <f t="array" ref="E253">IFERROR(IF(Kanban!$C$7="All",INDEX(Calc!$F$8:$F$500,MATCH(INDEX(Calc!$D$8:$D$500,MATCH(SMALL(IF((Calc!$K$8:$K$500=Kanban!C$11)*(Calc!$Y$8:$Y$500&gt;0),Calc!$Y$8:$Y$500,99999),$B251),Calc!$Y$8:$Y$500,0)),Calc!$D$8:$D$500,0)),
INDEX(Calc!$F$8:$F$500,MATCH(INDEX(Calc!$D$8:$D$500,MATCH(SMALL(IF((Calc!$K$8:$K$500=Kanban!C$11)*(Calc!$C$8:$C$500=Kanban!$C$7)*(Calc!$Y$8:$Y$500&gt;0),Calc!$Y$8:$Y$500,99999),$B251),Calc!$Y$8:$Y$500,0)),Calc!$D$8:$D$500,0)) ),"-")</f>
        <v>-</v>
      </c>
      <c r="F253" s="53" t="str">
        <f t="array" ref="F253">IFERROR(IF(Kanban!$C$7="All",INDEX(Calc!$F$8:$F$500,MATCH(INDEX(Calc!$D$8:$D$500,MATCH(SMALL(IF((Calc!$K$8:$K$500=Kanban!D$11)*(Calc!$Y$8:$Y$500&gt;0),Calc!$Y$8:$Y$500,99999),$B251),Calc!$Y$8:$Y$500,0)),Calc!$D$8:$D$500,0)),
INDEX(Calc!$F$8:$F$500,MATCH(INDEX(Calc!$D$8:$D$500,MATCH(SMALL(IF((Calc!$K$8:$K$500=Kanban!D$11)*(Calc!$C$8:$C$500=Kanban!$C$7)*(Calc!$Y$8:$Y$500&gt;0),Calc!$Y$8:$Y$500,99999),$B251),Calc!$Y$8:$Y$500,0)),Calc!$D$8:$D$500,0)) ),"-")</f>
        <v>-</v>
      </c>
      <c r="G253" s="53" t="str">
        <f t="array" ref="G253">IFERROR(IF(Kanban!$C$7="All",INDEX(Calc!$F$8:$F$500,MATCH(INDEX(Calc!$D$8:$D$500,MATCH(SMALL(IF((Calc!$K$8:$K$500=Kanban!E$11)*(Calc!$Y$8:$Y$500&gt;0),Calc!$Y$8:$Y$500,99999),$B251),Calc!$Y$8:$Y$500,0)),Calc!$D$8:$D$500,0)),
INDEX(Calc!$F$8:$F$500,MATCH(INDEX(Calc!$D$8:$D$500,MATCH(SMALL(IF((Calc!$K$8:$K$500=Kanban!E$11)*(Calc!$C$8:$C$500=Kanban!$C$7)*(Calc!$Y$8:$Y$500&gt;0),Calc!$Y$8:$Y$500,99999),$B251),Calc!$Y$8:$Y$500,0)),Calc!$D$8:$D$500,0)) ),"-")</f>
        <v>-</v>
      </c>
      <c r="H253" s="53" t="str">
        <f t="array" ref="H253">IFERROR(IF(Kanban!$C$7="All",INDEX(Calc!$F$8:$F$500,MATCH(INDEX(Calc!$D$8:$D$500,MATCH(SMALL(IF((Calc!$K$8:$K$500=Kanban!F$11)*(Calc!$Y$8:$Y$500&gt;0),Calc!$Y$8:$Y$500,99999),$B251),Calc!$Y$8:$Y$500,0)),Calc!$D$8:$D$500,0)),
INDEX(Calc!$F$8:$F$500,MATCH(INDEX(Calc!$D$8:$D$500,MATCH(SMALL(IF((Calc!$K$8:$K$500=Kanban!F$11)*(Calc!$C$8:$C$500=Kanban!$C$7)*(Calc!$Y$8:$Y$500&gt;0),Calc!$Y$8:$Y$500,99999),$B251),Calc!$Y$8:$Y$500,0)),Calc!$D$8:$D$500,0)) ),"-")</f>
        <v>-</v>
      </c>
      <c r="I253" s="53" t="str">
        <f t="array" ref="I253">IFERROR(IF(Kanban!$C$7="All",INDEX(Calc!$F$8:$F$500,MATCH(INDEX(Calc!$D$8:$D$500,MATCH(SMALL(IF((Calc!$K$8:$K$500=Kanban!G$11)*(Calc!$Y$8:$Y$500&gt;0),Calc!$Y$8:$Y$500,99999),$B251),Calc!$Y$8:$Y$500,0)),Calc!$D$8:$D$500,0)),
INDEX(Calc!$F$8:$F$500,MATCH(INDEX(Calc!$D$8:$D$500,MATCH(SMALL(IF((Calc!$K$8:$K$500=Kanban!G$11)*(Calc!$C$8:$C$500=Kanban!$C$7)*(Calc!$Y$8:$Y$500&gt;0),Calc!$Y$8:$Y$500,99999),$B251),Calc!$Y$8:$Y$500,0)),Calc!$D$8:$D$500,0)) ),"-")</f>
        <v>-</v>
      </c>
      <c r="J253" s="53" t="str">
        <f t="array" ref="J253">IFERROR(IF(Kanban!$C$7="All",INDEX(Calc!$F$8:$F$500,MATCH(INDEX(Calc!$D$8:$D$500,MATCH(SMALL(IF((Calc!$K$8:$K$500=Kanban!H$11)*(Calc!$Y$8:$Y$500&gt;0),Calc!$Y$8:$Y$500,99999),$B251),Calc!$Y$8:$Y$500,0)),Calc!$D$8:$D$500,0)),
INDEX(Calc!$F$8:$F$500,MATCH(INDEX(Calc!$D$8:$D$500,MATCH(SMALL(IF((Calc!$K$8:$K$500=Kanban!H$11)*(Calc!$C$8:$C$500=Kanban!$C$7)*(Calc!$Y$8:$Y$500&gt;0),Calc!$Y$8:$Y$500,99999),$B251),Calc!$Y$8:$Y$500,0)),Calc!$D$8:$D$500,0)) ),"-")</f>
        <v>-</v>
      </c>
    </row>
    <row r="254" spans="2:10" x14ac:dyDescent="0.35">
      <c r="B254" s="54">
        <f t="shared" si="133"/>
        <v>84</v>
      </c>
      <c r="C254" s="18"/>
      <c r="D254" s="18"/>
      <c r="E254" s="52" t="str">
        <f t="shared" ref="E254:J254" si="170">IFERROR(E256,"-")</f>
        <v>-</v>
      </c>
      <c r="F254" s="52" t="str">
        <f t="shared" si="170"/>
        <v>-</v>
      </c>
      <c r="G254" s="52" t="str">
        <f t="shared" si="170"/>
        <v>-</v>
      </c>
      <c r="H254" s="52" t="str">
        <f t="shared" si="170"/>
        <v>-</v>
      </c>
      <c r="I254" s="52" t="str">
        <f t="shared" si="170"/>
        <v>-</v>
      </c>
      <c r="J254" s="52" t="str">
        <f t="shared" si="170"/>
        <v>-</v>
      </c>
    </row>
    <row r="255" spans="2:10" x14ac:dyDescent="0.35">
      <c r="B255" s="54">
        <f t="shared" si="133"/>
        <v>84</v>
      </c>
      <c r="C255" s="18"/>
      <c r="D255" s="18"/>
      <c r="E255" s="52" t="str">
        <f t="shared" ref="E255:J255" si="171">IFERROR(E256,"-")</f>
        <v>-</v>
      </c>
      <c r="F255" s="52" t="str">
        <f t="shared" si="171"/>
        <v>-</v>
      </c>
      <c r="G255" s="52" t="str">
        <f t="shared" si="171"/>
        <v>-</v>
      </c>
      <c r="H255" s="52" t="str">
        <f t="shared" si="171"/>
        <v>-</v>
      </c>
      <c r="I255" s="52" t="str">
        <f t="shared" si="171"/>
        <v>-</v>
      </c>
      <c r="J255" s="52" t="str">
        <f t="shared" si="171"/>
        <v>-</v>
      </c>
    </row>
    <row r="256" spans="2:10" x14ac:dyDescent="0.35">
      <c r="B256" s="54">
        <f t="shared" si="133"/>
        <v>84</v>
      </c>
      <c r="C256" s="18"/>
      <c r="D256" s="18"/>
      <c r="E256" s="53" t="str">
        <f t="array" ref="E256">IFERROR(IF(Kanban!$C$7="All",INDEX(Calc!$F$8:$F$500,MATCH(INDEX(Calc!$D$8:$D$500,MATCH(SMALL(IF((Calc!$K$8:$K$500=Kanban!C$11)*(Calc!$Y$8:$Y$500&gt;0),Calc!$Y$8:$Y$500,99999),$B254),Calc!$Y$8:$Y$500,0)),Calc!$D$8:$D$500,0)),
INDEX(Calc!$F$8:$F$500,MATCH(INDEX(Calc!$D$8:$D$500,MATCH(SMALL(IF((Calc!$K$8:$K$500=Kanban!C$11)*(Calc!$C$8:$C$500=Kanban!$C$7)*(Calc!$Y$8:$Y$500&gt;0),Calc!$Y$8:$Y$500,99999),$B254),Calc!$Y$8:$Y$500,0)),Calc!$D$8:$D$500,0)) ),"-")</f>
        <v>-</v>
      </c>
      <c r="F256" s="53" t="str">
        <f t="array" ref="F256">IFERROR(IF(Kanban!$C$7="All",INDEX(Calc!$F$8:$F$500,MATCH(INDEX(Calc!$D$8:$D$500,MATCH(SMALL(IF((Calc!$K$8:$K$500=Kanban!D$11)*(Calc!$Y$8:$Y$500&gt;0),Calc!$Y$8:$Y$500,99999),$B254),Calc!$Y$8:$Y$500,0)),Calc!$D$8:$D$500,0)),
INDEX(Calc!$F$8:$F$500,MATCH(INDEX(Calc!$D$8:$D$500,MATCH(SMALL(IF((Calc!$K$8:$K$500=Kanban!D$11)*(Calc!$C$8:$C$500=Kanban!$C$7)*(Calc!$Y$8:$Y$500&gt;0),Calc!$Y$8:$Y$500,99999),$B254),Calc!$Y$8:$Y$500,0)),Calc!$D$8:$D$500,0)) ),"-")</f>
        <v>-</v>
      </c>
      <c r="G256" s="53" t="str">
        <f t="array" ref="G256">IFERROR(IF(Kanban!$C$7="All",INDEX(Calc!$F$8:$F$500,MATCH(INDEX(Calc!$D$8:$D$500,MATCH(SMALL(IF((Calc!$K$8:$K$500=Kanban!E$11)*(Calc!$Y$8:$Y$500&gt;0),Calc!$Y$8:$Y$500,99999),$B254),Calc!$Y$8:$Y$500,0)),Calc!$D$8:$D$500,0)),
INDEX(Calc!$F$8:$F$500,MATCH(INDEX(Calc!$D$8:$D$500,MATCH(SMALL(IF((Calc!$K$8:$K$500=Kanban!E$11)*(Calc!$C$8:$C$500=Kanban!$C$7)*(Calc!$Y$8:$Y$500&gt;0),Calc!$Y$8:$Y$500,99999),$B254),Calc!$Y$8:$Y$500,0)),Calc!$D$8:$D$500,0)) ),"-")</f>
        <v>-</v>
      </c>
      <c r="H256" s="53" t="str">
        <f t="array" ref="H256">IFERROR(IF(Kanban!$C$7="All",INDEX(Calc!$F$8:$F$500,MATCH(INDEX(Calc!$D$8:$D$500,MATCH(SMALL(IF((Calc!$K$8:$K$500=Kanban!F$11)*(Calc!$Y$8:$Y$500&gt;0),Calc!$Y$8:$Y$500,99999),$B254),Calc!$Y$8:$Y$500,0)),Calc!$D$8:$D$500,0)),
INDEX(Calc!$F$8:$F$500,MATCH(INDEX(Calc!$D$8:$D$500,MATCH(SMALL(IF((Calc!$K$8:$K$500=Kanban!F$11)*(Calc!$C$8:$C$500=Kanban!$C$7)*(Calc!$Y$8:$Y$500&gt;0),Calc!$Y$8:$Y$500,99999),$B254),Calc!$Y$8:$Y$500,0)),Calc!$D$8:$D$500,0)) ),"-")</f>
        <v>-</v>
      </c>
      <c r="I256" s="53" t="str">
        <f t="array" ref="I256">IFERROR(IF(Kanban!$C$7="All",INDEX(Calc!$F$8:$F$500,MATCH(INDEX(Calc!$D$8:$D$500,MATCH(SMALL(IF((Calc!$K$8:$K$500=Kanban!G$11)*(Calc!$Y$8:$Y$500&gt;0),Calc!$Y$8:$Y$500,99999),$B254),Calc!$Y$8:$Y$500,0)),Calc!$D$8:$D$500,0)),
INDEX(Calc!$F$8:$F$500,MATCH(INDEX(Calc!$D$8:$D$500,MATCH(SMALL(IF((Calc!$K$8:$K$500=Kanban!G$11)*(Calc!$C$8:$C$500=Kanban!$C$7)*(Calc!$Y$8:$Y$500&gt;0),Calc!$Y$8:$Y$500,99999),$B254),Calc!$Y$8:$Y$500,0)),Calc!$D$8:$D$500,0)) ),"-")</f>
        <v>-</v>
      </c>
      <c r="J256" s="53" t="str">
        <f t="array" ref="J256">IFERROR(IF(Kanban!$C$7="All",INDEX(Calc!$F$8:$F$500,MATCH(INDEX(Calc!$D$8:$D$500,MATCH(SMALL(IF((Calc!$K$8:$K$500=Kanban!H$11)*(Calc!$Y$8:$Y$500&gt;0),Calc!$Y$8:$Y$500,99999),$B254),Calc!$Y$8:$Y$500,0)),Calc!$D$8:$D$500,0)),
INDEX(Calc!$F$8:$F$500,MATCH(INDEX(Calc!$D$8:$D$500,MATCH(SMALL(IF((Calc!$K$8:$K$500=Kanban!H$11)*(Calc!$C$8:$C$500=Kanban!$C$7)*(Calc!$Y$8:$Y$500&gt;0),Calc!$Y$8:$Y$500,99999),$B254),Calc!$Y$8:$Y$500,0)),Calc!$D$8:$D$500,0)) ),"-")</f>
        <v>-</v>
      </c>
    </row>
    <row r="257" spans="2:10" x14ac:dyDescent="0.35">
      <c r="B257" s="54">
        <f t="shared" si="133"/>
        <v>85</v>
      </c>
      <c r="C257" s="18"/>
      <c r="D257" s="18"/>
      <c r="E257" s="52" t="str">
        <f t="shared" ref="E257:J257" si="172">IFERROR(E259,"-")</f>
        <v>-</v>
      </c>
      <c r="F257" s="52" t="str">
        <f t="shared" si="172"/>
        <v>-</v>
      </c>
      <c r="G257" s="52" t="str">
        <f t="shared" si="172"/>
        <v>-</v>
      </c>
      <c r="H257" s="52" t="str">
        <f t="shared" si="172"/>
        <v>-</v>
      </c>
      <c r="I257" s="52" t="str">
        <f t="shared" si="172"/>
        <v>-</v>
      </c>
      <c r="J257" s="52" t="str">
        <f t="shared" si="172"/>
        <v>-</v>
      </c>
    </row>
    <row r="258" spans="2:10" x14ac:dyDescent="0.35">
      <c r="B258" s="54">
        <f t="shared" si="133"/>
        <v>85</v>
      </c>
      <c r="C258" s="18"/>
      <c r="D258" s="18"/>
      <c r="E258" s="52" t="str">
        <f t="shared" ref="E258:J258" si="173">IFERROR(E259,"-")</f>
        <v>-</v>
      </c>
      <c r="F258" s="52" t="str">
        <f t="shared" si="173"/>
        <v>-</v>
      </c>
      <c r="G258" s="52" t="str">
        <f t="shared" si="173"/>
        <v>-</v>
      </c>
      <c r="H258" s="52" t="str">
        <f t="shared" si="173"/>
        <v>-</v>
      </c>
      <c r="I258" s="52" t="str">
        <f t="shared" si="173"/>
        <v>-</v>
      </c>
      <c r="J258" s="52" t="str">
        <f t="shared" si="173"/>
        <v>-</v>
      </c>
    </row>
    <row r="259" spans="2:10" x14ac:dyDescent="0.35">
      <c r="B259" s="54">
        <f t="shared" si="133"/>
        <v>85</v>
      </c>
      <c r="C259" s="18"/>
      <c r="D259" s="18"/>
      <c r="E259" s="53" t="str">
        <f t="array" ref="E259">IFERROR(IF(Kanban!$C$7="All",INDEX(Calc!$F$8:$F$500,MATCH(INDEX(Calc!$D$8:$D$500,MATCH(SMALL(IF((Calc!$K$8:$K$500=Kanban!C$11)*(Calc!$Y$8:$Y$500&gt;0),Calc!$Y$8:$Y$500,99999),$B257),Calc!$Y$8:$Y$500,0)),Calc!$D$8:$D$500,0)),
INDEX(Calc!$F$8:$F$500,MATCH(INDEX(Calc!$D$8:$D$500,MATCH(SMALL(IF((Calc!$K$8:$K$500=Kanban!C$11)*(Calc!$C$8:$C$500=Kanban!$C$7)*(Calc!$Y$8:$Y$500&gt;0),Calc!$Y$8:$Y$500,99999),$B257),Calc!$Y$8:$Y$500,0)),Calc!$D$8:$D$500,0)) ),"-")</f>
        <v>-</v>
      </c>
      <c r="F259" s="53" t="str">
        <f t="array" ref="F259">IFERROR(IF(Kanban!$C$7="All",INDEX(Calc!$F$8:$F$500,MATCH(INDEX(Calc!$D$8:$D$500,MATCH(SMALL(IF((Calc!$K$8:$K$500=Kanban!D$11)*(Calc!$Y$8:$Y$500&gt;0),Calc!$Y$8:$Y$500,99999),$B257),Calc!$Y$8:$Y$500,0)),Calc!$D$8:$D$500,0)),
INDEX(Calc!$F$8:$F$500,MATCH(INDEX(Calc!$D$8:$D$500,MATCH(SMALL(IF((Calc!$K$8:$K$500=Kanban!D$11)*(Calc!$C$8:$C$500=Kanban!$C$7)*(Calc!$Y$8:$Y$500&gt;0),Calc!$Y$8:$Y$500,99999),$B257),Calc!$Y$8:$Y$500,0)),Calc!$D$8:$D$500,0)) ),"-")</f>
        <v>-</v>
      </c>
      <c r="G259" s="53" t="str">
        <f t="array" ref="G259">IFERROR(IF(Kanban!$C$7="All",INDEX(Calc!$F$8:$F$500,MATCH(INDEX(Calc!$D$8:$D$500,MATCH(SMALL(IF((Calc!$K$8:$K$500=Kanban!E$11)*(Calc!$Y$8:$Y$500&gt;0),Calc!$Y$8:$Y$500,99999),$B257),Calc!$Y$8:$Y$500,0)),Calc!$D$8:$D$500,0)),
INDEX(Calc!$F$8:$F$500,MATCH(INDEX(Calc!$D$8:$D$500,MATCH(SMALL(IF((Calc!$K$8:$K$500=Kanban!E$11)*(Calc!$C$8:$C$500=Kanban!$C$7)*(Calc!$Y$8:$Y$500&gt;0),Calc!$Y$8:$Y$500,99999),$B257),Calc!$Y$8:$Y$500,0)),Calc!$D$8:$D$500,0)) ),"-")</f>
        <v>-</v>
      </c>
      <c r="H259" s="53" t="str">
        <f t="array" ref="H259">IFERROR(IF(Kanban!$C$7="All",INDEX(Calc!$F$8:$F$500,MATCH(INDEX(Calc!$D$8:$D$500,MATCH(SMALL(IF((Calc!$K$8:$K$500=Kanban!F$11)*(Calc!$Y$8:$Y$500&gt;0),Calc!$Y$8:$Y$500,99999),$B257),Calc!$Y$8:$Y$500,0)),Calc!$D$8:$D$500,0)),
INDEX(Calc!$F$8:$F$500,MATCH(INDEX(Calc!$D$8:$D$500,MATCH(SMALL(IF((Calc!$K$8:$K$500=Kanban!F$11)*(Calc!$C$8:$C$500=Kanban!$C$7)*(Calc!$Y$8:$Y$500&gt;0),Calc!$Y$8:$Y$500,99999),$B257),Calc!$Y$8:$Y$500,0)),Calc!$D$8:$D$500,0)) ),"-")</f>
        <v>-</v>
      </c>
      <c r="I259" s="53" t="str">
        <f t="array" ref="I259">IFERROR(IF(Kanban!$C$7="All",INDEX(Calc!$F$8:$F$500,MATCH(INDEX(Calc!$D$8:$D$500,MATCH(SMALL(IF((Calc!$K$8:$K$500=Kanban!G$11)*(Calc!$Y$8:$Y$500&gt;0),Calc!$Y$8:$Y$500,99999),$B257),Calc!$Y$8:$Y$500,0)),Calc!$D$8:$D$500,0)),
INDEX(Calc!$F$8:$F$500,MATCH(INDEX(Calc!$D$8:$D$500,MATCH(SMALL(IF((Calc!$K$8:$K$500=Kanban!G$11)*(Calc!$C$8:$C$500=Kanban!$C$7)*(Calc!$Y$8:$Y$500&gt;0),Calc!$Y$8:$Y$500,99999),$B257),Calc!$Y$8:$Y$500,0)),Calc!$D$8:$D$500,0)) ),"-")</f>
        <v>-</v>
      </c>
      <c r="J259" s="53" t="str">
        <f t="array" ref="J259">IFERROR(IF(Kanban!$C$7="All",INDEX(Calc!$F$8:$F$500,MATCH(INDEX(Calc!$D$8:$D$500,MATCH(SMALL(IF((Calc!$K$8:$K$500=Kanban!H$11)*(Calc!$Y$8:$Y$500&gt;0),Calc!$Y$8:$Y$500,99999),$B257),Calc!$Y$8:$Y$500,0)),Calc!$D$8:$D$500,0)),
INDEX(Calc!$F$8:$F$500,MATCH(INDEX(Calc!$D$8:$D$500,MATCH(SMALL(IF((Calc!$K$8:$K$500=Kanban!H$11)*(Calc!$C$8:$C$500=Kanban!$C$7)*(Calc!$Y$8:$Y$500&gt;0),Calc!$Y$8:$Y$500,99999),$B257),Calc!$Y$8:$Y$500,0)),Calc!$D$8:$D$500,0)) ),"-")</f>
        <v>-</v>
      </c>
    </row>
    <row r="260" spans="2:10" x14ac:dyDescent="0.35">
      <c r="B260" s="54">
        <f t="shared" si="133"/>
        <v>86</v>
      </c>
      <c r="C260" s="18"/>
      <c r="D260" s="18"/>
      <c r="E260" s="52" t="str">
        <f t="shared" ref="E260:J260" si="174">IFERROR(E262,"-")</f>
        <v>-</v>
      </c>
      <c r="F260" s="52" t="str">
        <f t="shared" si="174"/>
        <v>-</v>
      </c>
      <c r="G260" s="52" t="str">
        <f t="shared" si="174"/>
        <v>-</v>
      </c>
      <c r="H260" s="52" t="str">
        <f t="shared" si="174"/>
        <v>-</v>
      </c>
      <c r="I260" s="52" t="str">
        <f t="shared" si="174"/>
        <v>-</v>
      </c>
      <c r="J260" s="52" t="str">
        <f t="shared" si="174"/>
        <v>-</v>
      </c>
    </row>
    <row r="261" spans="2:10" x14ac:dyDescent="0.35">
      <c r="B261" s="54">
        <f t="shared" si="133"/>
        <v>86</v>
      </c>
      <c r="C261" s="18"/>
      <c r="D261" s="18"/>
      <c r="E261" s="52" t="str">
        <f t="shared" ref="E261:J261" si="175">IFERROR(E262,"-")</f>
        <v>-</v>
      </c>
      <c r="F261" s="52" t="str">
        <f t="shared" si="175"/>
        <v>-</v>
      </c>
      <c r="G261" s="52" t="str">
        <f t="shared" si="175"/>
        <v>-</v>
      </c>
      <c r="H261" s="52" t="str">
        <f t="shared" si="175"/>
        <v>-</v>
      </c>
      <c r="I261" s="52" t="str">
        <f t="shared" si="175"/>
        <v>-</v>
      </c>
      <c r="J261" s="52" t="str">
        <f t="shared" si="175"/>
        <v>-</v>
      </c>
    </row>
    <row r="262" spans="2:10" x14ac:dyDescent="0.35">
      <c r="B262" s="54">
        <f t="shared" si="133"/>
        <v>86</v>
      </c>
      <c r="C262" s="18"/>
      <c r="D262" s="18"/>
      <c r="E262" s="53" t="str">
        <f t="array" ref="E262">IFERROR(IF(Kanban!$C$7="All",INDEX(Calc!$F$8:$F$500,MATCH(INDEX(Calc!$D$8:$D$500,MATCH(SMALL(IF((Calc!$K$8:$K$500=Kanban!C$11)*(Calc!$Y$8:$Y$500&gt;0),Calc!$Y$8:$Y$500,99999),$B260),Calc!$Y$8:$Y$500,0)),Calc!$D$8:$D$500,0)),
INDEX(Calc!$F$8:$F$500,MATCH(INDEX(Calc!$D$8:$D$500,MATCH(SMALL(IF((Calc!$K$8:$K$500=Kanban!C$11)*(Calc!$C$8:$C$500=Kanban!$C$7)*(Calc!$Y$8:$Y$500&gt;0),Calc!$Y$8:$Y$500,99999),$B260),Calc!$Y$8:$Y$500,0)),Calc!$D$8:$D$500,0)) ),"-")</f>
        <v>-</v>
      </c>
      <c r="F262" s="53" t="str">
        <f t="array" ref="F262">IFERROR(IF(Kanban!$C$7="All",INDEX(Calc!$F$8:$F$500,MATCH(INDEX(Calc!$D$8:$D$500,MATCH(SMALL(IF((Calc!$K$8:$K$500=Kanban!D$11)*(Calc!$Y$8:$Y$500&gt;0),Calc!$Y$8:$Y$500,99999),$B260),Calc!$Y$8:$Y$500,0)),Calc!$D$8:$D$500,0)),
INDEX(Calc!$F$8:$F$500,MATCH(INDEX(Calc!$D$8:$D$500,MATCH(SMALL(IF((Calc!$K$8:$K$500=Kanban!D$11)*(Calc!$C$8:$C$500=Kanban!$C$7)*(Calc!$Y$8:$Y$500&gt;0),Calc!$Y$8:$Y$500,99999),$B260),Calc!$Y$8:$Y$500,0)),Calc!$D$8:$D$500,0)) ),"-")</f>
        <v>-</v>
      </c>
      <c r="G262" s="53" t="str">
        <f t="array" ref="G262">IFERROR(IF(Kanban!$C$7="All",INDEX(Calc!$F$8:$F$500,MATCH(INDEX(Calc!$D$8:$D$500,MATCH(SMALL(IF((Calc!$K$8:$K$500=Kanban!E$11)*(Calc!$Y$8:$Y$500&gt;0),Calc!$Y$8:$Y$500,99999),$B260),Calc!$Y$8:$Y$500,0)),Calc!$D$8:$D$500,0)),
INDEX(Calc!$F$8:$F$500,MATCH(INDEX(Calc!$D$8:$D$500,MATCH(SMALL(IF((Calc!$K$8:$K$500=Kanban!E$11)*(Calc!$C$8:$C$500=Kanban!$C$7)*(Calc!$Y$8:$Y$500&gt;0),Calc!$Y$8:$Y$500,99999),$B260),Calc!$Y$8:$Y$500,0)),Calc!$D$8:$D$500,0)) ),"-")</f>
        <v>-</v>
      </c>
      <c r="H262" s="53" t="str">
        <f t="array" ref="H262">IFERROR(IF(Kanban!$C$7="All",INDEX(Calc!$F$8:$F$500,MATCH(INDEX(Calc!$D$8:$D$500,MATCH(SMALL(IF((Calc!$K$8:$K$500=Kanban!F$11)*(Calc!$Y$8:$Y$500&gt;0),Calc!$Y$8:$Y$500,99999),$B260),Calc!$Y$8:$Y$500,0)),Calc!$D$8:$D$500,0)),
INDEX(Calc!$F$8:$F$500,MATCH(INDEX(Calc!$D$8:$D$500,MATCH(SMALL(IF((Calc!$K$8:$K$500=Kanban!F$11)*(Calc!$C$8:$C$500=Kanban!$C$7)*(Calc!$Y$8:$Y$500&gt;0),Calc!$Y$8:$Y$500,99999),$B260),Calc!$Y$8:$Y$500,0)),Calc!$D$8:$D$500,0)) ),"-")</f>
        <v>-</v>
      </c>
      <c r="I262" s="53" t="str">
        <f t="array" ref="I262">IFERROR(IF(Kanban!$C$7="All",INDEX(Calc!$F$8:$F$500,MATCH(INDEX(Calc!$D$8:$D$500,MATCH(SMALL(IF((Calc!$K$8:$K$500=Kanban!G$11)*(Calc!$Y$8:$Y$500&gt;0),Calc!$Y$8:$Y$500,99999),$B260),Calc!$Y$8:$Y$500,0)),Calc!$D$8:$D$500,0)),
INDEX(Calc!$F$8:$F$500,MATCH(INDEX(Calc!$D$8:$D$500,MATCH(SMALL(IF((Calc!$K$8:$K$500=Kanban!G$11)*(Calc!$C$8:$C$500=Kanban!$C$7)*(Calc!$Y$8:$Y$500&gt;0),Calc!$Y$8:$Y$500,99999),$B260),Calc!$Y$8:$Y$500,0)),Calc!$D$8:$D$500,0)) ),"-")</f>
        <v>-</v>
      </c>
      <c r="J262" s="53" t="str">
        <f t="array" ref="J262">IFERROR(IF(Kanban!$C$7="All",INDEX(Calc!$F$8:$F$500,MATCH(INDEX(Calc!$D$8:$D$500,MATCH(SMALL(IF((Calc!$K$8:$K$500=Kanban!H$11)*(Calc!$Y$8:$Y$500&gt;0),Calc!$Y$8:$Y$500,99999),$B260),Calc!$Y$8:$Y$500,0)),Calc!$D$8:$D$500,0)),
INDEX(Calc!$F$8:$F$500,MATCH(INDEX(Calc!$D$8:$D$500,MATCH(SMALL(IF((Calc!$K$8:$K$500=Kanban!H$11)*(Calc!$C$8:$C$500=Kanban!$C$7)*(Calc!$Y$8:$Y$500&gt;0),Calc!$Y$8:$Y$500,99999),$B260),Calc!$Y$8:$Y$500,0)),Calc!$D$8:$D$500,0)) ),"-")</f>
        <v>-</v>
      </c>
    </row>
    <row r="263" spans="2:10" x14ac:dyDescent="0.35">
      <c r="B263" s="54">
        <f t="shared" ref="B263:B310" si="176">IF(COUNTIF(B260:B262,B262)=3,B262+1,B262)</f>
        <v>87</v>
      </c>
      <c r="C263" s="18"/>
      <c r="D263" s="18"/>
      <c r="E263" s="52" t="str">
        <f t="shared" ref="E263:J263" si="177">IFERROR(E265,"-")</f>
        <v>-</v>
      </c>
      <c r="F263" s="52" t="str">
        <f t="shared" si="177"/>
        <v>-</v>
      </c>
      <c r="G263" s="52" t="str">
        <f t="shared" si="177"/>
        <v>-</v>
      </c>
      <c r="H263" s="52" t="str">
        <f t="shared" si="177"/>
        <v>-</v>
      </c>
      <c r="I263" s="52" t="str">
        <f t="shared" si="177"/>
        <v>-</v>
      </c>
      <c r="J263" s="52" t="str">
        <f t="shared" si="177"/>
        <v>-</v>
      </c>
    </row>
    <row r="264" spans="2:10" x14ac:dyDescent="0.35">
      <c r="B264" s="54">
        <f t="shared" si="176"/>
        <v>87</v>
      </c>
      <c r="C264" s="18"/>
      <c r="D264" s="18"/>
      <c r="E264" s="52" t="str">
        <f t="shared" ref="E264:J264" si="178">IFERROR(E265,"-")</f>
        <v>-</v>
      </c>
      <c r="F264" s="52" t="str">
        <f t="shared" si="178"/>
        <v>-</v>
      </c>
      <c r="G264" s="52" t="str">
        <f t="shared" si="178"/>
        <v>-</v>
      </c>
      <c r="H264" s="52" t="str">
        <f t="shared" si="178"/>
        <v>-</v>
      </c>
      <c r="I264" s="52" t="str">
        <f t="shared" si="178"/>
        <v>-</v>
      </c>
      <c r="J264" s="52" t="str">
        <f t="shared" si="178"/>
        <v>-</v>
      </c>
    </row>
    <row r="265" spans="2:10" x14ac:dyDescent="0.35">
      <c r="B265" s="54">
        <f t="shared" si="176"/>
        <v>87</v>
      </c>
      <c r="C265" s="18"/>
      <c r="D265" s="18"/>
      <c r="E265" s="53" t="str">
        <f t="array" ref="E265">IFERROR(IF(Kanban!$C$7="All",INDEX(Calc!$F$8:$F$500,MATCH(INDEX(Calc!$D$8:$D$500,MATCH(SMALL(IF((Calc!$K$8:$K$500=Kanban!C$11)*(Calc!$Y$8:$Y$500&gt;0),Calc!$Y$8:$Y$500,99999),$B263),Calc!$Y$8:$Y$500,0)),Calc!$D$8:$D$500,0)),
INDEX(Calc!$F$8:$F$500,MATCH(INDEX(Calc!$D$8:$D$500,MATCH(SMALL(IF((Calc!$K$8:$K$500=Kanban!C$11)*(Calc!$C$8:$C$500=Kanban!$C$7)*(Calc!$Y$8:$Y$500&gt;0),Calc!$Y$8:$Y$500,99999),$B263),Calc!$Y$8:$Y$500,0)),Calc!$D$8:$D$500,0)) ),"-")</f>
        <v>-</v>
      </c>
      <c r="F265" s="53" t="str">
        <f t="array" ref="F265">IFERROR(IF(Kanban!$C$7="All",INDEX(Calc!$F$8:$F$500,MATCH(INDEX(Calc!$D$8:$D$500,MATCH(SMALL(IF((Calc!$K$8:$K$500=Kanban!D$11)*(Calc!$Y$8:$Y$500&gt;0),Calc!$Y$8:$Y$500,99999),$B263),Calc!$Y$8:$Y$500,0)),Calc!$D$8:$D$500,0)),
INDEX(Calc!$F$8:$F$500,MATCH(INDEX(Calc!$D$8:$D$500,MATCH(SMALL(IF((Calc!$K$8:$K$500=Kanban!D$11)*(Calc!$C$8:$C$500=Kanban!$C$7)*(Calc!$Y$8:$Y$500&gt;0),Calc!$Y$8:$Y$500,99999),$B263),Calc!$Y$8:$Y$500,0)),Calc!$D$8:$D$500,0)) ),"-")</f>
        <v>-</v>
      </c>
      <c r="G265" s="53" t="str">
        <f t="array" ref="G265">IFERROR(IF(Kanban!$C$7="All",INDEX(Calc!$F$8:$F$500,MATCH(INDEX(Calc!$D$8:$D$500,MATCH(SMALL(IF((Calc!$K$8:$K$500=Kanban!E$11)*(Calc!$Y$8:$Y$500&gt;0),Calc!$Y$8:$Y$500,99999),$B263),Calc!$Y$8:$Y$500,0)),Calc!$D$8:$D$500,0)),
INDEX(Calc!$F$8:$F$500,MATCH(INDEX(Calc!$D$8:$D$500,MATCH(SMALL(IF((Calc!$K$8:$K$500=Kanban!E$11)*(Calc!$C$8:$C$500=Kanban!$C$7)*(Calc!$Y$8:$Y$500&gt;0),Calc!$Y$8:$Y$500,99999),$B263),Calc!$Y$8:$Y$500,0)),Calc!$D$8:$D$500,0)) ),"-")</f>
        <v>-</v>
      </c>
      <c r="H265" s="53" t="str">
        <f t="array" ref="H265">IFERROR(IF(Kanban!$C$7="All",INDEX(Calc!$F$8:$F$500,MATCH(INDEX(Calc!$D$8:$D$500,MATCH(SMALL(IF((Calc!$K$8:$K$500=Kanban!F$11)*(Calc!$Y$8:$Y$500&gt;0),Calc!$Y$8:$Y$500,99999),$B263),Calc!$Y$8:$Y$500,0)),Calc!$D$8:$D$500,0)),
INDEX(Calc!$F$8:$F$500,MATCH(INDEX(Calc!$D$8:$D$500,MATCH(SMALL(IF((Calc!$K$8:$K$500=Kanban!F$11)*(Calc!$C$8:$C$500=Kanban!$C$7)*(Calc!$Y$8:$Y$500&gt;0),Calc!$Y$8:$Y$500,99999),$B263),Calc!$Y$8:$Y$500,0)),Calc!$D$8:$D$500,0)) ),"-")</f>
        <v>-</v>
      </c>
      <c r="I265" s="53" t="str">
        <f t="array" ref="I265">IFERROR(IF(Kanban!$C$7="All",INDEX(Calc!$F$8:$F$500,MATCH(INDEX(Calc!$D$8:$D$500,MATCH(SMALL(IF((Calc!$K$8:$K$500=Kanban!G$11)*(Calc!$Y$8:$Y$500&gt;0),Calc!$Y$8:$Y$500,99999),$B263),Calc!$Y$8:$Y$500,0)),Calc!$D$8:$D$500,0)),
INDEX(Calc!$F$8:$F$500,MATCH(INDEX(Calc!$D$8:$D$500,MATCH(SMALL(IF((Calc!$K$8:$K$500=Kanban!G$11)*(Calc!$C$8:$C$500=Kanban!$C$7)*(Calc!$Y$8:$Y$500&gt;0),Calc!$Y$8:$Y$500,99999),$B263),Calc!$Y$8:$Y$500,0)),Calc!$D$8:$D$500,0)) ),"-")</f>
        <v>-</v>
      </c>
      <c r="J265" s="53" t="str">
        <f t="array" ref="J265">IFERROR(IF(Kanban!$C$7="All",INDEX(Calc!$F$8:$F$500,MATCH(INDEX(Calc!$D$8:$D$500,MATCH(SMALL(IF((Calc!$K$8:$K$500=Kanban!H$11)*(Calc!$Y$8:$Y$500&gt;0),Calc!$Y$8:$Y$500,99999),$B263),Calc!$Y$8:$Y$500,0)),Calc!$D$8:$D$500,0)),
INDEX(Calc!$F$8:$F$500,MATCH(INDEX(Calc!$D$8:$D$500,MATCH(SMALL(IF((Calc!$K$8:$K$500=Kanban!H$11)*(Calc!$C$8:$C$500=Kanban!$C$7)*(Calc!$Y$8:$Y$500&gt;0),Calc!$Y$8:$Y$500,99999),$B263),Calc!$Y$8:$Y$500,0)),Calc!$D$8:$D$500,0)) ),"-")</f>
        <v>-</v>
      </c>
    </row>
    <row r="266" spans="2:10" x14ac:dyDescent="0.35">
      <c r="B266" s="54">
        <f t="shared" si="176"/>
        <v>88</v>
      </c>
      <c r="C266" s="18"/>
      <c r="D266" s="18"/>
      <c r="E266" s="52" t="str">
        <f t="shared" ref="E266:J266" si="179">IFERROR(E268,"-")</f>
        <v>-</v>
      </c>
      <c r="F266" s="52" t="str">
        <f t="shared" si="179"/>
        <v>-</v>
      </c>
      <c r="G266" s="52" t="str">
        <f t="shared" si="179"/>
        <v>-</v>
      </c>
      <c r="H266" s="52" t="str">
        <f t="shared" si="179"/>
        <v>-</v>
      </c>
      <c r="I266" s="52" t="str">
        <f t="shared" si="179"/>
        <v>-</v>
      </c>
      <c r="J266" s="52" t="str">
        <f t="shared" si="179"/>
        <v>-</v>
      </c>
    </row>
    <row r="267" spans="2:10" x14ac:dyDescent="0.35">
      <c r="B267" s="54">
        <f t="shared" si="176"/>
        <v>88</v>
      </c>
      <c r="C267" s="18"/>
      <c r="D267" s="18"/>
      <c r="E267" s="52" t="str">
        <f t="shared" ref="E267:J267" si="180">IFERROR(E268,"-")</f>
        <v>-</v>
      </c>
      <c r="F267" s="52" t="str">
        <f t="shared" si="180"/>
        <v>-</v>
      </c>
      <c r="G267" s="52" t="str">
        <f t="shared" si="180"/>
        <v>-</v>
      </c>
      <c r="H267" s="52" t="str">
        <f t="shared" si="180"/>
        <v>-</v>
      </c>
      <c r="I267" s="52" t="str">
        <f t="shared" si="180"/>
        <v>-</v>
      </c>
      <c r="J267" s="52" t="str">
        <f t="shared" si="180"/>
        <v>-</v>
      </c>
    </row>
    <row r="268" spans="2:10" x14ac:dyDescent="0.35">
      <c r="B268" s="54">
        <f t="shared" si="176"/>
        <v>88</v>
      </c>
      <c r="C268" s="18"/>
      <c r="D268" s="18"/>
      <c r="E268" s="53" t="str">
        <f t="array" ref="E268">IFERROR(IF(Kanban!$C$7="All",INDEX(Calc!$F$8:$F$500,MATCH(INDEX(Calc!$D$8:$D$500,MATCH(SMALL(IF((Calc!$K$8:$K$500=Kanban!C$11)*(Calc!$Y$8:$Y$500&gt;0),Calc!$Y$8:$Y$500,99999),$B266),Calc!$Y$8:$Y$500,0)),Calc!$D$8:$D$500,0)),
INDEX(Calc!$F$8:$F$500,MATCH(INDEX(Calc!$D$8:$D$500,MATCH(SMALL(IF((Calc!$K$8:$K$500=Kanban!C$11)*(Calc!$C$8:$C$500=Kanban!$C$7)*(Calc!$Y$8:$Y$500&gt;0),Calc!$Y$8:$Y$500,99999),$B266),Calc!$Y$8:$Y$500,0)),Calc!$D$8:$D$500,0)) ),"-")</f>
        <v>-</v>
      </c>
      <c r="F268" s="53" t="str">
        <f t="array" ref="F268">IFERROR(IF(Kanban!$C$7="All",INDEX(Calc!$F$8:$F$500,MATCH(INDEX(Calc!$D$8:$D$500,MATCH(SMALL(IF((Calc!$K$8:$K$500=Kanban!D$11)*(Calc!$Y$8:$Y$500&gt;0),Calc!$Y$8:$Y$500,99999),$B266),Calc!$Y$8:$Y$500,0)),Calc!$D$8:$D$500,0)),
INDEX(Calc!$F$8:$F$500,MATCH(INDEX(Calc!$D$8:$D$500,MATCH(SMALL(IF((Calc!$K$8:$K$500=Kanban!D$11)*(Calc!$C$8:$C$500=Kanban!$C$7)*(Calc!$Y$8:$Y$500&gt;0),Calc!$Y$8:$Y$500,99999),$B266),Calc!$Y$8:$Y$500,0)),Calc!$D$8:$D$500,0)) ),"-")</f>
        <v>-</v>
      </c>
      <c r="G268" s="53" t="str">
        <f t="array" ref="G268">IFERROR(IF(Kanban!$C$7="All",INDEX(Calc!$F$8:$F$500,MATCH(INDEX(Calc!$D$8:$D$500,MATCH(SMALL(IF((Calc!$K$8:$K$500=Kanban!E$11)*(Calc!$Y$8:$Y$500&gt;0),Calc!$Y$8:$Y$500,99999),$B266),Calc!$Y$8:$Y$500,0)),Calc!$D$8:$D$500,0)),
INDEX(Calc!$F$8:$F$500,MATCH(INDEX(Calc!$D$8:$D$500,MATCH(SMALL(IF((Calc!$K$8:$K$500=Kanban!E$11)*(Calc!$C$8:$C$500=Kanban!$C$7)*(Calc!$Y$8:$Y$500&gt;0),Calc!$Y$8:$Y$500,99999),$B266),Calc!$Y$8:$Y$500,0)),Calc!$D$8:$D$500,0)) ),"-")</f>
        <v>-</v>
      </c>
      <c r="H268" s="53" t="str">
        <f t="array" ref="H268">IFERROR(IF(Kanban!$C$7="All",INDEX(Calc!$F$8:$F$500,MATCH(INDEX(Calc!$D$8:$D$500,MATCH(SMALL(IF((Calc!$K$8:$K$500=Kanban!F$11)*(Calc!$Y$8:$Y$500&gt;0),Calc!$Y$8:$Y$500,99999),$B266),Calc!$Y$8:$Y$500,0)),Calc!$D$8:$D$500,0)),
INDEX(Calc!$F$8:$F$500,MATCH(INDEX(Calc!$D$8:$D$500,MATCH(SMALL(IF((Calc!$K$8:$K$500=Kanban!F$11)*(Calc!$C$8:$C$500=Kanban!$C$7)*(Calc!$Y$8:$Y$500&gt;0),Calc!$Y$8:$Y$500,99999),$B266),Calc!$Y$8:$Y$500,0)),Calc!$D$8:$D$500,0)) ),"-")</f>
        <v>-</v>
      </c>
      <c r="I268" s="53" t="str">
        <f t="array" ref="I268">IFERROR(IF(Kanban!$C$7="All",INDEX(Calc!$F$8:$F$500,MATCH(INDEX(Calc!$D$8:$D$500,MATCH(SMALL(IF((Calc!$K$8:$K$500=Kanban!G$11)*(Calc!$Y$8:$Y$500&gt;0),Calc!$Y$8:$Y$500,99999),$B266),Calc!$Y$8:$Y$500,0)),Calc!$D$8:$D$500,0)),
INDEX(Calc!$F$8:$F$500,MATCH(INDEX(Calc!$D$8:$D$500,MATCH(SMALL(IF((Calc!$K$8:$K$500=Kanban!G$11)*(Calc!$C$8:$C$500=Kanban!$C$7)*(Calc!$Y$8:$Y$500&gt;0),Calc!$Y$8:$Y$500,99999),$B266),Calc!$Y$8:$Y$500,0)),Calc!$D$8:$D$500,0)) ),"-")</f>
        <v>-</v>
      </c>
      <c r="J268" s="53" t="str">
        <f t="array" ref="J268">IFERROR(IF(Kanban!$C$7="All",INDEX(Calc!$F$8:$F$500,MATCH(INDEX(Calc!$D$8:$D$500,MATCH(SMALL(IF((Calc!$K$8:$K$500=Kanban!H$11)*(Calc!$Y$8:$Y$500&gt;0),Calc!$Y$8:$Y$500,99999),$B266),Calc!$Y$8:$Y$500,0)),Calc!$D$8:$D$500,0)),
INDEX(Calc!$F$8:$F$500,MATCH(INDEX(Calc!$D$8:$D$500,MATCH(SMALL(IF((Calc!$K$8:$K$500=Kanban!H$11)*(Calc!$C$8:$C$500=Kanban!$C$7)*(Calc!$Y$8:$Y$500&gt;0),Calc!$Y$8:$Y$500,99999),$B266),Calc!$Y$8:$Y$500,0)),Calc!$D$8:$D$500,0)) ),"-")</f>
        <v>-</v>
      </c>
    </row>
    <row r="269" spans="2:10" x14ac:dyDescent="0.35">
      <c r="B269" s="54">
        <f t="shared" si="176"/>
        <v>89</v>
      </c>
      <c r="C269" s="18"/>
      <c r="D269" s="18"/>
      <c r="E269" s="52" t="str">
        <f t="shared" ref="E269:J269" si="181">IFERROR(E271,"-")</f>
        <v>-</v>
      </c>
      <c r="F269" s="52" t="str">
        <f t="shared" si="181"/>
        <v>-</v>
      </c>
      <c r="G269" s="52" t="str">
        <f t="shared" si="181"/>
        <v>-</v>
      </c>
      <c r="H269" s="52" t="str">
        <f t="shared" si="181"/>
        <v>-</v>
      </c>
      <c r="I269" s="52" t="str">
        <f t="shared" si="181"/>
        <v>-</v>
      </c>
      <c r="J269" s="52" t="str">
        <f t="shared" si="181"/>
        <v>-</v>
      </c>
    </row>
    <row r="270" spans="2:10" x14ac:dyDescent="0.35">
      <c r="B270" s="54">
        <f t="shared" si="176"/>
        <v>89</v>
      </c>
      <c r="C270" s="18"/>
      <c r="D270" s="18"/>
      <c r="E270" s="52" t="str">
        <f t="shared" ref="E270:J270" si="182">IFERROR(E271,"-")</f>
        <v>-</v>
      </c>
      <c r="F270" s="52" t="str">
        <f t="shared" si="182"/>
        <v>-</v>
      </c>
      <c r="G270" s="52" t="str">
        <f t="shared" si="182"/>
        <v>-</v>
      </c>
      <c r="H270" s="52" t="str">
        <f t="shared" si="182"/>
        <v>-</v>
      </c>
      <c r="I270" s="52" t="str">
        <f t="shared" si="182"/>
        <v>-</v>
      </c>
      <c r="J270" s="52" t="str">
        <f t="shared" si="182"/>
        <v>-</v>
      </c>
    </row>
    <row r="271" spans="2:10" x14ac:dyDescent="0.35">
      <c r="B271" s="54">
        <f t="shared" si="176"/>
        <v>89</v>
      </c>
      <c r="C271" s="18"/>
      <c r="D271" s="18"/>
      <c r="E271" s="53" t="str">
        <f t="array" ref="E271">IFERROR(IF(Kanban!$C$7="All",INDEX(Calc!$F$8:$F$500,MATCH(INDEX(Calc!$D$8:$D$500,MATCH(SMALL(IF((Calc!$K$8:$K$500=Kanban!C$11)*(Calc!$Y$8:$Y$500&gt;0),Calc!$Y$8:$Y$500,99999),$B269),Calc!$Y$8:$Y$500,0)),Calc!$D$8:$D$500,0)),
INDEX(Calc!$F$8:$F$500,MATCH(INDEX(Calc!$D$8:$D$500,MATCH(SMALL(IF((Calc!$K$8:$K$500=Kanban!C$11)*(Calc!$C$8:$C$500=Kanban!$C$7)*(Calc!$Y$8:$Y$500&gt;0),Calc!$Y$8:$Y$500,99999),$B269),Calc!$Y$8:$Y$500,0)),Calc!$D$8:$D$500,0)) ),"-")</f>
        <v>-</v>
      </c>
      <c r="F271" s="53" t="str">
        <f t="array" ref="F271">IFERROR(IF(Kanban!$C$7="All",INDEX(Calc!$F$8:$F$500,MATCH(INDEX(Calc!$D$8:$D$500,MATCH(SMALL(IF((Calc!$K$8:$K$500=Kanban!D$11)*(Calc!$Y$8:$Y$500&gt;0),Calc!$Y$8:$Y$500,99999),$B269),Calc!$Y$8:$Y$500,0)),Calc!$D$8:$D$500,0)),
INDEX(Calc!$F$8:$F$500,MATCH(INDEX(Calc!$D$8:$D$500,MATCH(SMALL(IF((Calc!$K$8:$K$500=Kanban!D$11)*(Calc!$C$8:$C$500=Kanban!$C$7)*(Calc!$Y$8:$Y$500&gt;0),Calc!$Y$8:$Y$500,99999),$B269),Calc!$Y$8:$Y$500,0)),Calc!$D$8:$D$500,0)) ),"-")</f>
        <v>-</v>
      </c>
      <c r="G271" s="53" t="str">
        <f t="array" ref="G271">IFERROR(IF(Kanban!$C$7="All",INDEX(Calc!$F$8:$F$500,MATCH(INDEX(Calc!$D$8:$D$500,MATCH(SMALL(IF((Calc!$K$8:$K$500=Kanban!E$11)*(Calc!$Y$8:$Y$500&gt;0),Calc!$Y$8:$Y$500,99999),$B269),Calc!$Y$8:$Y$500,0)),Calc!$D$8:$D$500,0)),
INDEX(Calc!$F$8:$F$500,MATCH(INDEX(Calc!$D$8:$D$500,MATCH(SMALL(IF((Calc!$K$8:$K$500=Kanban!E$11)*(Calc!$C$8:$C$500=Kanban!$C$7)*(Calc!$Y$8:$Y$500&gt;0),Calc!$Y$8:$Y$500,99999),$B269),Calc!$Y$8:$Y$500,0)),Calc!$D$8:$D$500,0)) ),"-")</f>
        <v>-</v>
      </c>
      <c r="H271" s="53" t="str">
        <f t="array" ref="H271">IFERROR(IF(Kanban!$C$7="All",INDEX(Calc!$F$8:$F$500,MATCH(INDEX(Calc!$D$8:$D$500,MATCH(SMALL(IF((Calc!$K$8:$K$500=Kanban!F$11)*(Calc!$Y$8:$Y$500&gt;0),Calc!$Y$8:$Y$500,99999),$B269),Calc!$Y$8:$Y$500,0)),Calc!$D$8:$D$500,0)),
INDEX(Calc!$F$8:$F$500,MATCH(INDEX(Calc!$D$8:$D$500,MATCH(SMALL(IF((Calc!$K$8:$K$500=Kanban!F$11)*(Calc!$C$8:$C$500=Kanban!$C$7)*(Calc!$Y$8:$Y$500&gt;0),Calc!$Y$8:$Y$500,99999),$B269),Calc!$Y$8:$Y$500,0)),Calc!$D$8:$D$500,0)) ),"-")</f>
        <v>-</v>
      </c>
      <c r="I271" s="53" t="str">
        <f t="array" ref="I271">IFERROR(IF(Kanban!$C$7="All",INDEX(Calc!$F$8:$F$500,MATCH(INDEX(Calc!$D$8:$D$500,MATCH(SMALL(IF((Calc!$K$8:$K$500=Kanban!G$11)*(Calc!$Y$8:$Y$500&gt;0),Calc!$Y$8:$Y$500,99999),$B269),Calc!$Y$8:$Y$500,0)),Calc!$D$8:$D$500,0)),
INDEX(Calc!$F$8:$F$500,MATCH(INDEX(Calc!$D$8:$D$500,MATCH(SMALL(IF((Calc!$K$8:$K$500=Kanban!G$11)*(Calc!$C$8:$C$500=Kanban!$C$7)*(Calc!$Y$8:$Y$500&gt;0),Calc!$Y$8:$Y$500,99999),$B269),Calc!$Y$8:$Y$500,0)),Calc!$D$8:$D$500,0)) ),"-")</f>
        <v>-</v>
      </c>
      <c r="J271" s="53" t="str">
        <f t="array" ref="J271">IFERROR(IF(Kanban!$C$7="All",INDEX(Calc!$F$8:$F$500,MATCH(INDEX(Calc!$D$8:$D$500,MATCH(SMALL(IF((Calc!$K$8:$K$500=Kanban!H$11)*(Calc!$Y$8:$Y$500&gt;0),Calc!$Y$8:$Y$500,99999),$B269),Calc!$Y$8:$Y$500,0)),Calc!$D$8:$D$500,0)),
INDEX(Calc!$F$8:$F$500,MATCH(INDEX(Calc!$D$8:$D$500,MATCH(SMALL(IF((Calc!$K$8:$K$500=Kanban!H$11)*(Calc!$C$8:$C$500=Kanban!$C$7)*(Calc!$Y$8:$Y$500&gt;0),Calc!$Y$8:$Y$500,99999),$B269),Calc!$Y$8:$Y$500,0)),Calc!$D$8:$D$500,0)) ),"-")</f>
        <v>-</v>
      </c>
    </row>
    <row r="272" spans="2:10" x14ac:dyDescent="0.35">
      <c r="B272" s="54">
        <f t="shared" si="176"/>
        <v>90</v>
      </c>
      <c r="C272" s="18"/>
      <c r="D272" s="18"/>
      <c r="E272" s="52" t="str">
        <f t="shared" ref="E272:J272" si="183">IFERROR(E274,"-")</f>
        <v>-</v>
      </c>
      <c r="F272" s="52" t="str">
        <f t="shared" si="183"/>
        <v>-</v>
      </c>
      <c r="G272" s="52" t="str">
        <f t="shared" si="183"/>
        <v>-</v>
      </c>
      <c r="H272" s="52" t="str">
        <f t="shared" si="183"/>
        <v>-</v>
      </c>
      <c r="I272" s="52" t="str">
        <f t="shared" si="183"/>
        <v>-</v>
      </c>
      <c r="J272" s="52" t="str">
        <f t="shared" si="183"/>
        <v>-</v>
      </c>
    </row>
    <row r="273" spans="2:10" x14ac:dyDescent="0.35">
      <c r="B273" s="54">
        <f t="shared" si="176"/>
        <v>90</v>
      </c>
      <c r="C273" s="18"/>
      <c r="D273" s="18"/>
      <c r="E273" s="52" t="str">
        <f t="shared" ref="E273:J273" si="184">IFERROR(E274,"-")</f>
        <v>-</v>
      </c>
      <c r="F273" s="52" t="str">
        <f t="shared" si="184"/>
        <v>-</v>
      </c>
      <c r="G273" s="52" t="str">
        <f t="shared" si="184"/>
        <v>-</v>
      </c>
      <c r="H273" s="52" t="str">
        <f t="shared" si="184"/>
        <v>-</v>
      </c>
      <c r="I273" s="52" t="str">
        <f t="shared" si="184"/>
        <v>-</v>
      </c>
      <c r="J273" s="52" t="str">
        <f t="shared" si="184"/>
        <v>-</v>
      </c>
    </row>
    <row r="274" spans="2:10" x14ac:dyDescent="0.35">
      <c r="B274" s="54">
        <f t="shared" si="176"/>
        <v>90</v>
      </c>
      <c r="C274" s="18"/>
      <c r="D274" s="18"/>
      <c r="E274" s="53" t="str">
        <f t="array" ref="E274">IFERROR(IF(Kanban!$C$7="All",INDEX(Calc!$F$8:$F$500,MATCH(INDEX(Calc!$D$8:$D$500,MATCH(SMALL(IF((Calc!$K$8:$K$500=Kanban!C$11)*(Calc!$Y$8:$Y$500&gt;0),Calc!$Y$8:$Y$500,99999),$B272),Calc!$Y$8:$Y$500,0)),Calc!$D$8:$D$500,0)),
INDEX(Calc!$F$8:$F$500,MATCH(INDEX(Calc!$D$8:$D$500,MATCH(SMALL(IF((Calc!$K$8:$K$500=Kanban!C$11)*(Calc!$C$8:$C$500=Kanban!$C$7)*(Calc!$Y$8:$Y$500&gt;0),Calc!$Y$8:$Y$500,99999),$B272),Calc!$Y$8:$Y$500,0)),Calc!$D$8:$D$500,0)) ),"-")</f>
        <v>-</v>
      </c>
      <c r="F274" s="53" t="str">
        <f t="array" ref="F274">IFERROR(IF(Kanban!$C$7="All",INDEX(Calc!$F$8:$F$500,MATCH(INDEX(Calc!$D$8:$D$500,MATCH(SMALL(IF((Calc!$K$8:$K$500=Kanban!D$11)*(Calc!$Y$8:$Y$500&gt;0),Calc!$Y$8:$Y$500,99999),$B272),Calc!$Y$8:$Y$500,0)),Calc!$D$8:$D$500,0)),
INDEX(Calc!$F$8:$F$500,MATCH(INDEX(Calc!$D$8:$D$500,MATCH(SMALL(IF((Calc!$K$8:$K$500=Kanban!D$11)*(Calc!$C$8:$C$500=Kanban!$C$7)*(Calc!$Y$8:$Y$500&gt;0),Calc!$Y$8:$Y$500,99999),$B272),Calc!$Y$8:$Y$500,0)),Calc!$D$8:$D$500,0)) ),"-")</f>
        <v>-</v>
      </c>
      <c r="G274" s="53" t="str">
        <f t="array" ref="G274">IFERROR(IF(Kanban!$C$7="All",INDEX(Calc!$F$8:$F$500,MATCH(INDEX(Calc!$D$8:$D$500,MATCH(SMALL(IF((Calc!$K$8:$K$500=Kanban!E$11)*(Calc!$Y$8:$Y$500&gt;0),Calc!$Y$8:$Y$500,99999),$B272),Calc!$Y$8:$Y$500,0)),Calc!$D$8:$D$500,0)),
INDEX(Calc!$F$8:$F$500,MATCH(INDEX(Calc!$D$8:$D$500,MATCH(SMALL(IF((Calc!$K$8:$K$500=Kanban!E$11)*(Calc!$C$8:$C$500=Kanban!$C$7)*(Calc!$Y$8:$Y$500&gt;0),Calc!$Y$8:$Y$500,99999),$B272),Calc!$Y$8:$Y$500,0)),Calc!$D$8:$D$500,0)) ),"-")</f>
        <v>-</v>
      </c>
      <c r="H274" s="53" t="str">
        <f t="array" ref="H274">IFERROR(IF(Kanban!$C$7="All",INDEX(Calc!$F$8:$F$500,MATCH(INDEX(Calc!$D$8:$D$500,MATCH(SMALL(IF((Calc!$K$8:$K$500=Kanban!F$11)*(Calc!$Y$8:$Y$500&gt;0),Calc!$Y$8:$Y$500,99999),$B272),Calc!$Y$8:$Y$500,0)),Calc!$D$8:$D$500,0)),
INDEX(Calc!$F$8:$F$500,MATCH(INDEX(Calc!$D$8:$D$500,MATCH(SMALL(IF((Calc!$K$8:$K$500=Kanban!F$11)*(Calc!$C$8:$C$500=Kanban!$C$7)*(Calc!$Y$8:$Y$500&gt;0),Calc!$Y$8:$Y$500,99999),$B272),Calc!$Y$8:$Y$500,0)),Calc!$D$8:$D$500,0)) ),"-")</f>
        <v>-</v>
      </c>
      <c r="I274" s="53" t="str">
        <f t="array" ref="I274">IFERROR(IF(Kanban!$C$7="All",INDEX(Calc!$F$8:$F$500,MATCH(INDEX(Calc!$D$8:$D$500,MATCH(SMALL(IF((Calc!$K$8:$K$500=Kanban!G$11)*(Calc!$Y$8:$Y$500&gt;0),Calc!$Y$8:$Y$500,99999),$B272),Calc!$Y$8:$Y$500,0)),Calc!$D$8:$D$500,0)),
INDEX(Calc!$F$8:$F$500,MATCH(INDEX(Calc!$D$8:$D$500,MATCH(SMALL(IF((Calc!$K$8:$K$500=Kanban!G$11)*(Calc!$C$8:$C$500=Kanban!$C$7)*(Calc!$Y$8:$Y$500&gt;0),Calc!$Y$8:$Y$500,99999),$B272),Calc!$Y$8:$Y$500,0)),Calc!$D$8:$D$500,0)) ),"-")</f>
        <v>-</v>
      </c>
      <c r="J274" s="53" t="str">
        <f t="array" ref="J274">IFERROR(IF(Kanban!$C$7="All",INDEX(Calc!$F$8:$F$500,MATCH(INDEX(Calc!$D$8:$D$500,MATCH(SMALL(IF((Calc!$K$8:$K$500=Kanban!H$11)*(Calc!$Y$8:$Y$500&gt;0),Calc!$Y$8:$Y$500,99999),$B272),Calc!$Y$8:$Y$500,0)),Calc!$D$8:$D$500,0)),
INDEX(Calc!$F$8:$F$500,MATCH(INDEX(Calc!$D$8:$D$500,MATCH(SMALL(IF((Calc!$K$8:$K$500=Kanban!H$11)*(Calc!$C$8:$C$500=Kanban!$C$7)*(Calc!$Y$8:$Y$500&gt;0),Calc!$Y$8:$Y$500,99999),$B272),Calc!$Y$8:$Y$500,0)),Calc!$D$8:$D$500,0)) ),"-")</f>
        <v>-</v>
      </c>
    </row>
    <row r="275" spans="2:10" x14ac:dyDescent="0.35">
      <c r="B275" s="54">
        <f t="shared" si="176"/>
        <v>91</v>
      </c>
      <c r="C275" s="18"/>
      <c r="D275" s="18"/>
      <c r="E275" s="52" t="str">
        <f t="shared" ref="E275:J275" si="185">IFERROR(E277,"-")</f>
        <v>-</v>
      </c>
      <c r="F275" s="52" t="str">
        <f t="shared" si="185"/>
        <v>-</v>
      </c>
      <c r="G275" s="52" t="str">
        <f t="shared" si="185"/>
        <v>-</v>
      </c>
      <c r="H275" s="52" t="str">
        <f t="shared" si="185"/>
        <v>-</v>
      </c>
      <c r="I275" s="52" t="str">
        <f t="shared" si="185"/>
        <v>-</v>
      </c>
      <c r="J275" s="52" t="str">
        <f t="shared" si="185"/>
        <v>-</v>
      </c>
    </row>
    <row r="276" spans="2:10" x14ac:dyDescent="0.35">
      <c r="B276" s="54">
        <f t="shared" si="176"/>
        <v>91</v>
      </c>
      <c r="C276" s="18"/>
      <c r="D276" s="18"/>
      <c r="E276" s="52" t="str">
        <f t="shared" ref="E276:J276" si="186">IFERROR(E277,"-")</f>
        <v>-</v>
      </c>
      <c r="F276" s="52" t="str">
        <f t="shared" si="186"/>
        <v>-</v>
      </c>
      <c r="G276" s="52" t="str">
        <f t="shared" si="186"/>
        <v>-</v>
      </c>
      <c r="H276" s="52" t="str">
        <f t="shared" si="186"/>
        <v>-</v>
      </c>
      <c r="I276" s="52" t="str">
        <f t="shared" si="186"/>
        <v>-</v>
      </c>
      <c r="J276" s="52" t="str">
        <f t="shared" si="186"/>
        <v>-</v>
      </c>
    </row>
    <row r="277" spans="2:10" x14ac:dyDescent="0.35">
      <c r="B277" s="54">
        <f t="shared" si="176"/>
        <v>91</v>
      </c>
      <c r="C277" s="18"/>
      <c r="D277" s="18"/>
      <c r="E277" s="53" t="str">
        <f t="array" ref="E277">IFERROR(IF(Kanban!$C$7="All",INDEX(Calc!$F$8:$F$500,MATCH(INDEX(Calc!$D$8:$D$500,MATCH(SMALL(IF((Calc!$K$8:$K$500=Kanban!C$11)*(Calc!$Y$8:$Y$500&gt;0),Calc!$Y$8:$Y$500,99999),$B275),Calc!$Y$8:$Y$500,0)),Calc!$D$8:$D$500,0)),
INDEX(Calc!$F$8:$F$500,MATCH(INDEX(Calc!$D$8:$D$500,MATCH(SMALL(IF((Calc!$K$8:$K$500=Kanban!C$11)*(Calc!$C$8:$C$500=Kanban!$C$7)*(Calc!$Y$8:$Y$500&gt;0),Calc!$Y$8:$Y$500,99999),$B275),Calc!$Y$8:$Y$500,0)),Calc!$D$8:$D$500,0)) ),"-")</f>
        <v>-</v>
      </c>
      <c r="F277" s="53" t="str">
        <f t="array" ref="F277">IFERROR(IF(Kanban!$C$7="All",INDEX(Calc!$F$8:$F$500,MATCH(INDEX(Calc!$D$8:$D$500,MATCH(SMALL(IF((Calc!$K$8:$K$500=Kanban!D$11)*(Calc!$Y$8:$Y$500&gt;0),Calc!$Y$8:$Y$500,99999),$B275),Calc!$Y$8:$Y$500,0)),Calc!$D$8:$D$500,0)),
INDEX(Calc!$F$8:$F$500,MATCH(INDEX(Calc!$D$8:$D$500,MATCH(SMALL(IF((Calc!$K$8:$K$500=Kanban!D$11)*(Calc!$C$8:$C$500=Kanban!$C$7)*(Calc!$Y$8:$Y$500&gt;0),Calc!$Y$8:$Y$500,99999),$B275),Calc!$Y$8:$Y$500,0)),Calc!$D$8:$D$500,0)) ),"-")</f>
        <v>-</v>
      </c>
      <c r="G277" s="53" t="str">
        <f t="array" ref="G277">IFERROR(IF(Kanban!$C$7="All",INDEX(Calc!$F$8:$F$500,MATCH(INDEX(Calc!$D$8:$D$500,MATCH(SMALL(IF((Calc!$K$8:$K$500=Kanban!E$11)*(Calc!$Y$8:$Y$500&gt;0),Calc!$Y$8:$Y$500,99999),$B275),Calc!$Y$8:$Y$500,0)),Calc!$D$8:$D$500,0)),
INDEX(Calc!$F$8:$F$500,MATCH(INDEX(Calc!$D$8:$D$500,MATCH(SMALL(IF((Calc!$K$8:$K$500=Kanban!E$11)*(Calc!$C$8:$C$500=Kanban!$C$7)*(Calc!$Y$8:$Y$500&gt;0),Calc!$Y$8:$Y$500,99999),$B275),Calc!$Y$8:$Y$500,0)),Calc!$D$8:$D$500,0)) ),"-")</f>
        <v>-</v>
      </c>
      <c r="H277" s="53" t="str">
        <f t="array" ref="H277">IFERROR(IF(Kanban!$C$7="All",INDEX(Calc!$F$8:$F$500,MATCH(INDEX(Calc!$D$8:$D$500,MATCH(SMALL(IF((Calc!$K$8:$K$500=Kanban!F$11)*(Calc!$Y$8:$Y$500&gt;0),Calc!$Y$8:$Y$500,99999),$B275),Calc!$Y$8:$Y$500,0)),Calc!$D$8:$D$500,0)),
INDEX(Calc!$F$8:$F$500,MATCH(INDEX(Calc!$D$8:$D$500,MATCH(SMALL(IF((Calc!$K$8:$K$500=Kanban!F$11)*(Calc!$C$8:$C$500=Kanban!$C$7)*(Calc!$Y$8:$Y$500&gt;0),Calc!$Y$8:$Y$500,99999),$B275),Calc!$Y$8:$Y$500,0)),Calc!$D$8:$D$500,0)) ),"-")</f>
        <v>-</v>
      </c>
      <c r="I277" s="53" t="str">
        <f t="array" ref="I277">IFERROR(IF(Kanban!$C$7="All",INDEX(Calc!$F$8:$F$500,MATCH(INDEX(Calc!$D$8:$D$500,MATCH(SMALL(IF((Calc!$K$8:$K$500=Kanban!G$11)*(Calc!$Y$8:$Y$500&gt;0),Calc!$Y$8:$Y$500,99999),$B275),Calc!$Y$8:$Y$500,0)),Calc!$D$8:$D$500,0)),
INDEX(Calc!$F$8:$F$500,MATCH(INDEX(Calc!$D$8:$D$500,MATCH(SMALL(IF((Calc!$K$8:$K$500=Kanban!G$11)*(Calc!$C$8:$C$500=Kanban!$C$7)*(Calc!$Y$8:$Y$500&gt;0),Calc!$Y$8:$Y$500,99999),$B275),Calc!$Y$8:$Y$500,0)),Calc!$D$8:$D$500,0)) ),"-")</f>
        <v>-</v>
      </c>
      <c r="J277" s="53" t="str">
        <f t="array" ref="J277">IFERROR(IF(Kanban!$C$7="All",INDEX(Calc!$F$8:$F$500,MATCH(INDEX(Calc!$D$8:$D$500,MATCH(SMALL(IF((Calc!$K$8:$K$500=Kanban!H$11)*(Calc!$Y$8:$Y$500&gt;0),Calc!$Y$8:$Y$500,99999),$B275),Calc!$Y$8:$Y$500,0)),Calc!$D$8:$D$500,0)),
INDEX(Calc!$F$8:$F$500,MATCH(INDEX(Calc!$D$8:$D$500,MATCH(SMALL(IF((Calc!$K$8:$K$500=Kanban!H$11)*(Calc!$C$8:$C$500=Kanban!$C$7)*(Calc!$Y$8:$Y$500&gt;0),Calc!$Y$8:$Y$500,99999),$B275),Calc!$Y$8:$Y$500,0)),Calc!$D$8:$D$500,0)) ),"-")</f>
        <v>-</v>
      </c>
    </row>
    <row r="278" spans="2:10" x14ac:dyDescent="0.35">
      <c r="B278" s="54">
        <f t="shared" si="176"/>
        <v>92</v>
      </c>
      <c r="C278" s="18"/>
      <c r="D278" s="18"/>
      <c r="E278" s="52" t="str">
        <f t="shared" ref="E278:J278" si="187">IFERROR(E280,"-")</f>
        <v>-</v>
      </c>
      <c r="F278" s="52" t="str">
        <f t="shared" si="187"/>
        <v>-</v>
      </c>
      <c r="G278" s="52" t="str">
        <f t="shared" si="187"/>
        <v>-</v>
      </c>
      <c r="H278" s="52" t="str">
        <f t="shared" si="187"/>
        <v>-</v>
      </c>
      <c r="I278" s="52" t="str">
        <f t="shared" si="187"/>
        <v>-</v>
      </c>
      <c r="J278" s="52" t="str">
        <f t="shared" si="187"/>
        <v>-</v>
      </c>
    </row>
    <row r="279" spans="2:10" x14ac:dyDescent="0.35">
      <c r="B279" s="54">
        <f t="shared" si="176"/>
        <v>92</v>
      </c>
      <c r="C279" s="18"/>
      <c r="D279" s="18"/>
      <c r="E279" s="52" t="str">
        <f t="shared" ref="E279:J279" si="188">IFERROR(E280,"-")</f>
        <v>-</v>
      </c>
      <c r="F279" s="52" t="str">
        <f t="shared" si="188"/>
        <v>-</v>
      </c>
      <c r="G279" s="52" t="str">
        <f t="shared" si="188"/>
        <v>-</v>
      </c>
      <c r="H279" s="52" t="str">
        <f t="shared" si="188"/>
        <v>-</v>
      </c>
      <c r="I279" s="52" t="str">
        <f t="shared" si="188"/>
        <v>-</v>
      </c>
      <c r="J279" s="52" t="str">
        <f t="shared" si="188"/>
        <v>-</v>
      </c>
    </row>
    <row r="280" spans="2:10" x14ac:dyDescent="0.35">
      <c r="B280" s="54">
        <f t="shared" si="176"/>
        <v>92</v>
      </c>
      <c r="C280" s="18"/>
      <c r="D280" s="18"/>
      <c r="E280" s="53" t="str">
        <f t="array" ref="E280">IFERROR(IF(Kanban!$C$7="All",INDEX(Calc!$F$8:$F$500,MATCH(INDEX(Calc!$D$8:$D$500,MATCH(SMALL(IF((Calc!$K$8:$K$500=Kanban!C$11)*(Calc!$Y$8:$Y$500&gt;0),Calc!$Y$8:$Y$500,99999),$B278),Calc!$Y$8:$Y$500,0)),Calc!$D$8:$D$500,0)),
INDEX(Calc!$F$8:$F$500,MATCH(INDEX(Calc!$D$8:$D$500,MATCH(SMALL(IF((Calc!$K$8:$K$500=Kanban!C$11)*(Calc!$C$8:$C$500=Kanban!$C$7)*(Calc!$Y$8:$Y$500&gt;0),Calc!$Y$8:$Y$500,99999),$B278),Calc!$Y$8:$Y$500,0)),Calc!$D$8:$D$500,0)) ),"-")</f>
        <v>-</v>
      </c>
      <c r="F280" s="53" t="str">
        <f t="array" ref="F280">IFERROR(IF(Kanban!$C$7="All",INDEX(Calc!$F$8:$F$500,MATCH(INDEX(Calc!$D$8:$D$500,MATCH(SMALL(IF((Calc!$K$8:$K$500=Kanban!D$11)*(Calc!$Y$8:$Y$500&gt;0),Calc!$Y$8:$Y$500,99999),$B278),Calc!$Y$8:$Y$500,0)),Calc!$D$8:$D$500,0)),
INDEX(Calc!$F$8:$F$500,MATCH(INDEX(Calc!$D$8:$D$500,MATCH(SMALL(IF((Calc!$K$8:$K$500=Kanban!D$11)*(Calc!$C$8:$C$500=Kanban!$C$7)*(Calc!$Y$8:$Y$500&gt;0),Calc!$Y$8:$Y$500,99999),$B278),Calc!$Y$8:$Y$500,0)),Calc!$D$8:$D$500,0)) ),"-")</f>
        <v>-</v>
      </c>
      <c r="G280" s="53" t="str">
        <f t="array" ref="G280">IFERROR(IF(Kanban!$C$7="All",INDEX(Calc!$F$8:$F$500,MATCH(INDEX(Calc!$D$8:$D$500,MATCH(SMALL(IF((Calc!$K$8:$K$500=Kanban!E$11)*(Calc!$Y$8:$Y$500&gt;0),Calc!$Y$8:$Y$500,99999),$B278),Calc!$Y$8:$Y$500,0)),Calc!$D$8:$D$500,0)),
INDEX(Calc!$F$8:$F$500,MATCH(INDEX(Calc!$D$8:$D$500,MATCH(SMALL(IF((Calc!$K$8:$K$500=Kanban!E$11)*(Calc!$C$8:$C$500=Kanban!$C$7)*(Calc!$Y$8:$Y$500&gt;0),Calc!$Y$8:$Y$500,99999),$B278),Calc!$Y$8:$Y$500,0)),Calc!$D$8:$D$500,0)) ),"-")</f>
        <v>-</v>
      </c>
      <c r="H280" s="53" t="str">
        <f t="array" ref="H280">IFERROR(IF(Kanban!$C$7="All",INDEX(Calc!$F$8:$F$500,MATCH(INDEX(Calc!$D$8:$D$500,MATCH(SMALL(IF((Calc!$K$8:$K$500=Kanban!F$11)*(Calc!$Y$8:$Y$500&gt;0),Calc!$Y$8:$Y$500,99999),$B278),Calc!$Y$8:$Y$500,0)),Calc!$D$8:$D$500,0)),
INDEX(Calc!$F$8:$F$500,MATCH(INDEX(Calc!$D$8:$D$500,MATCH(SMALL(IF((Calc!$K$8:$K$500=Kanban!F$11)*(Calc!$C$8:$C$500=Kanban!$C$7)*(Calc!$Y$8:$Y$500&gt;0),Calc!$Y$8:$Y$500,99999),$B278),Calc!$Y$8:$Y$500,0)),Calc!$D$8:$D$500,0)) ),"-")</f>
        <v>-</v>
      </c>
      <c r="I280" s="53" t="str">
        <f t="array" ref="I280">IFERROR(IF(Kanban!$C$7="All",INDEX(Calc!$F$8:$F$500,MATCH(INDEX(Calc!$D$8:$D$500,MATCH(SMALL(IF((Calc!$K$8:$K$500=Kanban!G$11)*(Calc!$Y$8:$Y$500&gt;0),Calc!$Y$8:$Y$500,99999),$B278),Calc!$Y$8:$Y$500,0)),Calc!$D$8:$D$500,0)),
INDEX(Calc!$F$8:$F$500,MATCH(INDEX(Calc!$D$8:$D$500,MATCH(SMALL(IF((Calc!$K$8:$K$500=Kanban!G$11)*(Calc!$C$8:$C$500=Kanban!$C$7)*(Calc!$Y$8:$Y$500&gt;0),Calc!$Y$8:$Y$500,99999),$B278),Calc!$Y$8:$Y$500,0)),Calc!$D$8:$D$500,0)) ),"-")</f>
        <v>-</v>
      </c>
      <c r="J280" s="53" t="str">
        <f t="array" ref="J280">IFERROR(IF(Kanban!$C$7="All",INDEX(Calc!$F$8:$F$500,MATCH(INDEX(Calc!$D$8:$D$500,MATCH(SMALL(IF((Calc!$K$8:$K$500=Kanban!H$11)*(Calc!$Y$8:$Y$500&gt;0),Calc!$Y$8:$Y$500,99999),$B278),Calc!$Y$8:$Y$500,0)),Calc!$D$8:$D$500,0)),
INDEX(Calc!$F$8:$F$500,MATCH(INDEX(Calc!$D$8:$D$500,MATCH(SMALL(IF((Calc!$K$8:$K$500=Kanban!H$11)*(Calc!$C$8:$C$500=Kanban!$C$7)*(Calc!$Y$8:$Y$500&gt;0),Calc!$Y$8:$Y$500,99999),$B278),Calc!$Y$8:$Y$500,0)),Calc!$D$8:$D$500,0)) ),"-")</f>
        <v>-</v>
      </c>
    </row>
    <row r="281" spans="2:10" x14ac:dyDescent="0.35">
      <c r="B281" s="54">
        <f t="shared" si="176"/>
        <v>93</v>
      </c>
      <c r="C281" s="18"/>
      <c r="D281" s="18"/>
      <c r="E281" s="52" t="str">
        <f t="shared" ref="E281:J281" si="189">IFERROR(E283,"-")</f>
        <v>-</v>
      </c>
      <c r="F281" s="52" t="str">
        <f t="shared" si="189"/>
        <v>-</v>
      </c>
      <c r="G281" s="52" t="str">
        <f t="shared" si="189"/>
        <v>-</v>
      </c>
      <c r="H281" s="52" t="str">
        <f t="shared" si="189"/>
        <v>-</v>
      </c>
      <c r="I281" s="52" t="str">
        <f t="shared" si="189"/>
        <v>-</v>
      </c>
      <c r="J281" s="52" t="str">
        <f t="shared" si="189"/>
        <v>-</v>
      </c>
    </row>
    <row r="282" spans="2:10" x14ac:dyDescent="0.35">
      <c r="B282" s="54">
        <f t="shared" si="176"/>
        <v>93</v>
      </c>
      <c r="C282" s="18"/>
      <c r="D282" s="18"/>
      <c r="E282" s="52" t="str">
        <f t="shared" ref="E282:J282" si="190">IFERROR(E283,"-")</f>
        <v>-</v>
      </c>
      <c r="F282" s="52" t="str">
        <f t="shared" si="190"/>
        <v>-</v>
      </c>
      <c r="G282" s="52" t="str">
        <f t="shared" si="190"/>
        <v>-</v>
      </c>
      <c r="H282" s="52" t="str">
        <f t="shared" si="190"/>
        <v>-</v>
      </c>
      <c r="I282" s="52" t="str">
        <f t="shared" si="190"/>
        <v>-</v>
      </c>
      <c r="J282" s="52" t="str">
        <f t="shared" si="190"/>
        <v>-</v>
      </c>
    </row>
    <row r="283" spans="2:10" x14ac:dyDescent="0.35">
      <c r="B283" s="54">
        <f t="shared" si="176"/>
        <v>93</v>
      </c>
      <c r="C283" s="18"/>
      <c r="D283" s="18"/>
      <c r="E283" s="53" t="str">
        <f t="array" ref="E283">IFERROR(IF(Kanban!$C$7="All",INDEX(Calc!$F$8:$F$500,MATCH(INDEX(Calc!$D$8:$D$500,MATCH(SMALL(IF((Calc!$K$8:$K$500=Kanban!C$11)*(Calc!$Y$8:$Y$500&gt;0),Calc!$Y$8:$Y$500,99999),$B281),Calc!$Y$8:$Y$500,0)),Calc!$D$8:$D$500,0)),
INDEX(Calc!$F$8:$F$500,MATCH(INDEX(Calc!$D$8:$D$500,MATCH(SMALL(IF((Calc!$K$8:$K$500=Kanban!C$11)*(Calc!$C$8:$C$500=Kanban!$C$7)*(Calc!$Y$8:$Y$500&gt;0),Calc!$Y$8:$Y$500,99999),$B281),Calc!$Y$8:$Y$500,0)),Calc!$D$8:$D$500,0)) ),"-")</f>
        <v>-</v>
      </c>
      <c r="F283" s="53" t="str">
        <f t="array" ref="F283">IFERROR(IF(Kanban!$C$7="All",INDEX(Calc!$F$8:$F$500,MATCH(INDEX(Calc!$D$8:$D$500,MATCH(SMALL(IF((Calc!$K$8:$K$500=Kanban!D$11)*(Calc!$Y$8:$Y$500&gt;0),Calc!$Y$8:$Y$500,99999),$B281),Calc!$Y$8:$Y$500,0)),Calc!$D$8:$D$500,0)),
INDEX(Calc!$F$8:$F$500,MATCH(INDEX(Calc!$D$8:$D$500,MATCH(SMALL(IF((Calc!$K$8:$K$500=Kanban!D$11)*(Calc!$C$8:$C$500=Kanban!$C$7)*(Calc!$Y$8:$Y$500&gt;0),Calc!$Y$8:$Y$500,99999),$B281),Calc!$Y$8:$Y$500,0)),Calc!$D$8:$D$500,0)) ),"-")</f>
        <v>-</v>
      </c>
      <c r="G283" s="53" t="str">
        <f t="array" ref="G283">IFERROR(IF(Kanban!$C$7="All",INDEX(Calc!$F$8:$F$500,MATCH(INDEX(Calc!$D$8:$D$500,MATCH(SMALL(IF((Calc!$K$8:$K$500=Kanban!E$11)*(Calc!$Y$8:$Y$500&gt;0),Calc!$Y$8:$Y$500,99999),$B281),Calc!$Y$8:$Y$500,0)),Calc!$D$8:$D$500,0)),
INDEX(Calc!$F$8:$F$500,MATCH(INDEX(Calc!$D$8:$D$500,MATCH(SMALL(IF((Calc!$K$8:$K$500=Kanban!E$11)*(Calc!$C$8:$C$500=Kanban!$C$7)*(Calc!$Y$8:$Y$500&gt;0),Calc!$Y$8:$Y$500,99999),$B281),Calc!$Y$8:$Y$500,0)),Calc!$D$8:$D$500,0)) ),"-")</f>
        <v>-</v>
      </c>
      <c r="H283" s="53" t="str">
        <f t="array" ref="H283">IFERROR(IF(Kanban!$C$7="All",INDEX(Calc!$F$8:$F$500,MATCH(INDEX(Calc!$D$8:$D$500,MATCH(SMALL(IF((Calc!$K$8:$K$500=Kanban!F$11)*(Calc!$Y$8:$Y$500&gt;0),Calc!$Y$8:$Y$500,99999),$B281),Calc!$Y$8:$Y$500,0)),Calc!$D$8:$D$500,0)),
INDEX(Calc!$F$8:$F$500,MATCH(INDEX(Calc!$D$8:$D$500,MATCH(SMALL(IF((Calc!$K$8:$K$500=Kanban!F$11)*(Calc!$C$8:$C$500=Kanban!$C$7)*(Calc!$Y$8:$Y$500&gt;0),Calc!$Y$8:$Y$500,99999),$B281),Calc!$Y$8:$Y$500,0)),Calc!$D$8:$D$500,0)) ),"-")</f>
        <v>-</v>
      </c>
      <c r="I283" s="53" t="str">
        <f t="array" ref="I283">IFERROR(IF(Kanban!$C$7="All",INDEX(Calc!$F$8:$F$500,MATCH(INDEX(Calc!$D$8:$D$500,MATCH(SMALL(IF((Calc!$K$8:$K$500=Kanban!G$11)*(Calc!$Y$8:$Y$500&gt;0),Calc!$Y$8:$Y$500,99999),$B281),Calc!$Y$8:$Y$500,0)),Calc!$D$8:$D$500,0)),
INDEX(Calc!$F$8:$F$500,MATCH(INDEX(Calc!$D$8:$D$500,MATCH(SMALL(IF((Calc!$K$8:$K$500=Kanban!G$11)*(Calc!$C$8:$C$500=Kanban!$C$7)*(Calc!$Y$8:$Y$500&gt;0),Calc!$Y$8:$Y$500,99999),$B281),Calc!$Y$8:$Y$500,0)),Calc!$D$8:$D$500,0)) ),"-")</f>
        <v>-</v>
      </c>
      <c r="J283" s="53" t="str">
        <f t="array" ref="J283">IFERROR(IF(Kanban!$C$7="All",INDEX(Calc!$F$8:$F$500,MATCH(INDEX(Calc!$D$8:$D$500,MATCH(SMALL(IF((Calc!$K$8:$K$500=Kanban!H$11)*(Calc!$Y$8:$Y$500&gt;0),Calc!$Y$8:$Y$500,99999),$B281),Calc!$Y$8:$Y$500,0)),Calc!$D$8:$D$500,0)),
INDEX(Calc!$F$8:$F$500,MATCH(INDEX(Calc!$D$8:$D$500,MATCH(SMALL(IF((Calc!$K$8:$K$500=Kanban!H$11)*(Calc!$C$8:$C$500=Kanban!$C$7)*(Calc!$Y$8:$Y$500&gt;0),Calc!$Y$8:$Y$500,99999),$B281),Calc!$Y$8:$Y$500,0)),Calc!$D$8:$D$500,0)) ),"-")</f>
        <v>-</v>
      </c>
    </row>
    <row r="284" spans="2:10" x14ac:dyDescent="0.35">
      <c r="B284" s="54">
        <f t="shared" si="176"/>
        <v>94</v>
      </c>
      <c r="C284" s="18"/>
      <c r="D284" s="18"/>
      <c r="E284" s="52" t="str">
        <f t="shared" ref="E284:J284" si="191">IFERROR(E286,"-")</f>
        <v>-</v>
      </c>
      <c r="F284" s="52" t="str">
        <f t="shared" si="191"/>
        <v>-</v>
      </c>
      <c r="G284" s="52" t="str">
        <f t="shared" si="191"/>
        <v>-</v>
      </c>
      <c r="H284" s="52" t="str">
        <f t="shared" si="191"/>
        <v>-</v>
      </c>
      <c r="I284" s="52" t="str">
        <f t="shared" si="191"/>
        <v>-</v>
      </c>
      <c r="J284" s="52" t="str">
        <f t="shared" si="191"/>
        <v>-</v>
      </c>
    </row>
    <row r="285" spans="2:10" x14ac:dyDescent="0.35">
      <c r="B285" s="54">
        <f t="shared" si="176"/>
        <v>94</v>
      </c>
      <c r="C285" s="18"/>
      <c r="D285" s="18"/>
      <c r="E285" s="52" t="str">
        <f t="shared" ref="E285:J285" si="192">IFERROR(E286,"-")</f>
        <v>-</v>
      </c>
      <c r="F285" s="52" t="str">
        <f t="shared" si="192"/>
        <v>-</v>
      </c>
      <c r="G285" s="52" t="str">
        <f t="shared" si="192"/>
        <v>-</v>
      </c>
      <c r="H285" s="52" t="str">
        <f t="shared" si="192"/>
        <v>-</v>
      </c>
      <c r="I285" s="52" t="str">
        <f t="shared" si="192"/>
        <v>-</v>
      </c>
      <c r="J285" s="52" t="str">
        <f t="shared" si="192"/>
        <v>-</v>
      </c>
    </row>
    <row r="286" spans="2:10" x14ac:dyDescent="0.35">
      <c r="B286" s="54">
        <f t="shared" si="176"/>
        <v>94</v>
      </c>
      <c r="C286" s="18"/>
      <c r="D286" s="18"/>
      <c r="E286" s="53" t="str">
        <f t="array" ref="E286">IFERROR(IF(Kanban!$C$7="All",INDEX(Calc!$F$8:$F$500,MATCH(INDEX(Calc!$D$8:$D$500,MATCH(SMALL(IF((Calc!$K$8:$K$500=Kanban!C$11)*(Calc!$Y$8:$Y$500&gt;0),Calc!$Y$8:$Y$500,99999),$B284),Calc!$Y$8:$Y$500,0)),Calc!$D$8:$D$500,0)),
INDEX(Calc!$F$8:$F$500,MATCH(INDEX(Calc!$D$8:$D$500,MATCH(SMALL(IF((Calc!$K$8:$K$500=Kanban!C$11)*(Calc!$C$8:$C$500=Kanban!$C$7)*(Calc!$Y$8:$Y$500&gt;0),Calc!$Y$8:$Y$500,99999),$B284),Calc!$Y$8:$Y$500,0)),Calc!$D$8:$D$500,0)) ),"-")</f>
        <v>-</v>
      </c>
      <c r="F286" s="53" t="str">
        <f t="array" ref="F286">IFERROR(IF(Kanban!$C$7="All",INDEX(Calc!$F$8:$F$500,MATCH(INDEX(Calc!$D$8:$D$500,MATCH(SMALL(IF((Calc!$K$8:$K$500=Kanban!D$11)*(Calc!$Y$8:$Y$500&gt;0),Calc!$Y$8:$Y$500,99999),$B284),Calc!$Y$8:$Y$500,0)),Calc!$D$8:$D$500,0)),
INDEX(Calc!$F$8:$F$500,MATCH(INDEX(Calc!$D$8:$D$500,MATCH(SMALL(IF((Calc!$K$8:$K$500=Kanban!D$11)*(Calc!$C$8:$C$500=Kanban!$C$7)*(Calc!$Y$8:$Y$500&gt;0),Calc!$Y$8:$Y$500,99999),$B284),Calc!$Y$8:$Y$500,0)),Calc!$D$8:$D$500,0)) ),"-")</f>
        <v>-</v>
      </c>
      <c r="G286" s="53" t="str">
        <f t="array" ref="G286">IFERROR(IF(Kanban!$C$7="All",INDEX(Calc!$F$8:$F$500,MATCH(INDEX(Calc!$D$8:$D$500,MATCH(SMALL(IF((Calc!$K$8:$K$500=Kanban!E$11)*(Calc!$Y$8:$Y$500&gt;0),Calc!$Y$8:$Y$500,99999),$B284),Calc!$Y$8:$Y$500,0)),Calc!$D$8:$D$500,0)),
INDEX(Calc!$F$8:$F$500,MATCH(INDEX(Calc!$D$8:$D$500,MATCH(SMALL(IF((Calc!$K$8:$K$500=Kanban!E$11)*(Calc!$C$8:$C$500=Kanban!$C$7)*(Calc!$Y$8:$Y$500&gt;0),Calc!$Y$8:$Y$500,99999),$B284),Calc!$Y$8:$Y$500,0)),Calc!$D$8:$D$500,0)) ),"-")</f>
        <v>-</v>
      </c>
      <c r="H286" s="53" t="str">
        <f t="array" ref="H286">IFERROR(IF(Kanban!$C$7="All",INDEX(Calc!$F$8:$F$500,MATCH(INDEX(Calc!$D$8:$D$500,MATCH(SMALL(IF((Calc!$K$8:$K$500=Kanban!F$11)*(Calc!$Y$8:$Y$500&gt;0),Calc!$Y$8:$Y$500,99999),$B284),Calc!$Y$8:$Y$500,0)),Calc!$D$8:$D$500,0)),
INDEX(Calc!$F$8:$F$500,MATCH(INDEX(Calc!$D$8:$D$500,MATCH(SMALL(IF((Calc!$K$8:$K$500=Kanban!F$11)*(Calc!$C$8:$C$500=Kanban!$C$7)*(Calc!$Y$8:$Y$500&gt;0),Calc!$Y$8:$Y$500,99999),$B284),Calc!$Y$8:$Y$500,0)),Calc!$D$8:$D$500,0)) ),"-")</f>
        <v>-</v>
      </c>
      <c r="I286" s="53" t="str">
        <f t="array" ref="I286">IFERROR(IF(Kanban!$C$7="All",INDEX(Calc!$F$8:$F$500,MATCH(INDEX(Calc!$D$8:$D$500,MATCH(SMALL(IF((Calc!$K$8:$K$500=Kanban!G$11)*(Calc!$Y$8:$Y$500&gt;0),Calc!$Y$8:$Y$500,99999),$B284),Calc!$Y$8:$Y$500,0)),Calc!$D$8:$D$500,0)),
INDEX(Calc!$F$8:$F$500,MATCH(INDEX(Calc!$D$8:$D$500,MATCH(SMALL(IF((Calc!$K$8:$K$500=Kanban!G$11)*(Calc!$C$8:$C$500=Kanban!$C$7)*(Calc!$Y$8:$Y$500&gt;0),Calc!$Y$8:$Y$500,99999),$B284),Calc!$Y$8:$Y$500,0)),Calc!$D$8:$D$500,0)) ),"-")</f>
        <v>-</v>
      </c>
      <c r="J286" s="53" t="str">
        <f t="array" ref="J286">IFERROR(IF(Kanban!$C$7="All",INDEX(Calc!$F$8:$F$500,MATCH(INDEX(Calc!$D$8:$D$500,MATCH(SMALL(IF((Calc!$K$8:$K$500=Kanban!H$11)*(Calc!$Y$8:$Y$500&gt;0),Calc!$Y$8:$Y$500,99999),$B284),Calc!$Y$8:$Y$500,0)),Calc!$D$8:$D$500,0)),
INDEX(Calc!$F$8:$F$500,MATCH(INDEX(Calc!$D$8:$D$500,MATCH(SMALL(IF((Calc!$K$8:$K$500=Kanban!H$11)*(Calc!$C$8:$C$500=Kanban!$C$7)*(Calc!$Y$8:$Y$500&gt;0),Calc!$Y$8:$Y$500,99999),$B284),Calc!$Y$8:$Y$500,0)),Calc!$D$8:$D$500,0)) ),"-")</f>
        <v>-</v>
      </c>
    </row>
    <row r="287" spans="2:10" x14ac:dyDescent="0.35">
      <c r="B287" s="54">
        <f t="shared" si="176"/>
        <v>95</v>
      </c>
      <c r="C287" s="18"/>
      <c r="D287" s="18"/>
      <c r="E287" s="52" t="str">
        <f t="shared" ref="E287:J287" si="193">IFERROR(E289,"-")</f>
        <v>-</v>
      </c>
      <c r="F287" s="52" t="str">
        <f t="shared" si="193"/>
        <v>-</v>
      </c>
      <c r="G287" s="52" t="str">
        <f t="shared" si="193"/>
        <v>-</v>
      </c>
      <c r="H287" s="52" t="str">
        <f t="shared" si="193"/>
        <v>-</v>
      </c>
      <c r="I287" s="52" t="str">
        <f t="shared" si="193"/>
        <v>-</v>
      </c>
      <c r="J287" s="52" t="str">
        <f t="shared" si="193"/>
        <v>-</v>
      </c>
    </row>
    <row r="288" spans="2:10" x14ac:dyDescent="0.35">
      <c r="B288" s="54">
        <f t="shared" si="176"/>
        <v>95</v>
      </c>
      <c r="C288" s="18"/>
      <c r="D288" s="18"/>
      <c r="E288" s="52" t="str">
        <f t="shared" ref="E288:J288" si="194">IFERROR(E289,"-")</f>
        <v>-</v>
      </c>
      <c r="F288" s="52" t="str">
        <f t="shared" si="194"/>
        <v>-</v>
      </c>
      <c r="G288" s="52" t="str">
        <f t="shared" si="194"/>
        <v>-</v>
      </c>
      <c r="H288" s="52" t="str">
        <f t="shared" si="194"/>
        <v>-</v>
      </c>
      <c r="I288" s="52" t="str">
        <f t="shared" si="194"/>
        <v>-</v>
      </c>
      <c r="J288" s="52" t="str">
        <f t="shared" si="194"/>
        <v>-</v>
      </c>
    </row>
    <row r="289" spans="2:10" x14ac:dyDescent="0.35">
      <c r="B289" s="54">
        <f t="shared" si="176"/>
        <v>95</v>
      </c>
      <c r="C289" s="18"/>
      <c r="D289" s="18"/>
      <c r="E289" s="53" t="str">
        <f t="array" ref="E289">IFERROR(IF(Kanban!$C$7="All",INDEX(Calc!$F$8:$F$500,MATCH(INDEX(Calc!$D$8:$D$500,MATCH(SMALL(IF((Calc!$K$8:$K$500=Kanban!C$11)*(Calc!$Y$8:$Y$500&gt;0),Calc!$Y$8:$Y$500,99999),$B287),Calc!$Y$8:$Y$500,0)),Calc!$D$8:$D$500,0)),
INDEX(Calc!$F$8:$F$500,MATCH(INDEX(Calc!$D$8:$D$500,MATCH(SMALL(IF((Calc!$K$8:$K$500=Kanban!C$11)*(Calc!$C$8:$C$500=Kanban!$C$7)*(Calc!$Y$8:$Y$500&gt;0),Calc!$Y$8:$Y$500,99999),$B287),Calc!$Y$8:$Y$500,0)),Calc!$D$8:$D$500,0)) ),"-")</f>
        <v>-</v>
      </c>
      <c r="F289" s="53" t="str">
        <f t="array" ref="F289">IFERROR(IF(Kanban!$C$7="All",INDEX(Calc!$F$8:$F$500,MATCH(INDEX(Calc!$D$8:$D$500,MATCH(SMALL(IF((Calc!$K$8:$K$500=Kanban!D$11)*(Calc!$Y$8:$Y$500&gt;0),Calc!$Y$8:$Y$500,99999),$B287),Calc!$Y$8:$Y$500,0)),Calc!$D$8:$D$500,0)),
INDEX(Calc!$F$8:$F$500,MATCH(INDEX(Calc!$D$8:$D$500,MATCH(SMALL(IF((Calc!$K$8:$K$500=Kanban!D$11)*(Calc!$C$8:$C$500=Kanban!$C$7)*(Calc!$Y$8:$Y$500&gt;0),Calc!$Y$8:$Y$500,99999),$B287),Calc!$Y$8:$Y$500,0)),Calc!$D$8:$D$500,0)) ),"-")</f>
        <v>-</v>
      </c>
      <c r="G289" s="53" t="str">
        <f t="array" ref="G289">IFERROR(IF(Kanban!$C$7="All",INDEX(Calc!$F$8:$F$500,MATCH(INDEX(Calc!$D$8:$D$500,MATCH(SMALL(IF((Calc!$K$8:$K$500=Kanban!E$11)*(Calc!$Y$8:$Y$500&gt;0),Calc!$Y$8:$Y$500,99999),$B287),Calc!$Y$8:$Y$500,0)),Calc!$D$8:$D$500,0)),
INDEX(Calc!$F$8:$F$500,MATCH(INDEX(Calc!$D$8:$D$500,MATCH(SMALL(IF((Calc!$K$8:$K$500=Kanban!E$11)*(Calc!$C$8:$C$500=Kanban!$C$7)*(Calc!$Y$8:$Y$500&gt;0),Calc!$Y$8:$Y$500,99999),$B287),Calc!$Y$8:$Y$500,0)),Calc!$D$8:$D$500,0)) ),"-")</f>
        <v>-</v>
      </c>
      <c r="H289" s="53" t="str">
        <f t="array" ref="H289">IFERROR(IF(Kanban!$C$7="All",INDEX(Calc!$F$8:$F$500,MATCH(INDEX(Calc!$D$8:$D$500,MATCH(SMALL(IF((Calc!$K$8:$K$500=Kanban!F$11)*(Calc!$Y$8:$Y$500&gt;0),Calc!$Y$8:$Y$500,99999),$B287),Calc!$Y$8:$Y$500,0)),Calc!$D$8:$D$500,0)),
INDEX(Calc!$F$8:$F$500,MATCH(INDEX(Calc!$D$8:$D$500,MATCH(SMALL(IF((Calc!$K$8:$K$500=Kanban!F$11)*(Calc!$C$8:$C$500=Kanban!$C$7)*(Calc!$Y$8:$Y$500&gt;0),Calc!$Y$8:$Y$500,99999),$B287),Calc!$Y$8:$Y$500,0)),Calc!$D$8:$D$500,0)) ),"-")</f>
        <v>-</v>
      </c>
      <c r="I289" s="53" t="str">
        <f t="array" ref="I289">IFERROR(IF(Kanban!$C$7="All",INDEX(Calc!$F$8:$F$500,MATCH(INDEX(Calc!$D$8:$D$500,MATCH(SMALL(IF((Calc!$K$8:$K$500=Kanban!G$11)*(Calc!$Y$8:$Y$500&gt;0),Calc!$Y$8:$Y$500,99999),$B287),Calc!$Y$8:$Y$500,0)),Calc!$D$8:$D$500,0)),
INDEX(Calc!$F$8:$F$500,MATCH(INDEX(Calc!$D$8:$D$500,MATCH(SMALL(IF((Calc!$K$8:$K$500=Kanban!G$11)*(Calc!$C$8:$C$500=Kanban!$C$7)*(Calc!$Y$8:$Y$500&gt;0),Calc!$Y$8:$Y$500,99999),$B287),Calc!$Y$8:$Y$500,0)),Calc!$D$8:$D$500,0)) ),"-")</f>
        <v>-</v>
      </c>
      <c r="J289" s="53" t="str">
        <f t="array" ref="J289">IFERROR(IF(Kanban!$C$7="All",INDEX(Calc!$F$8:$F$500,MATCH(INDEX(Calc!$D$8:$D$500,MATCH(SMALL(IF((Calc!$K$8:$K$500=Kanban!H$11)*(Calc!$Y$8:$Y$500&gt;0),Calc!$Y$8:$Y$500,99999),$B287),Calc!$Y$8:$Y$500,0)),Calc!$D$8:$D$500,0)),
INDEX(Calc!$F$8:$F$500,MATCH(INDEX(Calc!$D$8:$D$500,MATCH(SMALL(IF((Calc!$K$8:$K$500=Kanban!H$11)*(Calc!$C$8:$C$500=Kanban!$C$7)*(Calc!$Y$8:$Y$500&gt;0),Calc!$Y$8:$Y$500,99999),$B287),Calc!$Y$8:$Y$500,0)),Calc!$D$8:$D$500,0)) ),"-")</f>
        <v>-</v>
      </c>
    </row>
    <row r="290" spans="2:10" x14ac:dyDescent="0.35">
      <c r="B290" s="54">
        <f t="shared" si="176"/>
        <v>96</v>
      </c>
      <c r="C290" s="18"/>
      <c r="D290" s="18"/>
      <c r="E290" s="52" t="str">
        <f t="shared" ref="E290:J290" si="195">IFERROR(E292,"-")</f>
        <v>-</v>
      </c>
      <c r="F290" s="52" t="str">
        <f t="shared" si="195"/>
        <v>-</v>
      </c>
      <c r="G290" s="52" t="str">
        <f t="shared" si="195"/>
        <v>-</v>
      </c>
      <c r="H290" s="52" t="str">
        <f t="shared" si="195"/>
        <v>-</v>
      </c>
      <c r="I290" s="52" t="str">
        <f t="shared" si="195"/>
        <v>-</v>
      </c>
      <c r="J290" s="52" t="str">
        <f t="shared" si="195"/>
        <v>-</v>
      </c>
    </row>
    <row r="291" spans="2:10" x14ac:dyDescent="0.35">
      <c r="B291" s="54">
        <f t="shared" si="176"/>
        <v>96</v>
      </c>
      <c r="C291" s="18"/>
      <c r="D291" s="18"/>
      <c r="E291" s="52" t="str">
        <f t="shared" ref="E291:J291" si="196">IFERROR(E292,"-")</f>
        <v>-</v>
      </c>
      <c r="F291" s="52" t="str">
        <f t="shared" si="196"/>
        <v>-</v>
      </c>
      <c r="G291" s="52" t="str">
        <f t="shared" si="196"/>
        <v>-</v>
      </c>
      <c r="H291" s="52" t="str">
        <f t="shared" si="196"/>
        <v>-</v>
      </c>
      <c r="I291" s="52" t="str">
        <f t="shared" si="196"/>
        <v>-</v>
      </c>
      <c r="J291" s="52" t="str">
        <f t="shared" si="196"/>
        <v>-</v>
      </c>
    </row>
    <row r="292" spans="2:10" x14ac:dyDescent="0.35">
      <c r="B292" s="54">
        <f t="shared" si="176"/>
        <v>96</v>
      </c>
      <c r="C292" s="18"/>
      <c r="D292" s="18"/>
      <c r="E292" s="53" t="str">
        <f t="array" ref="E292">IFERROR(IF(Kanban!$C$7="All",INDEX(Calc!$F$8:$F$500,MATCH(INDEX(Calc!$D$8:$D$500,MATCH(SMALL(IF((Calc!$K$8:$K$500=Kanban!C$11)*(Calc!$Y$8:$Y$500&gt;0),Calc!$Y$8:$Y$500,99999),$B290),Calc!$Y$8:$Y$500,0)),Calc!$D$8:$D$500,0)),
INDEX(Calc!$F$8:$F$500,MATCH(INDEX(Calc!$D$8:$D$500,MATCH(SMALL(IF((Calc!$K$8:$K$500=Kanban!C$11)*(Calc!$C$8:$C$500=Kanban!$C$7)*(Calc!$Y$8:$Y$500&gt;0),Calc!$Y$8:$Y$500,99999),$B290),Calc!$Y$8:$Y$500,0)),Calc!$D$8:$D$500,0)) ),"-")</f>
        <v>-</v>
      </c>
      <c r="F292" s="53" t="str">
        <f t="array" ref="F292">IFERROR(IF(Kanban!$C$7="All",INDEX(Calc!$F$8:$F$500,MATCH(INDEX(Calc!$D$8:$D$500,MATCH(SMALL(IF((Calc!$K$8:$K$500=Kanban!D$11)*(Calc!$Y$8:$Y$500&gt;0),Calc!$Y$8:$Y$500,99999),$B290),Calc!$Y$8:$Y$500,0)),Calc!$D$8:$D$500,0)),
INDEX(Calc!$F$8:$F$500,MATCH(INDEX(Calc!$D$8:$D$500,MATCH(SMALL(IF((Calc!$K$8:$K$500=Kanban!D$11)*(Calc!$C$8:$C$500=Kanban!$C$7)*(Calc!$Y$8:$Y$500&gt;0),Calc!$Y$8:$Y$500,99999),$B290),Calc!$Y$8:$Y$500,0)),Calc!$D$8:$D$500,0)) ),"-")</f>
        <v>-</v>
      </c>
      <c r="G292" s="53" t="str">
        <f t="array" ref="G292">IFERROR(IF(Kanban!$C$7="All",INDEX(Calc!$F$8:$F$500,MATCH(INDEX(Calc!$D$8:$D$500,MATCH(SMALL(IF((Calc!$K$8:$K$500=Kanban!E$11)*(Calc!$Y$8:$Y$500&gt;0),Calc!$Y$8:$Y$500,99999),$B290),Calc!$Y$8:$Y$500,0)),Calc!$D$8:$D$500,0)),
INDEX(Calc!$F$8:$F$500,MATCH(INDEX(Calc!$D$8:$D$500,MATCH(SMALL(IF((Calc!$K$8:$K$500=Kanban!E$11)*(Calc!$C$8:$C$500=Kanban!$C$7)*(Calc!$Y$8:$Y$500&gt;0),Calc!$Y$8:$Y$500,99999),$B290),Calc!$Y$8:$Y$500,0)),Calc!$D$8:$D$500,0)) ),"-")</f>
        <v>-</v>
      </c>
      <c r="H292" s="53" t="str">
        <f t="array" ref="H292">IFERROR(IF(Kanban!$C$7="All",INDEX(Calc!$F$8:$F$500,MATCH(INDEX(Calc!$D$8:$D$500,MATCH(SMALL(IF((Calc!$K$8:$K$500=Kanban!F$11)*(Calc!$Y$8:$Y$500&gt;0),Calc!$Y$8:$Y$500,99999),$B290),Calc!$Y$8:$Y$500,0)),Calc!$D$8:$D$500,0)),
INDEX(Calc!$F$8:$F$500,MATCH(INDEX(Calc!$D$8:$D$500,MATCH(SMALL(IF((Calc!$K$8:$K$500=Kanban!F$11)*(Calc!$C$8:$C$500=Kanban!$C$7)*(Calc!$Y$8:$Y$500&gt;0),Calc!$Y$8:$Y$500,99999),$B290),Calc!$Y$8:$Y$500,0)),Calc!$D$8:$D$500,0)) ),"-")</f>
        <v>-</v>
      </c>
      <c r="I292" s="53" t="str">
        <f t="array" ref="I292">IFERROR(IF(Kanban!$C$7="All",INDEX(Calc!$F$8:$F$500,MATCH(INDEX(Calc!$D$8:$D$500,MATCH(SMALL(IF((Calc!$K$8:$K$500=Kanban!G$11)*(Calc!$Y$8:$Y$500&gt;0),Calc!$Y$8:$Y$500,99999),$B290),Calc!$Y$8:$Y$500,0)),Calc!$D$8:$D$500,0)),
INDEX(Calc!$F$8:$F$500,MATCH(INDEX(Calc!$D$8:$D$500,MATCH(SMALL(IF((Calc!$K$8:$K$500=Kanban!G$11)*(Calc!$C$8:$C$500=Kanban!$C$7)*(Calc!$Y$8:$Y$500&gt;0),Calc!$Y$8:$Y$500,99999),$B290),Calc!$Y$8:$Y$500,0)),Calc!$D$8:$D$500,0)) ),"-")</f>
        <v>-</v>
      </c>
      <c r="J292" s="53" t="str">
        <f t="array" ref="J292">IFERROR(IF(Kanban!$C$7="All",INDEX(Calc!$F$8:$F$500,MATCH(INDEX(Calc!$D$8:$D$500,MATCH(SMALL(IF((Calc!$K$8:$K$500=Kanban!H$11)*(Calc!$Y$8:$Y$500&gt;0),Calc!$Y$8:$Y$500,99999),$B290),Calc!$Y$8:$Y$500,0)),Calc!$D$8:$D$500,0)),
INDEX(Calc!$F$8:$F$500,MATCH(INDEX(Calc!$D$8:$D$500,MATCH(SMALL(IF((Calc!$K$8:$K$500=Kanban!H$11)*(Calc!$C$8:$C$500=Kanban!$C$7)*(Calc!$Y$8:$Y$500&gt;0),Calc!$Y$8:$Y$500,99999),$B290),Calc!$Y$8:$Y$500,0)),Calc!$D$8:$D$500,0)) ),"-")</f>
        <v>-</v>
      </c>
    </row>
    <row r="293" spans="2:10" x14ac:dyDescent="0.35">
      <c r="B293" s="54">
        <f t="shared" si="176"/>
        <v>97</v>
      </c>
      <c r="C293" s="18"/>
      <c r="D293" s="18"/>
      <c r="E293" s="52" t="str">
        <f t="shared" ref="E293:J293" si="197">IFERROR(E295,"-")</f>
        <v>-</v>
      </c>
      <c r="F293" s="52" t="str">
        <f t="shared" si="197"/>
        <v>-</v>
      </c>
      <c r="G293" s="52" t="str">
        <f t="shared" si="197"/>
        <v>-</v>
      </c>
      <c r="H293" s="52" t="str">
        <f t="shared" si="197"/>
        <v>-</v>
      </c>
      <c r="I293" s="52" t="str">
        <f t="shared" si="197"/>
        <v>-</v>
      </c>
      <c r="J293" s="52" t="str">
        <f t="shared" si="197"/>
        <v>-</v>
      </c>
    </row>
    <row r="294" spans="2:10" x14ac:dyDescent="0.35">
      <c r="B294" s="54">
        <f t="shared" si="176"/>
        <v>97</v>
      </c>
      <c r="C294" s="18"/>
      <c r="D294" s="18"/>
      <c r="E294" s="52" t="str">
        <f t="shared" ref="E294:J294" si="198">IFERROR(E295,"-")</f>
        <v>-</v>
      </c>
      <c r="F294" s="52" t="str">
        <f t="shared" si="198"/>
        <v>-</v>
      </c>
      <c r="G294" s="52" t="str">
        <f t="shared" si="198"/>
        <v>-</v>
      </c>
      <c r="H294" s="52" t="str">
        <f t="shared" si="198"/>
        <v>-</v>
      </c>
      <c r="I294" s="52" t="str">
        <f t="shared" si="198"/>
        <v>-</v>
      </c>
      <c r="J294" s="52" t="str">
        <f t="shared" si="198"/>
        <v>-</v>
      </c>
    </row>
    <row r="295" spans="2:10" x14ac:dyDescent="0.35">
      <c r="B295" s="54">
        <f t="shared" si="176"/>
        <v>97</v>
      </c>
      <c r="C295" s="18"/>
      <c r="D295" s="18"/>
      <c r="E295" s="53" t="str">
        <f t="array" ref="E295">IFERROR(IF(Kanban!$C$7="All",INDEX(Calc!$F$8:$F$500,MATCH(INDEX(Calc!$D$8:$D$500,MATCH(SMALL(IF((Calc!$K$8:$K$500=Kanban!C$11)*(Calc!$Y$8:$Y$500&gt;0),Calc!$Y$8:$Y$500,99999),$B293),Calc!$Y$8:$Y$500,0)),Calc!$D$8:$D$500,0)),
INDEX(Calc!$F$8:$F$500,MATCH(INDEX(Calc!$D$8:$D$500,MATCH(SMALL(IF((Calc!$K$8:$K$500=Kanban!C$11)*(Calc!$C$8:$C$500=Kanban!$C$7)*(Calc!$Y$8:$Y$500&gt;0),Calc!$Y$8:$Y$500,99999),$B293),Calc!$Y$8:$Y$500,0)),Calc!$D$8:$D$500,0)) ),"-")</f>
        <v>-</v>
      </c>
      <c r="F295" s="53" t="str">
        <f t="array" ref="F295">IFERROR(IF(Kanban!$C$7="All",INDEX(Calc!$F$8:$F$500,MATCH(INDEX(Calc!$D$8:$D$500,MATCH(SMALL(IF((Calc!$K$8:$K$500=Kanban!D$11)*(Calc!$Y$8:$Y$500&gt;0),Calc!$Y$8:$Y$500,99999),$B293),Calc!$Y$8:$Y$500,0)),Calc!$D$8:$D$500,0)),
INDEX(Calc!$F$8:$F$500,MATCH(INDEX(Calc!$D$8:$D$500,MATCH(SMALL(IF((Calc!$K$8:$K$500=Kanban!D$11)*(Calc!$C$8:$C$500=Kanban!$C$7)*(Calc!$Y$8:$Y$500&gt;0),Calc!$Y$8:$Y$500,99999),$B293),Calc!$Y$8:$Y$500,0)),Calc!$D$8:$D$500,0)) ),"-")</f>
        <v>-</v>
      </c>
      <c r="G295" s="53" t="str">
        <f t="array" ref="G295">IFERROR(IF(Kanban!$C$7="All",INDEX(Calc!$F$8:$F$500,MATCH(INDEX(Calc!$D$8:$D$500,MATCH(SMALL(IF((Calc!$K$8:$K$500=Kanban!E$11)*(Calc!$Y$8:$Y$500&gt;0),Calc!$Y$8:$Y$500,99999),$B293),Calc!$Y$8:$Y$500,0)),Calc!$D$8:$D$500,0)),
INDEX(Calc!$F$8:$F$500,MATCH(INDEX(Calc!$D$8:$D$500,MATCH(SMALL(IF((Calc!$K$8:$K$500=Kanban!E$11)*(Calc!$C$8:$C$500=Kanban!$C$7)*(Calc!$Y$8:$Y$500&gt;0),Calc!$Y$8:$Y$500,99999),$B293),Calc!$Y$8:$Y$500,0)),Calc!$D$8:$D$500,0)) ),"-")</f>
        <v>-</v>
      </c>
      <c r="H295" s="53" t="str">
        <f t="array" ref="H295">IFERROR(IF(Kanban!$C$7="All",INDEX(Calc!$F$8:$F$500,MATCH(INDEX(Calc!$D$8:$D$500,MATCH(SMALL(IF((Calc!$K$8:$K$500=Kanban!F$11)*(Calc!$Y$8:$Y$500&gt;0),Calc!$Y$8:$Y$500,99999),$B293),Calc!$Y$8:$Y$500,0)),Calc!$D$8:$D$500,0)),
INDEX(Calc!$F$8:$F$500,MATCH(INDEX(Calc!$D$8:$D$500,MATCH(SMALL(IF((Calc!$K$8:$K$500=Kanban!F$11)*(Calc!$C$8:$C$500=Kanban!$C$7)*(Calc!$Y$8:$Y$500&gt;0),Calc!$Y$8:$Y$500,99999),$B293),Calc!$Y$8:$Y$500,0)),Calc!$D$8:$D$500,0)) ),"-")</f>
        <v>-</v>
      </c>
      <c r="I295" s="53" t="str">
        <f t="array" ref="I295">IFERROR(IF(Kanban!$C$7="All",INDEX(Calc!$F$8:$F$500,MATCH(INDEX(Calc!$D$8:$D$500,MATCH(SMALL(IF((Calc!$K$8:$K$500=Kanban!G$11)*(Calc!$Y$8:$Y$500&gt;0),Calc!$Y$8:$Y$500,99999),$B293),Calc!$Y$8:$Y$500,0)),Calc!$D$8:$D$500,0)),
INDEX(Calc!$F$8:$F$500,MATCH(INDEX(Calc!$D$8:$D$500,MATCH(SMALL(IF((Calc!$K$8:$K$500=Kanban!G$11)*(Calc!$C$8:$C$500=Kanban!$C$7)*(Calc!$Y$8:$Y$500&gt;0),Calc!$Y$8:$Y$500,99999),$B293),Calc!$Y$8:$Y$500,0)),Calc!$D$8:$D$500,0)) ),"-")</f>
        <v>-</v>
      </c>
      <c r="J295" s="53" t="str">
        <f t="array" ref="J295">IFERROR(IF(Kanban!$C$7="All",INDEX(Calc!$F$8:$F$500,MATCH(INDEX(Calc!$D$8:$D$500,MATCH(SMALL(IF((Calc!$K$8:$K$500=Kanban!H$11)*(Calc!$Y$8:$Y$500&gt;0),Calc!$Y$8:$Y$500,99999),$B293),Calc!$Y$8:$Y$500,0)),Calc!$D$8:$D$500,0)),
INDEX(Calc!$F$8:$F$500,MATCH(INDEX(Calc!$D$8:$D$500,MATCH(SMALL(IF((Calc!$K$8:$K$500=Kanban!H$11)*(Calc!$C$8:$C$500=Kanban!$C$7)*(Calc!$Y$8:$Y$500&gt;0),Calc!$Y$8:$Y$500,99999),$B293),Calc!$Y$8:$Y$500,0)),Calc!$D$8:$D$500,0)) ),"-")</f>
        <v>-</v>
      </c>
    </row>
    <row r="296" spans="2:10" x14ac:dyDescent="0.35">
      <c r="B296" s="54">
        <f t="shared" si="176"/>
        <v>98</v>
      </c>
      <c r="C296" s="18"/>
      <c r="D296" s="18"/>
      <c r="E296" s="52" t="str">
        <f t="shared" ref="E296:J296" si="199">IFERROR(E298,"-")</f>
        <v>-</v>
      </c>
      <c r="F296" s="52" t="str">
        <f t="shared" si="199"/>
        <v>-</v>
      </c>
      <c r="G296" s="52" t="str">
        <f t="shared" si="199"/>
        <v>-</v>
      </c>
      <c r="H296" s="52" t="str">
        <f t="shared" si="199"/>
        <v>-</v>
      </c>
      <c r="I296" s="52" t="str">
        <f t="shared" si="199"/>
        <v>-</v>
      </c>
      <c r="J296" s="52" t="str">
        <f t="shared" si="199"/>
        <v>-</v>
      </c>
    </row>
    <row r="297" spans="2:10" x14ac:dyDescent="0.35">
      <c r="B297" s="54">
        <f t="shared" si="176"/>
        <v>98</v>
      </c>
      <c r="C297" s="18"/>
      <c r="D297" s="18"/>
      <c r="E297" s="52" t="str">
        <f t="shared" ref="E297:J297" si="200">IFERROR(E298,"-")</f>
        <v>-</v>
      </c>
      <c r="F297" s="52" t="str">
        <f t="shared" si="200"/>
        <v>-</v>
      </c>
      <c r="G297" s="52" t="str">
        <f t="shared" si="200"/>
        <v>-</v>
      </c>
      <c r="H297" s="52" t="str">
        <f t="shared" si="200"/>
        <v>-</v>
      </c>
      <c r="I297" s="52" t="str">
        <f t="shared" si="200"/>
        <v>-</v>
      </c>
      <c r="J297" s="52" t="str">
        <f t="shared" si="200"/>
        <v>-</v>
      </c>
    </row>
    <row r="298" spans="2:10" x14ac:dyDescent="0.35">
      <c r="B298" s="54">
        <f t="shared" si="176"/>
        <v>98</v>
      </c>
      <c r="C298" s="18"/>
      <c r="D298" s="18"/>
      <c r="E298" s="53" t="str">
        <f t="array" ref="E298">IFERROR(IF(Kanban!$C$7="All",INDEX(Calc!$F$8:$F$500,MATCH(INDEX(Calc!$D$8:$D$500,MATCH(SMALL(IF((Calc!$K$8:$K$500=Kanban!C$11)*(Calc!$Y$8:$Y$500&gt;0),Calc!$Y$8:$Y$500,99999),$B296),Calc!$Y$8:$Y$500,0)),Calc!$D$8:$D$500,0)),
INDEX(Calc!$F$8:$F$500,MATCH(INDEX(Calc!$D$8:$D$500,MATCH(SMALL(IF((Calc!$K$8:$K$500=Kanban!C$11)*(Calc!$C$8:$C$500=Kanban!$C$7)*(Calc!$Y$8:$Y$500&gt;0),Calc!$Y$8:$Y$500,99999),$B296),Calc!$Y$8:$Y$500,0)),Calc!$D$8:$D$500,0)) ),"-")</f>
        <v>-</v>
      </c>
      <c r="F298" s="53" t="str">
        <f t="array" ref="F298">IFERROR(IF(Kanban!$C$7="All",INDEX(Calc!$F$8:$F$500,MATCH(INDEX(Calc!$D$8:$D$500,MATCH(SMALL(IF((Calc!$K$8:$K$500=Kanban!D$11)*(Calc!$Y$8:$Y$500&gt;0),Calc!$Y$8:$Y$500,99999),$B296),Calc!$Y$8:$Y$500,0)),Calc!$D$8:$D$500,0)),
INDEX(Calc!$F$8:$F$500,MATCH(INDEX(Calc!$D$8:$D$500,MATCH(SMALL(IF((Calc!$K$8:$K$500=Kanban!D$11)*(Calc!$C$8:$C$500=Kanban!$C$7)*(Calc!$Y$8:$Y$500&gt;0),Calc!$Y$8:$Y$500,99999),$B296),Calc!$Y$8:$Y$500,0)),Calc!$D$8:$D$500,0)) ),"-")</f>
        <v>-</v>
      </c>
      <c r="G298" s="53" t="str">
        <f t="array" ref="G298">IFERROR(IF(Kanban!$C$7="All",INDEX(Calc!$F$8:$F$500,MATCH(INDEX(Calc!$D$8:$D$500,MATCH(SMALL(IF((Calc!$K$8:$K$500=Kanban!E$11)*(Calc!$Y$8:$Y$500&gt;0),Calc!$Y$8:$Y$500,99999),$B296),Calc!$Y$8:$Y$500,0)),Calc!$D$8:$D$500,0)),
INDEX(Calc!$F$8:$F$500,MATCH(INDEX(Calc!$D$8:$D$500,MATCH(SMALL(IF((Calc!$K$8:$K$500=Kanban!E$11)*(Calc!$C$8:$C$500=Kanban!$C$7)*(Calc!$Y$8:$Y$500&gt;0),Calc!$Y$8:$Y$500,99999),$B296),Calc!$Y$8:$Y$500,0)),Calc!$D$8:$D$500,0)) ),"-")</f>
        <v>-</v>
      </c>
      <c r="H298" s="53" t="str">
        <f t="array" ref="H298">IFERROR(IF(Kanban!$C$7="All",INDEX(Calc!$F$8:$F$500,MATCH(INDEX(Calc!$D$8:$D$500,MATCH(SMALL(IF((Calc!$K$8:$K$500=Kanban!F$11)*(Calc!$Y$8:$Y$500&gt;0),Calc!$Y$8:$Y$500,99999),$B296),Calc!$Y$8:$Y$500,0)),Calc!$D$8:$D$500,0)),
INDEX(Calc!$F$8:$F$500,MATCH(INDEX(Calc!$D$8:$D$500,MATCH(SMALL(IF((Calc!$K$8:$K$500=Kanban!F$11)*(Calc!$C$8:$C$500=Kanban!$C$7)*(Calc!$Y$8:$Y$500&gt;0),Calc!$Y$8:$Y$500,99999),$B296),Calc!$Y$8:$Y$500,0)),Calc!$D$8:$D$500,0)) ),"-")</f>
        <v>-</v>
      </c>
      <c r="I298" s="53" t="str">
        <f t="array" ref="I298">IFERROR(IF(Kanban!$C$7="All",INDEX(Calc!$F$8:$F$500,MATCH(INDEX(Calc!$D$8:$D$500,MATCH(SMALL(IF((Calc!$K$8:$K$500=Kanban!G$11)*(Calc!$Y$8:$Y$500&gt;0),Calc!$Y$8:$Y$500,99999),$B296),Calc!$Y$8:$Y$500,0)),Calc!$D$8:$D$500,0)),
INDEX(Calc!$F$8:$F$500,MATCH(INDEX(Calc!$D$8:$D$500,MATCH(SMALL(IF((Calc!$K$8:$K$500=Kanban!G$11)*(Calc!$C$8:$C$500=Kanban!$C$7)*(Calc!$Y$8:$Y$500&gt;0),Calc!$Y$8:$Y$500,99999),$B296),Calc!$Y$8:$Y$500,0)),Calc!$D$8:$D$500,0)) ),"-")</f>
        <v>-</v>
      </c>
      <c r="J298" s="53" t="str">
        <f t="array" ref="J298">IFERROR(IF(Kanban!$C$7="All",INDEX(Calc!$F$8:$F$500,MATCH(INDEX(Calc!$D$8:$D$500,MATCH(SMALL(IF((Calc!$K$8:$K$500=Kanban!H$11)*(Calc!$Y$8:$Y$500&gt;0),Calc!$Y$8:$Y$500,99999),$B296),Calc!$Y$8:$Y$500,0)),Calc!$D$8:$D$500,0)),
INDEX(Calc!$F$8:$F$500,MATCH(INDEX(Calc!$D$8:$D$500,MATCH(SMALL(IF((Calc!$K$8:$K$500=Kanban!H$11)*(Calc!$C$8:$C$500=Kanban!$C$7)*(Calc!$Y$8:$Y$500&gt;0),Calc!$Y$8:$Y$500,99999),$B296),Calc!$Y$8:$Y$500,0)),Calc!$D$8:$D$500,0)) ),"-")</f>
        <v>-</v>
      </c>
    </row>
    <row r="299" spans="2:10" x14ac:dyDescent="0.35">
      <c r="B299" s="54">
        <f t="shared" si="176"/>
        <v>99</v>
      </c>
      <c r="C299" s="18"/>
      <c r="D299" s="18"/>
      <c r="E299" s="52" t="str">
        <f t="shared" ref="E299:J299" si="201">IFERROR(E301,"-")</f>
        <v>-</v>
      </c>
      <c r="F299" s="52" t="str">
        <f t="shared" si="201"/>
        <v>-</v>
      </c>
      <c r="G299" s="52" t="str">
        <f t="shared" si="201"/>
        <v>-</v>
      </c>
      <c r="H299" s="52" t="str">
        <f t="shared" si="201"/>
        <v>-</v>
      </c>
      <c r="I299" s="52" t="str">
        <f t="shared" si="201"/>
        <v>-</v>
      </c>
      <c r="J299" s="52" t="str">
        <f t="shared" si="201"/>
        <v>-</v>
      </c>
    </row>
    <row r="300" spans="2:10" x14ac:dyDescent="0.35">
      <c r="B300" s="54">
        <f t="shared" si="176"/>
        <v>99</v>
      </c>
      <c r="C300" s="18"/>
      <c r="D300" s="18"/>
      <c r="E300" s="52" t="str">
        <f t="shared" ref="E300:J300" si="202">IFERROR(E301,"-")</f>
        <v>-</v>
      </c>
      <c r="F300" s="52" t="str">
        <f t="shared" si="202"/>
        <v>-</v>
      </c>
      <c r="G300" s="52" t="str">
        <f t="shared" si="202"/>
        <v>-</v>
      </c>
      <c r="H300" s="52" t="str">
        <f t="shared" si="202"/>
        <v>-</v>
      </c>
      <c r="I300" s="52" t="str">
        <f t="shared" si="202"/>
        <v>-</v>
      </c>
      <c r="J300" s="52" t="str">
        <f t="shared" si="202"/>
        <v>-</v>
      </c>
    </row>
    <row r="301" spans="2:10" x14ac:dyDescent="0.35">
      <c r="B301" s="54">
        <f t="shared" si="176"/>
        <v>99</v>
      </c>
      <c r="C301" s="18"/>
      <c r="D301" s="18"/>
      <c r="E301" s="53" t="str">
        <f t="array" ref="E301">IFERROR(IF(Kanban!$C$7="All",INDEX(Calc!$F$8:$F$500,MATCH(INDEX(Calc!$D$8:$D$500,MATCH(SMALL(IF((Calc!$K$8:$K$500=Kanban!C$11)*(Calc!$Y$8:$Y$500&gt;0),Calc!$Y$8:$Y$500,99999),$B299),Calc!$Y$8:$Y$500,0)),Calc!$D$8:$D$500,0)),
INDEX(Calc!$F$8:$F$500,MATCH(INDEX(Calc!$D$8:$D$500,MATCH(SMALL(IF((Calc!$K$8:$K$500=Kanban!C$11)*(Calc!$C$8:$C$500=Kanban!$C$7)*(Calc!$Y$8:$Y$500&gt;0),Calc!$Y$8:$Y$500,99999),$B299),Calc!$Y$8:$Y$500,0)),Calc!$D$8:$D$500,0)) ),"-")</f>
        <v>-</v>
      </c>
      <c r="F301" s="53" t="str">
        <f t="array" ref="F301">IFERROR(IF(Kanban!$C$7="All",INDEX(Calc!$F$8:$F$500,MATCH(INDEX(Calc!$D$8:$D$500,MATCH(SMALL(IF((Calc!$K$8:$K$500=Kanban!D$11)*(Calc!$Y$8:$Y$500&gt;0),Calc!$Y$8:$Y$500,99999),$B299),Calc!$Y$8:$Y$500,0)),Calc!$D$8:$D$500,0)),
INDEX(Calc!$F$8:$F$500,MATCH(INDEX(Calc!$D$8:$D$500,MATCH(SMALL(IF((Calc!$K$8:$K$500=Kanban!D$11)*(Calc!$C$8:$C$500=Kanban!$C$7)*(Calc!$Y$8:$Y$500&gt;0),Calc!$Y$8:$Y$500,99999),$B299),Calc!$Y$8:$Y$500,0)),Calc!$D$8:$D$500,0)) ),"-")</f>
        <v>-</v>
      </c>
      <c r="G301" s="53" t="str">
        <f t="array" ref="G301">IFERROR(IF(Kanban!$C$7="All",INDEX(Calc!$F$8:$F$500,MATCH(INDEX(Calc!$D$8:$D$500,MATCH(SMALL(IF((Calc!$K$8:$K$500=Kanban!E$11)*(Calc!$Y$8:$Y$500&gt;0),Calc!$Y$8:$Y$500,99999),$B299),Calc!$Y$8:$Y$500,0)),Calc!$D$8:$D$500,0)),
INDEX(Calc!$F$8:$F$500,MATCH(INDEX(Calc!$D$8:$D$500,MATCH(SMALL(IF((Calc!$K$8:$K$500=Kanban!E$11)*(Calc!$C$8:$C$500=Kanban!$C$7)*(Calc!$Y$8:$Y$500&gt;0),Calc!$Y$8:$Y$500,99999),$B299),Calc!$Y$8:$Y$500,0)),Calc!$D$8:$D$500,0)) ),"-")</f>
        <v>-</v>
      </c>
      <c r="H301" s="53" t="str">
        <f t="array" ref="H301">IFERROR(IF(Kanban!$C$7="All",INDEX(Calc!$F$8:$F$500,MATCH(INDEX(Calc!$D$8:$D$500,MATCH(SMALL(IF((Calc!$K$8:$K$500=Kanban!F$11)*(Calc!$Y$8:$Y$500&gt;0),Calc!$Y$8:$Y$500,99999),$B299),Calc!$Y$8:$Y$500,0)),Calc!$D$8:$D$500,0)),
INDEX(Calc!$F$8:$F$500,MATCH(INDEX(Calc!$D$8:$D$500,MATCH(SMALL(IF((Calc!$K$8:$K$500=Kanban!F$11)*(Calc!$C$8:$C$500=Kanban!$C$7)*(Calc!$Y$8:$Y$500&gt;0),Calc!$Y$8:$Y$500,99999),$B299),Calc!$Y$8:$Y$500,0)),Calc!$D$8:$D$500,0)) ),"-")</f>
        <v>-</v>
      </c>
      <c r="I301" s="53" t="str">
        <f t="array" ref="I301">IFERROR(IF(Kanban!$C$7="All",INDEX(Calc!$F$8:$F$500,MATCH(INDEX(Calc!$D$8:$D$500,MATCH(SMALL(IF((Calc!$K$8:$K$500=Kanban!G$11)*(Calc!$Y$8:$Y$500&gt;0),Calc!$Y$8:$Y$500,99999),$B299),Calc!$Y$8:$Y$500,0)),Calc!$D$8:$D$500,0)),
INDEX(Calc!$F$8:$F$500,MATCH(INDEX(Calc!$D$8:$D$500,MATCH(SMALL(IF((Calc!$K$8:$K$500=Kanban!G$11)*(Calc!$C$8:$C$500=Kanban!$C$7)*(Calc!$Y$8:$Y$500&gt;0),Calc!$Y$8:$Y$500,99999),$B299),Calc!$Y$8:$Y$500,0)),Calc!$D$8:$D$500,0)) ),"-")</f>
        <v>-</v>
      </c>
      <c r="J301" s="53" t="str">
        <f t="array" ref="J301">IFERROR(IF(Kanban!$C$7="All",INDEX(Calc!$F$8:$F$500,MATCH(INDEX(Calc!$D$8:$D$500,MATCH(SMALL(IF((Calc!$K$8:$K$500=Kanban!H$11)*(Calc!$Y$8:$Y$500&gt;0),Calc!$Y$8:$Y$500,99999),$B299),Calc!$Y$8:$Y$500,0)),Calc!$D$8:$D$500,0)),
INDEX(Calc!$F$8:$F$500,MATCH(INDEX(Calc!$D$8:$D$500,MATCH(SMALL(IF((Calc!$K$8:$K$500=Kanban!H$11)*(Calc!$C$8:$C$500=Kanban!$C$7)*(Calc!$Y$8:$Y$500&gt;0),Calc!$Y$8:$Y$500,99999),$B299),Calc!$Y$8:$Y$500,0)),Calc!$D$8:$D$500,0)) ),"-")</f>
        <v>-</v>
      </c>
    </row>
    <row r="302" spans="2:10" x14ac:dyDescent="0.35">
      <c r="B302" s="54">
        <f t="shared" si="176"/>
        <v>100</v>
      </c>
      <c r="C302" s="18"/>
      <c r="D302" s="18"/>
      <c r="E302" s="52" t="str">
        <f t="shared" ref="E302:J302" si="203">IFERROR(E304,"-")</f>
        <v>-</v>
      </c>
      <c r="F302" s="52" t="str">
        <f t="shared" si="203"/>
        <v>-</v>
      </c>
      <c r="G302" s="52" t="str">
        <f t="shared" si="203"/>
        <v>-</v>
      </c>
      <c r="H302" s="52" t="str">
        <f t="shared" si="203"/>
        <v>-</v>
      </c>
      <c r="I302" s="52" t="str">
        <f t="shared" si="203"/>
        <v>-</v>
      </c>
      <c r="J302" s="52" t="str">
        <f t="shared" si="203"/>
        <v>-</v>
      </c>
    </row>
    <row r="303" spans="2:10" x14ac:dyDescent="0.35">
      <c r="B303" s="54">
        <f t="shared" si="176"/>
        <v>100</v>
      </c>
      <c r="C303" s="18"/>
      <c r="D303" s="18"/>
      <c r="E303" s="52" t="str">
        <f t="shared" ref="E303:J303" si="204">IFERROR(E304,"-")</f>
        <v>-</v>
      </c>
      <c r="F303" s="52" t="str">
        <f t="shared" si="204"/>
        <v>-</v>
      </c>
      <c r="G303" s="52" t="str">
        <f t="shared" si="204"/>
        <v>-</v>
      </c>
      <c r="H303" s="52" t="str">
        <f t="shared" si="204"/>
        <v>-</v>
      </c>
      <c r="I303" s="52" t="str">
        <f t="shared" si="204"/>
        <v>-</v>
      </c>
      <c r="J303" s="52" t="str">
        <f t="shared" si="204"/>
        <v>-</v>
      </c>
    </row>
    <row r="304" spans="2:10" x14ac:dyDescent="0.35">
      <c r="B304" s="54">
        <f t="shared" si="176"/>
        <v>100</v>
      </c>
      <c r="C304" s="18"/>
      <c r="D304" s="18"/>
      <c r="E304" s="53" t="str">
        <f t="array" ref="E304">IFERROR(IF(Kanban!$C$7="All",INDEX(Calc!$F$8:$F$500,MATCH(INDEX(Calc!$D$8:$D$500,MATCH(SMALL(IF((Calc!$K$8:$K$500=Kanban!C$11)*(Calc!$Y$8:$Y$500&gt;0),Calc!$Y$8:$Y$500,99999),$B302),Calc!$Y$8:$Y$500,0)),Calc!$D$8:$D$500,0)),
INDEX(Calc!$F$8:$F$500,MATCH(INDEX(Calc!$D$8:$D$500,MATCH(SMALL(IF((Calc!$K$8:$K$500=Kanban!C$11)*(Calc!$C$8:$C$500=Kanban!$C$7)*(Calc!$Y$8:$Y$500&gt;0),Calc!$Y$8:$Y$500,99999),$B302),Calc!$Y$8:$Y$500,0)),Calc!$D$8:$D$500,0)) ),"-")</f>
        <v>-</v>
      </c>
      <c r="F304" s="53" t="str">
        <f t="array" ref="F304">IFERROR(IF(Kanban!$C$7="All",INDEX(Calc!$F$8:$F$500,MATCH(INDEX(Calc!$D$8:$D$500,MATCH(SMALL(IF((Calc!$K$8:$K$500=Kanban!D$11)*(Calc!$Y$8:$Y$500&gt;0),Calc!$Y$8:$Y$500,99999),$B302),Calc!$Y$8:$Y$500,0)),Calc!$D$8:$D$500,0)),
INDEX(Calc!$F$8:$F$500,MATCH(INDEX(Calc!$D$8:$D$500,MATCH(SMALL(IF((Calc!$K$8:$K$500=Kanban!D$11)*(Calc!$C$8:$C$500=Kanban!$C$7)*(Calc!$Y$8:$Y$500&gt;0),Calc!$Y$8:$Y$500,99999),$B302),Calc!$Y$8:$Y$500,0)),Calc!$D$8:$D$500,0)) ),"-")</f>
        <v>-</v>
      </c>
      <c r="G304" s="53" t="str">
        <f t="array" ref="G304">IFERROR(IF(Kanban!$C$7="All",INDEX(Calc!$F$8:$F$500,MATCH(INDEX(Calc!$D$8:$D$500,MATCH(SMALL(IF((Calc!$K$8:$K$500=Kanban!E$11)*(Calc!$Y$8:$Y$500&gt;0),Calc!$Y$8:$Y$500,99999),$B302),Calc!$Y$8:$Y$500,0)),Calc!$D$8:$D$500,0)),
INDEX(Calc!$F$8:$F$500,MATCH(INDEX(Calc!$D$8:$D$500,MATCH(SMALL(IF((Calc!$K$8:$K$500=Kanban!E$11)*(Calc!$C$8:$C$500=Kanban!$C$7)*(Calc!$Y$8:$Y$500&gt;0),Calc!$Y$8:$Y$500,99999),$B302),Calc!$Y$8:$Y$500,0)),Calc!$D$8:$D$500,0)) ),"-")</f>
        <v>-</v>
      </c>
      <c r="H304" s="53" t="str">
        <f t="array" ref="H304">IFERROR(IF(Kanban!$C$7="All",INDEX(Calc!$F$8:$F$500,MATCH(INDEX(Calc!$D$8:$D$500,MATCH(SMALL(IF((Calc!$K$8:$K$500=Kanban!F$11)*(Calc!$Y$8:$Y$500&gt;0),Calc!$Y$8:$Y$500,99999),$B302),Calc!$Y$8:$Y$500,0)),Calc!$D$8:$D$500,0)),
INDEX(Calc!$F$8:$F$500,MATCH(INDEX(Calc!$D$8:$D$500,MATCH(SMALL(IF((Calc!$K$8:$K$500=Kanban!F$11)*(Calc!$C$8:$C$500=Kanban!$C$7)*(Calc!$Y$8:$Y$500&gt;0),Calc!$Y$8:$Y$500,99999),$B302),Calc!$Y$8:$Y$500,0)),Calc!$D$8:$D$500,0)) ),"-")</f>
        <v>-</v>
      </c>
      <c r="I304" s="53" t="str">
        <f t="array" ref="I304">IFERROR(IF(Kanban!$C$7="All",INDEX(Calc!$F$8:$F$500,MATCH(INDEX(Calc!$D$8:$D$500,MATCH(SMALL(IF((Calc!$K$8:$K$500=Kanban!G$11)*(Calc!$Y$8:$Y$500&gt;0),Calc!$Y$8:$Y$500,99999),$B302),Calc!$Y$8:$Y$500,0)),Calc!$D$8:$D$500,0)),
INDEX(Calc!$F$8:$F$500,MATCH(INDEX(Calc!$D$8:$D$500,MATCH(SMALL(IF((Calc!$K$8:$K$500=Kanban!G$11)*(Calc!$C$8:$C$500=Kanban!$C$7)*(Calc!$Y$8:$Y$500&gt;0),Calc!$Y$8:$Y$500,99999),$B302),Calc!$Y$8:$Y$500,0)),Calc!$D$8:$D$500,0)) ),"-")</f>
        <v>-</v>
      </c>
      <c r="J304" s="53" t="str">
        <f t="array" ref="J304">IFERROR(IF(Kanban!$C$7="All",INDEX(Calc!$F$8:$F$500,MATCH(INDEX(Calc!$D$8:$D$500,MATCH(SMALL(IF((Calc!$K$8:$K$500=Kanban!H$11)*(Calc!$Y$8:$Y$500&gt;0),Calc!$Y$8:$Y$500,99999),$B302),Calc!$Y$8:$Y$500,0)),Calc!$D$8:$D$500,0)),
INDEX(Calc!$F$8:$F$500,MATCH(INDEX(Calc!$D$8:$D$500,MATCH(SMALL(IF((Calc!$K$8:$K$500=Kanban!H$11)*(Calc!$C$8:$C$500=Kanban!$C$7)*(Calc!$Y$8:$Y$500&gt;0),Calc!$Y$8:$Y$500,99999),$B302),Calc!$Y$8:$Y$500,0)),Calc!$D$8:$D$500,0)) ),"-")</f>
        <v>-</v>
      </c>
    </row>
    <row r="305" spans="2:10" x14ac:dyDescent="0.35">
      <c r="B305" s="54">
        <f t="shared" si="176"/>
        <v>101</v>
      </c>
      <c r="C305" s="18"/>
      <c r="D305" s="18"/>
      <c r="E305" s="52" t="str">
        <f t="shared" ref="E305:J305" si="205">IFERROR(E307,"-")</f>
        <v>-</v>
      </c>
      <c r="F305" s="52" t="str">
        <f t="shared" si="205"/>
        <v>-</v>
      </c>
      <c r="G305" s="52" t="str">
        <f t="shared" si="205"/>
        <v>-</v>
      </c>
      <c r="H305" s="52" t="str">
        <f t="shared" si="205"/>
        <v>-</v>
      </c>
      <c r="I305" s="52" t="str">
        <f t="shared" si="205"/>
        <v>-</v>
      </c>
      <c r="J305" s="52" t="str">
        <f t="shared" si="205"/>
        <v>-</v>
      </c>
    </row>
    <row r="306" spans="2:10" x14ac:dyDescent="0.35">
      <c r="B306" s="54">
        <f t="shared" si="176"/>
        <v>101</v>
      </c>
      <c r="C306" s="18"/>
      <c r="D306" s="18"/>
      <c r="E306" s="52" t="str">
        <f t="shared" ref="E306:J306" si="206">IFERROR(E307,"-")</f>
        <v>-</v>
      </c>
      <c r="F306" s="52" t="str">
        <f t="shared" si="206"/>
        <v>-</v>
      </c>
      <c r="G306" s="52" t="str">
        <f t="shared" si="206"/>
        <v>-</v>
      </c>
      <c r="H306" s="52" t="str">
        <f t="shared" si="206"/>
        <v>-</v>
      </c>
      <c r="I306" s="52" t="str">
        <f t="shared" si="206"/>
        <v>-</v>
      </c>
      <c r="J306" s="52" t="str">
        <f t="shared" si="206"/>
        <v>-</v>
      </c>
    </row>
    <row r="307" spans="2:10" x14ac:dyDescent="0.35">
      <c r="B307" s="54">
        <f t="shared" si="176"/>
        <v>101</v>
      </c>
      <c r="C307" s="18"/>
      <c r="D307" s="18"/>
      <c r="E307" s="53" t="str">
        <f t="array" ref="E307">IFERROR(IF(Kanban!$C$7="All",INDEX(Calc!$F$8:$F$500,MATCH(INDEX(Calc!$D$8:$D$500,MATCH(SMALL(IF((Calc!$K$8:$K$500=Kanban!C$11)*(Calc!$Y$8:$Y$500&gt;0),Calc!$Y$8:$Y$500,99999),$B305),Calc!$Y$8:$Y$500,0)),Calc!$D$8:$D$500,0)),
INDEX(Calc!$F$8:$F$500,MATCH(INDEX(Calc!$D$8:$D$500,MATCH(SMALL(IF((Calc!$K$8:$K$500=Kanban!C$11)*(Calc!$C$8:$C$500=Kanban!$C$7)*(Calc!$Y$8:$Y$500&gt;0),Calc!$Y$8:$Y$500,99999),$B305),Calc!$Y$8:$Y$500,0)),Calc!$D$8:$D$500,0)) ),"-")</f>
        <v>-</v>
      </c>
      <c r="F307" s="53" t="str">
        <f t="array" ref="F307">IFERROR(IF(Kanban!$C$7="All",INDEX(Calc!$F$8:$F$500,MATCH(INDEX(Calc!$D$8:$D$500,MATCH(SMALL(IF((Calc!$K$8:$K$500=Kanban!D$11)*(Calc!$Y$8:$Y$500&gt;0),Calc!$Y$8:$Y$500,99999),$B305),Calc!$Y$8:$Y$500,0)),Calc!$D$8:$D$500,0)),
INDEX(Calc!$F$8:$F$500,MATCH(INDEX(Calc!$D$8:$D$500,MATCH(SMALL(IF((Calc!$K$8:$K$500=Kanban!D$11)*(Calc!$C$8:$C$500=Kanban!$C$7)*(Calc!$Y$8:$Y$500&gt;0),Calc!$Y$8:$Y$500,99999),$B305),Calc!$Y$8:$Y$500,0)),Calc!$D$8:$D$500,0)) ),"-")</f>
        <v>-</v>
      </c>
      <c r="G307" s="53" t="str">
        <f t="array" ref="G307">IFERROR(IF(Kanban!$C$7="All",INDEX(Calc!$F$8:$F$500,MATCH(INDEX(Calc!$D$8:$D$500,MATCH(SMALL(IF((Calc!$K$8:$K$500=Kanban!E$11)*(Calc!$Y$8:$Y$500&gt;0),Calc!$Y$8:$Y$500,99999),$B305),Calc!$Y$8:$Y$500,0)),Calc!$D$8:$D$500,0)),
INDEX(Calc!$F$8:$F$500,MATCH(INDEX(Calc!$D$8:$D$500,MATCH(SMALL(IF((Calc!$K$8:$K$500=Kanban!E$11)*(Calc!$C$8:$C$500=Kanban!$C$7)*(Calc!$Y$8:$Y$500&gt;0),Calc!$Y$8:$Y$500,99999),$B305),Calc!$Y$8:$Y$500,0)),Calc!$D$8:$D$500,0)) ),"-")</f>
        <v>-</v>
      </c>
      <c r="H307" s="53" t="str">
        <f t="array" ref="H307">IFERROR(IF(Kanban!$C$7="All",INDEX(Calc!$F$8:$F$500,MATCH(INDEX(Calc!$D$8:$D$500,MATCH(SMALL(IF((Calc!$K$8:$K$500=Kanban!F$11)*(Calc!$Y$8:$Y$500&gt;0),Calc!$Y$8:$Y$500,99999),$B305),Calc!$Y$8:$Y$500,0)),Calc!$D$8:$D$500,0)),
INDEX(Calc!$F$8:$F$500,MATCH(INDEX(Calc!$D$8:$D$500,MATCH(SMALL(IF((Calc!$K$8:$K$500=Kanban!F$11)*(Calc!$C$8:$C$500=Kanban!$C$7)*(Calc!$Y$8:$Y$500&gt;0),Calc!$Y$8:$Y$500,99999),$B305),Calc!$Y$8:$Y$500,0)),Calc!$D$8:$D$500,0)) ),"-")</f>
        <v>-</v>
      </c>
      <c r="I307" s="53" t="str">
        <f t="array" ref="I307">IFERROR(IF(Kanban!$C$7="All",INDEX(Calc!$F$8:$F$500,MATCH(INDEX(Calc!$D$8:$D$500,MATCH(SMALL(IF((Calc!$K$8:$K$500=Kanban!G$11)*(Calc!$Y$8:$Y$500&gt;0),Calc!$Y$8:$Y$500,99999),$B305),Calc!$Y$8:$Y$500,0)),Calc!$D$8:$D$500,0)),
INDEX(Calc!$F$8:$F$500,MATCH(INDEX(Calc!$D$8:$D$500,MATCH(SMALL(IF((Calc!$K$8:$K$500=Kanban!G$11)*(Calc!$C$8:$C$500=Kanban!$C$7)*(Calc!$Y$8:$Y$500&gt;0),Calc!$Y$8:$Y$500,99999),$B305),Calc!$Y$8:$Y$500,0)),Calc!$D$8:$D$500,0)) ),"-")</f>
        <v>-</v>
      </c>
      <c r="J307" s="53" t="str">
        <f t="array" ref="J307">IFERROR(IF(Kanban!$C$7="All",INDEX(Calc!$F$8:$F$500,MATCH(INDEX(Calc!$D$8:$D$500,MATCH(SMALL(IF((Calc!$K$8:$K$500=Kanban!H$11)*(Calc!$Y$8:$Y$500&gt;0),Calc!$Y$8:$Y$500,99999),$B305),Calc!$Y$8:$Y$500,0)),Calc!$D$8:$D$500,0)),
INDEX(Calc!$F$8:$F$500,MATCH(INDEX(Calc!$D$8:$D$500,MATCH(SMALL(IF((Calc!$K$8:$K$500=Kanban!H$11)*(Calc!$C$8:$C$500=Kanban!$C$7)*(Calc!$Y$8:$Y$500&gt;0),Calc!$Y$8:$Y$500,99999),$B305),Calc!$Y$8:$Y$500,0)),Calc!$D$8:$D$500,0)) ),"-")</f>
        <v>-</v>
      </c>
    </row>
    <row r="308" spans="2:10" x14ac:dyDescent="0.35">
      <c r="B308" s="54">
        <f t="shared" si="176"/>
        <v>102</v>
      </c>
      <c r="C308" s="18"/>
      <c r="D308" s="18"/>
      <c r="E308" s="52" t="str">
        <f t="shared" ref="E308:J308" si="207">IFERROR(E310,"-")</f>
        <v>-</v>
      </c>
      <c r="F308" s="52" t="str">
        <f t="shared" si="207"/>
        <v>-</v>
      </c>
      <c r="G308" s="52" t="str">
        <f t="shared" si="207"/>
        <v>-</v>
      </c>
      <c r="H308" s="52" t="str">
        <f t="shared" si="207"/>
        <v>-</v>
      </c>
      <c r="I308" s="52" t="str">
        <f t="shared" si="207"/>
        <v>-</v>
      </c>
      <c r="J308" s="52" t="str">
        <f t="shared" si="207"/>
        <v>-</v>
      </c>
    </row>
    <row r="309" spans="2:10" x14ac:dyDescent="0.35">
      <c r="B309" s="54">
        <f t="shared" si="176"/>
        <v>102</v>
      </c>
      <c r="C309" s="18"/>
      <c r="D309" s="18"/>
      <c r="E309" s="52" t="str">
        <f t="shared" ref="E309:J309" si="208">IFERROR(E310,"-")</f>
        <v>-</v>
      </c>
      <c r="F309" s="52" t="str">
        <f t="shared" si="208"/>
        <v>-</v>
      </c>
      <c r="G309" s="52" t="str">
        <f t="shared" si="208"/>
        <v>-</v>
      </c>
      <c r="H309" s="52" t="str">
        <f t="shared" si="208"/>
        <v>-</v>
      </c>
      <c r="I309" s="52" t="str">
        <f t="shared" si="208"/>
        <v>-</v>
      </c>
      <c r="J309" s="52" t="str">
        <f t="shared" si="208"/>
        <v>-</v>
      </c>
    </row>
    <row r="310" spans="2:10" x14ac:dyDescent="0.35">
      <c r="B310" s="54">
        <f t="shared" si="176"/>
        <v>102</v>
      </c>
      <c r="C310" s="18"/>
      <c r="D310" s="18"/>
      <c r="E310" s="53" t="str">
        <f t="array" ref="E310">IFERROR(IF(Kanban!$C$7="All",INDEX(Calc!$F$8:$F$500,MATCH(INDEX(Calc!$D$8:$D$500,MATCH(SMALL(IF((Calc!$K$8:$K$500=Kanban!C$11)*(Calc!$Y$8:$Y$500&gt;0),Calc!$Y$8:$Y$500,99999),$B308),Calc!$Y$8:$Y$500,0)),Calc!$D$8:$D$500,0)),
INDEX(Calc!$F$8:$F$500,MATCH(INDEX(Calc!$D$8:$D$500,MATCH(SMALL(IF((Calc!$K$8:$K$500=Kanban!C$11)*(Calc!$C$8:$C$500=Kanban!$C$7)*(Calc!$Y$8:$Y$500&gt;0),Calc!$Y$8:$Y$500,99999),$B308),Calc!$Y$8:$Y$500,0)),Calc!$D$8:$D$500,0)) ),"-")</f>
        <v>-</v>
      </c>
      <c r="F310" s="53" t="str">
        <f t="array" ref="F310">IFERROR(IF(Kanban!$C$7="All",INDEX(Calc!$F$8:$F$500,MATCH(INDEX(Calc!$D$8:$D$500,MATCH(SMALL(IF((Calc!$K$8:$K$500=Kanban!D$11)*(Calc!$Y$8:$Y$500&gt;0),Calc!$Y$8:$Y$500,99999),$B308),Calc!$Y$8:$Y$500,0)),Calc!$D$8:$D$500,0)),
INDEX(Calc!$F$8:$F$500,MATCH(INDEX(Calc!$D$8:$D$500,MATCH(SMALL(IF((Calc!$K$8:$K$500=Kanban!D$11)*(Calc!$C$8:$C$500=Kanban!$C$7)*(Calc!$Y$8:$Y$500&gt;0),Calc!$Y$8:$Y$500,99999),$B308),Calc!$Y$8:$Y$500,0)),Calc!$D$8:$D$500,0)) ),"-")</f>
        <v>-</v>
      </c>
      <c r="G310" s="53" t="str">
        <f t="array" ref="G310">IFERROR(IF(Kanban!$C$7="All",INDEX(Calc!$F$8:$F$500,MATCH(INDEX(Calc!$D$8:$D$500,MATCH(SMALL(IF((Calc!$K$8:$K$500=Kanban!E$11)*(Calc!$Y$8:$Y$500&gt;0),Calc!$Y$8:$Y$500,99999),$B308),Calc!$Y$8:$Y$500,0)),Calc!$D$8:$D$500,0)),
INDEX(Calc!$F$8:$F$500,MATCH(INDEX(Calc!$D$8:$D$500,MATCH(SMALL(IF((Calc!$K$8:$K$500=Kanban!E$11)*(Calc!$C$8:$C$500=Kanban!$C$7)*(Calc!$Y$8:$Y$500&gt;0),Calc!$Y$8:$Y$500,99999),$B308),Calc!$Y$8:$Y$500,0)),Calc!$D$8:$D$500,0)) ),"-")</f>
        <v>-</v>
      </c>
      <c r="H310" s="53" t="str">
        <f t="array" ref="H310">IFERROR(IF(Kanban!$C$7="All",INDEX(Calc!$F$8:$F$500,MATCH(INDEX(Calc!$D$8:$D$500,MATCH(SMALL(IF((Calc!$K$8:$K$500=Kanban!F$11)*(Calc!$Y$8:$Y$500&gt;0),Calc!$Y$8:$Y$500,99999),$B308),Calc!$Y$8:$Y$500,0)),Calc!$D$8:$D$500,0)),
INDEX(Calc!$F$8:$F$500,MATCH(INDEX(Calc!$D$8:$D$500,MATCH(SMALL(IF((Calc!$K$8:$K$500=Kanban!F$11)*(Calc!$C$8:$C$500=Kanban!$C$7)*(Calc!$Y$8:$Y$500&gt;0),Calc!$Y$8:$Y$500,99999),$B308),Calc!$Y$8:$Y$500,0)),Calc!$D$8:$D$500,0)) ),"-")</f>
        <v>-</v>
      </c>
      <c r="I310" s="53" t="str">
        <f t="array" ref="I310">IFERROR(IF(Kanban!$C$7="All",INDEX(Calc!$F$8:$F$500,MATCH(INDEX(Calc!$D$8:$D$500,MATCH(SMALL(IF((Calc!$K$8:$K$500=Kanban!G$11)*(Calc!$Y$8:$Y$500&gt;0),Calc!$Y$8:$Y$500,99999),$B308),Calc!$Y$8:$Y$500,0)),Calc!$D$8:$D$500,0)),
INDEX(Calc!$F$8:$F$500,MATCH(INDEX(Calc!$D$8:$D$500,MATCH(SMALL(IF((Calc!$K$8:$K$500=Kanban!G$11)*(Calc!$C$8:$C$500=Kanban!$C$7)*(Calc!$Y$8:$Y$500&gt;0),Calc!$Y$8:$Y$500,99999),$B308),Calc!$Y$8:$Y$500,0)),Calc!$D$8:$D$500,0)) ),"-")</f>
        <v>-</v>
      </c>
      <c r="J310" s="53" t="str">
        <f t="array" ref="J310">IFERROR(IF(Kanban!$C$7="All",INDEX(Calc!$F$8:$F$500,MATCH(INDEX(Calc!$D$8:$D$500,MATCH(SMALL(IF((Calc!$K$8:$K$500=Kanban!H$11)*(Calc!$Y$8:$Y$500&gt;0),Calc!$Y$8:$Y$500,99999),$B308),Calc!$Y$8:$Y$500,0)),Calc!$D$8:$D$500,0)),
INDEX(Calc!$F$8:$F$500,MATCH(INDEX(Calc!$D$8:$D$500,MATCH(SMALL(IF((Calc!$K$8:$K$500=Kanban!H$11)*(Calc!$C$8:$C$500=Kanban!$C$7)*(Calc!$Y$8:$Y$500&gt;0),Calc!$Y$8:$Y$500,99999),$B308),Calc!$Y$8:$Y$500,0)),Calc!$D$8:$D$500,0)) ),"-")</f>
        <v>-</v>
      </c>
    </row>
    <row r="311" spans="2:10" x14ac:dyDescent="0.35">
      <c r="C311" s="18"/>
      <c r="D311" s="18"/>
      <c r="E311" s="18"/>
      <c r="F311" s="18"/>
      <c r="G311" s="18"/>
      <c r="H311" s="18"/>
      <c r="I311" s="18"/>
      <c r="J311" s="18"/>
    </row>
    <row r="312" spans="2:10" x14ac:dyDescent="0.35">
      <c r="B312" s="18"/>
      <c r="C312" s="18"/>
      <c r="D312" s="18"/>
      <c r="E312" s="18"/>
      <c r="F312" s="18"/>
      <c r="G312" s="18"/>
      <c r="H312" s="18"/>
      <c r="I312" s="18"/>
      <c r="J312" s="18"/>
    </row>
    <row r="313" spans="2:10" x14ac:dyDescent="0.35">
      <c r="B313" s="18"/>
      <c r="C313" s="18"/>
      <c r="D313" s="18"/>
      <c r="E313" s="18"/>
      <c r="F313" s="18"/>
      <c r="G313" s="18"/>
      <c r="H313" s="18"/>
      <c r="I313" s="18"/>
      <c r="J313" s="18"/>
    </row>
    <row r="314" spans="2:10" x14ac:dyDescent="0.35">
      <c r="B314" s="18"/>
      <c r="C314" s="18"/>
      <c r="D314" s="18"/>
      <c r="E314" s="18"/>
      <c r="F314" s="18"/>
      <c r="G314" s="18"/>
      <c r="H314" s="18"/>
      <c r="I314" s="18"/>
      <c r="J314" s="18"/>
    </row>
    <row r="315" spans="2:10" x14ac:dyDescent="0.35">
      <c r="B315" s="18"/>
      <c r="C315" s="18"/>
      <c r="D315" s="18"/>
      <c r="E315" s="153" t="s">
        <v>69</v>
      </c>
      <c r="F315" s="18"/>
      <c r="G315" s="18"/>
      <c r="H315" s="18"/>
      <c r="I315" s="18"/>
      <c r="J315" s="18"/>
    </row>
    <row r="316" spans="2:10" x14ac:dyDescent="0.35">
      <c r="B316" s="36" t="s">
        <v>29</v>
      </c>
      <c r="C316" s="36" t="s">
        <v>30</v>
      </c>
      <c r="D316" s="18"/>
      <c r="E316" s="51" t="str">
        <f>IF(LEN(Kanban!C11)=0,"",Kanban!C11)</f>
        <v>Backlog</v>
      </c>
      <c r="F316" s="51" t="str">
        <f>IF(LEN(Kanban!D11)=0,"",Kanban!D11)</f>
        <v>Research</v>
      </c>
      <c r="G316" s="51" t="str">
        <f>IF(LEN(Kanban!E11)=0,"",Kanban!E11)</f>
        <v>In Progress</v>
      </c>
      <c r="H316" s="51" t="str">
        <f>IF(LEN(Kanban!F11)=0,"",Kanban!F11)</f>
        <v>Q&amp;A</v>
      </c>
      <c r="I316" s="51" t="str">
        <f>IF(LEN(Kanban!G11)=0,"",Kanban!G11)</f>
        <v>Done</v>
      </c>
      <c r="J316" s="51" t="str">
        <f>IF(LEN(Kanban!H11)=0,"",Kanban!H11)</f>
        <v>On Hold</v>
      </c>
    </row>
    <row r="317" spans="2:10" x14ac:dyDescent="0.35">
      <c r="B317" s="40">
        <v>1</v>
      </c>
      <c r="C317" s="40" t="s">
        <v>47</v>
      </c>
      <c r="D317" s="18"/>
      <c r="E317" s="53" t="str">
        <f>IFERROR(IF(LEN(Kanban!C12)=0,"",Kanban!C12),"")</f>
        <v/>
      </c>
      <c r="F317" s="53" t="str">
        <f>IFERROR(IF(LEN(Kanban!D12)=0,"",Kanban!D12),"")</f>
        <v/>
      </c>
      <c r="G317" s="53" t="str">
        <f>IFERROR(IF(LEN(Kanban!E12)=0,"",Kanban!E12),"")</f>
        <v/>
      </c>
      <c r="H317" s="53" t="str">
        <f>IFERROR(IF(LEN(Kanban!F12)=0,"",Kanban!F12),"")</f>
        <v/>
      </c>
      <c r="I317" s="53" t="str">
        <f>IFERROR(IF(LEN(Kanban!G12)=0,"",Kanban!G12),"")</f>
        <v/>
      </c>
      <c r="J317" s="53" t="str">
        <f>IFERROR(IF(LEN(Kanban!H12)=0,"",Kanban!H12),"")</f>
        <v/>
      </c>
    </row>
    <row r="318" spans="2:10" x14ac:dyDescent="0.35">
      <c r="B318" s="40">
        <v>2</v>
      </c>
      <c r="C318" s="40" t="s">
        <v>48</v>
      </c>
      <c r="D318" s="18"/>
      <c r="E318" s="52" t="str">
        <f t="shared" ref="E318:J318" si="209">E317</f>
        <v/>
      </c>
      <c r="F318" s="52" t="str">
        <f t="shared" si="209"/>
        <v/>
      </c>
      <c r="G318" s="52" t="str">
        <f t="shared" si="209"/>
        <v/>
      </c>
      <c r="H318" s="52" t="str">
        <f t="shared" si="209"/>
        <v/>
      </c>
      <c r="I318" s="52" t="str">
        <f t="shared" si="209"/>
        <v/>
      </c>
      <c r="J318" s="52" t="str">
        <f t="shared" si="209"/>
        <v/>
      </c>
    </row>
    <row r="319" spans="2:10" x14ac:dyDescent="0.35">
      <c r="B319" s="40">
        <v>3</v>
      </c>
      <c r="C319" s="40" t="s">
        <v>49</v>
      </c>
      <c r="D319" s="18"/>
      <c r="E319" s="52" t="str">
        <f t="shared" ref="E319:J319" si="210">E317</f>
        <v/>
      </c>
      <c r="F319" s="52" t="str">
        <f t="shared" si="210"/>
        <v/>
      </c>
      <c r="G319" s="52" t="str">
        <f t="shared" si="210"/>
        <v/>
      </c>
      <c r="H319" s="52" t="str">
        <f t="shared" si="210"/>
        <v/>
      </c>
      <c r="I319" s="52" t="str">
        <f t="shared" si="210"/>
        <v/>
      </c>
      <c r="J319" s="52" t="str">
        <f t="shared" si="210"/>
        <v/>
      </c>
    </row>
    <row r="320" spans="2:10" x14ac:dyDescent="0.35">
      <c r="B320" s="40">
        <v>4</v>
      </c>
      <c r="C320" s="40" t="s">
        <v>50</v>
      </c>
      <c r="D320" s="18"/>
      <c r="E320" s="53" t="str">
        <f>IFERROR(IF(LEN(Kanban!C15)=0,"",Kanban!C15),"")</f>
        <v/>
      </c>
      <c r="F320" s="53" t="str">
        <f>IFERROR(IF(LEN(Kanban!D15)=0,"",Kanban!D15),"")</f>
        <v/>
      </c>
      <c r="G320" s="53" t="str">
        <f>IFERROR(IF(LEN(Kanban!E15)=0,"",Kanban!E15),"")</f>
        <v/>
      </c>
      <c r="H320" s="53" t="str">
        <f>IFERROR(IF(LEN(Kanban!F15)=0,"",Kanban!F15),"")</f>
        <v/>
      </c>
      <c r="I320" s="53" t="str">
        <f>IFERROR(IF(LEN(Kanban!G15)=0,"",Kanban!G15),"")</f>
        <v/>
      </c>
      <c r="J320" s="53" t="str">
        <f>IFERROR(IF(LEN(Kanban!H15)=0,"",Kanban!H15),"")</f>
        <v/>
      </c>
    </row>
    <row r="321" spans="2:10" x14ac:dyDescent="0.35">
      <c r="B321" s="40">
        <v>5</v>
      </c>
      <c r="C321" s="40" t="s">
        <v>28</v>
      </c>
      <c r="D321" s="18"/>
      <c r="E321" s="52" t="str">
        <f t="shared" ref="E321:J321" si="211">E320</f>
        <v/>
      </c>
      <c r="F321" s="52" t="str">
        <f t="shared" si="211"/>
        <v/>
      </c>
      <c r="G321" s="52" t="str">
        <f t="shared" si="211"/>
        <v/>
      </c>
      <c r="H321" s="52" t="str">
        <f t="shared" si="211"/>
        <v/>
      </c>
      <c r="I321" s="52" t="str">
        <f t="shared" si="211"/>
        <v/>
      </c>
      <c r="J321" s="52" t="str">
        <f t="shared" si="211"/>
        <v/>
      </c>
    </row>
    <row r="322" spans="2:10" x14ac:dyDescent="0.35">
      <c r="B322" s="40">
        <v>6</v>
      </c>
      <c r="C322" s="40" t="s">
        <v>51</v>
      </c>
      <c r="D322" s="18"/>
      <c r="E322" s="52" t="str">
        <f t="shared" ref="E322:J322" si="212">E320</f>
        <v/>
      </c>
      <c r="F322" s="52" t="str">
        <f t="shared" si="212"/>
        <v/>
      </c>
      <c r="G322" s="52" t="str">
        <f t="shared" si="212"/>
        <v/>
      </c>
      <c r="H322" s="52" t="str">
        <f t="shared" si="212"/>
        <v/>
      </c>
      <c r="I322" s="52" t="str">
        <f t="shared" si="212"/>
        <v/>
      </c>
      <c r="J322" s="52" t="str">
        <f t="shared" si="212"/>
        <v/>
      </c>
    </row>
    <row r="323" spans="2:10" x14ac:dyDescent="0.35">
      <c r="B323" s="40">
        <v>7</v>
      </c>
      <c r="C323" s="40" t="s">
        <v>52</v>
      </c>
      <c r="D323" s="18"/>
      <c r="E323" s="53" t="str">
        <f>IFERROR(IF(LEN(Kanban!C18)=0,"",Kanban!C18),"")</f>
        <v/>
      </c>
      <c r="F323" s="53" t="str">
        <f>IFERROR(IF(LEN(Kanban!D18)=0,"",Kanban!D18),"")</f>
        <v/>
      </c>
      <c r="G323" s="53" t="str">
        <f>IFERROR(IF(LEN(Kanban!E18)=0,"",Kanban!E18),"")</f>
        <v/>
      </c>
      <c r="H323" s="53" t="str">
        <f>IFERROR(IF(LEN(Kanban!F18)=0,"",Kanban!F18),"")</f>
        <v/>
      </c>
      <c r="I323" s="53" t="str">
        <f>IFERROR(IF(LEN(Kanban!G18)=0,"",Kanban!G18),"")</f>
        <v/>
      </c>
      <c r="J323" s="53" t="str">
        <f>IFERROR(IF(LEN(Kanban!H18)=0,"",Kanban!H18),"")</f>
        <v/>
      </c>
    </row>
    <row r="324" spans="2:10" x14ac:dyDescent="0.35">
      <c r="B324" s="40">
        <v>8</v>
      </c>
      <c r="C324" s="40" t="s">
        <v>53</v>
      </c>
      <c r="D324" s="18"/>
      <c r="E324" s="52" t="str">
        <f t="shared" ref="E324:J324" si="213">E323</f>
        <v/>
      </c>
      <c r="F324" s="52" t="str">
        <f t="shared" si="213"/>
        <v/>
      </c>
      <c r="G324" s="52" t="str">
        <f t="shared" si="213"/>
        <v/>
      </c>
      <c r="H324" s="52" t="str">
        <f t="shared" si="213"/>
        <v/>
      </c>
      <c r="I324" s="52" t="str">
        <f t="shared" si="213"/>
        <v/>
      </c>
      <c r="J324" s="52" t="str">
        <f t="shared" si="213"/>
        <v/>
      </c>
    </row>
    <row r="325" spans="2:10" x14ac:dyDescent="0.35">
      <c r="B325" s="40">
        <v>9</v>
      </c>
      <c r="C325" s="40" t="s">
        <v>54</v>
      </c>
      <c r="D325" s="18"/>
      <c r="E325" s="52" t="str">
        <f t="shared" ref="E325:J325" si="214">E323</f>
        <v/>
      </c>
      <c r="F325" s="52" t="str">
        <f t="shared" si="214"/>
        <v/>
      </c>
      <c r="G325" s="52" t="str">
        <f t="shared" si="214"/>
        <v/>
      </c>
      <c r="H325" s="52" t="str">
        <f t="shared" si="214"/>
        <v/>
      </c>
      <c r="I325" s="52" t="str">
        <f t="shared" si="214"/>
        <v/>
      </c>
      <c r="J325" s="52" t="str">
        <f t="shared" si="214"/>
        <v/>
      </c>
    </row>
    <row r="326" spans="2:10" x14ac:dyDescent="0.35">
      <c r="B326" s="40">
        <v>10</v>
      </c>
      <c r="C326" s="40" t="s">
        <v>55</v>
      </c>
      <c r="D326" s="18"/>
      <c r="E326" s="53" t="str">
        <f>IFERROR(IF(LEN(Kanban!C21)=0,"",Kanban!C21),"")</f>
        <v/>
      </c>
      <c r="F326" s="53" t="str">
        <f>IFERROR(IF(LEN(Kanban!D21)=0,"",Kanban!D21),"")</f>
        <v/>
      </c>
      <c r="G326" s="53" t="str">
        <f>IFERROR(IF(LEN(Kanban!E21)=0,"",Kanban!E21),"")</f>
        <v/>
      </c>
      <c r="H326" s="53" t="str">
        <f>IFERROR(IF(LEN(Kanban!F21)=0,"",Kanban!F21),"")</f>
        <v/>
      </c>
      <c r="I326" s="53" t="str">
        <f>IFERROR(IF(LEN(Kanban!G21)=0,"",Kanban!G21),"")</f>
        <v/>
      </c>
      <c r="J326" s="53" t="str">
        <f>IFERROR(IF(LEN(Kanban!H21)=0,"",Kanban!H21),"")</f>
        <v/>
      </c>
    </row>
    <row r="327" spans="2:10" x14ac:dyDescent="0.35">
      <c r="B327" s="40">
        <v>11</v>
      </c>
      <c r="C327" s="40" t="s">
        <v>56</v>
      </c>
      <c r="D327" s="18"/>
      <c r="E327" s="52" t="str">
        <f t="shared" ref="E327:J327" si="215">E326</f>
        <v/>
      </c>
      <c r="F327" s="52" t="str">
        <f t="shared" si="215"/>
        <v/>
      </c>
      <c r="G327" s="52" t="str">
        <f t="shared" si="215"/>
        <v/>
      </c>
      <c r="H327" s="52" t="str">
        <f t="shared" si="215"/>
        <v/>
      </c>
      <c r="I327" s="52" t="str">
        <f t="shared" si="215"/>
        <v/>
      </c>
      <c r="J327" s="52" t="str">
        <f t="shared" si="215"/>
        <v/>
      </c>
    </row>
    <row r="328" spans="2:10" x14ac:dyDescent="0.35">
      <c r="B328" s="40">
        <v>12</v>
      </c>
      <c r="C328" s="40" t="s">
        <v>57</v>
      </c>
      <c r="D328" s="18"/>
      <c r="E328" s="52" t="str">
        <f t="shared" ref="E328:J328" si="216">E326</f>
        <v/>
      </c>
      <c r="F328" s="52" t="str">
        <f t="shared" si="216"/>
        <v/>
      </c>
      <c r="G328" s="52" t="str">
        <f t="shared" si="216"/>
        <v/>
      </c>
      <c r="H328" s="52" t="str">
        <f t="shared" si="216"/>
        <v/>
      </c>
      <c r="I328" s="52" t="str">
        <f t="shared" si="216"/>
        <v/>
      </c>
      <c r="J328" s="52" t="str">
        <f t="shared" si="216"/>
        <v/>
      </c>
    </row>
    <row r="329" spans="2:10" x14ac:dyDescent="0.35">
      <c r="B329" s="18"/>
      <c r="C329" s="18"/>
      <c r="D329" s="18"/>
      <c r="E329" s="53" t="str">
        <f>IFERROR(IF(LEN(Kanban!C24)=0,"",Kanban!C24),"")</f>
        <v/>
      </c>
      <c r="F329" s="53" t="str">
        <f>IFERROR(IF(LEN(Kanban!D24)=0,"",Kanban!D24),"")</f>
        <v/>
      </c>
      <c r="G329" s="53" t="str">
        <f>IFERROR(IF(LEN(Kanban!E24)=0,"",Kanban!E24),"")</f>
        <v/>
      </c>
      <c r="H329" s="53" t="str">
        <f>IFERROR(IF(LEN(Kanban!F24)=0,"",Kanban!F24),"")</f>
        <v/>
      </c>
      <c r="I329" s="53" t="str">
        <f>IFERROR(IF(LEN(Kanban!G24)=0,"",Kanban!G24),"")</f>
        <v/>
      </c>
      <c r="J329" s="53" t="str">
        <f>IFERROR(IF(LEN(Kanban!H24)=0,"",Kanban!H24),"")</f>
        <v/>
      </c>
    </row>
    <row r="330" spans="2:10" x14ac:dyDescent="0.35">
      <c r="B330" s="18"/>
      <c r="C330" s="18"/>
      <c r="D330" s="18"/>
      <c r="E330" s="52" t="str">
        <f t="shared" ref="E330:J330" si="217">E329</f>
        <v/>
      </c>
      <c r="F330" s="52" t="str">
        <f t="shared" si="217"/>
        <v/>
      </c>
      <c r="G330" s="52" t="str">
        <f t="shared" si="217"/>
        <v/>
      </c>
      <c r="H330" s="52" t="str">
        <f t="shared" si="217"/>
        <v/>
      </c>
      <c r="I330" s="52" t="str">
        <f t="shared" si="217"/>
        <v/>
      </c>
      <c r="J330" s="52" t="str">
        <f t="shared" si="217"/>
        <v/>
      </c>
    </row>
    <row r="331" spans="2:10" x14ac:dyDescent="0.35">
      <c r="B331" s="18"/>
      <c r="C331" s="18"/>
      <c r="D331" s="18"/>
      <c r="E331" s="52" t="str">
        <f t="shared" ref="E331:J331" si="218">E329</f>
        <v/>
      </c>
      <c r="F331" s="52" t="str">
        <f t="shared" si="218"/>
        <v/>
      </c>
      <c r="G331" s="52" t="str">
        <f t="shared" si="218"/>
        <v/>
      </c>
      <c r="H331" s="52" t="str">
        <f t="shared" si="218"/>
        <v/>
      </c>
      <c r="I331" s="52" t="str">
        <f t="shared" si="218"/>
        <v/>
      </c>
      <c r="J331" s="52" t="str">
        <f t="shared" si="218"/>
        <v/>
      </c>
    </row>
    <row r="332" spans="2:10" x14ac:dyDescent="0.35">
      <c r="B332" s="18"/>
      <c r="C332" s="18"/>
      <c r="D332" s="18"/>
      <c r="E332" s="53" t="str">
        <f>IFERROR(IF(LEN(Kanban!C27)=0,"",Kanban!C27),"")</f>
        <v/>
      </c>
      <c r="F332" s="53" t="str">
        <f>IFERROR(IF(LEN(Kanban!D27)=0,"",Kanban!D27),"")</f>
        <v/>
      </c>
      <c r="G332" s="53" t="str">
        <f>IFERROR(IF(LEN(Kanban!E27)=0,"",Kanban!E27),"")</f>
        <v/>
      </c>
      <c r="H332" s="53" t="str">
        <f>IFERROR(IF(LEN(Kanban!F27)=0,"",Kanban!F27),"")</f>
        <v/>
      </c>
      <c r="I332" s="53" t="str">
        <f>IFERROR(IF(LEN(Kanban!G27)=0,"",Kanban!G27),"")</f>
        <v/>
      </c>
      <c r="J332" s="53" t="str">
        <f>IFERROR(IF(LEN(Kanban!H27)=0,"",Kanban!H27),"")</f>
        <v/>
      </c>
    </row>
    <row r="333" spans="2:10" x14ac:dyDescent="0.35">
      <c r="B333" s="18"/>
      <c r="C333" s="18"/>
      <c r="D333" s="18"/>
      <c r="E333" s="52" t="str">
        <f t="shared" ref="E333:J333" si="219">E332</f>
        <v/>
      </c>
      <c r="F333" s="52" t="str">
        <f t="shared" si="219"/>
        <v/>
      </c>
      <c r="G333" s="52" t="str">
        <f t="shared" si="219"/>
        <v/>
      </c>
      <c r="H333" s="52" t="str">
        <f t="shared" si="219"/>
        <v/>
      </c>
      <c r="I333" s="52" t="str">
        <f t="shared" si="219"/>
        <v/>
      </c>
      <c r="J333" s="52" t="str">
        <f t="shared" si="219"/>
        <v/>
      </c>
    </row>
    <row r="334" spans="2:10" x14ac:dyDescent="0.35">
      <c r="B334" s="18"/>
      <c r="C334" s="18"/>
      <c r="D334" s="18"/>
      <c r="E334" s="52" t="str">
        <f t="shared" ref="E334:J334" si="220">E332</f>
        <v/>
      </c>
      <c r="F334" s="52" t="str">
        <f t="shared" si="220"/>
        <v/>
      </c>
      <c r="G334" s="52" t="str">
        <f t="shared" si="220"/>
        <v/>
      </c>
      <c r="H334" s="52" t="str">
        <f t="shared" si="220"/>
        <v/>
      </c>
      <c r="I334" s="52" t="str">
        <f t="shared" si="220"/>
        <v/>
      </c>
      <c r="J334" s="52" t="str">
        <f t="shared" si="220"/>
        <v/>
      </c>
    </row>
    <row r="335" spans="2:10" x14ac:dyDescent="0.35">
      <c r="B335" s="18"/>
      <c r="C335" s="18"/>
      <c r="D335" s="18"/>
      <c r="E335" s="53" t="str">
        <f>IFERROR(IF(LEN(Kanban!C30)=0,"",Kanban!C30),"")</f>
        <v/>
      </c>
      <c r="F335" s="53" t="str">
        <f>IFERROR(IF(LEN(Kanban!D30)=0,"",Kanban!D30),"")</f>
        <v/>
      </c>
      <c r="G335" s="53" t="str">
        <f>IFERROR(IF(LEN(Kanban!E30)=0,"",Kanban!E30),"")</f>
        <v/>
      </c>
      <c r="H335" s="53" t="str">
        <f>IFERROR(IF(LEN(Kanban!F30)=0,"",Kanban!F30),"")</f>
        <v/>
      </c>
      <c r="I335" s="53" t="str">
        <f>IFERROR(IF(LEN(Kanban!G30)=0,"",Kanban!G30),"")</f>
        <v/>
      </c>
      <c r="J335" s="53" t="str">
        <f>IFERROR(IF(LEN(Kanban!H30)=0,"",Kanban!H30),"")</f>
        <v/>
      </c>
    </row>
    <row r="336" spans="2:10" x14ac:dyDescent="0.35">
      <c r="B336" s="18"/>
      <c r="C336" s="18"/>
      <c r="D336" s="18"/>
      <c r="E336" s="52" t="str">
        <f t="shared" ref="E336:J336" si="221">E335</f>
        <v/>
      </c>
      <c r="F336" s="52" t="str">
        <f t="shared" si="221"/>
        <v/>
      </c>
      <c r="G336" s="52" t="str">
        <f t="shared" si="221"/>
        <v/>
      </c>
      <c r="H336" s="52" t="str">
        <f t="shared" si="221"/>
        <v/>
      </c>
      <c r="I336" s="52" t="str">
        <f t="shared" si="221"/>
        <v/>
      </c>
      <c r="J336" s="52" t="str">
        <f t="shared" si="221"/>
        <v/>
      </c>
    </row>
    <row r="337" spans="2:10" x14ac:dyDescent="0.35">
      <c r="B337" s="18"/>
      <c r="C337" s="18"/>
      <c r="D337" s="18"/>
      <c r="E337" s="52" t="str">
        <f t="shared" ref="E337:J337" si="222">E335</f>
        <v/>
      </c>
      <c r="F337" s="52" t="str">
        <f t="shared" si="222"/>
        <v/>
      </c>
      <c r="G337" s="52" t="str">
        <f t="shared" si="222"/>
        <v/>
      </c>
      <c r="H337" s="52" t="str">
        <f t="shared" si="222"/>
        <v/>
      </c>
      <c r="I337" s="52" t="str">
        <f t="shared" si="222"/>
        <v/>
      </c>
      <c r="J337" s="52" t="str">
        <f t="shared" si="222"/>
        <v/>
      </c>
    </row>
    <row r="338" spans="2:10" x14ac:dyDescent="0.35">
      <c r="B338" s="18"/>
      <c r="C338" s="18"/>
      <c r="D338" s="18"/>
      <c r="E338" s="53" t="str">
        <f>IFERROR(IF(LEN(Kanban!C33)=0,"",Kanban!C33),"")</f>
        <v/>
      </c>
      <c r="F338" s="53" t="str">
        <f>IFERROR(IF(LEN(Kanban!D33)=0,"",Kanban!D33),"")</f>
        <v/>
      </c>
      <c r="G338" s="53" t="str">
        <f>IFERROR(IF(LEN(Kanban!E33)=0,"",Kanban!E33),"")</f>
        <v/>
      </c>
      <c r="H338" s="53" t="str">
        <f>IFERROR(IF(LEN(Kanban!F33)=0,"",Kanban!F33),"")</f>
        <v/>
      </c>
      <c r="I338" s="53" t="str">
        <f>IFERROR(IF(LEN(Kanban!G33)=0,"",Kanban!G33),"")</f>
        <v/>
      </c>
      <c r="J338" s="53" t="str">
        <f>IFERROR(IF(LEN(Kanban!H33)=0,"",Kanban!H33),"")</f>
        <v/>
      </c>
    </row>
    <row r="339" spans="2:10" x14ac:dyDescent="0.35">
      <c r="B339" s="18"/>
      <c r="C339" s="18"/>
      <c r="D339" s="18"/>
      <c r="E339" s="52" t="str">
        <f t="shared" ref="E339:J339" si="223">E338</f>
        <v/>
      </c>
      <c r="F339" s="52" t="str">
        <f t="shared" si="223"/>
        <v/>
      </c>
      <c r="G339" s="52" t="str">
        <f t="shared" si="223"/>
        <v/>
      </c>
      <c r="H339" s="52" t="str">
        <f t="shared" si="223"/>
        <v/>
      </c>
      <c r="I339" s="52" t="str">
        <f t="shared" si="223"/>
        <v/>
      </c>
      <c r="J339" s="52" t="str">
        <f t="shared" si="223"/>
        <v/>
      </c>
    </row>
    <row r="340" spans="2:10" x14ac:dyDescent="0.35">
      <c r="B340" s="18"/>
      <c r="C340" s="18"/>
      <c r="D340" s="18"/>
      <c r="E340" s="52" t="str">
        <f t="shared" ref="E340:J340" si="224">E338</f>
        <v/>
      </c>
      <c r="F340" s="52" t="str">
        <f t="shared" si="224"/>
        <v/>
      </c>
      <c r="G340" s="52" t="str">
        <f t="shared" si="224"/>
        <v/>
      </c>
      <c r="H340" s="52" t="str">
        <f t="shared" si="224"/>
        <v/>
      </c>
      <c r="I340" s="52" t="str">
        <f t="shared" si="224"/>
        <v/>
      </c>
      <c r="J340" s="52" t="str">
        <f t="shared" si="224"/>
        <v/>
      </c>
    </row>
    <row r="341" spans="2:10" x14ac:dyDescent="0.35">
      <c r="B341" s="18"/>
      <c r="C341" s="18"/>
      <c r="D341" s="18"/>
      <c r="E341" s="53" t="str">
        <f>IFERROR(IF(LEN(Kanban!C36)=0,"",Kanban!C36),"")</f>
        <v/>
      </c>
      <c r="F341" s="53" t="str">
        <f>IFERROR(IF(LEN(Kanban!D36)=0,"",Kanban!D36),"")</f>
        <v/>
      </c>
      <c r="G341" s="53" t="str">
        <f>IFERROR(IF(LEN(Kanban!E36)=0,"",Kanban!E36),"")</f>
        <v/>
      </c>
      <c r="H341" s="53" t="str">
        <f>IFERROR(IF(LEN(Kanban!F36)=0,"",Kanban!F36),"")</f>
        <v/>
      </c>
      <c r="I341" s="53" t="str">
        <f>IFERROR(IF(LEN(Kanban!G36)=0,"",Kanban!G36),"")</f>
        <v/>
      </c>
      <c r="J341" s="53" t="str">
        <f>IFERROR(IF(LEN(Kanban!H36)=0,"",Kanban!H36),"")</f>
        <v/>
      </c>
    </row>
    <row r="342" spans="2:10" x14ac:dyDescent="0.35">
      <c r="B342" s="18"/>
      <c r="C342" s="18"/>
      <c r="D342" s="18"/>
      <c r="E342" s="52" t="str">
        <f t="shared" ref="E342:J342" si="225">E341</f>
        <v/>
      </c>
      <c r="F342" s="52" t="str">
        <f t="shared" si="225"/>
        <v/>
      </c>
      <c r="G342" s="52" t="str">
        <f t="shared" si="225"/>
        <v/>
      </c>
      <c r="H342" s="52" t="str">
        <f t="shared" si="225"/>
        <v/>
      </c>
      <c r="I342" s="52" t="str">
        <f t="shared" si="225"/>
        <v/>
      </c>
      <c r="J342" s="52" t="str">
        <f t="shared" si="225"/>
        <v/>
      </c>
    </row>
    <row r="343" spans="2:10" x14ac:dyDescent="0.35">
      <c r="B343" s="18"/>
      <c r="C343" s="18"/>
      <c r="D343" s="18"/>
      <c r="E343" s="52" t="str">
        <f t="shared" ref="E343:J343" si="226">E341</f>
        <v/>
      </c>
      <c r="F343" s="52" t="str">
        <f t="shared" si="226"/>
        <v/>
      </c>
      <c r="G343" s="52" t="str">
        <f t="shared" si="226"/>
        <v/>
      </c>
      <c r="H343" s="52" t="str">
        <f t="shared" si="226"/>
        <v/>
      </c>
      <c r="I343" s="52" t="str">
        <f t="shared" si="226"/>
        <v/>
      </c>
      <c r="J343" s="52" t="str">
        <f t="shared" si="226"/>
        <v/>
      </c>
    </row>
    <row r="344" spans="2:10" x14ac:dyDescent="0.35">
      <c r="B344" s="18"/>
      <c r="C344" s="18"/>
      <c r="D344" s="18"/>
      <c r="E344" s="53" t="str">
        <f>IFERROR(IF(LEN(Kanban!C39)=0,"",Kanban!C39),"")</f>
        <v/>
      </c>
      <c r="F344" s="53" t="str">
        <f>IFERROR(IF(LEN(Kanban!D39)=0,"",Kanban!D39),"")</f>
        <v/>
      </c>
      <c r="G344" s="53" t="str">
        <f>IFERROR(IF(LEN(Kanban!E39)=0,"",Kanban!E39),"")</f>
        <v/>
      </c>
      <c r="H344" s="53" t="str">
        <f>IFERROR(IF(LEN(Kanban!F39)=0,"",Kanban!F39),"")</f>
        <v/>
      </c>
      <c r="I344" s="53" t="str">
        <f>IFERROR(IF(LEN(Kanban!G39)=0,"",Kanban!G39),"")</f>
        <v/>
      </c>
      <c r="J344" s="53" t="str">
        <f>IFERROR(IF(LEN(Kanban!H39)=0,"",Kanban!H39),"")</f>
        <v/>
      </c>
    </row>
    <row r="345" spans="2:10" x14ac:dyDescent="0.35">
      <c r="B345" s="18"/>
      <c r="C345" s="18"/>
      <c r="D345" s="18"/>
      <c r="E345" s="52" t="str">
        <f t="shared" ref="E345:J345" si="227">E344</f>
        <v/>
      </c>
      <c r="F345" s="52" t="str">
        <f t="shared" si="227"/>
        <v/>
      </c>
      <c r="G345" s="52" t="str">
        <f t="shared" si="227"/>
        <v/>
      </c>
      <c r="H345" s="52" t="str">
        <f t="shared" si="227"/>
        <v/>
      </c>
      <c r="I345" s="52" t="str">
        <f t="shared" si="227"/>
        <v/>
      </c>
      <c r="J345" s="52" t="str">
        <f t="shared" si="227"/>
        <v/>
      </c>
    </row>
    <row r="346" spans="2:10" x14ac:dyDescent="0.35">
      <c r="B346" s="18"/>
      <c r="C346" s="18"/>
      <c r="D346" s="18"/>
      <c r="E346" s="52" t="str">
        <f t="shared" ref="E346:J346" si="228">E344</f>
        <v/>
      </c>
      <c r="F346" s="52" t="str">
        <f t="shared" si="228"/>
        <v/>
      </c>
      <c r="G346" s="52" t="str">
        <f t="shared" si="228"/>
        <v/>
      </c>
      <c r="H346" s="52" t="str">
        <f t="shared" si="228"/>
        <v/>
      </c>
      <c r="I346" s="52" t="str">
        <f t="shared" si="228"/>
        <v/>
      </c>
      <c r="J346" s="52" t="str">
        <f t="shared" si="228"/>
        <v/>
      </c>
    </row>
    <row r="347" spans="2:10" x14ac:dyDescent="0.35">
      <c r="B347" s="18"/>
      <c r="C347" s="18"/>
      <c r="D347" s="18"/>
      <c r="E347" s="53" t="str">
        <f>IFERROR(IF(LEN(Kanban!C42)=0,"",Kanban!C42),"")</f>
        <v/>
      </c>
      <c r="F347" s="53" t="str">
        <f>IFERROR(IF(LEN(Kanban!D42)=0,"",Kanban!D42),"")</f>
        <v/>
      </c>
      <c r="G347" s="53" t="str">
        <f>IFERROR(IF(LEN(Kanban!E42)=0,"",Kanban!E42),"")</f>
        <v/>
      </c>
      <c r="H347" s="53" t="str">
        <f>IFERROR(IF(LEN(Kanban!F42)=0,"",Kanban!F42),"")</f>
        <v/>
      </c>
      <c r="I347" s="53" t="str">
        <f>IFERROR(IF(LEN(Kanban!G42)=0,"",Kanban!G42),"")</f>
        <v/>
      </c>
      <c r="J347" s="53" t="str">
        <f>IFERROR(IF(LEN(Kanban!H42)=0,"",Kanban!H42),"")</f>
        <v/>
      </c>
    </row>
    <row r="348" spans="2:10" x14ac:dyDescent="0.35">
      <c r="B348" s="18"/>
      <c r="C348" s="18"/>
      <c r="D348" s="18"/>
      <c r="E348" s="52" t="str">
        <f t="shared" ref="E348:J348" si="229">E347</f>
        <v/>
      </c>
      <c r="F348" s="52" t="str">
        <f t="shared" si="229"/>
        <v/>
      </c>
      <c r="G348" s="52" t="str">
        <f t="shared" si="229"/>
        <v/>
      </c>
      <c r="H348" s="52" t="str">
        <f t="shared" si="229"/>
        <v/>
      </c>
      <c r="I348" s="52" t="str">
        <f t="shared" si="229"/>
        <v/>
      </c>
      <c r="J348" s="52" t="str">
        <f t="shared" si="229"/>
        <v/>
      </c>
    </row>
    <row r="349" spans="2:10" x14ac:dyDescent="0.35">
      <c r="B349" s="18"/>
      <c r="C349" s="18"/>
      <c r="D349" s="18"/>
      <c r="E349" s="52" t="str">
        <f t="shared" ref="E349:J349" si="230">E347</f>
        <v/>
      </c>
      <c r="F349" s="52" t="str">
        <f t="shared" si="230"/>
        <v/>
      </c>
      <c r="G349" s="52" t="str">
        <f t="shared" si="230"/>
        <v/>
      </c>
      <c r="H349" s="52" t="str">
        <f t="shared" si="230"/>
        <v/>
      </c>
      <c r="I349" s="52" t="str">
        <f t="shared" si="230"/>
        <v/>
      </c>
      <c r="J349" s="52" t="str">
        <f t="shared" si="230"/>
        <v/>
      </c>
    </row>
    <row r="350" spans="2:10" x14ac:dyDescent="0.35">
      <c r="B350" s="18"/>
      <c r="C350" s="18"/>
      <c r="D350" s="18"/>
      <c r="E350" s="53" t="str">
        <f>IFERROR(IF(LEN(Kanban!C45)=0,"",Kanban!C45),"")</f>
        <v/>
      </c>
      <c r="F350" s="53" t="str">
        <f>IFERROR(IF(LEN(Kanban!D45)=0,"",Kanban!D45),"")</f>
        <v/>
      </c>
      <c r="G350" s="53" t="str">
        <f>IFERROR(IF(LEN(Kanban!E45)=0,"",Kanban!E45),"")</f>
        <v/>
      </c>
      <c r="H350" s="53" t="str">
        <f>IFERROR(IF(LEN(Kanban!F45)=0,"",Kanban!F45),"")</f>
        <v/>
      </c>
      <c r="I350" s="53" t="str">
        <f>IFERROR(IF(LEN(Kanban!G45)=0,"",Kanban!G45),"")</f>
        <v/>
      </c>
      <c r="J350" s="53" t="str">
        <f>IFERROR(IF(LEN(Kanban!H45)=0,"",Kanban!H45),"")</f>
        <v/>
      </c>
    </row>
    <row r="351" spans="2:10" x14ac:dyDescent="0.35">
      <c r="B351" s="18"/>
      <c r="C351" s="18"/>
      <c r="D351" s="18"/>
      <c r="E351" s="52" t="str">
        <f t="shared" ref="E351:J351" si="231">E350</f>
        <v/>
      </c>
      <c r="F351" s="52" t="str">
        <f t="shared" si="231"/>
        <v/>
      </c>
      <c r="G351" s="52" t="str">
        <f t="shared" si="231"/>
        <v/>
      </c>
      <c r="H351" s="52" t="str">
        <f t="shared" si="231"/>
        <v/>
      </c>
      <c r="I351" s="52" t="str">
        <f t="shared" si="231"/>
        <v/>
      </c>
      <c r="J351" s="52" t="str">
        <f t="shared" si="231"/>
        <v/>
      </c>
    </row>
    <row r="352" spans="2:10" x14ac:dyDescent="0.35">
      <c r="B352" s="18"/>
      <c r="C352" s="18"/>
      <c r="D352" s="18"/>
      <c r="E352" s="52" t="str">
        <f t="shared" ref="E352:J352" si="232">E350</f>
        <v/>
      </c>
      <c r="F352" s="52" t="str">
        <f t="shared" si="232"/>
        <v/>
      </c>
      <c r="G352" s="52" t="str">
        <f t="shared" si="232"/>
        <v/>
      </c>
      <c r="H352" s="52" t="str">
        <f t="shared" si="232"/>
        <v/>
      </c>
      <c r="I352" s="52" t="str">
        <f t="shared" si="232"/>
        <v/>
      </c>
      <c r="J352" s="52" t="str">
        <f t="shared" si="232"/>
        <v/>
      </c>
    </row>
    <row r="353" spans="2:10" x14ac:dyDescent="0.35">
      <c r="B353" s="18"/>
      <c r="C353" s="18"/>
      <c r="D353" s="18"/>
      <c r="E353" s="53" t="str">
        <f>IFERROR(IF(LEN(Kanban!C48)=0,"",Kanban!C48),"")</f>
        <v/>
      </c>
      <c r="F353" s="53" t="str">
        <f>IFERROR(IF(LEN(Kanban!D48)=0,"",Kanban!D48),"")</f>
        <v/>
      </c>
      <c r="G353" s="53" t="str">
        <f>IFERROR(IF(LEN(Kanban!E48)=0,"",Kanban!E48),"")</f>
        <v/>
      </c>
      <c r="H353" s="53" t="str">
        <f>IFERROR(IF(LEN(Kanban!F48)=0,"",Kanban!F48),"")</f>
        <v/>
      </c>
      <c r="I353" s="53" t="str">
        <f>IFERROR(IF(LEN(Kanban!G48)=0,"",Kanban!G48),"")</f>
        <v/>
      </c>
      <c r="J353" s="53" t="str">
        <f>IFERROR(IF(LEN(Kanban!H48)=0,"",Kanban!H48),"")</f>
        <v/>
      </c>
    </row>
    <row r="354" spans="2:10" x14ac:dyDescent="0.35">
      <c r="B354" s="18"/>
      <c r="C354" s="18"/>
      <c r="D354" s="18"/>
      <c r="E354" s="52" t="str">
        <f t="shared" ref="E354:J354" si="233">E353</f>
        <v/>
      </c>
      <c r="F354" s="52" t="str">
        <f t="shared" si="233"/>
        <v/>
      </c>
      <c r="G354" s="52" t="str">
        <f t="shared" si="233"/>
        <v/>
      </c>
      <c r="H354" s="52" t="str">
        <f t="shared" si="233"/>
        <v/>
      </c>
      <c r="I354" s="52" t="str">
        <f t="shared" si="233"/>
        <v/>
      </c>
      <c r="J354" s="52" t="str">
        <f t="shared" si="233"/>
        <v/>
      </c>
    </row>
    <row r="355" spans="2:10" x14ac:dyDescent="0.35">
      <c r="B355" s="18"/>
      <c r="C355" s="18"/>
      <c r="D355" s="18"/>
      <c r="E355" s="52" t="str">
        <f t="shared" ref="E355:J355" si="234">E353</f>
        <v/>
      </c>
      <c r="F355" s="52" t="str">
        <f t="shared" si="234"/>
        <v/>
      </c>
      <c r="G355" s="52" t="str">
        <f t="shared" si="234"/>
        <v/>
      </c>
      <c r="H355" s="52" t="str">
        <f t="shared" si="234"/>
        <v/>
      </c>
      <c r="I355" s="52" t="str">
        <f t="shared" si="234"/>
        <v/>
      </c>
      <c r="J355" s="52" t="str">
        <f t="shared" si="234"/>
        <v/>
      </c>
    </row>
    <row r="356" spans="2:10" x14ac:dyDescent="0.35">
      <c r="B356" s="18"/>
      <c r="C356" s="18"/>
      <c r="D356" s="18"/>
      <c r="E356" s="53" t="str">
        <f>IFERROR(IF(LEN(Kanban!C51)=0,"",Kanban!C51),"")</f>
        <v/>
      </c>
      <c r="F356" s="53" t="str">
        <f>IFERROR(IF(LEN(Kanban!D51)=0,"",Kanban!D51),"")</f>
        <v/>
      </c>
      <c r="G356" s="53" t="str">
        <f>IFERROR(IF(LEN(Kanban!E51)=0,"",Kanban!E51),"")</f>
        <v/>
      </c>
      <c r="H356" s="53" t="str">
        <f>IFERROR(IF(LEN(Kanban!F51)=0,"",Kanban!F51),"")</f>
        <v/>
      </c>
      <c r="I356" s="53" t="str">
        <f>IFERROR(IF(LEN(Kanban!G51)=0,"",Kanban!G51),"")</f>
        <v/>
      </c>
      <c r="J356" s="53" t="str">
        <f>IFERROR(IF(LEN(Kanban!H51)=0,"",Kanban!H51),"")</f>
        <v/>
      </c>
    </row>
    <row r="357" spans="2:10" x14ac:dyDescent="0.35">
      <c r="B357" s="18"/>
      <c r="C357" s="18"/>
      <c r="D357" s="18"/>
      <c r="E357" s="52" t="str">
        <f t="shared" ref="E357:J357" si="235">E356</f>
        <v/>
      </c>
      <c r="F357" s="52" t="str">
        <f t="shared" si="235"/>
        <v/>
      </c>
      <c r="G357" s="52" t="str">
        <f t="shared" si="235"/>
        <v/>
      </c>
      <c r="H357" s="52" t="str">
        <f t="shared" si="235"/>
        <v/>
      </c>
      <c r="I357" s="52" t="str">
        <f t="shared" si="235"/>
        <v/>
      </c>
      <c r="J357" s="52" t="str">
        <f t="shared" si="235"/>
        <v/>
      </c>
    </row>
    <row r="358" spans="2:10" x14ac:dyDescent="0.35">
      <c r="B358" s="18"/>
      <c r="C358" s="18"/>
      <c r="D358" s="18"/>
      <c r="E358" s="52" t="str">
        <f t="shared" ref="E358:J358" si="236">E356</f>
        <v/>
      </c>
      <c r="F358" s="52" t="str">
        <f t="shared" si="236"/>
        <v/>
      </c>
      <c r="G358" s="52" t="str">
        <f t="shared" si="236"/>
        <v/>
      </c>
      <c r="H358" s="52" t="str">
        <f t="shared" si="236"/>
        <v/>
      </c>
      <c r="I358" s="52" t="str">
        <f t="shared" si="236"/>
        <v/>
      </c>
      <c r="J358" s="52" t="str">
        <f t="shared" si="236"/>
        <v/>
      </c>
    </row>
    <row r="359" spans="2:10" x14ac:dyDescent="0.35">
      <c r="B359" s="18"/>
      <c r="C359" s="18"/>
      <c r="D359" s="18"/>
      <c r="E359" s="53" t="str">
        <f>IFERROR(IF(LEN(Kanban!C54)=0,"",Kanban!C54),"")</f>
        <v/>
      </c>
      <c r="F359" s="53" t="str">
        <f>IFERROR(IF(LEN(Kanban!D54)=0,"",Kanban!D54),"")</f>
        <v/>
      </c>
      <c r="G359" s="53" t="str">
        <f>IFERROR(IF(LEN(Kanban!E54)=0,"",Kanban!E54),"")</f>
        <v/>
      </c>
      <c r="H359" s="53" t="str">
        <f>IFERROR(IF(LEN(Kanban!F54)=0,"",Kanban!F54),"")</f>
        <v/>
      </c>
      <c r="I359" s="53" t="str">
        <f>IFERROR(IF(LEN(Kanban!G54)=0,"",Kanban!G54),"")</f>
        <v/>
      </c>
      <c r="J359" s="53" t="str">
        <f>IFERROR(IF(LEN(Kanban!H54)=0,"",Kanban!H54),"")</f>
        <v/>
      </c>
    </row>
    <row r="360" spans="2:10" x14ac:dyDescent="0.35">
      <c r="B360" s="18"/>
      <c r="C360" s="18"/>
      <c r="D360" s="18"/>
      <c r="E360" s="52" t="str">
        <f t="shared" ref="E360:J360" si="237">E359</f>
        <v/>
      </c>
      <c r="F360" s="52" t="str">
        <f t="shared" si="237"/>
        <v/>
      </c>
      <c r="G360" s="52" t="str">
        <f t="shared" si="237"/>
        <v/>
      </c>
      <c r="H360" s="52" t="str">
        <f t="shared" si="237"/>
        <v/>
      </c>
      <c r="I360" s="52" t="str">
        <f t="shared" si="237"/>
        <v/>
      </c>
      <c r="J360" s="52" t="str">
        <f t="shared" si="237"/>
        <v/>
      </c>
    </row>
    <row r="361" spans="2:10" x14ac:dyDescent="0.35">
      <c r="B361" s="18"/>
      <c r="C361" s="18"/>
      <c r="D361" s="18"/>
      <c r="E361" s="52" t="str">
        <f t="shared" ref="E361:J361" si="238">E359</f>
        <v/>
      </c>
      <c r="F361" s="52" t="str">
        <f t="shared" si="238"/>
        <v/>
      </c>
      <c r="G361" s="52" t="str">
        <f t="shared" si="238"/>
        <v/>
      </c>
      <c r="H361" s="52" t="str">
        <f t="shared" si="238"/>
        <v/>
      </c>
      <c r="I361" s="52" t="str">
        <f t="shared" si="238"/>
        <v/>
      </c>
      <c r="J361" s="52" t="str">
        <f t="shared" si="238"/>
        <v/>
      </c>
    </row>
    <row r="362" spans="2:10" x14ac:dyDescent="0.35">
      <c r="B362" s="18"/>
      <c r="C362" s="18"/>
      <c r="D362" s="18"/>
      <c r="E362" s="53" t="str">
        <f>IFERROR(IF(LEN(Kanban!C57)=0,"",Kanban!C57),"")</f>
        <v/>
      </c>
      <c r="F362" s="53" t="str">
        <f>IFERROR(IF(LEN(Kanban!D57)=0,"",Kanban!D57),"")</f>
        <v/>
      </c>
      <c r="G362" s="53" t="str">
        <f>IFERROR(IF(LEN(Kanban!E57)=0,"",Kanban!E57),"")</f>
        <v/>
      </c>
      <c r="H362" s="53" t="str">
        <f>IFERROR(IF(LEN(Kanban!F57)=0,"",Kanban!F57),"")</f>
        <v/>
      </c>
      <c r="I362" s="53" t="str">
        <f>IFERROR(IF(LEN(Kanban!G57)=0,"",Kanban!G57),"")</f>
        <v/>
      </c>
      <c r="J362" s="53" t="str">
        <f>IFERROR(IF(LEN(Kanban!H57)=0,"",Kanban!H57),"")</f>
        <v/>
      </c>
    </row>
    <row r="363" spans="2:10" x14ac:dyDescent="0.35">
      <c r="B363" s="18"/>
      <c r="C363" s="18"/>
      <c r="D363" s="18"/>
      <c r="E363" s="52" t="str">
        <f t="shared" ref="E363:J363" si="239">E362</f>
        <v/>
      </c>
      <c r="F363" s="52" t="str">
        <f t="shared" si="239"/>
        <v/>
      </c>
      <c r="G363" s="52" t="str">
        <f t="shared" si="239"/>
        <v/>
      </c>
      <c r="H363" s="52" t="str">
        <f t="shared" si="239"/>
        <v/>
      </c>
      <c r="I363" s="52" t="str">
        <f t="shared" si="239"/>
        <v/>
      </c>
      <c r="J363" s="52" t="str">
        <f t="shared" si="239"/>
        <v/>
      </c>
    </row>
    <row r="364" spans="2:10" x14ac:dyDescent="0.35">
      <c r="B364" s="18"/>
      <c r="C364" s="18"/>
      <c r="D364" s="18"/>
      <c r="E364" s="52" t="str">
        <f t="shared" ref="E364:J364" si="240">E362</f>
        <v/>
      </c>
      <c r="F364" s="52" t="str">
        <f t="shared" si="240"/>
        <v/>
      </c>
      <c r="G364" s="52" t="str">
        <f t="shared" si="240"/>
        <v/>
      </c>
      <c r="H364" s="52" t="str">
        <f t="shared" si="240"/>
        <v/>
      </c>
      <c r="I364" s="52" t="str">
        <f t="shared" si="240"/>
        <v/>
      </c>
      <c r="J364" s="52" t="str">
        <f t="shared" si="240"/>
        <v/>
      </c>
    </row>
    <row r="365" spans="2:10" x14ac:dyDescent="0.35">
      <c r="B365" s="18"/>
      <c r="C365" s="18"/>
      <c r="D365" s="18"/>
      <c r="E365" s="53" t="str">
        <f>IFERROR(IF(LEN(Kanban!C60)=0,"",Kanban!C60),"")</f>
        <v/>
      </c>
      <c r="F365" s="53" t="str">
        <f>IFERROR(IF(LEN(Kanban!D60)=0,"",Kanban!D60),"")</f>
        <v/>
      </c>
      <c r="G365" s="53" t="str">
        <f>IFERROR(IF(LEN(Kanban!E60)=0,"",Kanban!E60),"")</f>
        <v/>
      </c>
      <c r="H365" s="53" t="str">
        <f>IFERROR(IF(LEN(Kanban!F60)=0,"",Kanban!F60),"")</f>
        <v/>
      </c>
      <c r="I365" s="53" t="str">
        <f>IFERROR(IF(LEN(Kanban!G60)=0,"",Kanban!G60),"")</f>
        <v/>
      </c>
      <c r="J365" s="53" t="str">
        <f>IFERROR(IF(LEN(Kanban!H60)=0,"",Kanban!H60),"")</f>
        <v/>
      </c>
    </row>
    <row r="366" spans="2:10" x14ac:dyDescent="0.35">
      <c r="B366" s="18"/>
      <c r="C366" s="18"/>
      <c r="D366" s="18"/>
      <c r="E366" s="52" t="str">
        <f t="shared" ref="E366:J366" si="241">E365</f>
        <v/>
      </c>
      <c r="F366" s="52" t="str">
        <f t="shared" si="241"/>
        <v/>
      </c>
      <c r="G366" s="52" t="str">
        <f t="shared" si="241"/>
        <v/>
      </c>
      <c r="H366" s="52" t="str">
        <f t="shared" si="241"/>
        <v/>
      </c>
      <c r="I366" s="52" t="str">
        <f t="shared" si="241"/>
        <v/>
      </c>
      <c r="J366" s="52" t="str">
        <f t="shared" si="241"/>
        <v/>
      </c>
    </row>
    <row r="367" spans="2:10" x14ac:dyDescent="0.35">
      <c r="B367" s="18"/>
      <c r="C367" s="18"/>
      <c r="D367" s="18"/>
      <c r="E367" s="52" t="str">
        <f t="shared" ref="E367:J367" si="242">E365</f>
        <v/>
      </c>
      <c r="F367" s="52" t="str">
        <f t="shared" si="242"/>
        <v/>
      </c>
      <c r="G367" s="52" t="str">
        <f t="shared" si="242"/>
        <v/>
      </c>
      <c r="H367" s="52" t="str">
        <f t="shared" si="242"/>
        <v/>
      </c>
      <c r="I367" s="52" t="str">
        <f t="shared" si="242"/>
        <v/>
      </c>
      <c r="J367" s="52" t="str">
        <f t="shared" si="242"/>
        <v/>
      </c>
    </row>
    <row r="368" spans="2:10" x14ac:dyDescent="0.35">
      <c r="B368" s="18"/>
      <c r="C368" s="18"/>
      <c r="D368" s="18"/>
      <c r="E368" s="53" t="str">
        <f>IFERROR(IF(LEN(Kanban!C63)=0,"",Kanban!C63),"")</f>
        <v/>
      </c>
      <c r="F368" s="53" t="str">
        <f>IFERROR(IF(LEN(Kanban!D63)=0,"",Kanban!D63),"")</f>
        <v/>
      </c>
      <c r="G368" s="53" t="str">
        <f>IFERROR(IF(LEN(Kanban!E63)=0,"",Kanban!E63),"")</f>
        <v/>
      </c>
      <c r="H368" s="53" t="str">
        <f>IFERROR(IF(LEN(Kanban!F63)=0,"",Kanban!F63),"")</f>
        <v/>
      </c>
      <c r="I368" s="53" t="str">
        <f>IFERROR(IF(LEN(Kanban!G63)=0,"",Kanban!G63),"")</f>
        <v/>
      </c>
      <c r="J368" s="53" t="str">
        <f>IFERROR(IF(LEN(Kanban!H63)=0,"",Kanban!H63),"")</f>
        <v/>
      </c>
    </row>
    <row r="369" spans="2:10" x14ac:dyDescent="0.35">
      <c r="B369" s="18"/>
      <c r="C369" s="18"/>
      <c r="D369" s="18"/>
      <c r="E369" s="52" t="str">
        <f t="shared" ref="E369:J369" si="243">E368</f>
        <v/>
      </c>
      <c r="F369" s="52" t="str">
        <f t="shared" si="243"/>
        <v/>
      </c>
      <c r="G369" s="52" t="str">
        <f t="shared" si="243"/>
        <v/>
      </c>
      <c r="H369" s="52" t="str">
        <f t="shared" si="243"/>
        <v/>
      </c>
      <c r="I369" s="52" t="str">
        <f t="shared" si="243"/>
        <v/>
      </c>
      <c r="J369" s="52" t="str">
        <f t="shared" si="243"/>
        <v/>
      </c>
    </row>
    <row r="370" spans="2:10" x14ac:dyDescent="0.35">
      <c r="B370" s="18"/>
      <c r="C370" s="18"/>
      <c r="D370" s="18"/>
      <c r="E370" s="52" t="str">
        <f t="shared" ref="E370:J370" si="244">E368</f>
        <v/>
      </c>
      <c r="F370" s="52" t="str">
        <f t="shared" si="244"/>
        <v/>
      </c>
      <c r="G370" s="52" t="str">
        <f t="shared" si="244"/>
        <v/>
      </c>
      <c r="H370" s="52" t="str">
        <f t="shared" si="244"/>
        <v/>
      </c>
      <c r="I370" s="52" t="str">
        <f t="shared" si="244"/>
        <v/>
      </c>
      <c r="J370" s="52" t="str">
        <f t="shared" si="244"/>
        <v/>
      </c>
    </row>
    <row r="371" spans="2:10" x14ac:dyDescent="0.35">
      <c r="B371" s="18"/>
      <c r="C371" s="18"/>
      <c r="D371" s="18"/>
      <c r="E371" s="53" t="str">
        <f>IFERROR(IF(LEN(Kanban!C66)=0,"",Kanban!C66),"")</f>
        <v/>
      </c>
      <c r="F371" s="53" t="str">
        <f>IFERROR(IF(LEN(Kanban!D66)=0,"",Kanban!D66),"")</f>
        <v/>
      </c>
      <c r="G371" s="53" t="str">
        <f>IFERROR(IF(LEN(Kanban!E66)=0,"",Kanban!E66),"")</f>
        <v/>
      </c>
      <c r="H371" s="53" t="str">
        <f>IFERROR(IF(LEN(Kanban!F66)=0,"",Kanban!F66),"")</f>
        <v/>
      </c>
      <c r="I371" s="53" t="str">
        <f>IFERROR(IF(LEN(Kanban!G66)=0,"",Kanban!G66),"")</f>
        <v/>
      </c>
      <c r="J371" s="53" t="str">
        <f>IFERROR(IF(LEN(Kanban!H66)=0,"",Kanban!H66),"")</f>
        <v/>
      </c>
    </row>
    <row r="372" spans="2:10" x14ac:dyDescent="0.35">
      <c r="B372" s="18"/>
      <c r="C372" s="18"/>
      <c r="D372" s="18"/>
      <c r="E372" s="52" t="str">
        <f t="shared" ref="E372:J372" si="245">E371</f>
        <v/>
      </c>
      <c r="F372" s="52" t="str">
        <f t="shared" si="245"/>
        <v/>
      </c>
      <c r="G372" s="52" t="str">
        <f t="shared" si="245"/>
        <v/>
      </c>
      <c r="H372" s="52" t="str">
        <f t="shared" si="245"/>
        <v/>
      </c>
      <c r="I372" s="52" t="str">
        <f t="shared" si="245"/>
        <v/>
      </c>
      <c r="J372" s="52" t="str">
        <f t="shared" si="245"/>
        <v/>
      </c>
    </row>
    <row r="373" spans="2:10" x14ac:dyDescent="0.35">
      <c r="B373" s="18"/>
      <c r="C373" s="18"/>
      <c r="D373" s="18"/>
      <c r="E373" s="52" t="str">
        <f t="shared" ref="E373:J373" si="246">E371</f>
        <v/>
      </c>
      <c r="F373" s="52" t="str">
        <f t="shared" si="246"/>
        <v/>
      </c>
      <c r="G373" s="52" t="str">
        <f t="shared" si="246"/>
        <v/>
      </c>
      <c r="H373" s="52" t="str">
        <f t="shared" si="246"/>
        <v/>
      </c>
      <c r="I373" s="52" t="str">
        <f t="shared" si="246"/>
        <v/>
      </c>
      <c r="J373" s="52" t="str">
        <f t="shared" si="246"/>
        <v/>
      </c>
    </row>
    <row r="374" spans="2:10" x14ac:dyDescent="0.35">
      <c r="B374" s="18"/>
      <c r="C374" s="18"/>
      <c r="D374" s="18"/>
      <c r="E374" s="53" t="str">
        <f>IFERROR(IF(LEN(Kanban!C69)=0,"",Kanban!C69),"")</f>
        <v/>
      </c>
      <c r="F374" s="53" t="str">
        <f>IFERROR(IF(LEN(Kanban!D69)=0,"",Kanban!D69),"")</f>
        <v/>
      </c>
      <c r="G374" s="53" t="str">
        <f>IFERROR(IF(LEN(Kanban!E69)=0,"",Kanban!E69),"")</f>
        <v/>
      </c>
      <c r="H374" s="53" t="str">
        <f>IFERROR(IF(LEN(Kanban!F69)=0,"",Kanban!F69),"")</f>
        <v/>
      </c>
      <c r="I374" s="53" t="str">
        <f>IFERROR(IF(LEN(Kanban!G69)=0,"",Kanban!G69),"")</f>
        <v/>
      </c>
      <c r="J374" s="53" t="str">
        <f>IFERROR(IF(LEN(Kanban!H69)=0,"",Kanban!H69),"")</f>
        <v/>
      </c>
    </row>
    <row r="375" spans="2:10" x14ac:dyDescent="0.35">
      <c r="B375" s="18"/>
      <c r="C375" s="18"/>
      <c r="D375" s="18"/>
      <c r="E375" s="52" t="str">
        <f t="shared" ref="E375:J375" si="247">E374</f>
        <v/>
      </c>
      <c r="F375" s="52" t="str">
        <f t="shared" si="247"/>
        <v/>
      </c>
      <c r="G375" s="52" t="str">
        <f t="shared" si="247"/>
        <v/>
      </c>
      <c r="H375" s="52" t="str">
        <f t="shared" si="247"/>
        <v/>
      </c>
      <c r="I375" s="52" t="str">
        <f t="shared" si="247"/>
        <v/>
      </c>
      <c r="J375" s="52" t="str">
        <f t="shared" si="247"/>
        <v/>
      </c>
    </row>
    <row r="376" spans="2:10" x14ac:dyDescent="0.35">
      <c r="B376" s="18"/>
      <c r="C376" s="18"/>
      <c r="D376" s="18"/>
      <c r="E376" s="52" t="str">
        <f t="shared" ref="E376:J376" si="248">E374</f>
        <v/>
      </c>
      <c r="F376" s="52" t="str">
        <f t="shared" si="248"/>
        <v/>
      </c>
      <c r="G376" s="52" t="str">
        <f t="shared" si="248"/>
        <v/>
      </c>
      <c r="H376" s="52" t="str">
        <f t="shared" si="248"/>
        <v/>
      </c>
      <c r="I376" s="52" t="str">
        <f t="shared" si="248"/>
        <v/>
      </c>
      <c r="J376" s="52" t="str">
        <f t="shared" si="248"/>
        <v/>
      </c>
    </row>
    <row r="377" spans="2:10" x14ac:dyDescent="0.35">
      <c r="B377" s="18"/>
      <c r="C377" s="18"/>
      <c r="D377" s="18"/>
      <c r="E377" s="53" t="str">
        <f>IFERROR(IF(LEN(Kanban!C72)=0,"",Kanban!C72),"")</f>
        <v/>
      </c>
      <c r="F377" s="53" t="str">
        <f>IFERROR(IF(LEN(Kanban!D72)=0,"",Kanban!D72),"")</f>
        <v/>
      </c>
      <c r="G377" s="53" t="str">
        <f>IFERROR(IF(LEN(Kanban!E72)=0,"",Kanban!E72),"")</f>
        <v/>
      </c>
      <c r="H377" s="53" t="str">
        <f>IFERROR(IF(LEN(Kanban!F72)=0,"",Kanban!F72),"")</f>
        <v/>
      </c>
      <c r="I377" s="53" t="str">
        <f>IFERROR(IF(LEN(Kanban!G72)=0,"",Kanban!G72),"")</f>
        <v/>
      </c>
      <c r="J377" s="53" t="str">
        <f>IFERROR(IF(LEN(Kanban!H72)=0,"",Kanban!H72),"")</f>
        <v/>
      </c>
    </row>
    <row r="378" spans="2:10" x14ac:dyDescent="0.35">
      <c r="B378" s="18"/>
      <c r="C378" s="18"/>
      <c r="D378" s="18"/>
      <c r="E378" s="52" t="str">
        <f t="shared" ref="E378:J378" si="249">E377</f>
        <v/>
      </c>
      <c r="F378" s="52" t="str">
        <f t="shared" si="249"/>
        <v/>
      </c>
      <c r="G378" s="52" t="str">
        <f t="shared" si="249"/>
        <v/>
      </c>
      <c r="H378" s="52" t="str">
        <f t="shared" si="249"/>
        <v/>
      </c>
      <c r="I378" s="52" t="str">
        <f t="shared" si="249"/>
        <v/>
      </c>
      <c r="J378" s="52" t="str">
        <f t="shared" si="249"/>
        <v/>
      </c>
    </row>
    <row r="379" spans="2:10" x14ac:dyDescent="0.35">
      <c r="B379" s="18"/>
      <c r="C379" s="18"/>
      <c r="D379" s="18"/>
      <c r="E379" s="52" t="str">
        <f t="shared" ref="E379:J379" si="250">E377</f>
        <v/>
      </c>
      <c r="F379" s="52" t="str">
        <f t="shared" si="250"/>
        <v/>
      </c>
      <c r="G379" s="52" t="str">
        <f t="shared" si="250"/>
        <v/>
      </c>
      <c r="H379" s="52" t="str">
        <f t="shared" si="250"/>
        <v/>
      </c>
      <c r="I379" s="52" t="str">
        <f t="shared" si="250"/>
        <v/>
      </c>
      <c r="J379" s="52" t="str">
        <f t="shared" si="250"/>
        <v/>
      </c>
    </row>
    <row r="380" spans="2:10" x14ac:dyDescent="0.35">
      <c r="B380" s="18"/>
      <c r="C380" s="18"/>
      <c r="D380" s="18"/>
      <c r="E380" s="53" t="str">
        <f>IFERROR(IF(LEN(Kanban!C75)=0,"",Kanban!C75),"")</f>
        <v/>
      </c>
      <c r="F380" s="53" t="str">
        <f>IFERROR(IF(LEN(Kanban!D75)=0,"",Kanban!D75),"")</f>
        <v/>
      </c>
      <c r="G380" s="53" t="str">
        <f>IFERROR(IF(LEN(Kanban!E75)=0,"",Kanban!E75),"")</f>
        <v/>
      </c>
      <c r="H380" s="53" t="str">
        <f>IFERROR(IF(LEN(Kanban!F75)=0,"",Kanban!F75),"")</f>
        <v/>
      </c>
      <c r="I380" s="53" t="str">
        <f>IFERROR(IF(LEN(Kanban!G75)=0,"",Kanban!G75),"")</f>
        <v/>
      </c>
      <c r="J380" s="53" t="str">
        <f>IFERROR(IF(LEN(Kanban!H75)=0,"",Kanban!H75),"")</f>
        <v/>
      </c>
    </row>
    <row r="381" spans="2:10" x14ac:dyDescent="0.35">
      <c r="B381" s="18"/>
      <c r="C381" s="18"/>
      <c r="D381" s="18"/>
      <c r="E381" s="52" t="str">
        <f t="shared" ref="E381:J381" si="251">E380</f>
        <v/>
      </c>
      <c r="F381" s="52" t="str">
        <f t="shared" si="251"/>
        <v/>
      </c>
      <c r="G381" s="52" t="str">
        <f t="shared" si="251"/>
        <v/>
      </c>
      <c r="H381" s="52" t="str">
        <f t="shared" si="251"/>
        <v/>
      </c>
      <c r="I381" s="52" t="str">
        <f t="shared" si="251"/>
        <v/>
      </c>
      <c r="J381" s="52" t="str">
        <f t="shared" si="251"/>
        <v/>
      </c>
    </row>
    <row r="382" spans="2:10" x14ac:dyDescent="0.35">
      <c r="B382" s="18"/>
      <c r="C382" s="18"/>
      <c r="D382" s="18"/>
      <c r="E382" s="52" t="str">
        <f t="shared" ref="E382:J382" si="252">E380</f>
        <v/>
      </c>
      <c r="F382" s="52" t="str">
        <f t="shared" si="252"/>
        <v/>
      </c>
      <c r="G382" s="52" t="str">
        <f t="shared" si="252"/>
        <v/>
      </c>
      <c r="H382" s="52" t="str">
        <f t="shared" si="252"/>
        <v/>
      </c>
      <c r="I382" s="52" t="str">
        <f t="shared" si="252"/>
        <v/>
      </c>
      <c r="J382" s="52" t="str">
        <f t="shared" si="252"/>
        <v/>
      </c>
    </row>
    <row r="383" spans="2:10" x14ac:dyDescent="0.35">
      <c r="B383" s="18"/>
      <c r="C383" s="18"/>
      <c r="D383" s="18"/>
      <c r="E383" s="53" t="str">
        <f>IFERROR(IF(LEN(Kanban!C78)=0,"",Kanban!C78),"")</f>
        <v/>
      </c>
      <c r="F383" s="53" t="str">
        <f>IFERROR(IF(LEN(Kanban!D78)=0,"",Kanban!D78),"")</f>
        <v/>
      </c>
      <c r="G383" s="53" t="str">
        <f>IFERROR(IF(LEN(Kanban!E78)=0,"",Kanban!E78),"")</f>
        <v/>
      </c>
      <c r="H383" s="53" t="str">
        <f>IFERROR(IF(LEN(Kanban!F78)=0,"",Kanban!F78),"")</f>
        <v/>
      </c>
      <c r="I383" s="53" t="str">
        <f>IFERROR(IF(LEN(Kanban!G78)=0,"",Kanban!G78),"")</f>
        <v/>
      </c>
      <c r="J383" s="53" t="str">
        <f>IFERROR(IF(LEN(Kanban!H78)=0,"",Kanban!H78),"")</f>
        <v/>
      </c>
    </row>
    <row r="384" spans="2:10" x14ac:dyDescent="0.35">
      <c r="B384" s="18"/>
      <c r="C384" s="18"/>
      <c r="D384" s="18"/>
      <c r="E384" s="52" t="str">
        <f t="shared" ref="E384:J384" si="253">E383</f>
        <v/>
      </c>
      <c r="F384" s="52" t="str">
        <f t="shared" si="253"/>
        <v/>
      </c>
      <c r="G384" s="52" t="str">
        <f t="shared" si="253"/>
        <v/>
      </c>
      <c r="H384" s="52" t="str">
        <f t="shared" si="253"/>
        <v/>
      </c>
      <c r="I384" s="52" t="str">
        <f t="shared" si="253"/>
        <v/>
      </c>
      <c r="J384" s="52" t="str">
        <f t="shared" si="253"/>
        <v/>
      </c>
    </row>
    <row r="385" spans="2:10" x14ac:dyDescent="0.35">
      <c r="B385" s="18"/>
      <c r="C385" s="18"/>
      <c r="D385" s="18"/>
      <c r="E385" s="52" t="str">
        <f t="shared" ref="E385:J385" si="254">E383</f>
        <v/>
      </c>
      <c r="F385" s="52" t="str">
        <f t="shared" si="254"/>
        <v/>
      </c>
      <c r="G385" s="52" t="str">
        <f t="shared" si="254"/>
        <v/>
      </c>
      <c r="H385" s="52" t="str">
        <f t="shared" si="254"/>
        <v/>
      </c>
      <c r="I385" s="52" t="str">
        <f t="shared" si="254"/>
        <v/>
      </c>
      <c r="J385" s="52" t="str">
        <f t="shared" si="254"/>
        <v/>
      </c>
    </row>
    <row r="386" spans="2:10" x14ac:dyDescent="0.35">
      <c r="B386" s="18"/>
      <c r="C386" s="18"/>
      <c r="D386" s="18"/>
      <c r="E386" s="53" t="str">
        <f>IFERROR(IF(LEN(Kanban!C81)=0,"",Kanban!C81),"")</f>
        <v/>
      </c>
      <c r="F386" s="53" t="str">
        <f>IFERROR(IF(LEN(Kanban!D81)=0,"",Kanban!D81),"")</f>
        <v/>
      </c>
      <c r="G386" s="53" t="str">
        <f>IFERROR(IF(LEN(Kanban!E81)=0,"",Kanban!E81),"")</f>
        <v/>
      </c>
      <c r="H386" s="53" t="str">
        <f>IFERROR(IF(LEN(Kanban!F81)=0,"",Kanban!F81),"")</f>
        <v/>
      </c>
      <c r="I386" s="53" t="str">
        <f>IFERROR(IF(LEN(Kanban!G81)=0,"",Kanban!G81),"")</f>
        <v/>
      </c>
      <c r="J386" s="53" t="str">
        <f>IFERROR(IF(LEN(Kanban!H81)=0,"",Kanban!H81),"")</f>
        <v/>
      </c>
    </row>
    <row r="387" spans="2:10" x14ac:dyDescent="0.35">
      <c r="B387" s="18"/>
      <c r="C387" s="18"/>
      <c r="D387" s="18"/>
      <c r="E387" s="52" t="str">
        <f t="shared" ref="E387:J387" si="255">E386</f>
        <v/>
      </c>
      <c r="F387" s="52" t="str">
        <f t="shared" si="255"/>
        <v/>
      </c>
      <c r="G387" s="52" t="str">
        <f t="shared" si="255"/>
        <v/>
      </c>
      <c r="H387" s="52" t="str">
        <f t="shared" si="255"/>
        <v/>
      </c>
      <c r="I387" s="52" t="str">
        <f t="shared" si="255"/>
        <v/>
      </c>
      <c r="J387" s="52" t="str">
        <f t="shared" si="255"/>
        <v/>
      </c>
    </row>
    <row r="388" spans="2:10" x14ac:dyDescent="0.35">
      <c r="B388" s="18"/>
      <c r="C388" s="18"/>
      <c r="D388" s="18"/>
      <c r="E388" s="52" t="str">
        <f t="shared" ref="E388:J388" si="256">E386</f>
        <v/>
      </c>
      <c r="F388" s="52" t="str">
        <f t="shared" si="256"/>
        <v/>
      </c>
      <c r="G388" s="52" t="str">
        <f t="shared" si="256"/>
        <v/>
      </c>
      <c r="H388" s="52" t="str">
        <f t="shared" si="256"/>
        <v/>
      </c>
      <c r="I388" s="52" t="str">
        <f t="shared" si="256"/>
        <v/>
      </c>
      <c r="J388" s="52" t="str">
        <f t="shared" si="256"/>
        <v/>
      </c>
    </row>
    <row r="389" spans="2:10" x14ac:dyDescent="0.35">
      <c r="B389" s="18"/>
      <c r="C389" s="18"/>
      <c r="D389" s="18"/>
      <c r="E389" s="53" t="str">
        <f>IFERROR(IF(LEN(Kanban!C84)=0,"",Kanban!C84),"")</f>
        <v/>
      </c>
      <c r="F389" s="53" t="str">
        <f>IFERROR(IF(LEN(Kanban!D84)=0,"",Kanban!D84),"")</f>
        <v/>
      </c>
      <c r="G389" s="53" t="str">
        <f>IFERROR(IF(LEN(Kanban!E84)=0,"",Kanban!E84),"")</f>
        <v/>
      </c>
      <c r="H389" s="53" t="str">
        <f>IFERROR(IF(LEN(Kanban!F84)=0,"",Kanban!F84),"")</f>
        <v/>
      </c>
      <c r="I389" s="53" t="str">
        <f>IFERROR(IF(LEN(Kanban!G84)=0,"",Kanban!G84),"")</f>
        <v/>
      </c>
      <c r="J389" s="53" t="str">
        <f>IFERROR(IF(LEN(Kanban!H84)=0,"",Kanban!H84),"")</f>
        <v/>
      </c>
    </row>
    <row r="390" spans="2:10" x14ac:dyDescent="0.35">
      <c r="B390" s="18"/>
      <c r="C390" s="18"/>
      <c r="D390" s="18"/>
      <c r="E390" s="52" t="str">
        <f t="shared" ref="E390:J390" si="257">E389</f>
        <v/>
      </c>
      <c r="F390" s="52" t="str">
        <f t="shared" si="257"/>
        <v/>
      </c>
      <c r="G390" s="52" t="str">
        <f t="shared" si="257"/>
        <v/>
      </c>
      <c r="H390" s="52" t="str">
        <f t="shared" si="257"/>
        <v/>
      </c>
      <c r="I390" s="52" t="str">
        <f t="shared" si="257"/>
        <v/>
      </c>
      <c r="J390" s="52" t="str">
        <f t="shared" si="257"/>
        <v/>
      </c>
    </row>
    <row r="391" spans="2:10" x14ac:dyDescent="0.35">
      <c r="B391" s="18"/>
      <c r="C391" s="18"/>
      <c r="D391" s="18"/>
      <c r="E391" s="52" t="str">
        <f t="shared" ref="E391:J391" si="258">E389</f>
        <v/>
      </c>
      <c r="F391" s="52" t="str">
        <f t="shared" si="258"/>
        <v/>
      </c>
      <c r="G391" s="52" t="str">
        <f t="shared" si="258"/>
        <v/>
      </c>
      <c r="H391" s="52" t="str">
        <f t="shared" si="258"/>
        <v/>
      </c>
      <c r="I391" s="52" t="str">
        <f t="shared" si="258"/>
        <v/>
      </c>
      <c r="J391" s="52" t="str">
        <f t="shared" si="258"/>
        <v/>
      </c>
    </row>
    <row r="392" spans="2:10" x14ac:dyDescent="0.35">
      <c r="B392" s="18"/>
      <c r="C392" s="18"/>
      <c r="D392" s="18"/>
      <c r="E392" s="53" t="str">
        <f>IFERROR(IF(LEN(Kanban!C87)=0,"",Kanban!C87),"")</f>
        <v/>
      </c>
      <c r="F392" s="53" t="str">
        <f>IFERROR(IF(LEN(Kanban!D87)=0,"",Kanban!D87),"")</f>
        <v/>
      </c>
      <c r="G392" s="53" t="str">
        <f>IFERROR(IF(LEN(Kanban!E87)=0,"",Kanban!E87),"")</f>
        <v/>
      </c>
      <c r="H392" s="53" t="str">
        <f>IFERROR(IF(LEN(Kanban!F87)=0,"",Kanban!F87),"")</f>
        <v/>
      </c>
      <c r="I392" s="53" t="str">
        <f>IFERROR(IF(LEN(Kanban!G87)=0,"",Kanban!G87),"")</f>
        <v/>
      </c>
      <c r="J392" s="53" t="str">
        <f>IFERROR(IF(LEN(Kanban!H87)=0,"",Kanban!H87),"")</f>
        <v/>
      </c>
    </row>
    <row r="393" spans="2:10" x14ac:dyDescent="0.35">
      <c r="B393" s="18"/>
      <c r="C393" s="18"/>
      <c r="D393" s="18"/>
      <c r="E393" s="52" t="str">
        <f t="shared" ref="E393:J393" si="259">E392</f>
        <v/>
      </c>
      <c r="F393" s="52" t="str">
        <f t="shared" si="259"/>
        <v/>
      </c>
      <c r="G393" s="52" t="str">
        <f t="shared" si="259"/>
        <v/>
      </c>
      <c r="H393" s="52" t="str">
        <f t="shared" si="259"/>
        <v/>
      </c>
      <c r="I393" s="52" t="str">
        <f t="shared" si="259"/>
        <v/>
      </c>
      <c r="J393" s="52" t="str">
        <f t="shared" si="259"/>
        <v/>
      </c>
    </row>
    <row r="394" spans="2:10" x14ac:dyDescent="0.35">
      <c r="B394" s="18"/>
      <c r="C394" s="18"/>
      <c r="D394" s="18"/>
      <c r="E394" s="52" t="str">
        <f t="shared" ref="E394:J394" si="260">E392</f>
        <v/>
      </c>
      <c r="F394" s="52" t="str">
        <f t="shared" si="260"/>
        <v/>
      </c>
      <c r="G394" s="52" t="str">
        <f t="shared" si="260"/>
        <v/>
      </c>
      <c r="H394" s="52" t="str">
        <f t="shared" si="260"/>
        <v/>
      </c>
      <c r="I394" s="52" t="str">
        <f t="shared" si="260"/>
        <v/>
      </c>
      <c r="J394" s="52" t="str">
        <f t="shared" si="260"/>
        <v/>
      </c>
    </row>
    <row r="395" spans="2:10" x14ac:dyDescent="0.35">
      <c r="B395" s="18"/>
      <c r="C395" s="18"/>
      <c r="D395" s="18"/>
      <c r="E395" s="53" t="str">
        <f>IFERROR(IF(LEN(Kanban!C90)=0,"",Kanban!C90),"")</f>
        <v/>
      </c>
      <c r="F395" s="53" t="str">
        <f>IFERROR(IF(LEN(Kanban!D90)=0,"",Kanban!D90),"")</f>
        <v/>
      </c>
      <c r="G395" s="53" t="str">
        <f>IFERROR(IF(LEN(Kanban!E90)=0,"",Kanban!E90),"")</f>
        <v/>
      </c>
      <c r="H395" s="53" t="str">
        <f>IFERROR(IF(LEN(Kanban!F90)=0,"",Kanban!F90),"")</f>
        <v/>
      </c>
      <c r="I395" s="53" t="str">
        <f>IFERROR(IF(LEN(Kanban!G90)=0,"",Kanban!G90),"")</f>
        <v/>
      </c>
      <c r="J395" s="53" t="str">
        <f>IFERROR(IF(LEN(Kanban!H90)=0,"",Kanban!H90),"")</f>
        <v/>
      </c>
    </row>
    <row r="396" spans="2:10" x14ac:dyDescent="0.35">
      <c r="B396" s="18"/>
      <c r="C396" s="18"/>
      <c r="D396" s="18"/>
      <c r="E396" s="52" t="str">
        <f t="shared" ref="E396:J396" si="261">E395</f>
        <v/>
      </c>
      <c r="F396" s="52" t="str">
        <f t="shared" si="261"/>
        <v/>
      </c>
      <c r="G396" s="52" t="str">
        <f t="shared" si="261"/>
        <v/>
      </c>
      <c r="H396" s="52" t="str">
        <f t="shared" si="261"/>
        <v/>
      </c>
      <c r="I396" s="52" t="str">
        <f t="shared" si="261"/>
        <v/>
      </c>
      <c r="J396" s="52" t="str">
        <f t="shared" si="261"/>
        <v/>
      </c>
    </row>
    <row r="397" spans="2:10" x14ac:dyDescent="0.35">
      <c r="B397" s="18"/>
      <c r="C397" s="18"/>
      <c r="D397" s="18"/>
      <c r="E397" s="52" t="str">
        <f t="shared" ref="E397:J397" si="262">E395</f>
        <v/>
      </c>
      <c r="F397" s="52" t="str">
        <f t="shared" si="262"/>
        <v/>
      </c>
      <c r="G397" s="52" t="str">
        <f t="shared" si="262"/>
        <v/>
      </c>
      <c r="H397" s="52" t="str">
        <f t="shared" si="262"/>
        <v/>
      </c>
      <c r="I397" s="52" t="str">
        <f t="shared" si="262"/>
        <v/>
      </c>
      <c r="J397" s="52" t="str">
        <f t="shared" si="262"/>
        <v/>
      </c>
    </row>
    <row r="398" spans="2:10" x14ac:dyDescent="0.35">
      <c r="B398" s="18"/>
      <c r="C398" s="18"/>
      <c r="D398" s="18"/>
      <c r="E398" s="53" t="str">
        <f>IFERROR(IF(LEN(Kanban!C93)=0,"",Kanban!C93),"")</f>
        <v/>
      </c>
      <c r="F398" s="53" t="str">
        <f>IFERROR(IF(LEN(Kanban!D93)=0,"",Kanban!D93),"")</f>
        <v/>
      </c>
      <c r="G398" s="53" t="str">
        <f>IFERROR(IF(LEN(Kanban!E93)=0,"",Kanban!E93),"")</f>
        <v/>
      </c>
      <c r="H398" s="53" t="str">
        <f>IFERROR(IF(LEN(Kanban!F93)=0,"",Kanban!F93),"")</f>
        <v/>
      </c>
      <c r="I398" s="53" t="str">
        <f>IFERROR(IF(LEN(Kanban!G93)=0,"",Kanban!G93),"")</f>
        <v/>
      </c>
      <c r="J398" s="53" t="str">
        <f>IFERROR(IF(LEN(Kanban!H93)=0,"",Kanban!H93),"")</f>
        <v/>
      </c>
    </row>
    <row r="399" spans="2:10" x14ac:dyDescent="0.35">
      <c r="B399" s="18"/>
      <c r="C399" s="18"/>
      <c r="D399" s="18"/>
      <c r="E399" s="52" t="str">
        <f t="shared" ref="E399:J399" si="263">E398</f>
        <v/>
      </c>
      <c r="F399" s="52" t="str">
        <f t="shared" si="263"/>
        <v/>
      </c>
      <c r="G399" s="52" t="str">
        <f t="shared" si="263"/>
        <v/>
      </c>
      <c r="H399" s="52" t="str">
        <f t="shared" si="263"/>
        <v/>
      </c>
      <c r="I399" s="52" t="str">
        <f t="shared" si="263"/>
        <v/>
      </c>
      <c r="J399" s="52" t="str">
        <f t="shared" si="263"/>
        <v/>
      </c>
    </row>
    <row r="400" spans="2:10" x14ac:dyDescent="0.35">
      <c r="B400" s="18"/>
      <c r="C400" s="18"/>
      <c r="D400" s="18"/>
      <c r="E400" s="52" t="str">
        <f t="shared" ref="E400:J400" si="264">E398</f>
        <v/>
      </c>
      <c r="F400" s="52" t="str">
        <f t="shared" si="264"/>
        <v/>
      </c>
      <c r="G400" s="52" t="str">
        <f t="shared" si="264"/>
        <v/>
      </c>
      <c r="H400" s="52" t="str">
        <f t="shared" si="264"/>
        <v/>
      </c>
      <c r="I400" s="52" t="str">
        <f t="shared" si="264"/>
        <v/>
      </c>
      <c r="J400" s="52" t="str">
        <f t="shared" si="264"/>
        <v/>
      </c>
    </row>
    <row r="401" spans="2:10" x14ac:dyDescent="0.35">
      <c r="B401" s="18"/>
      <c r="C401" s="18"/>
      <c r="D401" s="18"/>
      <c r="E401" s="53" t="str">
        <f>IFERROR(IF(LEN(Kanban!C96)=0,"",Kanban!C96),"")</f>
        <v/>
      </c>
      <c r="F401" s="53" t="str">
        <f>IFERROR(IF(LEN(Kanban!D96)=0,"",Kanban!D96),"")</f>
        <v/>
      </c>
      <c r="G401" s="53" t="str">
        <f>IFERROR(IF(LEN(Kanban!E96)=0,"",Kanban!E96),"")</f>
        <v/>
      </c>
      <c r="H401" s="53" t="str">
        <f>IFERROR(IF(LEN(Kanban!F96)=0,"",Kanban!F96),"")</f>
        <v/>
      </c>
      <c r="I401" s="53" t="str">
        <f>IFERROR(IF(LEN(Kanban!G96)=0,"",Kanban!G96),"")</f>
        <v/>
      </c>
      <c r="J401" s="53" t="str">
        <f>IFERROR(IF(LEN(Kanban!H96)=0,"",Kanban!H96),"")</f>
        <v/>
      </c>
    </row>
    <row r="402" spans="2:10" x14ac:dyDescent="0.35">
      <c r="B402" s="18"/>
      <c r="C402" s="18"/>
      <c r="D402" s="18"/>
      <c r="E402" s="52" t="str">
        <f t="shared" ref="E402:J402" si="265">E401</f>
        <v/>
      </c>
      <c r="F402" s="52" t="str">
        <f t="shared" si="265"/>
        <v/>
      </c>
      <c r="G402" s="52" t="str">
        <f t="shared" si="265"/>
        <v/>
      </c>
      <c r="H402" s="52" t="str">
        <f t="shared" si="265"/>
        <v/>
      </c>
      <c r="I402" s="52" t="str">
        <f t="shared" si="265"/>
        <v/>
      </c>
      <c r="J402" s="52" t="str">
        <f t="shared" si="265"/>
        <v/>
      </c>
    </row>
    <row r="403" spans="2:10" x14ac:dyDescent="0.35">
      <c r="B403" s="18"/>
      <c r="C403" s="18"/>
      <c r="D403" s="18"/>
      <c r="E403" s="52" t="str">
        <f t="shared" ref="E403:J403" si="266">E401</f>
        <v/>
      </c>
      <c r="F403" s="52" t="str">
        <f t="shared" si="266"/>
        <v/>
      </c>
      <c r="G403" s="52" t="str">
        <f t="shared" si="266"/>
        <v/>
      </c>
      <c r="H403" s="52" t="str">
        <f t="shared" si="266"/>
        <v/>
      </c>
      <c r="I403" s="52" t="str">
        <f t="shared" si="266"/>
        <v/>
      </c>
      <c r="J403" s="52" t="str">
        <f t="shared" si="266"/>
        <v/>
      </c>
    </row>
    <row r="404" spans="2:10" x14ac:dyDescent="0.35">
      <c r="B404" s="18"/>
      <c r="C404" s="18"/>
      <c r="D404" s="18"/>
      <c r="E404" s="53" t="str">
        <f>IFERROR(IF(LEN(Kanban!C99)=0,"",Kanban!C99),"")</f>
        <v/>
      </c>
      <c r="F404" s="53" t="str">
        <f>IFERROR(IF(LEN(Kanban!D99)=0,"",Kanban!D99),"")</f>
        <v/>
      </c>
      <c r="G404" s="53" t="str">
        <f>IFERROR(IF(LEN(Kanban!E99)=0,"",Kanban!E99),"")</f>
        <v/>
      </c>
      <c r="H404" s="53" t="str">
        <f>IFERROR(IF(LEN(Kanban!F99)=0,"",Kanban!F99),"")</f>
        <v/>
      </c>
      <c r="I404" s="53" t="str">
        <f>IFERROR(IF(LEN(Kanban!G99)=0,"",Kanban!G99),"")</f>
        <v/>
      </c>
      <c r="J404" s="53" t="str">
        <f>IFERROR(IF(LEN(Kanban!H99)=0,"",Kanban!H99),"")</f>
        <v/>
      </c>
    </row>
    <row r="405" spans="2:10" x14ac:dyDescent="0.35">
      <c r="B405" s="18"/>
      <c r="C405" s="18"/>
      <c r="D405" s="18"/>
      <c r="E405" s="52" t="str">
        <f t="shared" ref="E405:J405" si="267">E404</f>
        <v/>
      </c>
      <c r="F405" s="52" t="str">
        <f t="shared" si="267"/>
        <v/>
      </c>
      <c r="G405" s="52" t="str">
        <f t="shared" si="267"/>
        <v/>
      </c>
      <c r="H405" s="52" t="str">
        <f t="shared" si="267"/>
        <v/>
      </c>
      <c r="I405" s="52" t="str">
        <f t="shared" si="267"/>
        <v/>
      </c>
      <c r="J405" s="52" t="str">
        <f t="shared" si="267"/>
        <v/>
      </c>
    </row>
    <row r="406" spans="2:10" x14ac:dyDescent="0.35">
      <c r="B406" s="18"/>
      <c r="C406" s="18"/>
      <c r="D406" s="18"/>
      <c r="E406" s="52" t="str">
        <f t="shared" ref="E406:J406" si="268">E404</f>
        <v/>
      </c>
      <c r="F406" s="52" t="str">
        <f t="shared" si="268"/>
        <v/>
      </c>
      <c r="G406" s="52" t="str">
        <f t="shared" si="268"/>
        <v/>
      </c>
      <c r="H406" s="52" t="str">
        <f t="shared" si="268"/>
        <v/>
      </c>
      <c r="I406" s="52" t="str">
        <f t="shared" si="268"/>
        <v/>
      </c>
      <c r="J406" s="52" t="str">
        <f t="shared" si="268"/>
        <v/>
      </c>
    </row>
    <row r="407" spans="2:10" x14ac:dyDescent="0.35">
      <c r="B407" s="18"/>
      <c r="C407" s="18"/>
      <c r="D407" s="18"/>
      <c r="E407" s="53" t="str">
        <f>IFERROR(IF(LEN(Kanban!C102)=0,"",Kanban!C102),"")</f>
        <v/>
      </c>
      <c r="F407" s="53" t="str">
        <f>IFERROR(IF(LEN(Kanban!D102)=0,"",Kanban!D102),"")</f>
        <v/>
      </c>
      <c r="G407" s="53" t="str">
        <f>IFERROR(IF(LEN(Kanban!E102)=0,"",Kanban!E102),"")</f>
        <v/>
      </c>
      <c r="H407" s="53" t="str">
        <f>IFERROR(IF(LEN(Kanban!F102)=0,"",Kanban!F102),"")</f>
        <v/>
      </c>
      <c r="I407" s="53" t="str">
        <f>IFERROR(IF(LEN(Kanban!G102)=0,"",Kanban!G102),"")</f>
        <v/>
      </c>
      <c r="J407" s="53" t="str">
        <f>IFERROR(IF(LEN(Kanban!H102)=0,"",Kanban!H102),"")</f>
        <v/>
      </c>
    </row>
    <row r="408" spans="2:10" x14ac:dyDescent="0.35">
      <c r="B408" s="18"/>
      <c r="C408" s="18"/>
      <c r="D408" s="18"/>
      <c r="E408" s="52" t="str">
        <f t="shared" ref="E408:J408" si="269">E407</f>
        <v/>
      </c>
      <c r="F408" s="52" t="str">
        <f t="shared" si="269"/>
        <v/>
      </c>
      <c r="G408" s="52" t="str">
        <f t="shared" si="269"/>
        <v/>
      </c>
      <c r="H408" s="52" t="str">
        <f t="shared" si="269"/>
        <v/>
      </c>
      <c r="I408" s="52" t="str">
        <f t="shared" si="269"/>
        <v/>
      </c>
      <c r="J408" s="52" t="str">
        <f t="shared" si="269"/>
        <v/>
      </c>
    </row>
    <row r="409" spans="2:10" x14ac:dyDescent="0.35">
      <c r="B409" s="18"/>
      <c r="C409" s="18"/>
      <c r="D409" s="18"/>
      <c r="E409" s="52" t="str">
        <f t="shared" ref="E409:J409" si="270">E407</f>
        <v/>
      </c>
      <c r="F409" s="52" t="str">
        <f t="shared" si="270"/>
        <v/>
      </c>
      <c r="G409" s="52" t="str">
        <f t="shared" si="270"/>
        <v/>
      </c>
      <c r="H409" s="52" t="str">
        <f t="shared" si="270"/>
        <v/>
      </c>
      <c r="I409" s="52" t="str">
        <f t="shared" si="270"/>
        <v/>
      </c>
      <c r="J409" s="52" t="str">
        <f t="shared" si="270"/>
        <v/>
      </c>
    </row>
    <row r="410" spans="2:10" x14ac:dyDescent="0.35">
      <c r="B410" s="18"/>
      <c r="C410" s="18"/>
      <c r="D410" s="18"/>
      <c r="E410" s="53" t="str">
        <f>IFERROR(IF(LEN(Kanban!C105)=0,"",Kanban!C105),"")</f>
        <v/>
      </c>
      <c r="F410" s="53" t="str">
        <f>IFERROR(IF(LEN(Kanban!D105)=0,"",Kanban!D105),"")</f>
        <v/>
      </c>
      <c r="G410" s="53" t="str">
        <f>IFERROR(IF(LEN(Kanban!E105)=0,"",Kanban!E105),"")</f>
        <v/>
      </c>
      <c r="H410" s="53" t="str">
        <f>IFERROR(IF(LEN(Kanban!F105)=0,"",Kanban!F105),"")</f>
        <v/>
      </c>
      <c r="I410" s="53" t="str">
        <f>IFERROR(IF(LEN(Kanban!G105)=0,"",Kanban!G105),"")</f>
        <v/>
      </c>
      <c r="J410" s="53" t="str">
        <f>IFERROR(IF(LEN(Kanban!H105)=0,"",Kanban!H105),"")</f>
        <v/>
      </c>
    </row>
    <row r="411" spans="2:10" x14ac:dyDescent="0.35">
      <c r="B411" s="18"/>
      <c r="C411" s="18"/>
      <c r="D411" s="18"/>
      <c r="E411" s="52" t="str">
        <f t="shared" ref="E411:J411" si="271">E410</f>
        <v/>
      </c>
      <c r="F411" s="52" t="str">
        <f t="shared" si="271"/>
        <v/>
      </c>
      <c r="G411" s="52" t="str">
        <f t="shared" si="271"/>
        <v/>
      </c>
      <c r="H411" s="52" t="str">
        <f t="shared" si="271"/>
        <v/>
      </c>
      <c r="I411" s="52" t="str">
        <f t="shared" si="271"/>
        <v/>
      </c>
      <c r="J411" s="52" t="str">
        <f t="shared" si="271"/>
        <v/>
      </c>
    </row>
    <row r="412" spans="2:10" x14ac:dyDescent="0.35">
      <c r="B412" s="18"/>
      <c r="C412" s="18"/>
      <c r="D412" s="18"/>
      <c r="E412" s="52" t="str">
        <f t="shared" ref="E412:J412" si="272">E410</f>
        <v/>
      </c>
      <c r="F412" s="52" t="str">
        <f t="shared" si="272"/>
        <v/>
      </c>
      <c r="G412" s="52" t="str">
        <f t="shared" si="272"/>
        <v/>
      </c>
      <c r="H412" s="52" t="str">
        <f t="shared" si="272"/>
        <v/>
      </c>
      <c r="I412" s="52" t="str">
        <f t="shared" si="272"/>
        <v/>
      </c>
      <c r="J412" s="52" t="str">
        <f t="shared" si="272"/>
        <v/>
      </c>
    </row>
    <row r="413" spans="2:10" x14ac:dyDescent="0.35">
      <c r="B413" s="18"/>
      <c r="C413" s="18"/>
      <c r="D413" s="18"/>
      <c r="E413" s="53" t="str">
        <f>IFERROR(IF(LEN(Kanban!C108)=0,"",Kanban!C108),"")</f>
        <v/>
      </c>
      <c r="F413" s="53" t="str">
        <f>IFERROR(IF(LEN(Kanban!D108)=0,"",Kanban!D108),"")</f>
        <v/>
      </c>
      <c r="G413" s="53" t="str">
        <f>IFERROR(IF(LEN(Kanban!E108)=0,"",Kanban!E108),"")</f>
        <v/>
      </c>
      <c r="H413" s="53" t="str">
        <f>IFERROR(IF(LEN(Kanban!F108)=0,"",Kanban!F108),"")</f>
        <v/>
      </c>
      <c r="I413" s="53" t="str">
        <f>IFERROR(IF(LEN(Kanban!G108)=0,"",Kanban!G108),"")</f>
        <v/>
      </c>
      <c r="J413" s="53" t="str">
        <f>IFERROR(IF(LEN(Kanban!H108)=0,"",Kanban!H108),"")</f>
        <v/>
      </c>
    </row>
    <row r="414" spans="2:10" x14ac:dyDescent="0.35">
      <c r="B414" s="18"/>
      <c r="C414" s="18"/>
      <c r="D414" s="18"/>
      <c r="E414" s="52" t="str">
        <f t="shared" ref="E414:J414" si="273">E413</f>
        <v/>
      </c>
      <c r="F414" s="52" t="str">
        <f t="shared" si="273"/>
        <v/>
      </c>
      <c r="G414" s="52" t="str">
        <f t="shared" si="273"/>
        <v/>
      </c>
      <c r="H414" s="52" t="str">
        <f t="shared" si="273"/>
        <v/>
      </c>
      <c r="I414" s="52" t="str">
        <f t="shared" si="273"/>
        <v/>
      </c>
      <c r="J414" s="52" t="str">
        <f t="shared" si="273"/>
        <v/>
      </c>
    </row>
    <row r="415" spans="2:10" x14ac:dyDescent="0.35">
      <c r="B415" s="18"/>
      <c r="C415" s="18"/>
      <c r="D415" s="18"/>
      <c r="E415" s="52" t="str">
        <f t="shared" ref="E415:J415" si="274">E413</f>
        <v/>
      </c>
      <c r="F415" s="52" t="str">
        <f t="shared" si="274"/>
        <v/>
      </c>
      <c r="G415" s="52" t="str">
        <f t="shared" si="274"/>
        <v/>
      </c>
      <c r="H415" s="52" t="str">
        <f t="shared" si="274"/>
        <v/>
      </c>
      <c r="I415" s="52" t="str">
        <f t="shared" si="274"/>
        <v/>
      </c>
      <c r="J415" s="52" t="str">
        <f t="shared" si="274"/>
        <v/>
      </c>
    </row>
    <row r="416" spans="2:10" x14ac:dyDescent="0.35">
      <c r="B416" s="18"/>
      <c r="C416" s="18"/>
      <c r="D416" s="18"/>
      <c r="E416" s="53" t="str">
        <f>IFERROR(IF(LEN(Kanban!C111)=0,"",Kanban!C111),"")</f>
        <v/>
      </c>
      <c r="F416" s="53" t="str">
        <f>IFERROR(IF(LEN(Kanban!D111)=0,"",Kanban!D111),"")</f>
        <v/>
      </c>
      <c r="G416" s="53" t="str">
        <f>IFERROR(IF(LEN(Kanban!E111)=0,"",Kanban!E111),"")</f>
        <v/>
      </c>
      <c r="H416" s="53" t="str">
        <f>IFERROR(IF(LEN(Kanban!F111)=0,"",Kanban!F111),"")</f>
        <v/>
      </c>
      <c r="I416" s="53" t="str">
        <f>IFERROR(IF(LEN(Kanban!G111)=0,"",Kanban!G111),"")</f>
        <v/>
      </c>
      <c r="J416" s="53" t="str">
        <f>IFERROR(IF(LEN(Kanban!H111)=0,"",Kanban!H111),"")</f>
        <v/>
      </c>
    </row>
    <row r="417" spans="2:10" x14ac:dyDescent="0.35">
      <c r="B417" s="18"/>
      <c r="C417" s="18"/>
      <c r="D417" s="18"/>
      <c r="E417" s="52" t="str">
        <f t="shared" ref="E417:J417" si="275">E416</f>
        <v/>
      </c>
      <c r="F417" s="52" t="str">
        <f t="shared" si="275"/>
        <v/>
      </c>
      <c r="G417" s="52" t="str">
        <f t="shared" si="275"/>
        <v/>
      </c>
      <c r="H417" s="52" t="str">
        <f t="shared" si="275"/>
        <v/>
      </c>
      <c r="I417" s="52" t="str">
        <f t="shared" si="275"/>
        <v/>
      </c>
      <c r="J417" s="52" t="str">
        <f t="shared" si="275"/>
        <v/>
      </c>
    </row>
    <row r="418" spans="2:10" x14ac:dyDescent="0.35">
      <c r="B418" s="18"/>
      <c r="C418" s="18"/>
      <c r="D418" s="18"/>
      <c r="E418" s="52" t="str">
        <f t="shared" ref="E418:J418" si="276">E416</f>
        <v/>
      </c>
      <c r="F418" s="52" t="str">
        <f t="shared" si="276"/>
        <v/>
      </c>
      <c r="G418" s="52" t="str">
        <f t="shared" si="276"/>
        <v/>
      </c>
      <c r="H418" s="52" t="str">
        <f t="shared" si="276"/>
        <v/>
      </c>
      <c r="I418" s="52" t="str">
        <f t="shared" si="276"/>
        <v/>
      </c>
      <c r="J418" s="52" t="str">
        <f t="shared" si="276"/>
        <v/>
      </c>
    </row>
    <row r="419" spans="2:10" x14ac:dyDescent="0.35">
      <c r="B419" s="18"/>
      <c r="C419" s="18"/>
      <c r="D419" s="18"/>
      <c r="E419" s="53" t="str">
        <f>IFERROR(IF(LEN(Kanban!C114)=0,"",Kanban!C114),"")</f>
        <v/>
      </c>
      <c r="F419" s="53" t="str">
        <f>IFERROR(IF(LEN(Kanban!D114)=0,"",Kanban!D114),"")</f>
        <v/>
      </c>
      <c r="G419" s="53" t="str">
        <f>IFERROR(IF(LEN(Kanban!E114)=0,"",Kanban!E114),"")</f>
        <v/>
      </c>
      <c r="H419" s="53" t="str">
        <f>IFERROR(IF(LEN(Kanban!F114)=0,"",Kanban!F114),"")</f>
        <v/>
      </c>
      <c r="I419" s="53" t="str">
        <f>IFERROR(IF(LEN(Kanban!G114)=0,"",Kanban!G114),"")</f>
        <v/>
      </c>
      <c r="J419" s="53" t="str">
        <f>IFERROR(IF(LEN(Kanban!H114)=0,"",Kanban!H114),"")</f>
        <v/>
      </c>
    </row>
    <row r="420" spans="2:10" x14ac:dyDescent="0.35">
      <c r="B420" s="18"/>
      <c r="C420" s="18"/>
      <c r="D420" s="18"/>
      <c r="E420" s="52" t="str">
        <f t="shared" ref="E420:J420" si="277">E419</f>
        <v/>
      </c>
      <c r="F420" s="52" t="str">
        <f t="shared" si="277"/>
        <v/>
      </c>
      <c r="G420" s="52" t="str">
        <f t="shared" si="277"/>
        <v/>
      </c>
      <c r="H420" s="52" t="str">
        <f t="shared" si="277"/>
        <v/>
      </c>
      <c r="I420" s="52" t="str">
        <f t="shared" si="277"/>
        <v/>
      </c>
      <c r="J420" s="52" t="str">
        <f t="shared" si="277"/>
        <v/>
      </c>
    </row>
    <row r="421" spans="2:10" x14ac:dyDescent="0.35">
      <c r="B421" s="18"/>
      <c r="C421" s="18"/>
      <c r="D421" s="18"/>
      <c r="E421" s="52" t="str">
        <f t="shared" ref="E421:J421" si="278">E419</f>
        <v/>
      </c>
      <c r="F421" s="52" t="str">
        <f t="shared" si="278"/>
        <v/>
      </c>
      <c r="G421" s="52" t="str">
        <f t="shared" si="278"/>
        <v/>
      </c>
      <c r="H421" s="52" t="str">
        <f t="shared" si="278"/>
        <v/>
      </c>
      <c r="I421" s="52" t="str">
        <f t="shared" si="278"/>
        <v/>
      </c>
      <c r="J421" s="52" t="str">
        <f t="shared" si="278"/>
        <v/>
      </c>
    </row>
    <row r="422" spans="2:10" x14ac:dyDescent="0.35">
      <c r="B422" s="18"/>
      <c r="C422" s="18"/>
      <c r="D422" s="18"/>
      <c r="E422" s="53" t="str">
        <f>IFERROR(IF(LEN(Kanban!C117)=0,"",Kanban!C117),"")</f>
        <v/>
      </c>
      <c r="F422" s="53" t="str">
        <f>IFERROR(IF(LEN(Kanban!D117)=0,"",Kanban!D117),"")</f>
        <v/>
      </c>
      <c r="G422" s="53" t="str">
        <f>IFERROR(IF(LEN(Kanban!E117)=0,"",Kanban!E117),"")</f>
        <v/>
      </c>
      <c r="H422" s="53" t="str">
        <f>IFERROR(IF(LEN(Kanban!F117)=0,"",Kanban!F117),"")</f>
        <v/>
      </c>
      <c r="I422" s="53" t="str">
        <f>IFERROR(IF(LEN(Kanban!G117)=0,"",Kanban!G117),"")</f>
        <v/>
      </c>
      <c r="J422" s="53" t="str">
        <f>IFERROR(IF(LEN(Kanban!H117)=0,"",Kanban!H117),"")</f>
        <v/>
      </c>
    </row>
    <row r="423" spans="2:10" x14ac:dyDescent="0.35">
      <c r="B423" s="18"/>
      <c r="C423" s="18"/>
      <c r="D423" s="18"/>
      <c r="E423" s="52" t="str">
        <f t="shared" ref="E423:J423" si="279">E422</f>
        <v/>
      </c>
      <c r="F423" s="52" t="str">
        <f t="shared" si="279"/>
        <v/>
      </c>
      <c r="G423" s="52" t="str">
        <f t="shared" si="279"/>
        <v/>
      </c>
      <c r="H423" s="52" t="str">
        <f t="shared" si="279"/>
        <v/>
      </c>
      <c r="I423" s="52" t="str">
        <f t="shared" si="279"/>
        <v/>
      </c>
      <c r="J423" s="52" t="str">
        <f t="shared" si="279"/>
        <v/>
      </c>
    </row>
    <row r="424" spans="2:10" x14ac:dyDescent="0.35">
      <c r="B424" s="18"/>
      <c r="C424" s="18"/>
      <c r="D424" s="18"/>
      <c r="E424" s="52" t="str">
        <f t="shared" ref="E424:J424" si="280">E422</f>
        <v/>
      </c>
      <c r="F424" s="52" t="str">
        <f t="shared" si="280"/>
        <v/>
      </c>
      <c r="G424" s="52" t="str">
        <f t="shared" si="280"/>
        <v/>
      </c>
      <c r="H424" s="52" t="str">
        <f t="shared" si="280"/>
        <v/>
      </c>
      <c r="I424" s="52" t="str">
        <f t="shared" si="280"/>
        <v/>
      </c>
      <c r="J424" s="52" t="str">
        <f t="shared" si="280"/>
        <v/>
      </c>
    </row>
    <row r="425" spans="2:10" x14ac:dyDescent="0.35">
      <c r="B425" s="18"/>
      <c r="C425" s="18"/>
      <c r="D425" s="18"/>
      <c r="E425" s="53" t="str">
        <f>IFERROR(IF(LEN(Kanban!C120)=0,"",Kanban!C120),"")</f>
        <v/>
      </c>
      <c r="F425" s="53" t="str">
        <f>IFERROR(IF(LEN(Kanban!D120)=0,"",Kanban!D120),"")</f>
        <v/>
      </c>
      <c r="G425" s="53" t="str">
        <f>IFERROR(IF(LEN(Kanban!E120)=0,"",Kanban!E120),"")</f>
        <v/>
      </c>
      <c r="H425" s="53" t="str">
        <f>IFERROR(IF(LEN(Kanban!F120)=0,"",Kanban!F120),"")</f>
        <v/>
      </c>
      <c r="I425" s="53" t="str">
        <f>IFERROR(IF(LEN(Kanban!G120)=0,"",Kanban!G120),"")</f>
        <v/>
      </c>
      <c r="J425" s="53" t="str">
        <f>IFERROR(IF(LEN(Kanban!H120)=0,"",Kanban!H120),"")</f>
        <v/>
      </c>
    </row>
    <row r="426" spans="2:10" x14ac:dyDescent="0.35">
      <c r="B426" s="18"/>
      <c r="C426" s="18"/>
      <c r="D426" s="18"/>
      <c r="E426" s="52" t="str">
        <f t="shared" ref="E426:J426" si="281">E425</f>
        <v/>
      </c>
      <c r="F426" s="52" t="str">
        <f t="shared" si="281"/>
        <v/>
      </c>
      <c r="G426" s="52" t="str">
        <f t="shared" si="281"/>
        <v/>
      </c>
      <c r="H426" s="52" t="str">
        <f t="shared" si="281"/>
        <v/>
      </c>
      <c r="I426" s="52" t="str">
        <f t="shared" si="281"/>
        <v/>
      </c>
      <c r="J426" s="52" t="str">
        <f t="shared" si="281"/>
        <v/>
      </c>
    </row>
    <row r="427" spans="2:10" x14ac:dyDescent="0.35">
      <c r="B427" s="18"/>
      <c r="C427" s="18"/>
      <c r="D427" s="18"/>
      <c r="E427" s="52" t="str">
        <f t="shared" ref="E427:J427" si="282">E425</f>
        <v/>
      </c>
      <c r="F427" s="52" t="str">
        <f t="shared" si="282"/>
        <v/>
      </c>
      <c r="G427" s="52" t="str">
        <f t="shared" si="282"/>
        <v/>
      </c>
      <c r="H427" s="52" t="str">
        <f t="shared" si="282"/>
        <v/>
      </c>
      <c r="I427" s="52" t="str">
        <f t="shared" si="282"/>
        <v/>
      </c>
      <c r="J427" s="52" t="str">
        <f t="shared" si="282"/>
        <v/>
      </c>
    </row>
    <row r="428" spans="2:10" x14ac:dyDescent="0.35">
      <c r="B428" s="18"/>
      <c r="C428" s="18"/>
      <c r="D428" s="18"/>
      <c r="E428" s="53" t="str">
        <f>IFERROR(IF(LEN(Kanban!C123)=0,"",Kanban!C123),"")</f>
        <v/>
      </c>
      <c r="F428" s="53" t="str">
        <f>IFERROR(IF(LEN(Kanban!D123)=0,"",Kanban!D123),"")</f>
        <v/>
      </c>
      <c r="G428" s="53" t="str">
        <f>IFERROR(IF(LEN(Kanban!E123)=0,"",Kanban!E123),"")</f>
        <v/>
      </c>
      <c r="H428" s="53" t="str">
        <f>IFERROR(IF(LEN(Kanban!F123)=0,"",Kanban!F123),"")</f>
        <v/>
      </c>
      <c r="I428" s="53" t="str">
        <f>IFERROR(IF(LEN(Kanban!G123)=0,"",Kanban!G123),"")</f>
        <v/>
      </c>
      <c r="J428" s="53" t="str">
        <f>IFERROR(IF(LEN(Kanban!H123)=0,"",Kanban!H123),"")</f>
        <v/>
      </c>
    </row>
    <row r="429" spans="2:10" x14ac:dyDescent="0.35">
      <c r="B429" s="18"/>
      <c r="C429" s="18"/>
      <c r="D429" s="18"/>
      <c r="E429" s="52" t="str">
        <f t="shared" ref="E429:J429" si="283">E428</f>
        <v/>
      </c>
      <c r="F429" s="52" t="str">
        <f t="shared" si="283"/>
        <v/>
      </c>
      <c r="G429" s="52" t="str">
        <f t="shared" si="283"/>
        <v/>
      </c>
      <c r="H429" s="52" t="str">
        <f t="shared" si="283"/>
        <v/>
      </c>
      <c r="I429" s="52" t="str">
        <f t="shared" si="283"/>
        <v/>
      </c>
      <c r="J429" s="52" t="str">
        <f t="shared" si="283"/>
        <v/>
      </c>
    </row>
    <row r="430" spans="2:10" x14ac:dyDescent="0.35">
      <c r="B430" s="18"/>
      <c r="C430" s="18"/>
      <c r="D430" s="18"/>
      <c r="E430" s="52" t="str">
        <f t="shared" ref="E430:J430" si="284">E428</f>
        <v/>
      </c>
      <c r="F430" s="52" t="str">
        <f t="shared" si="284"/>
        <v/>
      </c>
      <c r="G430" s="52" t="str">
        <f t="shared" si="284"/>
        <v/>
      </c>
      <c r="H430" s="52" t="str">
        <f t="shared" si="284"/>
        <v/>
      </c>
      <c r="I430" s="52" t="str">
        <f t="shared" si="284"/>
        <v/>
      </c>
      <c r="J430" s="52" t="str">
        <f t="shared" si="284"/>
        <v/>
      </c>
    </row>
    <row r="431" spans="2:10" x14ac:dyDescent="0.35">
      <c r="B431" s="18"/>
      <c r="C431" s="18"/>
      <c r="D431" s="18"/>
      <c r="E431" s="53" t="str">
        <f>IFERROR(IF(LEN(Kanban!C126)=0,"",Kanban!C126),"")</f>
        <v/>
      </c>
      <c r="F431" s="53" t="str">
        <f>IFERROR(IF(LEN(Kanban!D126)=0,"",Kanban!D126),"")</f>
        <v/>
      </c>
      <c r="G431" s="53" t="str">
        <f>IFERROR(IF(LEN(Kanban!E126)=0,"",Kanban!E126),"")</f>
        <v/>
      </c>
      <c r="H431" s="53" t="str">
        <f>IFERROR(IF(LEN(Kanban!F126)=0,"",Kanban!F126),"")</f>
        <v/>
      </c>
      <c r="I431" s="53" t="str">
        <f>IFERROR(IF(LEN(Kanban!G126)=0,"",Kanban!G126),"")</f>
        <v/>
      </c>
      <c r="J431" s="53" t="str">
        <f>IFERROR(IF(LEN(Kanban!H126)=0,"",Kanban!H126),"")</f>
        <v/>
      </c>
    </row>
    <row r="432" spans="2:10" x14ac:dyDescent="0.35">
      <c r="B432" s="18"/>
      <c r="C432" s="18"/>
      <c r="D432" s="18"/>
      <c r="E432" s="52" t="str">
        <f t="shared" ref="E432:J432" si="285">E431</f>
        <v/>
      </c>
      <c r="F432" s="52" t="str">
        <f t="shared" si="285"/>
        <v/>
      </c>
      <c r="G432" s="52" t="str">
        <f t="shared" si="285"/>
        <v/>
      </c>
      <c r="H432" s="52" t="str">
        <f t="shared" si="285"/>
        <v/>
      </c>
      <c r="I432" s="52" t="str">
        <f t="shared" si="285"/>
        <v/>
      </c>
      <c r="J432" s="52" t="str">
        <f t="shared" si="285"/>
        <v/>
      </c>
    </row>
    <row r="433" spans="2:10" x14ac:dyDescent="0.35">
      <c r="B433" s="18"/>
      <c r="C433" s="18"/>
      <c r="D433" s="18"/>
      <c r="E433" s="52" t="str">
        <f t="shared" ref="E433:J433" si="286">E431</f>
        <v/>
      </c>
      <c r="F433" s="52" t="str">
        <f t="shared" si="286"/>
        <v/>
      </c>
      <c r="G433" s="52" t="str">
        <f t="shared" si="286"/>
        <v/>
      </c>
      <c r="H433" s="52" t="str">
        <f t="shared" si="286"/>
        <v/>
      </c>
      <c r="I433" s="52" t="str">
        <f t="shared" si="286"/>
        <v/>
      </c>
      <c r="J433" s="52" t="str">
        <f t="shared" si="286"/>
        <v/>
      </c>
    </row>
    <row r="434" spans="2:10" x14ac:dyDescent="0.35">
      <c r="B434" s="18"/>
      <c r="C434" s="18"/>
      <c r="D434" s="18"/>
      <c r="E434" s="53" t="str">
        <f>IFERROR(IF(LEN(Kanban!C129)=0,"",Kanban!C129),"")</f>
        <v/>
      </c>
      <c r="F434" s="53" t="str">
        <f>IFERROR(IF(LEN(Kanban!D129)=0,"",Kanban!D129),"")</f>
        <v/>
      </c>
      <c r="G434" s="53" t="str">
        <f>IFERROR(IF(LEN(Kanban!E129)=0,"",Kanban!E129),"")</f>
        <v/>
      </c>
      <c r="H434" s="53" t="str">
        <f>IFERROR(IF(LEN(Kanban!F129)=0,"",Kanban!F129),"")</f>
        <v/>
      </c>
      <c r="I434" s="53" t="str">
        <f>IFERROR(IF(LEN(Kanban!G129)=0,"",Kanban!G129),"")</f>
        <v/>
      </c>
      <c r="J434" s="53" t="str">
        <f>IFERROR(IF(LEN(Kanban!H129)=0,"",Kanban!H129),"")</f>
        <v/>
      </c>
    </row>
    <row r="435" spans="2:10" x14ac:dyDescent="0.35">
      <c r="B435" s="18"/>
      <c r="C435" s="18"/>
      <c r="D435" s="18"/>
      <c r="E435" s="52" t="str">
        <f t="shared" ref="E435:J435" si="287">E434</f>
        <v/>
      </c>
      <c r="F435" s="52" t="str">
        <f t="shared" si="287"/>
        <v/>
      </c>
      <c r="G435" s="52" t="str">
        <f t="shared" si="287"/>
        <v/>
      </c>
      <c r="H435" s="52" t="str">
        <f t="shared" si="287"/>
        <v/>
      </c>
      <c r="I435" s="52" t="str">
        <f t="shared" si="287"/>
        <v/>
      </c>
      <c r="J435" s="52" t="str">
        <f t="shared" si="287"/>
        <v/>
      </c>
    </row>
    <row r="436" spans="2:10" x14ac:dyDescent="0.35">
      <c r="B436" s="18"/>
      <c r="C436" s="18"/>
      <c r="D436" s="18"/>
      <c r="E436" s="52" t="str">
        <f t="shared" ref="E436:J436" si="288">E434</f>
        <v/>
      </c>
      <c r="F436" s="52" t="str">
        <f t="shared" si="288"/>
        <v/>
      </c>
      <c r="G436" s="52" t="str">
        <f t="shared" si="288"/>
        <v/>
      </c>
      <c r="H436" s="52" t="str">
        <f t="shared" si="288"/>
        <v/>
      </c>
      <c r="I436" s="52" t="str">
        <f t="shared" si="288"/>
        <v/>
      </c>
      <c r="J436" s="52" t="str">
        <f t="shared" si="288"/>
        <v/>
      </c>
    </row>
    <row r="437" spans="2:10" x14ac:dyDescent="0.35">
      <c r="B437" s="18"/>
      <c r="C437" s="18"/>
      <c r="D437" s="18"/>
      <c r="E437" s="53" t="str">
        <f>IFERROR(IF(LEN(Kanban!C132)=0,"",Kanban!C132),"")</f>
        <v/>
      </c>
      <c r="F437" s="53" t="str">
        <f>IFERROR(IF(LEN(Kanban!D132)=0,"",Kanban!D132),"")</f>
        <v/>
      </c>
      <c r="G437" s="53" t="str">
        <f>IFERROR(IF(LEN(Kanban!E132)=0,"",Kanban!E132),"")</f>
        <v/>
      </c>
      <c r="H437" s="53" t="str">
        <f>IFERROR(IF(LEN(Kanban!F132)=0,"",Kanban!F132),"")</f>
        <v/>
      </c>
      <c r="I437" s="53" t="str">
        <f>IFERROR(IF(LEN(Kanban!G132)=0,"",Kanban!G132),"")</f>
        <v/>
      </c>
      <c r="J437" s="53" t="str">
        <f>IFERROR(IF(LEN(Kanban!H132)=0,"",Kanban!H132),"")</f>
        <v/>
      </c>
    </row>
    <row r="438" spans="2:10" x14ac:dyDescent="0.35">
      <c r="B438" s="18"/>
      <c r="C438" s="18"/>
      <c r="D438" s="18"/>
      <c r="E438" s="52" t="str">
        <f t="shared" ref="E438:J438" si="289">E437</f>
        <v/>
      </c>
      <c r="F438" s="52" t="str">
        <f t="shared" si="289"/>
        <v/>
      </c>
      <c r="G438" s="52" t="str">
        <f t="shared" si="289"/>
        <v/>
      </c>
      <c r="H438" s="52" t="str">
        <f t="shared" si="289"/>
        <v/>
      </c>
      <c r="I438" s="52" t="str">
        <f t="shared" si="289"/>
        <v/>
      </c>
      <c r="J438" s="52" t="str">
        <f t="shared" si="289"/>
        <v/>
      </c>
    </row>
    <row r="439" spans="2:10" x14ac:dyDescent="0.35">
      <c r="B439" s="18"/>
      <c r="C439" s="18"/>
      <c r="D439" s="18"/>
      <c r="E439" s="52" t="str">
        <f t="shared" ref="E439:J439" si="290">E437</f>
        <v/>
      </c>
      <c r="F439" s="52" t="str">
        <f t="shared" si="290"/>
        <v/>
      </c>
      <c r="G439" s="52" t="str">
        <f t="shared" si="290"/>
        <v/>
      </c>
      <c r="H439" s="52" t="str">
        <f t="shared" si="290"/>
        <v/>
      </c>
      <c r="I439" s="52" t="str">
        <f t="shared" si="290"/>
        <v/>
      </c>
      <c r="J439" s="52" t="str">
        <f t="shared" si="290"/>
        <v/>
      </c>
    </row>
    <row r="440" spans="2:10" x14ac:dyDescent="0.35">
      <c r="B440" s="18"/>
      <c r="C440" s="18"/>
      <c r="D440" s="18"/>
      <c r="E440" s="53" t="str">
        <f>IFERROR(IF(LEN(Kanban!C135)=0,"",Kanban!C135),"")</f>
        <v/>
      </c>
      <c r="F440" s="53" t="str">
        <f>IFERROR(IF(LEN(Kanban!D135)=0,"",Kanban!D135),"")</f>
        <v/>
      </c>
      <c r="G440" s="53" t="str">
        <f>IFERROR(IF(LEN(Kanban!E135)=0,"",Kanban!E135),"")</f>
        <v/>
      </c>
      <c r="H440" s="53" t="str">
        <f>IFERROR(IF(LEN(Kanban!F135)=0,"",Kanban!F135),"")</f>
        <v/>
      </c>
      <c r="I440" s="53" t="str">
        <f>IFERROR(IF(LEN(Kanban!G135)=0,"",Kanban!G135),"")</f>
        <v/>
      </c>
      <c r="J440" s="53" t="str">
        <f>IFERROR(IF(LEN(Kanban!H135)=0,"",Kanban!H135),"")</f>
        <v/>
      </c>
    </row>
    <row r="441" spans="2:10" x14ac:dyDescent="0.35">
      <c r="B441" s="18"/>
      <c r="C441" s="18"/>
      <c r="D441" s="18"/>
      <c r="E441" s="52" t="str">
        <f t="shared" ref="E441:J441" si="291">E440</f>
        <v/>
      </c>
      <c r="F441" s="52" t="str">
        <f t="shared" si="291"/>
        <v/>
      </c>
      <c r="G441" s="52" t="str">
        <f t="shared" si="291"/>
        <v/>
      </c>
      <c r="H441" s="52" t="str">
        <f t="shared" si="291"/>
        <v/>
      </c>
      <c r="I441" s="52" t="str">
        <f t="shared" si="291"/>
        <v/>
      </c>
      <c r="J441" s="52" t="str">
        <f t="shared" si="291"/>
        <v/>
      </c>
    </row>
    <row r="442" spans="2:10" x14ac:dyDescent="0.35">
      <c r="B442" s="18"/>
      <c r="C442" s="18"/>
      <c r="D442" s="18"/>
      <c r="E442" s="52" t="str">
        <f t="shared" ref="E442:J442" si="292">E440</f>
        <v/>
      </c>
      <c r="F442" s="52" t="str">
        <f t="shared" si="292"/>
        <v/>
      </c>
      <c r="G442" s="52" t="str">
        <f t="shared" si="292"/>
        <v/>
      </c>
      <c r="H442" s="52" t="str">
        <f t="shared" si="292"/>
        <v/>
      </c>
      <c r="I442" s="52" t="str">
        <f t="shared" si="292"/>
        <v/>
      </c>
      <c r="J442" s="52" t="str">
        <f t="shared" si="292"/>
        <v/>
      </c>
    </row>
    <row r="443" spans="2:10" x14ac:dyDescent="0.35">
      <c r="B443" s="18"/>
      <c r="C443" s="18"/>
      <c r="D443" s="18"/>
      <c r="E443" s="53" t="str">
        <f>IFERROR(IF(LEN(Kanban!C138)=0,"",Kanban!C138),"")</f>
        <v/>
      </c>
      <c r="F443" s="53" t="str">
        <f>IFERROR(IF(LEN(Kanban!D138)=0,"",Kanban!D138),"")</f>
        <v/>
      </c>
      <c r="G443" s="53" t="str">
        <f>IFERROR(IF(LEN(Kanban!E138)=0,"",Kanban!E138),"")</f>
        <v/>
      </c>
      <c r="H443" s="53" t="str">
        <f>IFERROR(IF(LEN(Kanban!F138)=0,"",Kanban!F138),"")</f>
        <v/>
      </c>
      <c r="I443" s="53" t="str">
        <f>IFERROR(IF(LEN(Kanban!G138)=0,"",Kanban!G138),"")</f>
        <v/>
      </c>
      <c r="J443" s="53" t="str">
        <f>IFERROR(IF(LEN(Kanban!H138)=0,"",Kanban!H138),"")</f>
        <v/>
      </c>
    </row>
    <row r="444" spans="2:10" x14ac:dyDescent="0.35">
      <c r="B444" s="18"/>
      <c r="C444" s="18"/>
      <c r="D444" s="18"/>
      <c r="E444" s="52" t="str">
        <f t="shared" ref="E444:J444" si="293">E443</f>
        <v/>
      </c>
      <c r="F444" s="52" t="str">
        <f t="shared" si="293"/>
        <v/>
      </c>
      <c r="G444" s="52" t="str">
        <f t="shared" si="293"/>
        <v/>
      </c>
      <c r="H444" s="52" t="str">
        <f t="shared" si="293"/>
        <v/>
      </c>
      <c r="I444" s="52" t="str">
        <f t="shared" si="293"/>
        <v/>
      </c>
      <c r="J444" s="52" t="str">
        <f t="shared" si="293"/>
        <v/>
      </c>
    </row>
    <row r="445" spans="2:10" x14ac:dyDescent="0.35">
      <c r="B445" s="18"/>
      <c r="C445" s="18"/>
      <c r="D445" s="18"/>
      <c r="E445" s="52" t="str">
        <f t="shared" ref="E445:J445" si="294">E443</f>
        <v/>
      </c>
      <c r="F445" s="52" t="str">
        <f t="shared" si="294"/>
        <v/>
      </c>
      <c r="G445" s="52" t="str">
        <f t="shared" si="294"/>
        <v/>
      </c>
      <c r="H445" s="52" t="str">
        <f t="shared" si="294"/>
        <v/>
      </c>
      <c r="I445" s="52" t="str">
        <f t="shared" si="294"/>
        <v/>
      </c>
      <c r="J445" s="52" t="str">
        <f t="shared" si="294"/>
        <v/>
      </c>
    </row>
    <row r="446" spans="2:10" x14ac:dyDescent="0.35">
      <c r="B446" s="18"/>
      <c r="C446" s="18"/>
      <c r="D446" s="18"/>
      <c r="E446" s="53" t="str">
        <f>IFERROR(IF(LEN(Kanban!C141)=0,"",Kanban!C141),"")</f>
        <v/>
      </c>
      <c r="F446" s="53" t="str">
        <f>IFERROR(IF(LEN(Kanban!D141)=0,"",Kanban!D141),"")</f>
        <v/>
      </c>
      <c r="G446" s="53" t="str">
        <f>IFERROR(IF(LEN(Kanban!E141)=0,"",Kanban!E141),"")</f>
        <v/>
      </c>
      <c r="H446" s="53" t="str">
        <f>IFERROR(IF(LEN(Kanban!F141)=0,"",Kanban!F141),"")</f>
        <v/>
      </c>
      <c r="I446" s="53" t="str">
        <f>IFERROR(IF(LEN(Kanban!G141)=0,"",Kanban!G141),"")</f>
        <v/>
      </c>
      <c r="J446" s="53" t="str">
        <f>IFERROR(IF(LEN(Kanban!H141)=0,"",Kanban!H141),"")</f>
        <v/>
      </c>
    </row>
    <row r="447" spans="2:10" x14ac:dyDescent="0.35">
      <c r="B447" s="18"/>
      <c r="C447" s="18"/>
      <c r="D447" s="18"/>
      <c r="E447" s="52" t="str">
        <f t="shared" ref="E447:J447" si="295">E446</f>
        <v/>
      </c>
      <c r="F447" s="52" t="str">
        <f t="shared" si="295"/>
        <v/>
      </c>
      <c r="G447" s="52" t="str">
        <f t="shared" si="295"/>
        <v/>
      </c>
      <c r="H447" s="52" t="str">
        <f t="shared" si="295"/>
        <v/>
      </c>
      <c r="I447" s="52" t="str">
        <f t="shared" si="295"/>
        <v/>
      </c>
      <c r="J447" s="52" t="str">
        <f t="shared" si="295"/>
        <v/>
      </c>
    </row>
    <row r="448" spans="2:10" x14ac:dyDescent="0.35">
      <c r="B448" s="18"/>
      <c r="C448" s="18"/>
      <c r="D448" s="18"/>
      <c r="E448" s="52" t="str">
        <f t="shared" ref="E448:J448" si="296">E446</f>
        <v/>
      </c>
      <c r="F448" s="52" t="str">
        <f t="shared" si="296"/>
        <v/>
      </c>
      <c r="G448" s="52" t="str">
        <f t="shared" si="296"/>
        <v/>
      </c>
      <c r="H448" s="52" t="str">
        <f t="shared" si="296"/>
        <v/>
      </c>
      <c r="I448" s="52" t="str">
        <f t="shared" si="296"/>
        <v/>
      </c>
      <c r="J448" s="52" t="str">
        <f t="shared" si="296"/>
        <v/>
      </c>
    </row>
    <row r="449" spans="2:10" x14ac:dyDescent="0.35">
      <c r="B449" s="18"/>
      <c r="C449" s="18"/>
      <c r="D449" s="18"/>
      <c r="E449" s="53" t="str">
        <f>IFERROR(IF(LEN(Kanban!C144)=0,"",Kanban!C144),"")</f>
        <v/>
      </c>
      <c r="F449" s="53" t="str">
        <f>IFERROR(IF(LEN(Kanban!D144)=0,"",Kanban!D144),"")</f>
        <v/>
      </c>
      <c r="G449" s="53" t="str">
        <f>IFERROR(IF(LEN(Kanban!E144)=0,"",Kanban!E144),"")</f>
        <v/>
      </c>
      <c r="H449" s="53" t="str">
        <f>IFERROR(IF(LEN(Kanban!F144)=0,"",Kanban!F144),"")</f>
        <v/>
      </c>
      <c r="I449" s="53" t="str">
        <f>IFERROR(IF(LEN(Kanban!G144)=0,"",Kanban!G144),"")</f>
        <v/>
      </c>
      <c r="J449" s="53" t="str">
        <f>IFERROR(IF(LEN(Kanban!H144)=0,"",Kanban!H144),"")</f>
        <v/>
      </c>
    </row>
    <row r="450" spans="2:10" x14ac:dyDescent="0.35">
      <c r="B450" s="18"/>
      <c r="C450" s="18"/>
      <c r="D450" s="18"/>
      <c r="E450" s="52" t="str">
        <f t="shared" ref="E450:J450" si="297">E449</f>
        <v/>
      </c>
      <c r="F450" s="52" t="str">
        <f t="shared" si="297"/>
        <v/>
      </c>
      <c r="G450" s="52" t="str">
        <f t="shared" si="297"/>
        <v/>
      </c>
      <c r="H450" s="52" t="str">
        <f t="shared" si="297"/>
        <v/>
      </c>
      <c r="I450" s="52" t="str">
        <f t="shared" si="297"/>
        <v/>
      </c>
      <c r="J450" s="52" t="str">
        <f t="shared" si="297"/>
        <v/>
      </c>
    </row>
    <row r="451" spans="2:10" x14ac:dyDescent="0.35">
      <c r="B451" s="18"/>
      <c r="C451" s="18"/>
      <c r="D451" s="18"/>
      <c r="E451" s="52" t="str">
        <f t="shared" ref="E451:J451" si="298">E449</f>
        <v/>
      </c>
      <c r="F451" s="52" t="str">
        <f t="shared" si="298"/>
        <v/>
      </c>
      <c r="G451" s="52" t="str">
        <f t="shared" si="298"/>
        <v/>
      </c>
      <c r="H451" s="52" t="str">
        <f t="shared" si="298"/>
        <v/>
      </c>
      <c r="I451" s="52" t="str">
        <f t="shared" si="298"/>
        <v/>
      </c>
      <c r="J451" s="52" t="str">
        <f t="shared" si="298"/>
        <v/>
      </c>
    </row>
    <row r="452" spans="2:10" x14ac:dyDescent="0.35">
      <c r="B452" s="18"/>
      <c r="C452" s="18"/>
      <c r="D452" s="18"/>
      <c r="E452" s="53" t="str">
        <f>IFERROR(IF(LEN(Kanban!C147)=0,"",Kanban!C147),"")</f>
        <v/>
      </c>
      <c r="F452" s="53" t="str">
        <f>IFERROR(IF(LEN(Kanban!D147)=0,"",Kanban!D147),"")</f>
        <v/>
      </c>
      <c r="G452" s="53" t="str">
        <f>IFERROR(IF(LEN(Kanban!E147)=0,"",Kanban!E147),"")</f>
        <v/>
      </c>
      <c r="H452" s="53" t="str">
        <f>IFERROR(IF(LEN(Kanban!F147)=0,"",Kanban!F147),"")</f>
        <v/>
      </c>
      <c r="I452" s="53" t="str">
        <f>IFERROR(IF(LEN(Kanban!G147)=0,"",Kanban!G147),"")</f>
        <v/>
      </c>
      <c r="J452" s="53" t="str">
        <f>IFERROR(IF(LEN(Kanban!H147)=0,"",Kanban!H147),"")</f>
        <v/>
      </c>
    </row>
    <row r="453" spans="2:10" x14ac:dyDescent="0.35">
      <c r="B453" s="18"/>
      <c r="C453" s="18"/>
      <c r="D453" s="18"/>
      <c r="E453" s="52" t="str">
        <f t="shared" ref="E453:J453" si="299">E452</f>
        <v/>
      </c>
      <c r="F453" s="52" t="str">
        <f t="shared" si="299"/>
        <v/>
      </c>
      <c r="G453" s="52" t="str">
        <f t="shared" si="299"/>
        <v/>
      </c>
      <c r="H453" s="52" t="str">
        <f t="shared" si="299"/>
        <v/>
      </c>
      <c r="I453" s="52" t="str">
        <f t="shared" si="299"/>
        <v/>
      </c>
      <c r="J453" s="52" t="str">
        <f t="shared" si="299"/>
        <v/>
      </c>
    </row>
    <row r="454" spans="2:10" x14ac:dyDescent="0.35">
      <c r="B454" s="18"/>
      <c r="C454" s="18"/>
      <c r="D454" s="18"/>
      <c r="E454" s="52" t="str">
        <f t="shared" ref="E454:J454" si="300">E452</f>
        <v/>
      </c>
      <c r="F454" s="52" t="str">
        <f t="shared" si="300"/>
        <v/>
      </c>
      <c r="G454" s="52" t="str">
        <f t="shared" si="300"/>
        <v/>
      </c>
      <c r="H454" s="52" t="str">
        <f t="shared" si="300"/>
        <v/>
      </c>
      <c r="I454" s="52" t="str">
        <f t="shared" si="300"/>
        <v/>
      </c>
      <c r="J454" s="52" t="str">
        <f t="shared" si="300"/>
        <v/>
      </c>
    </row>
    <row r="455" spans="2:10" x14ac:dyDescent="0.35">
      <c r="B455" s="18"/>
      <c r="C455" s="18"/>
      <c r="D455" s="18"/>
      <c r="E455" s="53" t="str">
        <f>IFERROR(IF(LEN(Kanban!C150)=0,"",Kanban!C150),"")</f>
        <v/>
      </c>
      <c r="F455" s="53" t="str">
        <f>IFERROR(IF(LEN(Kanban!D150)=0,"",Kanban!D150),"")</f>
        <v/>
      </c>
      <c r="G455" s="53" t="str">
        <f>IFERROR(IF(LEN(Kanban!E150)=0,"",Kanban!E150),"")</f>
        <v/>
      </c>
      <c r="H455" s="53" t="str">
        <f>IFERROR(IF(LEN(Kanban!F150)=0,"",Kanban!F150),"")</f>
        <v/>
      </c>
      <c r="I455" s="53" t="str">
        <f>IFERROR(IF(LEN(Kanban!G150)=0,"",Kanban!G150),"")</f>
        <v/>
      </c>
      <c r="J455" s="53" t="str">
        <f>IFERROR(IF(LEN(Kanban!H150)=0,"",Kanban!H150),"")</f>
        <v/>
      </c>
    </row>
    <row r="456" spans="2:10" x14ac:dyDescent="0.35">
      <c r="B456" s="18"/>
      <c r="C456" s="18"/>
      <c r="D456" s="18"/>
      <c r="E456" s="52" t="str">
        <f t="shared" ref="E456:J456" si="301">E455</f>
        <v/>
      </c>
      <c r="F456" s="52" t="str">
        <f t="shared" si="301"/>
        <v/>
      </c>
      <c r="G456" s="52" t="str">
        <f t="shared" si="301"/>
        <v/>
      </c>
      <c r="H456" s="52" t="str">
        <f t="shared" si="301"/>
        <v/>
      </c>
      <c r="I456" s="52" t="str">
        <f t="shared" si="301"/>
        <v/>
      </c>
      <c r="J456" s="52" t="str">
        <f t="shared" si="301"/>
        <v/>
      </c>
    </row>
    <row r="457" spans="2:10" x14ac:dyDescent="0.35">
      <c r="B457" s="18"/>
      <c r="C457" s="18"/>
      <c r="D457" s="18"/>
      <c r="E457" s="52" t="str">
        <f t="shared" ref="E457:J457" si="302">E455</f>
        <v/>
      </c>
      <c r="F457" s="52" t="str">
        <f t="shared" si="302"/>
        <v/>
      </c>
      <c r="G457" s="52" t="str">
        <f t="shared" si="302"/>
        <v/>
      </c>
      <c r="H457" s="52" t="str">
        <f t="shared" si="302"/>
        <v/>
      </c>
      <c r="I457" s="52" t="str">
        <f t="shared" si="302"/>
        <v/>
      </c>
      <c r="J457" s="52" t="str">
        <f t="shared" si="302"/>
        <v/>
      </c>
    </row>
    <row r="458" spans="2:10" x14ac:dyDescent="0.35">
      <c r="B458" s="18"/>
      <c r="C458" s="18"/>
      <c r="D458" s="18"/>
      <c r="E458" s="53" t="str">
        <f>IFERROR(IF(LEN(Kanban!C153)=0,"",Kanban!C153),"")</f>
        <v/>
      </c>
      <c r="F458" s="53" t="str">
        <f>IFERROR(IF(LEN(Kanban!D153)=0,"",Kanban!D153),"")</f>
        <v/>
      </c>
      <c r="G458" s="53" t="str">
        <f>IFERROR(IF(LEN(Kanban!E153)=0,"",Kanban!E153),"")</f>
        <v/>
      </c>
      <c r="H458" s="53" t="str">
        <f>IFERROR(IF(LEN(Kanban!F153)=0,"",Kanban!F153),"")</f>
        <v/>
      </c>
      <c r="I458" s="53" t="str">
        <f>IFERROR(IF(LEN(Kanban!G153)=0,"",Kanban!G153),"")</f>
        <v/>
      </c>
      <c r="J458" s="53" t="str">
        <f>IFERROR(IF(LEN(Kanban!H153)=0,"",Kanban!H153),"")</f>
        <v/>
      </c>
    </row>
    <row r="459" spans="2:10" x14ac:dyDescent="0.35">
      <c r="B459" s="18"/>
      <c r="C459" s="18"/>
      <c r="D459" s="18"/>
      <c r="E459" s="52" t="str">
        <f t="shared" ref="E459:J459" si="303">E458</f>
        <v/>
      </c>
      <c r="F459" s="52" t="str">
        <f t="shared" si="303"/>
        <v/>
      </c>
      <c r="G459" s="52" t="str">
        <f t="shared" si="303"/>
        <v/>
      </c>
      <c r="H459" s="52" t="str">
        <f t="shared" si="303"/>
        <v/>
      </c>
      <c r="I459" s="52" t="str">
        <f t="shared" si="303"/>
        <v/>
      </c>
      <c r="J459" s="52" t="str">
        <f t="shared" si="303"/>
        <v/>
      </c>
    </row>
    <row r="460" spans="2:10" x14ac:dyDescent="0.35">
      <c r="B460" s="18"/>
      <c r="C460" s="18"/>
      <c r="D460" s="18"/>
      <c r="E460" s="52" t="str">
        <f t="shared" ref="E460:J460" si="304">E458</f>
        <v/>
      </c>
      <c r="F460" s="52" t="str">
        <f t="shared" si="304"/>
        <v/>
      </c>
      <c r="G460" s="52" t="str">
        <f t="shared" si="304"/>
        <v/>
      </c>
      <c r="H460" s="52" t="str">
        <f t="shared" si="304"/>
        <v/>
      </c>
      <c r="I460" s="52" t="str">
        <f t="shared" si="304"/>
        <v/>
      </c>
      <c r="J460" s="52" t="str">
        <f t="shared" si="304"/>
        <v/>
      </c>
    </row>
    <row r="461" spans="2:10" x14ac:dyDescent="0.35">
      <c r="B461" s="18"/>
      <c r="C461" s="18"/>
      <c r="D461" s="18"/>
      <c r="E461" s="53" t="str">
        <f>IFERROR(IF(LEN(Kanban!C156)=0,"",Kanban!C156),"")</f>
        <v/>
      </c>
      <c r="F461" s="53" t="str">
        <f>IFERROR(IF(LEN(Kanban!D156)=0,"",Kanban!D156),"")</f>
        <v/>
      </c>
      <c r="G461" s="53" t="str">
        <f>IFERROR(IF(LEN(Kanban!E156)=0,"",Kanban!E156),"")</f>
        <v/>
      </c>
      <c r="H461" s="53" t="str">
        <f>IFERROR(IF(LEN(Kanban!F156)=0,"",Kanban!F156),"")</f>
        <v/>
      </c>
      <c r="I461" s="53" t="str">
        <f>IFERROR(IF(LEN(Kanban!G156)=0,"",Kanban!G156),"")</f>
        <v/>
      </c>
      <c r="J461" s="53" t="str">
        <f>IFERROR(IF(LEN(Kanban!H156)=0,"",Kanban!H156),"")</f>
        <v/>
      </c>
    </row>
    <row r="462" spans="2:10" x14ac:dyDescent="0.35">
      <c r="B462" s="18"/>
      <c r="C462" s="18"/>
      <c r="D462" s="18"/>
      <c r="E462" s="52" t="str">
        <f t="shared" ref="E462:J462" si="305">E461</f>
        <v/>
      </c>
      <c r="F462" s="52" t="str">
        <f t="shared" si="305"/>
        <v/>
      </c>
      <c r="G462" s="52" t="str">
        <f t="shared" si="305"/>
        <v/>
      </c>
      <c r="H462" s="52" t="str">
        <f t="shared" si="305"/>
        <v/>
      </c>
      <c r="I462" s="52" t="str">
        <f t="shared" si="305"/>
        <v/>
      </c>
      <c r="J462" s="52" t="str">
        <f t="shared" si="305"/>
        <v/>
      </c>
    </row>
    <row r="463" spans="2:10" x14ac:dyDescent="0.35">
      <c r="B463" s="18"/>
      <c r="C463" s="18"/>
      <c r="D463" s="18"/>
      <c r="E463" s="52" t="str">
        <f t="shared" ref="E463:J463" si="306">E461</f>
        <v/>
      </c>
      <c r="F463" s="52" t="str">
        <f t="shared" si="306"/>
        <v/>
      </c>
      <c r="G463" s="52" t="str">
        <f t="shared" si="306"/>
        <v/>
      </c>
      <c r="H463" s="52" t="str">
        <f t="shared" si="306"/>
        <v/>
      </c>
      <c r="I463" s="52" t="str">
        <f t="shared" si="306"/>
        <v/>
      </c>
      <c r="J463" s="52" t="str">
        <f t="shared" si="306"/>
        <v/>
      </c>
    </row>
    <row r="464" spans="2:10" x14ac:dyDescent="0.35">
      <c r="B464" s="18"/>
      <c r="C464" s="18"/>
      <c r="D464" s="18"/>
      <c r="E464" s="53" t="str">
        <f>IFERROR(IF(LEN(Kanban!C159)=0,"",Kanban!C159),"")</f>
        <v/>
      </c>
      <c r="F464" s="53" t="str">
        <f>IFERROR(IF(LEN(Kanban!D159)=0,"",Kanban!D159),"")</f>
        <v/>
      </c>
      <c r="G464" s="53" t="str">
        <f>IFERROR(IF(LEN(Kanban!E159)=0,"",Kanban!E159),"")</f>
        <v/>
      </c>
      <c r="H464" s="53" t="str">
        <f>IFERROR(IF(LEN(Kanban!F159)=0,"",Kanban!F159),"")</f>
        <v/>
      </c>
      <c r="I464" s="53" t="str">
        <f>IFERROR(IF(LEN(Kanban!G159)=0,"",Kanban!G159),"")</f>
        <v/>
      </c>
      <c r="J464" s="53" t="str">
        <f>IFERROR(IF(LEN(Kanban!H159)=0,"",Kanban!H159),"")</f>
        <v/>
      </c>
    </row>
    <row r="465" spans="2:10" x14ac:dyDescent="0.35">
      <c r="B465" s="18"/>
      <c r="C465" s="18"/>
      <c r="D465" s="18"/>
      <c r="E465" s="52" t="str">
        <f t="shared" ref="E465:J465" si="307">E464</f>
        <v/>
      </c>
      <c r="F465" s="52" t="str">
        <f t="shared" si="307"/>
        <v/>
      </c>
      <c r="G465" s="52" t="str">
        <f t="shared" si="307"/>
        <v/>
      </c>
      <c r="H465" s="52" t="str">
        <f t="shared" si="307"/>
        <v/>
      </c>
      <c r="I465" s="52" t="str">
        <f t="shared" si="307"/>
        <v/>
      </c>
      <c r="J465" s="52" t="str">
        <f t="shared" si="307"/>
        <v/>
      </c>
    </row>
    <row r="466" spans="2:10" x14ac:dyDescent="0.35">
      <c r="B466" s="18"/>
      <c r="C466" s="18"/>
      <c r="D466" s="18"/>
      <c r="E466" s="52" t="str">
        <f t="shared" ref="E466:J466" si="308">E464</f>
        <v/>
      </c>
      <c r="F466" s="52" t="str">
        <f t="shared" si="308"/>
        <v/>
      </c>
      <c r="G466" s="52" t="str">
        <f t="shared" si="308"/>
        <v/>
      </c>
      <c r="H466" s="52" t="str">
        <f t="shared" si="308"/>
        <v/>
      </c>
      <c r="I466" s="52" t="str">
        <f t="shared" si="308"/>
        <v/>
      </c>
      <c r="J466" s="52" t="str">
        <f t="shared" si="308"/>
        <v/>
      </c>
    </row>
    <row r="467" spans="2:10" x14ac:dyDescent="0.35">
      <c r="B467" s="18"/>
      <c r="C467" s="18"/>
      <c r="D467" s="18"/>
      <c r="E467" s="53" t="str">
        <f>IFERROR(IF(LEN(Kanban!C162)=0,"",Kanban!C162),"")</f>
        <v/>
      </c>
      <c r="F467" s="53" t="str">
        <f>IFERROR(IF(LEN(Kanban!D162)=0,"",Kanban!D162),"")</f>
        <v/>
      </c>
      <c r="G467" s="53" t="str">
        <f>IFERROR(IF(LEN(Kanban!E162)=0,"",Kanban!E162),"")</f>
        <v/>
      </c>
      <c r="H467" s="53" t="str">
        <f>IFERROR(IF(LEN(Kanban!F162)=0,"",Kanban!F162),"")</f>
        <v/>
      </c>
      <c r="I467" s="53" t="str">
        <f>IFERROR(IF(LEN(Kanban!G162)=0,"",Kanban!G162),"")</f>
        <v/>
      </c>
      <c r="J467" s="53" t="str">
        <f>IFERROR(IF(LEN(Kanban!H162)=0,"",Kanban!H162),"")</f>
        <v/>
      </c>
    </row>
    <row r="468" spans="2:10" x14ac:dyDescent="0.35">
      <c r="B468" s="18"/>
      <c r="C468" s="18"/>
      <c r="D468" s="18"/>
      <c r="E468" s="52" t="str">
        <f t="shared" ref="E468:J468" si="309">E467</f>
        <v/>
      </c>
      <c r="F468" s="52" t="str">
        <f t="shared" si="309"/>
        <v/>
      </c>
      <c r="G468" s="52" t="str">
        <f t="shared" si="309"/>
        <v/>
      </c>
      <c r="H468" s="52" t="str">
        <f t="shared" si="309"/>
        <v/>
      </c>
      <c r="I468" s="52" t="str">
        <f t="shared" si="309"/>
        <v/>
      </c>
      <c r="J468" s="52" t="str">
        <f t="shared" si="309"/>
        <v/>
      </c>
    </row>
    <row r="469" spans="2:10" x14ac:dyDescent="0.35">
      <c r="B469" s="18"/>
      <c r="C469" s="18"/>
      <c r="D469" s="18"/>
      <c r="E469" s="52" t="str">
        <f t="shared" ref="E469:J469" si="310">E467</f>
        <v/>
      </c>
      <c r="F469" s="52" t="str">
        <f t="shared" si="310"/>
        <v/>
      </c>
      <c r="G469" s="52" t="str">
        <f t="shared" si="310"/>
        <v/>
      </c>
      <c r="H469" s="52" t="str">
        <f t="shared" si="310"/>
        <v/>
      </c>
      <c r="I469" s="52" t="str">
        <f t="shared" si="310"/>
        <v/>
      </c>
      <c r="J469" s="52" t="str">
        <f t="shared" si="310"/>
        <v/>
      </c>
    </row>
    <row r="470" spans="2:10" x14ac:dyDescent="0.35">
      <c r="B470" s="18"/>
      <c r="C470" s="18"/>
      <c r="D470" s="18"/>
      <c r="E470" s="53" t="str">
        <f>IFERROR(IF(LEN(Kanban!C165)=0,"",Kanban!C165),"")</f>
        <v/>
      </c>
      <c r="F470" s="53" t="str">
        <f>IFERROR(IF(LEN(Kanban!D165)=0,"",Kanban!D165),"")</f>
        <v/>
      </c>
      <c r="G470" s="53" t="str">
        <f>IFERROR(IF(LEN(Kanban!E165)=0,"",Kanban!E165),"")</f>
        <v/>
      </c>
      <c r="H470" s="53" t="str">
        <f>IFERROR(IF(LEN(Kanban!F165)=0,"",Kanban!F165),"")</f>
        <v/>
      </c>
      <c r="I470" s="53" t="str">
        <f>IFERROR(IF(LEN(Kanban!G165)=0,"",Kanban!G165),"")</f>
        <v/>
      </c>
      <c r="J470" s="53" t="str">
        <f>IFERROR(IF(LEN(Kanban!H165)=0,"",Kanban!H165),"")</f>
        <v/>
      </c>
    </row>
    <row r="471" spans="2:10" x14ac:dyDescent="0.35">
      <c r="B471" s="18"/>
      <c r="C471" s="18"/>
      <c r="D471" s="18"/>
      <c r="E471" s="52" t="str">
        <f t="shared" ref="E471:J471" si="311">E470</f>
        <v/>
      </c>
      <c r="F471" s="52" t="str">
        <f t="shared" si="311"/>
        <v/>
      </c>
      <c r="G471" s="52" t="str">
        <f t="shared" si="311"/>
        <v/>
      </c>
      <c r="H471" s="52" t="str">
        <f t="shared" si="311"/>
        <v/>
      </c>
      <c r="I471" s="52" t="str">
        <f t="shared" si="311"/>
        <v/>
      </c>
      <c r="J471" s="52" t="str">
        <f t="shared" si="311"/>
        <v/>
      </c>
    </row>
    <row r="472" spans="2:10" x14ac:dyDescent="0.35">
      <c r="B472" s="18"/>
      <c r="C472" s="18"/>
      <c r="D472" s="18"/>
      <c r="E472" s="52" t="str">
        <f t="shared" ref="E472:J472" si="312">E470</f>
        <v/>
      </c>
      <c r="F472" s="52" t="str">
        <f t="shared" si="312"/>
        <v/>
      </c>
      <c r="G472" s="52" t="str">
        <f t="shared" si="312"/>
        <v/>
      </c>
      <c r="H472" s="52" t="str">
        <f t="shared" si="312"/>
        <v/>
      </c>
      <c r="I472" s="52" t="str">
        <f t="shared" si="312"/>
        <v/>
      </c>
      <c r="J472" s="52" t="str">
        <f t="shared" si="312"/>
        <v/>
      </c>
    </row>
    <row r="473" spans="2:10" x14ac:dyDescent="0.35">
      <c r="B473" s="18"/>
      <c r="C473" s="18"/>
      <c r="D473" s="18"/>
      <c r="E473" s="53" t="str">
        <f>IFERROR(IF(LEN(Kanban!C168)=0,"",Kanban!C168),"")</f>
        <v/>
      </c>
      <c r="F473" s="53" t="str">
        <f>IFERROR(IF(LEN(Kanban!D168)=0,"",Kanban!D168),"")</f>
        <v/>
      </c>
      <c r="G473" s="53" t="str">
        <f>IFERROR(IF(LEN(Kanban!E168)=0,"",Kanban!E168),"")</f>
        <v/>
      </c>
      <c r="H473" s="53" t="str">
        <f>IFERROR(IF(LEN(Kanban!F168)=0,"",Kanban!F168),"")</f>
        <v/>
      </c>
      <c r="I473" s="53" t="str">
        <f>IFERROR(IF(LEN(Kanban!G168)=0,"",Kanban!G168),"")</f>
        <v/>
      </c>
      <c r="J473" s="53" t="str">
        <f>IFERROR(IF(LEN(Kanban!H168)=0,"",Kanban!H168),"")</f>
        <v/>
      </c>
    </row>
    <row r="474" spans="2:10" x14ac:dyDescent="0.35">
      <c r="B474" s="18"/>
      <c r="C474" s="18"/>
      <c r="D474" s="18"/>
      <c r="E474" s="52" t="str">
        <f t="shared" ref="E474:J474" si="313">E473</f>
        <v/>
      </c>
      <c r="F474" s="52" t="str">
        <f t="shared" si="313"/>
        <v/>
      </c>
      <c r="G474" s="52" t="str">
        <f t="shared" si="313"/>
        <v/>
      </c>
      <c r="H474" s="52" t="str">
        <f t="shared" si="313"/>
        <v/>
      </c>
      <c r="I474" s="52" t="str">
        <f t="shared" si="313"/>
        <v/>
      </c>
      <c r="J474" s="52" t="str">
        <f t="shared" si="313"/>
        <v/>
      </c>
    </row>
    <row r="475" spans="2:10" x14ac:dyDescent="0.35">
      <c r="B475" s="18"/>
      <c r="C475" s="18"/>
      <c r="D475" s="18"/>
      <c r="E475" s="52" t="str">
        <f t="shared" ref="E475:J475" si="314">E473</f>
        <v/>
      </c>
      <c r="F475" s="52" t="str">
        <f t="shared" si="314"/>
        <v/>
      </c>
      <c r="G475" s="52" t="str">
        <f t="shared" si="314"/>
        <v/>
      </c>
      <c r="H475" s="52" t="str">
        <f t="shared" si="314"/>
        <v/>
      </c>
      <c r="I475" s="52" t="str">
        <f t="shared" si="314"/>
        <v/>
      </c>
      <c r="J475" s="52" t="str">
        <f t="shared" si="314"/>
        <v/>
      </c>
    </row>
    <row r="476" spans="2:10" x14ac:dyDescent="0.35">
      <c r="B476" s="18"/>
      <c r="C476" s="18"/>
      <c r="D476" s="18"/>
      <c r="E476" s="53" t="str">
        <f>IFERROR(IF(LEN(Kanban!C171)=0,"",Kanban!C171),"")</f>
        <v/>
      </c>
      <c r="F476" s="53" t="str">
        <f>IFERROR(IF(LEN(Kanban!D171)=0,"",Kanban!D171),"")</f>
        <v/>
      </c>
      <c r="G476" s="53" t="str">
        <f>IFERROR(IF(LEN(Kanban!E171)=0,"",Kanban!E171),"")</f>
        <v/>
      </c>
      <c r="H476" s="53" t="str">
        <f>IFERROR(IF(LEN(Kanban!F171)=0,"",Kanban!F171),"")</f>
        <v/>
      </c>
      <c r="I476" s="53" t="str">
        <f>IFERROR(IF(LEN(Kanban!G171)=0,"",Kanban!G171),"")</f>
        <v/>
      </c>
      <c r="J476" s="53" t="str">
        <f>IFERROR(IF(LEN(Kanban!H171)=0,"",Kanban!H171),"")</f>
        <v/>
      </c>
    </row>
    <row r="477" spans="2:10" x14ac:dyDescent="0.35">
      <c r="B477" s="18"/>
      <c r="C477" s="18"/>
      <c r="D477" s="18"/>
      <c r="E477" s="52" t="str">
        <f t="shared" ref="E477:J477" si="315">E476</f>
        <v/>
      </c>
      <c r="F477" s="52" t="str">
        <f t="shared" si="315"/>
        <v/>
      </c>
      <c r="G477" s="52" t="str">
        <f t="shared" si="315"/>
        <v/>
      </c>
      <c r="H477" s="52" t="str">
        <f t="shared" si="315"/>
        <v/>
      </c>
      <c r="I477" s="52" t="str">
        <f t="shared" si="315"/>
        <v/>
      </c>
      <c r="J477" s="52" t="str">
        <f t="shared" si="315"/>
        <v/>
      </c>
    </row>
    <row r="478" spans="2:10" x14ac:dyDescent="0.35">
      <c r="B478" s="18"/>
      <c r="C478" s="18"/>
      <c r="D478" s="18"/>
      <c r="E478" s="52" t="str">
        <f t="shared" ref="E478:J478" si="316">E476</f>
        <v/>
      </c>
      <c r="F478" s="52" t="str">
        <f t="shared" si="316"/>
        <v/>
      </c>
      <c r="G478" s="52" t="str">
        <f t="shared" si="316"/>
        <v/>
      </c>
      <c r="H478" s="52" t="str">
        <f t="shared" si="316"/>
        <v/>
      </c>
      <c r="I478" s="52" t="str">
        <f t="shared" si="316"/>
        <v/>
      </c>
      <c r="J478" s="52" t="str">
        <f t="shared" si="316"/>
        <v/>
      </c>
    </row>
    <row r="479" spans="2:10" x14ac:dyDescent="0.35">
      <c r="B479" s="18"/>
      <c r="C479" s="18"/>
      <c r="D479" s="18"/>
      <c r="E479" s="53" t="str">
        <f>IFERROR(IF(LEN(Kanban!C174)=0,"",Kanban!C174),"")</f>
        <v/>
      </c>
      <c r="F479" s="53" t="str">
        <f>IFERROR(IF(LEN(Kanban!D174)=0,"",Kanban!D174),"")</f>
        <v/>
      </c>
      <c r="G479" s="53" t="str">
        <f>IFERROR(IF(LEN(Kanban!E174)=0,"",Kanban!E174),"")</f>
        <v/>
      </c>
      <c r="H479" s="53" t="str">
        <f>IFERROR(IF(LEN(Kanban!F174)=0,"",Kanban!F174),"")</f>
        <v/>
      </c>
      <c r="I479" s="53" t="str">
        <f>IFERROR(IF(LEN(Kanban!G174)=0,"",Kanban!G174),"")</f>
        <v/>
      </c>
      <c r="J479" s="53" t="str">
        <f>IFERROR(IF(LEN(Kanban!H174)=0,"",Kanban!H174),"")</f>
        <v/>
      </c>
    </row>
    <row r="480" spans="2:10" x14ac:dyDescent="0.35">
      <c r="B480" s="18"/>
      <c r="C480" s="18"/>
      <c r="D480" s="18"/>
      <c r="E480" s="52" t="str">
        <f t="shared" ref="E480:J480" si="317">E479</f>
        <v/>
      </c>
      <c r="F480" s="52" t="str">
        <f t="shared" si="317"/>
        <v/>
      </c>
      <c r="G480" s="52" t="str">
        <f t="shared" si="317"/>
        <v/>
      </c>
      <c r="H480" s="52" t="str">
        <f t="shared" si="317"/>
        <v/>
      </c>
      <c r="I480" s="52" t="str">
        <f t="shared" si="317"/>
        <v/>
      </c>
      <c r="J480" s="52" t="str">
        <f t="shared" si="317"/>
        <v/>
      </c>
    </row>
    <row r="481" spans="2:10" x14ac:dyDescent="0.35">
      <c r="B481" s="18"/>
      <c r="C481" s="18"/>
      <c r="D481" s="18"/>
      <c r="E481" s="52" t="str">
        <f t="shared" ref="E481:J481" si="318">E479</f>
        <v/>
      </c>
      <c r="F481" s="52" t="str">
        <f t="shared" si="318"/>
        <v/>
      </c>
      <c r="G481" s="52" t="str">
        <f t="shared" si="318"/>
        <v/>
      </c>
      <c r="H481" s="52" t="str">
        <f t="shared" si="318"/>
        <v/>
      </c>
      <c r="I481" s="52" t="str">
        <f t="shared" si="318"/>
        <v/>
      </c>
      <c r="J481" s="52" t="str">
        <f t="shared" si="318"/>
        <v/>
      </c>
    </row>
    <row r="482" spans="2:10" x14ac:dyDescent="0.35">
      <c r="B482" s="18"/>
      <c r="C482" s="18"/>
      <c r="D482" s="18"/>
      <c r="E482" s="53" t="str">
        <f>IFERROR(IF(LEN(Kanban!C177)=0,"",Kanban!C177),"")</f>
        <v/>
      </c>
      <c r="F482" s="53" t="str">
        <f>IFERROR(IF(LEN(Kanban!D177)=0,"",Kanban!D177),"")</f>
        <v/>
      </c>
      <c r="G482" s="53" t="str">
        <f>IFERROR(IF(LEN(Kanban!E177)=0,"",Kanban!E177),"")</f>
        <v/>
      </c>
      <c r="H482" s="53" t="str">
        <f>IFERROR(IF(LEN(Kanban!F177)=0,"",Kanban!F177),"")</f>
        <v/>
      </c>
      <c r="I482" s="53" t="str">
        <f>IFERROR(IF(LEN(Kanban!G177)=0,"",Kanban!G177),"")</f>
        <v/>
      </c>
      <c r="J482" s="53" t="str">
        <f>IFERROR(IF(LEN(Kanban!H177)=0,"",Kanban!H177),"")</f>
        <v/>
      </c>
    </row>
    <row r="483" spans="2:10" x14ac:dyDescent="0.35">
      <c r="B483" s="18"/>
      <c r="C483" s="18"/>
      <c r="D483" s="18"/>
      <c r="E483" s="52" t="str">
        <f t="shared" ref="E483:J483" si="319">E482</f>
        <v/>
      </c>
      <c r="F483" s="52" t="str">
        <f t="shared" si="319"/>
        <v/>
      </c>
      <c r="G483" s="52" t="str">
        <f t="shared" si="319"/>
        <v/>
      </c>
      <c r="H483" s="52" t="str">
        <f t="shared" si="319"/>
        <v/>
      </c>
      <c r="I483" s="52" t="str">
        <f t="shared" si="319"/>
        <v/>
      </c>
      <c r="J483" s="52" t="str">
        <f t="shared" si="319"/>
        <v/>
      </c>
    </row>
    <row r="484" spans="2:10" x14ac:dyDescent="0.35">
      <c r="B484" s="18"/>
      <c r="C484" s="18"/>
      <c r="D484" s="18"/>
      <c r="E484" s="52" t="str">
        <f t="shared" ref="E484:J484" si="320">E482</f>
        <v/>
      </c>
      <c r="F484" s="52" t="str">
        <f t="shared" si="320"/>
        <v/>
      </c>
      <c r="G484" s="52" t="str">
        <f t="shared" si="320"/>
        <v/>
      </c>
      <c r="H484" s="52" t="str">
        <f t="shared" si="320"/>
        <v/>
      </c>
      <c r="I484" s="52" t="str">
        <f t="shared" si="320"/>
        <v/>
      </c>
      <c r="J484" s="52" t="str">
        <f t="shared" si="320"/>
        <v/>
      </c>
    </row>
    <row r="485" spans="2:10" x14ac:dyDescent="0.35">
      <c r="B485" s="18"/>
      <c r="C485" s="18"/>
      <c r="D485" s="18"/>
      <c r="E485" s="53" t="str">
        <f>IFERROR(IF(LEN(Kanban!C180)=0,"",Kanban!C180),"")</f>
        <v/>
      </c>
      <c r="F485" s="53" t="str">
        <f>IFERROR(IF(LEN(Kanban!D180)=0,"",Kanban!D180),"")</f>
        <v/>
      </c>
      <c r="G485" s="53" t="str">
        <f>IFERROR(IF(LEN(Kanban!E180)=0,"",Kanban!E180),"")</f>
        <v/>
      </c>
      <c r="H485" s="53" t="str">
        <f>IFERROR(IF(LEN(Kanban!F180)=0,"",Kanban!F180),"")</f>
        <v/>
      </c>
      <c r="I485" s="53" t="str">
        <f>IFERROR(IF(LEN(Kanban!G180)=0,"",Kanban!G180),"")</f>
        <v/>
      </c>
      <c r="J485" s="53" t="str">
        <f>IFERROR(IF(LEN(Kanban!H180)=0,"",Kanban!H180),"")</f>
        <v/>
      </c>
    </row>
    <row r="486" spans="2:10" x14ac:dyDescent="0.35">
      <c r="B486" s="18"/>
      <c r="C486" s="18"/>
      <c r="D486" s="18"/>
      <c r="E486" s="52" t="str">
        <f t="shared" ref="E486:J486" si="321">E485</f>
        <v/>
      </c>
      <c r="F486" s="52" t="str">
        <f t="shared" si="321"/>
        <v/>
      </c>
      <c r="G486" s="52" t="str">
        <f t="shared" si="321"/>
        <v/>
      </c>
      <c r="H486" s="52" t="str">
        <f t="shared" si="321"/>
        <v/>
      </c>
      <c r="I486" s="52" t="str">
        <f t="shared" si="321"/>
        <v/>
      </c>
      <c r="J486" s="52" t="str">
        <f t="shared" si="321"/>
        <v/>
      </c>
    </row>
    <row r="487" spans="2:10" x14ac:dyDescent="0.35">
      <c r="B487" s="18"/>
      <c r="C487" s="18"/>
      <c r="D487" s="18"/>
      <c r="E487" s="52" t="str">
        <f t="shared" ref="E487:J487" si="322">E485</f>
        <v/>
      </c>
      <c r="F487" s="52" t="str">
        <f t="shared" si="322"/>
        <v/>
      </c>
      <c r="G487" s="52" t="str">
        <f t="shared" si="322"/>
        <v/>
      </c>
      <c r="H487" s="52" t="str">
        <f t="shared" si="322"/>
        <v/>
      </c>
      <c r="I487" s="52" t="str">
        <f t="shared" si="322"/>
        <v/>
      </c>
      <c r="J487" s="52" t="str">
        <f t="shared" si="322"/>
        <v/>
      </c>
    </row>
    <row r="488" spans="2:10" x14ac:dyDescent="0.35">
      <c r="B488" s="18"/>
      <c r="C488" s="18"/>
      <c r="D488" s="18"/>
      <c r="E488" s="53" t="str">
        <f>IFERROR(IF(LEN(Kanban!C183)=0,"",Kanban!C183),"")</f>
        <v/>
      </c>
      <c r="F488" s="53" t="str">
        <f>IFERROR(IF(LEN(Kanban!D183)=0,"",Kanban!D183),"")</f>
        <v/>
      </c>
      <c r="G488" s="53" t="str">
        <f>IFERROR(IF(LEN(Kanban!E183)=0,"",Kanban!E183),"")</f>
        <v/>
      </c>
      <c r="H488" s="53" t="str">
        <f>IFERROR(IF(LEN(Kanban!F183)=0,"",Kanban!F183),"")</f>
        <v/>
      </c>
      <c r="I488" s="53" t="str">
        <f>IFERROR(IF(LEN(Kanban!G183)=0,"",Kanban!G183),"")</f>
        <v/>
      </c>
      <c r="J488" s="53" t="str">
        <f>IFERROR(IF(LEN(Kanban!H183)=0,"",Kanban!H183),"")</f>
        <v/>
      </c>
    </row>
    <row r="489" spans="2:10" x14ac:dyDescent="0.35">
      <c r="B489" s="18"/>
      <c r="C489" s="18"/>
      <c r="D489" s="18"/>
      <c r="E489" s="52" t="str">
        <f t="shared" ref="E489:J489" si="323">E488</f>
        <v/>
      </c>
      <c r="F489" s="52" t="str">
        <f t="shared" si="323"/>
        <v/>
      </c>
      <c r="G489" s="52" t="str">
        <f t="shared" si="323"/>
        <v/>
      </c>
      <c r="H489" s="52" t="str">
        <f t="shared" si="323"/>
        <v/>
      </c>
      <c r="I489" s="52" t="str">
        <f t="shared" si="323"/>
        <v/>
      </c>
      <c r="J489" s="52" t="str">
        <f t="shared" si="323"/>
        <v/>
      </c>
    </row>
    <row r="490" spans="2:10" x14ac:dyDescent="0.35">
      <c r="B490" s="18"/>
      <c r="C490" s="18"/>
      <c r="D490" s="18"/>
      <c r="E490" s="52" t="str">
        <f t="shared" ref="E490:J490" si="324">E488</f>
        <v/>
      </c>
      <c r="F490" s="52" t="str">
        <f t="shared" si="324"/>
        <v/>
      </c>
      <c r="G490" s="52" t="str">
        <f t="shared" si="324"/>
        <v/>
      </c>
      <c r="H490" s="52" t="str">
        <f t="shared" si="324"/>
        <v/>
      </c>
      <c r="I490" s="52" t="str">
        <f t="shared" si="324"/>
        <v/>
      </c>
      <c r="J490" s="52" t="str">
        <f t="shared" si="324"/>
        <v/>
      </c>
    </row>
    <row r="491" spans="2:10" x14ac:dyDescent="0.35">
      <c r="B491" s="18"/>
      <c r="C491" s="18"/>
      <c r="D491" s="18"/>
      <c r="E491" s="53" t="str">
        <f>IFERROR(IF(LEN(Kanban!C186)=0,"",Kanban!C186),"")</f>
        <v/>
      </c>
      <c r="F491" s="53" t="str">
        <f>IFERROR(IF(LEN(Kanban!D186)=0,"",Kanban!D186),"")</f>
        <v/>
      </c>
      <c r="G491" s="53" t="str">
        <f>IFERROR(IF(LEN(Kanban!E186)=0,"",Kanban!E186),"")</f>
        <v/>
      </c>
      <c r="H491" s="53" t="str">
        <f>IFERROR(IF(LEN(Kanban!F186)=0,"",Kanban!F186),"")</f>
        <v/>
      </c>
      <c r="I491" s="53" t="str">
        <f>IFERROR(IF(LEN(Kanban!G186)=0,"",Kanban!G186),"")</f>
        <v/>
      </c>
      <c r="J491" s="53" t="str">
        <f>IFERROR(IF(LEN(Kanban!H186)=0,"",Kanban!H186),"")</f>
        <v/>
      </c>
    </row>
    <row r="492" spans="2:10" x14ac:dyDescent="0.35">
      <c r="B492" s="18"/>
      <c r="C492" s="18"/>
      <c r="D492" s="18"/>
      <c r="E492" s="52" t="str">
        <f t="shared" ref="E492:J492" si="325">E491</f>
        <v/>
      </c>
      <c r="F492" s="52" t="str">
        <f t="shared" si="325"/>
        <v/>
      </c>
      <c r="G492" s="52" t="str">
        <f t="shared" si="325"/>
        <v/>
      </c>
      <c r="H492" s="52" t="str">
        <f t="shared" si="325"/>
        <v/>
      </c>
      <c r="I492" s="52" t="str">
        <f t="shared" si="325"/>
        <v/>
      </c>
      <c r="J492" s="52" t="str">
        <f t="shared" si="325"/>
        <v/>
      </c>
    </row>
    <row r="493" spans="2:10" x14ac:dyDescent="0.35">
      <c r="B493" s="18"/>
      <c r="C493" s="18"/>
      <c r="D493" s="18"/>
      <c r="E493" s="52" t="str">
        <f t="shared" ref="E493:J493" si="326">E491</f>
        <v/>
      </c>
      <c r="F493" s="52" t="str">
        <f t="shared" si="326"/>
        <v/>
      </c>
      <c r="G493" s="52" t="str">
        <f t="shared" si="326"/>
        <v/>
      </c>
      <c r="H493" s="52" t="str">
        <f t="shared" si="326"/>
        <v/>
      </c>
      <c r="I493" s="52" t="str">
        <f t="shared" si="326"/>
        <v/>
      </c>
      <c r="J493" s="52" t="str">
        <f t="shared" si="326"/>
        <v/>
      </c>
    </row>
    <row r="494" spans="2:10" x14ac:dyDescent="0.35">
      <c r="B494" s="18"/>
      <c r="C494" s="18"/>
      <c r="D494" s="18"/>
      <c r="E494" s="53" t="str">
        <f>IFERROR(IF(LEN(Kanban!C189)=0,"",Kanban!C189),"")</f>
        <v/>
      </c>
      <c r="F494" s="53" t="str">
        <f>IFERROR(IF(LEN(Kanban!D189)=0,"",Kanban!D189),"")</f>
        <v/>
      </c>
      <c r="G494" s="53" t="str">
        <f>IFERROR(IF(LEN(Kanban!E189)=0,"",Kanban!E189),"")</f>
        <v/>
      </c>
      <c r="H494" s="53" t="str">
        <f>IFERROR(IF(LEN(Kanban!F189)=0,"",Kanban!F189),"")</f>
        <v/>
      </c>
      <c r="I494" s="53" t="str">
        <f>IFERROR(IF(LEN(Kanban!G189)=0,"",Kanban!G189),"")</f>
        <v/>
      </c>
      <c r="J494" s="53" t="str">
        <f>IFERROR(IF(LEN(Kanban!H189)=0,"",Kanban!H189),"")</f>
        <v/>
      </c>
    </row>
    <row r="495" spans="2:10" x14ac:dyDescent="0.35">
      <c r="B495" s="18"/>
      <c r="C495" s="18"/>
      <c r="D495" s="18"/>
      <c r="E495" s="52" t="str">
        <f t="shared" ref="E495:J495" si="327">E494</f>
        <v/>
      </c>
      <c r="F495" s="52" t="str">
        <f t="shared" si="327"/>
        <v/>
      </c>
      <c r="G495" s="52" t="str">
        <f t="shared" si="327"/>
        <v/>
      </c>
      <c r="H495" s="52" t="str">
        <f t="shared" si="327"/>
        <v/>
      </c>
      <c r="I495" s="52" t="str">
        <f t="shared" si="327"/>
        <v/>
      </c>
      <c r="J495" s="52" t="str">
        <f t="shared" si="327"/>
        <v/>
      </c>
    </row>
    <row r="496" spans="2:10" x14ac:dyDescent="0.35">
      <c r="B496" s="18"/>
      <c r="C496" s="18"/>
      <c r="D496" s="18"/>
      <c r="E496" s="52" t="str">
        <f t="shared" ref="E496:J496" si="328">E494</f>
        <v/>
      </c>
      <c r="F496" s="52" t="str">
        <f t="shared" si="328"/>
        <v/>
      </c>
      <c r="G496" s="52" t="str">
        <f t="shared" si="328"/>
        <v/>
      </c>
      <c r="H496" s="52" t="str">
        <f t="shared" si="328"/>
        <v/>
      </c>
      <c r="I496" s="52" t="str">
        <f t="shared" si="328"/>
        <v/>
      </c>
      <c r="J496" s="52" t="str">
        <f t="shared" si="328"/>
        <v/>
      </c>
    </row>
    <row r="497" spans="2:10" x14ac:dyDescent="0.35">
      <c r="B497" s="18"/>
      <c r="C497" s="18"/>
      <c r="D497" s="18"/>
      <c r="E497" s="53" t="str">
        <f>IFERROR(IF(LEN(Kanban!C192)=0,"",Kanban!C192),"")</f>
        <v/>
      </c>
      <c r="F497" s="53" t="str">
        <f>IFERROR(IF(LEN(Kanban!D192)=0,"",Kanban!D192),"")</f>
        <v/>
      </c>
      <c r="G497" s="53" t="str">
        <f>IFERROR(IF(LEN(Kanban!E192)=0,"",Kanban!E192),"")</f>
        <v/>
      </c>
      <c r="H497" s="53" t="str">
        <f>IFERROR(IF(LEN(Kanban!F192)=0,"",Kanban!F192),"")</f>
        <v/>
      </c>
      <c r="I497" s="53" t="str">
        <f>IFERROR(IF(LEN(Kanban!G192)=0,"",Kanban!G192),"")</f>
        <v/>
      </c>
      <c r="J497" s="53" t="str">
        <f>IFERROR(IF(LEN(Kanban!H192)=0,"",Kanban!H192),"")</f>
        <v/>
      </c>
    </row>
    <row r="498" spans="2:10" x14ac:dyDescent="0.35">
      <c r="B498" s="18"/>
      <c r="C498" s="18"/>
      <c r="D498" s="18"/>
      <c r="E498" s="52" t="str">
        <f t="shared" ref="E498:J498" si="329">E497</f>
        <v/>
      </c>
      <c r="F498" s="52" t="str">
        <f t="shared" si="329"/>
        <v/>
      </c>
      <c r="G498" s="52" t="str">
        <f t="shared" si="329"/>
        <v/>
      </c>
      <c r="H498" s="52" t="str">
        <f t="shared" si="329"/>
        <v/>
      </c>
      <c r="I498" s="52" t="str">
        <f t="shared" si="329"/>
        <v/>
      </c>
      <c r="J498" s="52" t="str">
        <f t="shared" si="329"/>
        <v/>
      </c>
    </row>
    <row r="499" spans="2:10" x14ac:dyDescent="0.35">
      <c r="B499" s="18"/>
      <c r="C499" s="18"/>
      <c r="D499" s="18"/>
      <c r="E499" s="52" t="str">
        <f t="shared" ref="E499:J499" si="330">E497</f>
        <v/>
      </c>
      <c r="F499" s="52" t="str">
        <f t="shared" si="330"/>
        <v/>
      </c>
      <c r="G499" s="52" t="str">
        <f t="shared" si="330"/>
        <v/>
      </c>
      <c r="H499" s="52" t="str">
        <f t="shared" si="330"/>
        <v/>
      </c>
      <c r="I499" s="52" t="str">
        <f t="shared" si="330"/>
        <v/>
      </c>
      <c r="J499" s="52" t="str">
        <f t="shared" si="330"/>
        <v/>
      </c>
    </row>
    <row r="500" spans="2:10" x14ac:dyDescent="0.35">
      <c r="B500" s="18"/>
      <c r="C500" s="18"/>
      <c r="D500" s="18"/>
      <c r="E500" s="53" t="str">
        <f>IFERROR(IF(LEN(Kanban!C195)=0,"",Kanban!C195),"")</f>
        <v/>
      </c>
      <c r="F500" s="53" t="str">
        <f>IFERROR(IF(LEN(Kanban!D195)=0,"",Kanban!D195),"")</f>
        <v/>
      </c>
      <c r="G500" s="53" t="str">
        <f>IFERROR(IF(LEN(Kanban!E195)=0,"",Kanban!E195),"")</f>
        <v/>
      </c>
      <c r="H500" s="53" t="str">
        <f>IFERROR(IF(LEN(Kanban!F195)=0,"",Kanban!F195),"")</f>
        <v/>
      </c>
      <c r="I500" s="53" t="str">
        <f>IFERROR(IF(LEN(Kanban!G195)=0,"",Kanban!G195),"")</f>
        <v/>
      </c>
      <c r="J500" s="53" t="str">
        <f>IFERROR(IF(LEN(Kanban!H195)=0,"",Kanban!H195),"")</f>
        <v/>
      </c>
    </row>
    <row r="501" spans="2:10" x14ac:dyDescent="0.35">
      <c r="B501" s="18"/>
      <c r="C501" s="18"/>
      <c r="D501" s="18"/>
      <c r="E501" s="52" t="str">
        <f t="shared" ref="E501:J501" si="331">E500</f>
        <v/>
      </c>
      <c r="F501" s="52" t="str">
        <f t="shared" si="331"/>
        <v/>
      </c>
      <c r="G501" s="52" t="str">
        <f t="shared" si="331"/>
        <v/>
      </c>
      <c r="H501" s="52" t="str">
        <f t="shared" si="331"/>
        <v/>
      </c>
      <c r="I501" s="52" t="str">
        <f t="shared" si="331"/>
        <v/>
      </c>
      <c r="J501" s="52" t="str">
        <f t="shared" si="331"/>
        <v/>
      </c>
    </row>
    <row r="502" spans="2:10" x14ac:dyDescent="0.35">
      <c r="B502" s="18"/>
      <c r="C502" s="18"/>
      <c r="D502" s="18"/>
      <c r="E502" s="52" t="str">
        <f t="shared" ref="E502:J502" si="332">E500</f>
        <v/>
      </c>
      <c r="F502" s="52" t="str">
        <f t="shared" si="332"/>
        <v/>
      </c>
      <c r="G502" s="52" t="str">
        <f t="shared" si="332"/>
        <v/>
      </c>
      <c r="H502" s="52" t="str">
        <f t="shared" si="332"/>
        <v/>
      </c>
      <c r="I502" s="52" t="str">
        <f t="shared" si="332"/>
        <v/>
      </c>
      <c r="J502" s="52" t="str">
        <f t="shared" si="332"/>
        <v/>
      </c>
    </row>
    <row r="503" spans="2:10" x14ac:dyDescent="0.35">
      <c r="B503" s="18"/>
      <c r="C503" s="18"/>
      <c r="D503" s="18"/>
      <c r="E503" s="53" t="str">
        <f>IFERROR(IF(LEN(Kanban!C198)=0,"",Kanban!C198),"")</f>
        <v/>
      </c>
      <c r="F503" s="53" t="str">
        <f>IFERROR(IF(LEN(Kanban!D198)=0,"",Kanban!D198),"")</f>
        <v/>
      </c>
      <c r="G503" s="53" t="str">
        <f>IFERROR(IF(LEN(Kanban!E198)=0,"",Kanban!E198),"")</f>
        <v/>
      </c>
      <c r="H503" s="53" t="str">
        <f>IFERROR(IF(LEN(Kanban!F198)=0,"",Kanban!F198),"")</f>
        <v/>
      </c>
      <c r="I503" s="53" t="str">
        <f>IFERROR(IF(LEN(Kanban!G198)=0,"",Kanban!G198),"")</f>
        <v/>
      </c>
      <c r="J503" s="53" t="str">
        <f>IFERROR(IF(LEN(Kanban!H198)=0,"",Kanban!H198),"")</f>
        <v/>
      </c>
    </row>
    <row r="504" spans="2:10" x14ac:dyDescent="0.35">
      <c r="B504" s="18"/>
      <c r="C504" s="18"/>
      <c r="D504" s="18"/>
      <c r="E504" s="52" t="str">
        <f t="shared" ref="E504:J504" si="333">E503</f>
        <v/>
      </c>
      <c r="F504" s="52" t="str">
        <f t="shared" si="333"/>
        <v/>
      </c>
      <c r="G504" s="52" t="str">
        <f t="shared" si="333"/>
        <v/>
      </c>
      <c r="H504" s="52" t="str">
        <f t="shared" si="333"/>
        <v/>
      </c>
      <c r="I504" s="52" t="str">
        <f t="shared" si="333"/>
        <v/>
      </c>
      <c r="J504" s="52" t="str">
        <f t="shared" si="333"/>
        <v/>
      </c>
    </row>
    <row r="505" spans="2:10" x14ac:dyDescent="0.35">
      <c r="B505" s="18"/>
      <c r="C505" s="18"/>
      <c r="D505" s="18"/>
      <c r="E505" s="52" t="str">
        <f t="shared" ref="E505:J505" si="334">E503</f>
        <v/>
      </c>
      <c r="F505" s="52" t="str">
        <f t="shared" si="334"/>
        <v/>
      </c>
      <c r="G505" s="52" t="str">
        <f t="shared" si="334"/>
        <v/>
      </c>
      <c r="H505" s="52" t="str">
        <f t="shared" si="334"/>
        <v/>
      </c>
      <c r="I505" s="52" t="str">
        <f t="shared" si="334"/>
        <v/>
      </c>
      <c r="J505" s="52" t="str">
        <f t="shared" si="334"/>
        <v/>
      </c>
    </row>
    <row r="506" spans="2:10" x14ac:dyDescent="0.35">
      <c r="B506" s="18"/>
      <c r="C506" s="18"/>
      <c r="D506" s="18"/>
      <c r="E506" s="53" t="str">
        <f>IFERROR(IF(LEN(Kanban!C201)=0,"",Kanban!C201),"")</f>
        <v/>
      </c>
      <c r="F506" s="53" t="str">
        <f>IFERROR(IF(LEN(Kanban!D201)=0,"",Kanban!D201),"")</f>
        <v/>
      </c>
      <c r="G506" s="53" t="str">
        <f>IFERROR(IF(LEN(Kanban!E201)=0,"",Kanban!E201),"")</f>
        <v/>
      </c>
      <c r="H506" s="53" t="str">
        <f>IFERROR(IF(LEN(Kanban!F201)=0,"",Kanban!F201),"")</f>
        <v/>
      </c>
      <c r="I506" s="53" t="str">
        <f>IFERROR(IF(LEN(Kanban!G201)=0,"",Kanban!G201),"")</f>
        <v/>
      </c>
      <c r="J506" s="53" t="str">
        <f>IFERROR(IF(LEN(Kanban!H201)=0,"",Kanban!H201),"")</f>
        <v/>
      </c>
    </row>
    <row r="507" spans="2:10" x14ac:dyDescent="0.35">
      <c r="B507" s="18"/>
      <c r="C507" s="18"/>
      <c r="D507" s="18"/>
      <c r="E507" s="52" t="str">
        <f t="shared" ref="E507:J507" si="335">E506</f>
        <v/>
      </c>
      <c r="F507" s="52" t="str">
        <f t="shared" si="335"/>
        <v/>
      </c>
      <c r="G507" s="52" t="str">
        <f t="shared" si="335"/>
        <v/>
      </c>
      <c r="H507" s="52" t="str">
        <f t="shared" si="335"/>
        <v/>
      </c>
      <c r="I507" s="52" t="str">
        <f t="shared" si="335"/>
        <v/>
      </c>
      <c r="J507" s="52" t="str">
        <f t="shared" si="335"/>
        <v/>
      </c>
    </row>
    <row r="508" spans="2:10" x14ac:dyDescent="0.35">
      <c r="B508" s="18"/>
      <c r="C508" s="18"/>
      <c r="D508" s="18"/>
      <c r="E508" s="52" t="str">
        <f t="shared" ref="E508:J508" si="336">E506</f>
        <v/>
      </c>
      <c r="F508" s="52" t="str">
        <f t="shared" si="336"/>
        <v/>
      </c>
      <c r="G508" s="52" t="str">
        <f t="shared" si="336"/>
        <v/>
      </c>
      <c r="H508" s="52" t="str">
        <f t="shared" si="336"/>
        <v/>
      </c>
      <c r="I508" s="52" t="str">
        <f t="shared" si="336"/>
        <v/>
      </c>
      <c r="J508" s="52" t="str">
        <f t="shared" si="336"/>
        <v/>
      </c>
    </row>
    <row r="509" spans="2:10" x14ac:dyDescent="0.35">
      <c r="B509" s="18"/>
      <c r="C509" s="18"/>
      <c r="D509" s="18"/>
      <c r="E509" s="53" t="str">
        <f>IFERROR(IF(LEN(Kanban!C204)=0,"",Kanban!C204),"")</f>
        <v/>
      </c>
      <c r="F509" s="53" t="str">
        <f>IFERROR(IF(LEN(Kanban!D204)=0,"",Kanban!D204),"")</f>
        <v/>
      </c>
      <c r="G509" s="53" t="str">
        <f>IFERROR(IF(LEN(Kanban!E204)=0,"",Kanban!E204),"")</f>
        <v/>
      </c>
      <c r="H509" s="53" t="str">
        <f>IFERROR(IF(LEN(Kanban!F204)=0,"",Kanban!F204),"")</f>
        <v/>
      </c>
      <c r="I509" s="53" t="str">
        <f>IFERROR(IF(LEN(Kanban!G204)=0,"",Kanban!G204),"")</f>
        <v/>
      </c>
      <c r="J509" s="53" t="str">
        <f>IFERROR(IF(LEN(Kanban!H204)=0,"",Kanban!H204),"")</f>
        <v/>
      </c>
    </row>
    <row r="510" spans="2:10" x14ac:dyDescent="0.35">
      <c r="B510" s="18"/>
      <c r="C510" s="18"/>
      <c r="D510" s="18"/>
      <c r="E510" s="52" t="str">
        <f t="shared" ref="E510:J510" si="337">E509</f>
        <v/>
      </c>
      <c r="F510" s="52" t="str">
        <f t="shared" si="337"/>
        <v/>
      </c>
      <c r="G510" s="52" t="str">
        <f t="shared" si="337"/>
        <v/>
      </c>
      <c r="H510" s="52" t="str">
        <f t="shared" si="337"/>
        <v/>
      </c>
      <c r="I510" s="52" t="str">
        <f t="shared" si="337"/>
        <v/>
      </c>
      <c r="J510" s="52" t="str">
        <f t="shared" si="337"/>
        <v/>
      </c>
    </row>
    <row r="511" spans="2:10" x14ac:dyDescent="0.35">
      <c r="B511" s="18"/>
      <c r="C511" s="18"/>
      <c r="D511" s="18"/>
      <c r="E511" s="52" t="str">
        <f t="shared" ref="E511:J511" si="338">E509</f>
        <v/>
      </c>
      <c r="F511" s="52" t="str">
        <f t="shared" si="338"/>
        <v/>
      </c>
      <c r="G511" s="52" t="str">
        <f t="shared" si="338"/>
        <v/>
      </c>
      <c r="H511" s="52" t="str">
        <f t="shared" si="338"/>
        <v/>
      </c>
      <c r="I511" s="52" t="str">
        <f t="shared" si="338"/>
        <v/>
      </c>
      <c r="J511" s="52" t="str">
        <f t="shared" si="338"/>
        <v/>
      </c>
    </row>
    <row r="512" spans="2:10" x14ac:dyDescent="0.35">
      <c r="B512" s="18"/>
      <c r="C512" s="18"/>
      <c r="D512" s="18"/>
      <c r="E512" s="53" t="str">
        <f>IFERROR(IF(LEN(Kanban!C207)=0,"",Kanban!C207),"")</f>
        <v/>
      </c>
      <c r="F512" s="53" t="str">
        <f>IFERROR(IF(LEN(Kanban!D207)=0,"",Kanban!D207),"")</f>
        <v/>
      </c>
      <c r="G512" s="53" t="str">
        <f>IFERROR(IF(LEN(Kanban!E207)=0,"",Kanban!E207),"")</f>
        <v/>
      </c>
      <c r="H512" s="53" t="str">
        <f>IFERROR(IF(LEN(Kanban!F207)=0,"",Kanban!F207),"")</f>
        <v/>
      </c>
      <c r="I512" s="53" t="str">
        <f>IFERROR(IF(LEN(Kanban!G207)=0,"",Kanban!G207),"")</f>
        <v/>
      </c>
      <c r="J512" s="53" t="str">
        <f>IFERROR(IF(LEN(Kanban!H207)=0,"",Kanban!H207),"")</f>
        <v/>
      </c>
    </row>
    <row r="513" spans="2:10" x14ac:dyDescent="0.35">
      <c r="B513" s="18"/>
      <c r="C513" s="18"/>
      <c r="D513" s="18"/>
      <c r="E513" s="52" t="str">
        <f t="shared" ref="E513:J513" si="339">E512</f>
        <v/>
      </c>
      <c r="F513" s="52" t="str">
        <f t="shared" si="339"/>
        <v/>
      </c>
      <c r="G513" s="52" t="str">
        <f t="shared" si="339"/>
        <v/>
      </c>
      <c r="H513" s="52" t="str">
        <f t="shared" si="339"/>
        <v/>
      </c>
      <c r="I513" s="52" t="str">
        <f t="shared" si="339"/>
        <v/>
      </c>
      <c r="J513" s="52" t="str">
        <f t="shared" si="339"/>
        <v/>
      </c>
    </row>
    <row r="514" spans="2:10" x14ac:dyDescent="0.35">
      <c r="B514" s="18"/>
      <c r="C514" s="18"/>
      <c r="D514" s="18"/>
      <c r="E514" s="52" t="str">
        <f t="shared" ref="E514:J514" si="340">E512</f>
        <v/>
      </c>
      <c r="F514" s="52" t="str">
        <f t="shared" si="340"/>
        <v/>
      </c>
      <c r="G514" s="52" t="str">
        <f t="shared" si="340"/>
        <v/>
      </c>
      <c r="H514" s="52" t="str">
        <f t="shared" si="340"/>
        <v/>
      </c>
      <c r="I514" s="52" t="str">
        <f t="shared" si="340"/>
        <v/>
      </c>
      <c r="J514" s="52" t="str">
        <f t="shared" si="340"/>
        <v/>
      </c>
    </row>
    <row r="515" spans="2:10" x14ac:dyDescent="0.35">
      <c r="B515" s="18"/>
      <c r="C515" s="18"/>
      <c r="D515" s="18"/>
      <c r="E515" s="53" t="str">
        <f>IFERROR(IF(LEN(Kanban!C210)=0,"",Kanban!C210),"")</f>
        <v/>
      </c>
      <c r="F515" s="53" t="str">
        <f>IFERROR(IF(LEN(Kanban!D210)=0,"",Kanban!D210),"")</f>
        <v/>
      </c>
      <c r="G515" s="53" t="str">
        <f>IFERROR(IF(LEN(Kanban!E210)=0,"",Kanban!E210),"")</f>
        <v/>
      </c>
      <c r="H515" s="53" t="str">
        <f>IFERROR(IF(LEN(Kanban!F210)=0,"",Kanban!F210),"")</f>
        <v/>
      </c>
      <c r="I515" s="53" t="str">
        <f>IFERROR(IF(LEN(Kanban!G210)=0,"",Kanban!G210),"")</f>
        <v/>
      </c>
      <c r="J515" s="53" t="str">
        <f>IFERROR(IF(LEN(Kanban!H210)=0,"",Kanban!H210),"")</f>
        <v/>
      </c>
    </row>
    <row r="516" spans="2:10" x14ac:dyDescent="0.35">
      <c r="B516" s="18"/>
      <c r="C516" s="18"/>
      <c r="D516" s="18"/>
      <c r="E516" s="52" t="str">
        <f t="shared" ref="E516:J516" si="341">E515</f>
        <v/>
      </c>
      <c r="F516" s="52" t="str">
        <f t="shared" si="341"/>
        <v/>
      </c>
      <c r="G516" s="52" t="str">
        <f t="shared" si="341"/>
        <v/>
      </c>
      <c r="H516" s="52" t="str">
        <f t="shared" si="341"/>
        <v/>
      </c>
      <c r="I516" s="52" t="str">
        <f t="shared" si="341"/>
        <v/>
      </c>
      <c r="J516" s="52" t="str">
        <f t="shared" si="341"/>
        <v/>
      </c>
    </row>
    <row r="517" spans="2:10" x14ac:dyDescent="0.35">
      <c r="B517" s="18"/>
      <c r="C517" s="18"/>
      <c r="D517" s="18"/>
      <c r="E517" s="52" t="str">
        <f t="shared" ref="E517:J517" si="342">E515</f>
        <v/>
      </c>
      <c r="F517" s="52" t="str">
        <f t="shared" si="342"/>
        <v/>
      </c>
      <c r="G517" s="52" t="str">
        <f t="shared" si="342"/>
        <v/>
      </c>
      <c r="H517" s="52" t="str">
        <f t="shared" si="342"/>
        <v/>
      </c>
      <c r="I517" s="52" t="str">
        <f t="shared" si="342"/>
        <v/>
      </c>
      <c r="J517" s="52" t="str">
        <f t="shared" si="342"/>
        <v/>
      </c>
    </row>
    <row r="518" spans="2:10" x14ac:dyDescent="0.35">
      <c r="B518" s="18"/>
      <c r="C518" s="18"/>
      <c r="D518" s="18"/>
      <c r="E518" s="53" t="str">
        <f>IFERROR(IF(LEN(Kanban!C213)=0,"",Kanban!C213),"")</f>
        <v/>
      </c>
      <c r="F518" s="53" t="str">
        <f>IFERROR(IF(LEN(Kanban!D213)=0,"",Kanban!D213),"")</f>
        <v/>
      </c>
      <c r="G518" s="53" t="str">
        <f>IFERROR(IF(LEN(Kanban!E213)=0,"",Kanban!E213),"")</f>
        <v/>
      </c>
      <c r="H518" s="53" t="str">
        <f>IFERROR(IF(LEN(Kanban!F213)=0,"",Kanban!F213),"")</f>
        <v/>
      </c>
      <c r="I518" s="53" t="str">
        <f>IFERROR(IF(LEN(Kanban!G213)=0,"",Kanban!G213),"")</f>
        <v/>
      </c>
      <c r="J518" s="53" t="str">
        <f>IFERROR(IF(LEN(Kanban!H213)=0,"",Kanban!H213),"")</f>
        <v/>
      </c>
    </row>
    <row r="519" spans="2:10" x14ac:dyDescent="0.35">
      <c r="B519" s="18"/>
      <c r="C519" s="18"/>
      <c r="D519" s="18"/>
      <c r="E519" s="52" t="str">
        <f t="shared" ref="E519:J519" si="343">E518</f>
        <v/>
      </c>
      <c r="F519" s="52" t="str">
        <f t="shared" si="343"/>
        <v/>
      </c>
      <c r="G519" s="52" t="str">
        <f t="shared" si="343"/>
        <v/>
      </c>
      <c r="H519" s="52" t="str">
        <f t="shared" si="343"/>
        <v/>
      </c>
      <c r="I519" s="52" t="str">
        <f t="shared" si="343"/>
        <v/>
      </c>
      <c r="J519" s="52" t="str">
        <f t="shared" si="343"/>
        <v/>
      </c>
    </row>
    <row r="520" spans="2:10" x14ac:dyDescent="0.35">
      <c r="B520" s="18"/>
      <c r="C520" s="18"/>
      <c r="D520" s="18"/>
      <c r="E520" s="52" t="str">
        <f t="shared" ref="E520:J520" si="344">E518</f>
        <v/>
      </c>
      <c r="F520" s="52" t="str">
        <f t="shared" si="344"/>
        <v/>
      </c>
      <c r="G520" s="52" t="str">
        <f t="shared" si="344"/>
        <v/>
      </c>
      <c r="H520" s="52" t="str">
        <f t="shared" si="344"/>
        <v/>
      </c>
      <c r="I520" s="52" t="str">
        <f t="shared" si="344"/>
        <v/>
      </c>
      <c r="J520" s="52" t="str">
        <f t="shared" si="344"/>
        <v/>
      </c>
    </row>
    <row r="521" spans="2:10" x14ac:dyDescent="0.35">
      <c r="B521" s="18"/>
      <c r="C521" s="18"/>
      <c r="D521" s="18"/>
      <c r="E521" s="53" t="str">
        <f>IFERROR(IF(LEN(Kanban!C216)=0,"",Kanban!C216),"")</f>
        <v/>
      </c>
      <c r="F521" s="53" t="str">
        <f>IFERROR(IF(LEN(Kanban!D216)=0,"",Kanban!D216),"")</f>
        <v/>
      </c>
      <c r="G521" s="53" t="str">
        <f>IFERROR(IF(LEN(Kanban!E216)=0,"",Kanban!E216),"")</f>
        <v/>
      </c>
      <c r="H521" s="53" t="str">
        <f>IFERROR(IF(LEN(Kanban!F216)=0,"",Kanban!F216),"")</f>
        <v/>
      </c>
      <c r="I521" s="53" t="str">
        <f>IFERROR(IF(LEN(Kanban!G216)=0,"",Kanban!G216),"")</f>
        <v/>
      </c>
      <c r="J521" s="53" t="str">
        <f>IFERROR(IF(LEN(Kanban!H216)=0,"",Kanban!H216),"")</f>
        <v/>
      </c>
    </row>
    <row r="522" spans="2:10" x14ac:dyDescent="0.35">
      <c r="B522" s="18"/>
      <c r="C522" s="18"/>
      <c r="D522" s="18"/>
      <c r="E522" s="52" t="str">
        <f t="shared" ref="E522:J522" si="345">E521</f>
        <v/>
      </c>
      <c r="F522" s="52" t="str">
        <f t="shared" si="345"/>
        <v/>
      </c>
      <c r="G522" s="52" t="str">
        <f t="shared" si="345"/>
        <v/>
      </c>
      <c r="H522" s="52" t="str">
        <f t="shared" si="345"/>
        <v/>
      </c>
      <c r="I522" s="52" t="str">
        <f t="shared" si="345"/>
        <v/>
      </c>
      <c r="J522" s="52" t="str">
        <f t="shared" si="345"/>
        <v/>
      </c>
    </row>
    <row r="523" spans="2:10" x14ac:dyDescent="0.35">
      <c r="B523" s="18"/>
      <c r="C523" s="18"/>
      <c r="D523" s="18"/>
      <c r="E523" s="52" t="str">
        <f t="shared" ref="E523:J523" si="346">E521</f>
        <v/>
      </c>
      <c r="F523" s="52" t="str">
        <f t="shared" si="346"/>
        <v/>
      </c>
      <c r="G523" s="52" t="str">
        <f t="shared" si="346"/>
        <v/>
      </c>
      <c r="H523" s="52" t="str">
        <f t="shared" si="346"/>
        <v/>
      </c>
      <c r="I523" s="52" t="str">
        <f t="shared" si="346"/>
        <v/>
      </c>
      <c r="J523" s="52" t="str">
        <f t="shared" si="346"/>
        <v/>
      </c>
    </row>
    <row r="524" spans="2:10" x14ac:dyDescent="0.35">
      <c r="B524" s="18"/>
      <c r="C524" s="18"/>
      <c r="D524" s="18"/>
      <c r="E524" s="53" t="str">
        <f>IFERROR(IF(LEN(Kanban!C219)=0,"",Kanban!C219),"")</f>
        <v/>
      </c>
      <c r="F524" s="53" t="str">
        <f>IFERROR(IF(LEN(Kanban!D219)=0,"",Kanban!D219),"")</f>
        <v/>
      </c>
      <c r="G524" s="53" t="str">
        <f>IFERROR(IF(LEN(Kanban!E219)=0,"",Kanban!E219),"")</f>
        <v/>
      </c>
      <c r="H524" s="53" t="str">
        <f>IFERROR(IF(LEN(Kanban!F219)=0,"",Kanban!F219),"")</f>
        <v/>
      </c>
      <c r="I524" s="53" t="str">
        <f>IFERROR(IF(LEN(Kanban!G219)=0,"",Kanban!G219),"")</f>
        <v/>
      </c>
      <c r="J524" s="53" t="str">
        <f>IFERROR(IF(LEN(Kanban!H219)=0,"",Kanban!H219),"")</f>
        <v/>
      </c>
    </row>
    <row r="525" spans="2:10" x14ac:dyDescent="0.35">
      <c r="B525" s="18"/>
      <c r="C525" s="18"/>
      <c r="D525" s="18"/>
      <c r="E525" s="52" t="str">
        <f t="shared" ref="E525:J525" si="347">E524</f>
        <v/>
      </c>
      <c r="F525" s="52" t="str">
        <f t="shared" si="347"/>
        <v/>
      </c>
      <c r="G525" s="52" t="str">
        <f t="shared" si="347"/>
        <v/>
      </c>
      <c r="H525" s="52" t="str">
        <f t="shared" si="347"/>
        <v/>
      </c>
      <c r="I525" s="52" t="str">
        <f t="shared" si="347"/>
        <v/>
      </c>
      <c r="J525" s="52" t="str">
        <f t="shared" si="347"/>
        <v/>
      </c>
    </row>
    <row r="526" spans="2:10" x14ac:dyDescent="0.35">
      <c r="B526" s="18"/>
      <c r="C526" s="18"/>
      <c r="D526" s="18"/>
      <c r="E526" s="52" t="str">
        <f t="shared" ref="E526:J526" si="348">E524</f>
        <v/>
      </c>
      <c r="F526" s="52" t="str">
        <f t="shared" si="348"/>
        <v/>
      </c>
      <c r="G526" s="52" t="str">
        <f t="shared" si="348"/>
        <v/>
      </c>
      <c r="H526" s="52" t="str">
        <f t="shared" si="348"/>
        <v/>
      </c>
      <c r="I526" s="52" t="str">
        <f t="shared" si="348"/>
        <v/>
      </c>
      <c r="J526" s="52" t="str">
        <f t="shared" si="348"/>
        <v/>
      </c>
    </row>
    <row r="527" spans="2:10" x14ac:dyDescent="0.35">
      <c r="B527" s="18"/>
      <c r="C527" s="18"/>
      <c r="D527" s="18"/>
      <c r="E527" s="53" t="str">
        <f>IFERROR(IF(LEN(Kanban!C222)=0,"",Kanban!C222),"")</f>
        <v/>
      </c>
      <c r="F527" s="53" t="str">
        <f>IFERROR(IF(LEN(Kanban!D222)=0,"",Kanban!D222),"")</f>
        <v/>
      </c>
      <c r="G527" s="53" t="str">
        <f>IFERROR(IF(LEN(Kanban!E222)=0,"",Kanban!E222),"")</f>
        <v/>
      </c>
      <c r="H527" s="53" t="str">
        <f>IFERROR(IF(LEN(Kanban!F222)=0,"",Kanban!F222),"")</f>
        <v/>
      </c>
      <c r="I527" s="53" t="str">
        <f>IFERROR(IF(LEN(Kanban!G222)=0,"",Kanban!G222),"")</f>
        <v/>
      </c>
      <c r="J527" s="53" t="str">
        <f>IFERROR(IF(LEN(Kanban!H222)=0,"",Kanban!H222),"")</f>
        <v/>
      </c>
    </row>
    <row r="528" spans="2:10" x14ac:dyDescent="0.35">
      <c r="B528" s="18"/>
      <c r="C528" s="18"/>
      <c r="D528" s="18"/>
      <c r="E528" s="52" t="str">
        <f t="shared" ref="E528:J528" si="349">E527</f>
        <v/>
      </c>
      <c r="F528" s="52" t="str">
        <f t="shared" si="349"/>
        <v/>
      </c>
      <c r="G528" s="52" t="str">
        <f t="shared" si="349"/>
        <v/>
      </c>
      <c r="H528" s="52" t="str">
        <f t="shared" si="349"/>
        <v/>
      </c>
      <c r="I528" s="52" t="str">
        <f t="shared" si="349"/>
        <v/>
      </c>
      <c r="J528" s="52" t="str">
        <f t="shared" si="349"/>
        <v/>
      </c>
    </row>
    <row r="529" spans="2:10" x14ac:dyDescent="0.35">
      <c r="B529" s="18"/>
      <c r="C529" s="18"/>
      <c r="D529" s="18"/>
      <c r="E529" s="52" t="str">
        <f t="shared" ref="E529:J529" si="350">E527</f>
        <v/>
      </c>
      <c r="F529" s="52" t="str">
        <f t="shared" si="350"/>
        <v/>
      </c>
      <c r="G529" s="52" t="str">
        <f t="shared" si="350"/>
        <v/>
      </c>
      <c r="H529" s="52" t="str">
        <f t="shared" si="350"/>
        <v/>
      </c>
      <c r="I529" s="52" t="str">
        <f t="shared" si="350"/>
        <v/>
      </c>
      <c r="J529" s="52" t="str">
        <f t="shared" si="350"/>
        <v/>
      </c>
    </row>
    <row r="530" spans="2:10" x14ac:dyDescent="0.35">
      <c r="B530" s="18"/>
      <c r="C530" s="18"/>
      <c r="D530" s="18"/>
      <c r="E530" s="53" t="str">
        <f>IFERROR(IF(LEN(Kanban!C225)=0,"",Kanban!C225),"")</f>
        <v/>
      </c>
      <c r="F530" s="53" t="str">
        <f>IFERROR(IF(LEN(Kanban!D225)=0,"",Kanban!D225),"")</f>
        <v/>
      </c>
      <c r="G530" s="53" t="str">
        <f>IFERROR(IF(LEN(Kanban!E225)=0,"",Kanban!E225),"")</f>
        <v/>
      </c>
      <c r="H530" s="53" t="str">
        <f>IFERROR(IF(LEN(Kanban!F225)=0,"",Kanban!F225),"")</f>
        <v/>
      </c>
      <c r="I530" s="53" t="str">
        <f>IFERROR(IF(LEN(Kanban!G225)=0,"",Kanban!G225),"")</f>
        <v/>
      </c>
      <c r="J530" s="53" t="str">
        <f>IFERROR(IF(LEN(Kanban!H225)=0,"",Kanban!H225),"")</f>
        <v/>
      </c>
    </row>
    <row r="531" spans="2:10" x14ac:dyDescent="0.35">
      <c r="B531" s="18"/>
      <c r="C531" s="18"/>
      <c r="D531" s="18"/>
      <c r="E531" s="52" t="str">
        <f t="shared" ref="E531:J531" si="351">E530</f>
        <v/>
      </c>
      <c r="F531" s="52" t="str">
        <f t="shared" si="351"/>
        <v/>
      </c>
      <c r="G531" s="52" t="str">
        <f t="shared" si="351"/>
        <v/>
      </c>
      <c r="H531" s="52" t="str">
        <f t="shared" si="351"/>
        <v/>
      </c>
      <c r="I531" s="52" t="str">
        <f t="shared" si="351"/>
        <v/>
      </c>
      <c r="J531" s="52" t="str">
        <f t="shared" si="351"/>
        <v/>
      </c>
    </row>
    <row r="532" spans="2:10" x14ac:dyDescent="0.35">
      <c r="B532" s="18"/>
      <c r="C532" s="18"/>
      <c r="D532" s="18"/>
      <c r="E532" s="52" t="str">
        <f t="shared" ref="E532:J532" si="352">E530</f>
        <v/>
      </c>
      <c r="F532" s="52" t="str">
        <f t="shared" si="352"/>
        <v/>
      </c>
      <c r="G532" s="52" t="str">
        <f t="shared" si="352"/>
        <v/>
      </c>
      <c r="H532" s="52" t="str">
        <f t="shared" si="352"/>
        <v/>
      </c>
      <c r="I532" s="52" t="str">
        <f t="shared" si="352"/>
        <v/>
      </c>
      <c r="J532" s="52" t="str">
        <f t="shared" si="352"/>
        <v/>
      </c>
    </row>
    <row r="533" spans="2:10" x14ac:dyDescent="0.35">
      <c r="B533" s="18"/>
      <c r="C533" s="18"/>
      <c r="D533" s="18"/>
      <c r="E533" s="53" t="str">
        <f>IFERROR(IF(LEN(Kanban!C228)=0,"",Kanban!C228),"")</f>
        <v/>
      </c>
      <c r="F533" s="53" t="str">
        <f>IFERROR(IF(LEN(Kanban!D228)=0,"",Kanban!D228),"")</f>
        <v/>
      </c>
      <c r="G533" s="53" t="str">
        <f>IFERROR(IF(LEN(Kanban!E228)=0,"",Kanban!E228),"")</f>
        <v/>
      </c>
      <c r="H533" s="53" t="str">
        <f>IFERROR(IF(LEN(Kanban!F228)=0,"",Kanban!F228),"")</f>
        <v/>
      </c>
      <c r="I533" s="53" t="str">
        <f>IFERROR(IF(LEN(Kanban!G228)=0,"",Kanban!G228),"")</f>
        <v/>
      </c>
      <c r="J533" s="53" t="str">
        <f>IFERROR(IF(LEN(Kanban!H228)=0,"",Kanban!H228),"")</f>
        <v/>
      </c>
    </row>
    <row r="534" spans="2:10" x14ac:dyDescent="0.35">
      <c r="B534" s="18"/>
      <c r="C534" s="18"/>
      <c r="D534" s="18"/>
      <c r="E534" s="52" t="str">
        <f t="shared" ref="E534:J534" si="353">E533</f>
        <v/>
      </c>
      <c r="F534" s="52" t="str">
        <f t="shared" si="353"/>
        <v/>
      </c>
      <c r="G534" s="52" t="str">
        <f t="shared" si="353"/>
        <v/>
      </c>
      <c r="H534" s="52" t="str">
        <f t="shared" si="353"/>
        <v/>
      </c>
      <c r="I534" s="52" t="str">
        <f t="shared" si="353"/>
        <v/>
      </c>
      <c r="J534" s="52" t="str">
        <f t="shared" si="353"/>
        <v/>
      </c>
    </row>
    <row r="535" spans="2:10" x14ac:dyDescent="0.35">
      <c r="B535" s="18"/>
      <c r="C535" s="18"/>
      <c r="D535" s="18"/>
      <c r="E535" s="52" t="str">
        <f t="shared" ref="E535:J535" si="354">E533</f>
        <v/>
      </c>
      <c r="F535" s="52" t="str">
        <f t="shared" si="354"/>
        <v/>
      </c>
      <c r="G535" s="52" t="str">
        <f t="shared" si="354"/>
        <v/>
      </c>
      <c r="H535" s="52" t="str">
        <f t="shared" si="354"/>
        <v/>
      </c>
      <c r="I535" s="52" t="str">
        <f t="shared" si="354"/>
        <v/>
      </c>
      <c r="J535" s="52" t="str">
        <f t="shared" si="354"/>
        <v/>
      </c>
    </row>
    <row r="536" spans="2:10" x14ac:dyDescent="0.35">
      <c r="B536" s="18"/>
      <c r="C536" s="18"/>
      <c r="D536" s="18"/>
      <c r="E536" s="53" t="str">
        <f>IFERROR(IF(LEN(Kanban!C231)=0,"",Kanban!C231),"")</f>
        <v/>
      </c>
      <c r="F536" s="53" t="str">
        <f>IFERROR(IF(LEN(Kanban!D231)=0,"",Kanban!D231),"")</f>
        <v/>
      </c>
      <c r="G536" s="53" t="str">
        <f>IFERROR(IF(LEN(Kanban!E231)=0,"",Kanban!E231),"")</f>
        <v/>
      </c>
      <c r="H536" s="53" t="str">
        <f>IFERROR(IF(LEN(Kanban!F231)=0,"",Kanban!F231),"")</f>
        <v/>
      </c>
      <c r="I536" s="53" t="str">
        <f>IFERROR(IF(LEN(Kanban!G231)=0,"",Kanban!G231),"")</f>
        <v/>
      </c>
      <c r="J536" s="53" t="str">
        <f>IFERROR(IF(LEN(Kanban!H231)=0,"",Kanban!H231),"")</f>
        <v/>
      </c>
    </row>
    <row r="537" spans="2:10" x14ac:dyDescent="0.35">
      <c r="B537" s="18"/>
      <c r="C537" s="18"/>
      <c r="D537" s="18"/>
      <c r="E537" s="52" t="str">
        <f t="shared" ref="E537:J537" si="355">E536</f>
        <v/>
      </c>
      <c r="F537" s="52" t="str">
        <f t="shared" si="355"/>
        <v/>
      </c>
      <c r="G537" s="52" t="str">
        <f t="shared" si="355"/>
        <v/>
      </c>
      <c r="H537" s="52" t="str">
        <f t="shared" si="355"/>
        <v/>
      </c>
      <c r="I537" s="52" t="str">
        <f t="shared" si="355"/>
        <v/>
      </c>
      <c r="J537" s="52" t="str">
        <f t="shared" si="355"/>
        <v/>
      </c>
    </row>
    <row r="538" spans="2:10" x14ac:dyDescent="0.35">
      <c r="B538" s="18"/>
      <c r="C538" s="18"/>
      <c r="D538" s="18"/>
      <c r="E538" s="52" t="str">
        <f t="shared" ref="E538:J538" si="356">E536</f>
        <v/>
      </c>
      <c r="F538" s="52" t="str">
        <f t="shared" si="356"/>
        <v/>
      </c>
      <c r="G538" s="52" t="str">
        <f t="shared" si="356"/>
        <v/>
      </c>
      <c r="H538" s="52" t="str">
        <f t="shared" si="356"/>
        <v/>
      </c>
      <c r="I538" s="52" t="str">
        <f t="shared" si="356"/>
        <v/>
      </c>
      <c r="J538" s="52" t="str">
        <f t="shared" si="356"/>
        <v/>
      </c>
    </row>
    <row r="539" spans="2:10" x14ac:dyDescent="0.35">
      <c r="B539" s="18"/>
      <c r="C539" s="18"/>
      <c r="D539" s="18"/>
      <c r="E539" s="53" t="str">
        <f>IFERROR(IF(LEN(Kanban!C234)=0,"",Kanban!C234),"")</f>
        <v/>
      </c>
      <c r="F539" s="53" t="str">
        <f>IFERROR(IF(LEN(Kanban!D234)=0,"",Kanban!D234),"")</f>
        <v/>
      </c>
      <c r="G539" s="53" t="str">
        <f>IFERROR(IF(LEN(Kanban!E234)=0,"",Kanban!E234),"")</f>
        <v/>
      </c>
      <c r="H539" s="53" t="str">
        <f>IFERROR(IF(LEN(Kanban!F234)=0,"",Kanban!F234),"")</f>
        <v/>
      </c>
      <c r="I539" s="53" t="str">
        <f>IFERROR(IF(LEN(Kanban!G234)=0,"",Kanban!G234),"")</f>
        <v/>
      </c>
      <c r="J539" s="53" t="str">
        <f>IFERROR(IF(LEN(Kanban!H234)=0,"",Kanban!H234),"")</f>
        <v/>
      </c>
    </row>
    <row r="540" spans="2:10" x14ac:dyDescent="0.35">
      <c r="B540" s="18"/>
      <c r="C540" s="18"/>
      <c r="D540" s="18"/>
      <c r="E540" s="52" t="str">
        <f t="shared" ref="E540:J540" si="357">E539</f>
        <v/>
      </c>
      <c r="F540" s="52" t="str">
        <f t="shared" si="357"/>
        <v/>
      </c>
      <c r="G540" s="52" t="str">
        <f t="shared" si="357"/>
        <v/>
      </c>
      <c r="H540" s="52" t="str">
        <f t="shared" si="357"/>
        <v/>
      </c>
      <c r="I540" s="52" t="str">
        <f t="shared" si="357"/>
        <v/>
      </c>
      <c r="J540" s="52" t="str">
        <f t="shared" si="357"/>
        <v/>
      </c>
    </row>
    <row r="541" spans="2:10" x14ac:dyDescent="0.35">
      <c r="B541" s="18"/>
      <c r="C541" s="18"/>
      <c r="D541" s="18"/>
      <c r="E541" s="52" t="str">
        <f t="shared" ref="E541:J541" si="358">E539</f>
        <v/>
      </c>
      <c r="F541" s="52" t="str">
        <f t="shared" si="358"/>
        <v/>
      </c>
      <c r="G541" s="52" t="str">
        <f t="shared" si="358"/>
        <v/>
      </c>
      <c r="H541" s="52" t="str">
        <f t="shared" si="358"/>
        <v/>
      </c>
      <c r="I541" s="52" t="str">
        <f t="shared" si="358"/>
        <v/>
      </c>
      <c r="J541" s="52" t="str">
        <f t="shared" si="358"/>
        <v/>
      </c>
    </row>
    <row r="542" spans="2:10" x14ac:dyDescent="0.35">
      <c r="B542" s="18"/>
      <c r="C542" s="18"/>
      <c r="D542" s="18"/>
      <c r="E542" s="53" t="str">
        <f>IFERROR(IF(LEN(Kanban!C237)=0,"",Kanban!C237),"")</f>
        <v/>
      </c>
      <c r="F542" s="53" t="str">
        <f>IFERROR(IF(LEN(Kanban!D237)=0,"",Kanban!D237),"")</f>
        <v/>
      </c>
      <c r="G542" s="53" t="str">
        <f>IFERROR(IF(LEN(Kanban!E237)=0,"",Kanban!E237),"")</f>
        <v/>
      </c>
      <c r="H542" s="53" t="str">
        <f>IFERROR(IF(LEN(Kanban!F237)=0,"",Kanban!F237),"")</f>
        <v/>
      </c>
      <c r="I542" s="53" t="str">
        <f>IFERROR(IF(LEN(Kanban!G237)=0,"",Kanban!G237),"")</f>
        <v/>
      </c>
      <c r="J542" s="53" t="str">
        <f>IFERROR(IF(LEN(Kanban!H237)=0,"",Kanban!H237),"")</f>
        <v/>
      </c>
    </row>
    <row r="543" spans="2:10" x14ac:dyDescent="0.35">
      <c r="B543" s="18"/>
      <c r="C543" s="18"/>
      <c r="D543" s="18"/>
      <c r="E543" s="52" t="str">
        <f t="shared" ref="E543:J543" si="359">E542</f>
        <v/>
      </c>
      <c r="F543" s="52" t="str">
        <f t="shared" si="359"/>
        <v/>
      </c>
      <c r="G543" s="52" t="str">
        <f t="shared" si="359"/>
        <v/>
      </c>
      <c r="H543" s="52" t="str">
        <f t="shared" si="359"/>
        <v/>
      </c>
      <c r="I543" s="52" t="str">
        <f t="shared" si="359"/>
        <v/>
      </c>
      <c r="J543" s="52" t="str">
        <f t="shared" si="359"/>
        <v/>
      </c>
    </row>
    <row r="544" spans="2:10" x14ac:dyDescent="0.35">
      <c r="B544" s="18"/>
      <c r="C544" s="18"/>
      <c r="D544" s="18"/>
      <c r="E544" s="52" t="str">
        <f t="shared" ref="E544:J544" si="360">E542</f>
        <v/>
      </c>
      <c r="F544" s="52" t="str">
        <f t="shared" si="360"/>
        <v/>
      </c>
      <c r="G544" s="52" t="str">
        <f t="shared" si="360"/>
        <v/>
      </c>
      <c r="H544" s="52" t="str">
        <f t="shared" si="360"/>
        <v/>
      </c>
      <c r="I544" s="52" t="str">
        <f t="shared" si="360"/>
        <v/>
      </c>
      <c r="J544" s="52" t="str">
        <f t="shared" si="360"/>
        <v/>
      </c>
    </row>
    <row r="545" spans="2:10" x14ac:dyDescent="0.35">
      <c r="B545" s="18"/>
      <c r="C545" s="18"/>
      <c r="D545" s="18"/>
      <c r="E545" s="53" t="str">
        <f>IFERROR(IF(LEN(Kanban!C240)=0,"",Kanban!C240),"")</f>
        <v/>
      </c>
      <c r="F545" s="53" t="str">
        <f>IFERROR(IF(LEN(Kanban!D240)=0,"",Kanban!D240),"")</f>
        <v/>
      </c>
      <c r="G545" s="53" t="str">
        <f>IFERROR(IF(LEN(Kanban!E240)=0,"",Kanban!E240),"")</f>
        <v/>
      </c>
      <c r="H545" s="53" t="str">
        <f>IFERROR(IF(LEN(Kanban!F240)=0,"",Kanban!F240),"")</f>
        <v/>
      </c>
      <c r="I545" s="53" t="str">
        <f>IFERROR(IF(LEN(Kanban!G240)=0,"",Kanban!G240),"")</f>
        <v/>
      </c>
      <c r="J545" s="53" t="str">
        <f>IFERROR(IF(LEN(Kanban!H240)=0,"",Kanban!H240),"")</f>
        <v/>
      </c>
    </row>
    <row r="546" spans="2:10" x14ac:dyDescent="0.35">
      <c r="B546" s="18"/>
      <c r="C546" s="18"/>
      <c r="D546" s="18"/>
      <c r="E546" s="52" t="str">
        <f t="shared" ref="E546:J546" si="361">E545</f>
        <v/>
      </c>
      <c r="F546" s="52" t="str">
        <f t="shared" si="361"/>
        <v/>
      </c>
      <c r="G546" s="52" t="str">
        <f t="shared" si="361"/>
        <v/>
      </c>
      <c r="H546" s="52" t="str">
        <f t="shared" si="361"/>
        <v/>
      </c>
      <c r="I546" s="52" t="str">
        <f t="shared" si="361"/>
        <v/>
      </c>
      <c r="J546" s="52" t="str">
        <f t="shared" si="361"/>
        <v/>
      </c>
    </row>
    <row r="547" spans="2:10" x14ac:dyDescent="0.35">
      <c r="B547" s="18"/>
      <c r="C547" s="18"/>
      <c r="D547" s="18"/>
      <c r="E547" s="52" t="str">
        <f t="shared" ref="E547:J547" si="362">E545</f>
        <v/>
      </c>
      <c r="F547" s="52" t="str">
        <f t="shared" si="362"/>
        <v/>
      </c>
      <c r="G547" s="52" t="str">
        <f t="shared" si="362"/>
        <v/>
      </c>
      <c r="H547" s="52" t="str">
        <f t="shared" si="362"/>
        <v/>
      </c>
      <c r="I547" s="52" t="str">
        <f t="shared" si="362"/>
        <v/>
      </c>
      <c r="J547" s="52" t="str">
        <f t="shared" si="362"/>
        <v/>
      </c>
    </row>
    <row r="548" spans="2:10" x14ac:dyDescent="0.35">
      <c r="B548" s="18"/>
      <c r="C548" s="18"/>
      <c r="D548" s="18"/>
      <c r="E548" s="53" t="str">
        <f>IFERROR(IF(LEN(Kanban!C243)=0,"",Kanban!C243),"")</f>
        <v/>
      </c>
      <c r="F548" s="53" t="str">
        <f>IFERROR(IF(LEN(Kanban!D243)=0,"",Kanban!D243),"")</f>
        <v/>
      </c>
      <c r="G548" s="53" t="str">
        <f>IFERROR(IF(LEN(Kanban!E243)=0,"",Kanban!E243),"")</f>
        <v/>
      </c>
      <c r="H548" s="53" t="str">
        <f>IFERROR(IF(LEN(Kanban!F243)=0,"",Kanban!F243),"")</f>
        <v/>
      </c>
      <c r="I548" s="53" t="str">
        <f>IFERROR(IF(LEN(Kanban!G243)=0,"",Kanban!G243),"")</f>
        <v/>
      </c>
      <c r="J548" s="53" t="str">
        <f>IFERROR(IF(LEN(Kanban!H243)=0,"",Kanban!H243),"")</f>
        <v/>
      </c>
    </row>
    <row r="549" spans="2:10" x14ac:dyDescent="0.35">
      <c r="B549" s="18"/>
      <c r="C549" s="18"/>
      <c r="D549" s="18"/>
      <c r="E549" s="52" t="str">
        <f t="shared" ref="E549:J549" si="363">E548</f>
        <v/>
      </c>
      <c r="F549" s="52" t="str">
        <f t="shared" si="363"/>
        <v/>
      </c>
      <c r="G549" s="52" t="str">
        <f t="shared" si="363"/>
        <v/>
      </c>
      <c r="H549" s="52" t="str">
        <f t="shared" si="363"/>
        <v/>
      </c>
      <c r="I549" s="52" t="str">
        <f t="shared" si="363"/>
        <v/>
      </c>
      <c r="J549" s="52" t="str">
        <f t="shared" si="363"/>
        <v/>
      </c>
    </row>
    <row r="550" spans="2:10" x14ac:dyDescent="0.35">
      <c r="B550" s="18"/>
      <c r="C550" s="18"/>
      <c r="D550" s="18"/>
      <c r="E550" s="52" t="str">
        <f t="shared" ref="E550:J550" si="364">E548</f>
        <v/>
      </c>
      <c r="F550" s="52" t="str">
        <f t="shared" si="364"/>
        <v/>
      </c>
      <c r="G550" s="52" t="str">
        <f t="shared" si="364"/>
        <v/>
      </c>
      <c r="H550" s="52" t="str">
        <f t="shared" si="364"/>
        <v/>
      </c>
      <c r="I550" s="52" t="str">
        <f t="shared" si="364"/>
        <v/>
      </c>
      <c r="J550" s="52" t="str">
        <f t="shared" si="364"/>
        <v/>
      </c>
    </row>
    <row r="551" spans="2:10" x14ac:dyDescent="0.35">
      <c r="B551" s="18"/>
      <c r="C551" s="18"/>
      <c r="D551" s="18"/>
      <c r="E551" s="53" t="str">
        <f>IFERROR(IF(LEN(Kanban!C246)=0,"",Kanban!C246),"")</f>
        <v/>
      </c>
      <c r="F551" s="53" t="str">
        <f>IFERROR(IF(LEN(Kanban!D246)=0,"",Kanban!D246),"")</f>
        <v/>
      </c>
      <c r="G551" s="53" t="str">
        <f>IFERROR(IF(LEN(Kanban!E246)=0,"",Kanban!E246),"")</f>
        <v/>
      </c>
      <c r="H551" s="53" t="str">
        <f>IFERROR(IF(LEN(Kanban!F246)=0,"",Kanban!F246),"")</f>
        <v/>
      </c>
      <c r="I551" s="53" t="str">
        <f>IFERROR(IF(LEN(Kanban!G246)=0,"",Kanban!G246),"")</f>
        <v/>
      </c>
      <c r="J551" s="53" t="str">
        <f>IFERROR(IF(LEN(Kanban!H246)=0,"",Kanban!H246),"")</f>
        <v/>
      </c>
    </row>
    <row r="552" spans="2:10" x14ac:dyDescent="0.35">
      <c r="B552" s="18"/>
      <c r="C552" s="18"/>
      <c r="D552" s="18"/>
      <c r="E552" s="52" t="str">
        <f t="shared" ref="E552:J552" si="365">E551</f>
        <v/>
      </c>
      <c r="F552" s="52" t="str">
        <f t="shared" si="365"/>
        <v/>
      </c>
      <c r="G552" s="52" t="str">
        <f t="shared" si="365"/>
        <v/>
      </c>
      <c r="H552" s="52" t="str">
        <f t="shared" si="365"/>
        <v/>
      </c>
      <c r="I552" s="52" t="str">
        <f t="shared" si="365"/>
        <v/>
      </c>
      <c r="J552" s="52" t="str">
        <f t="shared" si="365"/>
        <v/>
      </c>
    </row>
    <row r="553" spans="2:10" x14ac:dyDescent="0.35">
      <c r="B553" s="18"/>
      <c r="C553" s="18"/>
      <c r="D553" s="18"/>
      <c r="E553" s="52" t="str">
        <f t="shared" ref="E553:J553" si="366">E551</f>
        <v/>
      </c>
      <c r="F553" s="52" t="str">
        <f t="shared" si="366"/>
        <v/>
      </c>
      <c r="G553" s="52" t="str">
        <f t="shared" si="366"/>
        <v/>
      </c>
      <c r="H553" s="52" t="str">
        <f t="shared" si="366"/>
        <v/>
      </c>
      <c r="I553" s="52" t="str">
        <f t="shared" si="366"/>
        <v/>
      </c>
      <c r="J553" s="52" t="str">
        <f t="shared" si="366"/>
        <v/>
      </c>
    </row>
    <row r="554" spans="2:10" x14ac:dyDescent="0.35">
      <c r="B554" s="18"/>
      <c r="C554" s="18"/>
      <c r="D554" s="18"/>
      <c r="E554" s="53" t="str">
        <f>IFERROR(IF(LEN(Kanban!C249)=0,"",Kanban!C249),"")</f>
        <v/>
      </c>
      <c r="F554" s="53" t="str">
        <f>IFERROR(IF(LEN(Kanban!D249)=0,"",Kanban!D249),"")</f>
        <v/>
      </c>
      <c r="G554" s="53" t="str">
        <f>IFERROR(IF(LEN(Kanban!E249)=0,"",Kanban!E249),"")</f>
        <v/>
      </c>
      <c r="H554" s="53" t="str">
        <f>IFERROR(IF(LEN(Kanban!F249)=0,"",Kanban!F249),"")</f>
        <v/>
      </c>
      <c r="I554" s="53" t="str">
        <f>IFERROR(IF(LEN(Kanban!G249)=0,"",Kanban!G249),"")</f>
        <v/>
      </c>
      <c r="J554" s="53" t="str">
        <f>IFERROR(IF(LEN(Kanban!H249)=0,"",Kanban!H249),"")</f>
        <v/>
      </c>
    </row>
    <row r="555" spans="2:10" x14ac:dyDescent="0.35">
      <c r="B555" s="18"/>
      <c r="C555" s="18"/>
      <c r="D555" s="18"/>
      <c r="E555" s="52" t="str">
        <f t="shared" ref="E555:J555" si="367">E554</f>
        <v/>
      </c>
      <c r="F555" s="52" t="str">
        <f t="shared" si="367"/>
        <v/>
      </c>
      <c r="G555" s="52" t="str">
        <f t="shared" si="367"/>
        <v/>
      </c>
      <c r="H555" s="52" t="str">
        <f t="shared" si="367"/>
        <v/>
      </c>
      <c r="I555" s="52" t="str">
        <f t="shared" si="367"/>
        <v/>
      </c>
      <c r="J555" s="52" t="str">
        <f t="shared" si="367"/>
        <v/>
      </c>
    </row>
    <row r="556" spans="2:10" x14ac:dyDescent="0.35">
      <c r="B556" s="18"/>
      <c r="C556" s="18"/>
      <c r="D556" s="18"/>
      <c r="E556" s="52" t="str">
        <f t="shared" ref="E556:J556" si="368">E554</f>
        <v/>
      </c>
      <c r="F556" s="52" t="str">
        <f t="shared" si="368"/>
        <v/>
      </c>
      <c r="G556" s="52" t="str">
        <f t="shared" si="368"/>
        <v/>
      </c>
      <c r="H556" s="52" t="str">
        <f t="shared" si="368"/>
        <v/>
      </c>
      <c r="I556" s="52" t="str">
        <f t="shared" si="368"/>
        <v/>
      </c>
      <c r="J556" s="52" t="str">
        <f t="shared" si="368"/>
        <v/>
      </c>
    </row>
    <row r="557" spans="2:10" x14ac:dyDescent="0.35">
      <c r="B557" s="18"/>
      <c r="C557" s="18"/>
      <c r="D557" s="18"/>
      <c r="E557" s="53" t="str">
        <f>IFERROR(IF(LEN(Kanban!C252)=0,"",Kanban!C252),"")</f>
        <v/>
      </c>
      <c r="F557" s="53" t="str">
        <f>IFERROR(IF(LEN(Kanban!D252)=0,"",Kanban!D252),"")</f>
        <v/>
      </c>
      <c r="G557" s="53" t="str">
        <f>IFERROR(IF(LEN(Kanban!E252)=0,"",Kanban!E252),"")</f>
        <v/>
      </c>
      <c r="H557" s="53" t="str">
        <f>IFERROR(IF(LEN(Kanban!F252)=0,"",Kanban!F252),"")</f>
        <v/>
      </c>
      <c r="I557" s="53" t="str">
        <f>IFERROR(IF(LEN(Kanban!G252)=0,"",Kanban!G252),"")</f>
        <v/>
      </c>
      <c r="J557" s="53" t="str">
        <f>IFERROR(IF(LEN(Kanban!H252)=0,"",Kanban!H252),"")</f>
        <v/>
      </c>
    </row>
    <row r="558" spans="2:10" x14ac:dyDescent="0.35">
      <c r="B558" s="18"/>
      <c r="C558" s="18"/>
      <c r="D558" s="18"/>
      <c r="E558" s="52" t="str">
        <f t="shared" ref="E558:J558" si="369">E557</f>
        <v/>
      </c>
      <c r="F558" s="52" t="str">
        <f t="shared" si="369"/>
        <v/>
      </c>
      <c r="G558" s="52" t="str">
        <f t="shared" si="369"/>
        <v/>
      </c>
      <c r="H558" s="52" t="str">
        <f t="shared" si="369"/>
        <v/>
      </c>
      <c r="I558" s="52" t="str">
        <f t="shared" si="369"/>
        <v/>
      </c>
      <c r="J558" s="52" t="str">
        <f t="shared" si="369"/>
        <v/>
      </c>
    </row>
    <row r="559" spans="2:10" x14ac:dyDescent="0.35">
      <c r="B559" s="18"/>
      <c r="C559" s="18"/>
      <c r="D559" s="18"/>
      <c r="E559" s="52" t="str">
        <f t="shared" ref="E559:J559" si="370">E557</f>
        <v/>
      </c>
      <c r="F559" s="52" t="str">
        <f t="shared" si="370"/>
        <v/>
      </c>
      <c r="G559" s="52" t="str">
        <f t="shared" si="370"/>
        <v/>
      </c>
      <c r="H559" s="52" t="str">
        <f t="shared" si="370"/>
        <v/>
      </c>
      <c r="I559" s="52" t="str">
        <f t="shared" si="370"/>
        <v/>
      </c>
      <c r="J559" s="52" t="str">
        <f t="shared" si="370"/>
        <v/>
      </c>
    </row>
    <row r="560" spans="2:10" x14ac:dyDescent="0.35">
      <c r="B560" s="18"/>
      <c r="C560" s="18"/>
      <c r="D560" s="18"/>
      <c r="E560" s="53" t="str">
        <f>IFERROR(IF(LEN(Kanban!C255)=0,"",Kanban!C255),"")</f>
        <v/>
      </c>
      <c r="F560" s="53" t="str">
        <f>IFERROR(IF(LEN(Kanban!D255)=0,"",Kanban!D255),"")</f>
        <v/>
      </c>
      <c r="G560" s="53" t="str">
        <f>IFERROR(IF(LEN(Kanban!E255)=0,"",Kanban!E255),"")</f>
        <v/>
      </c>
      <c r="H560" s="53" t="str">
        <f>IFERROR(IF(LEN(Kanban!F255)=0,"",Kanban!F255),"")</f>
        <v/>
      </c>
      <c r="I560" s="53" t="str">
        <f>IFERROR(IF(LEN(Kanban!G255)=0,"",Kanban!G255),"")</f>
        <v/>
      </c>
      <c r="J560" s="53" t="str">
        <f>IFERROR(IF(LEN(Kanban!H255)=0,"",Kanban!H255),"")</f>
        <v/>
      </c>
    </row>
    <row r="561" spans="2:10" x14ac:dyDescent="0.35">
      <c r="B561" s="18"/>
      <c r="C561" s="18"/>
      <c r="D561" s="18"/>
      <c r="E561" s="52" t="str">
        <f t="shared" ref="E561:J561" si="371">E560</f>
        <v/>
      </c>
      <c r="F561" s="52" t="str">
        <f t="shared" si="371"/>
        <v/>
      </c>
      <c r="G561" s="52" t="str">
        <f t="shared" si="371"/>
        <v/>
      </c>
      <c r="H561" s="52" t="str">
        <f t="shared" si="371"/>
        <v/>
      </c>
      <c r="I561" s="52" t="str">
        <f t="shared" si="371"/>
        <v/>
      </c>
      <c r="J561" s="52" t="str">
        <f t="shared" si="371"/>
        <v/>
      </c>
    </row>
    <row r="562" spans="2:10" x14ac:dyDescent="0.35">
      <c r="B562" s="18"/>
      <c r="C562" s="18"/>
      <c r="D562" s="18"/>
      <c r="E562" s="52" t="str">
        <f t="shared" ref="E562:J562" si="372">E560</f>
        <v/>
      </c>
      <c r="F562" s="52" t="str">
        <f t="shared" si="372"/>
        <v/>
      </c>
      <c r="G562" s="52" t="str">
        <f t="shared" si="372"/>
        <v/>
      </c>
      <c r="H562" s="52" t="str">
        <f t="shared" si="372"/>
        <v/>
      </c>
      <c r="I562" s="52" t="str">
        <f t="shared" si="372"/>
        <v/>
      </c>
      <c r="J562" s="52" t="str">
        <f t="shared" si="372"/>
        <v/>
      </c>
    </row>
    <row r="563" spans="2:10" x14ac:dyDescent="0.35">
      <c r="B563" s="18"/>
      <c r="C563" s="18"/>
      <c r="D563" s="18"/>
      <c r="E563" s="53" t="str">
        <f>IFERROR(IF(LEN(Kanban!C258)=0,"",Kanban!C258),"")</f>
        <v/>
      </c>
      <c r="F563" s="53" t="str">
        <f>IFERROR(IF(LEN(Kanban!D258)=0,"",Kanban!D258),"")</f>
        <v/>
      </c>
      <c r="G563" s="53" t="str">
        <f>IFERROR(IF(LEN(Kanban!E258)=0,"",Kanban!E258),"")</f>
        <v/>
      </c>
      <c r="H563" s="53" t="str">
        <f>IFERROR(IF(LEN(Kanban!F258)=0,"",Kanban!F258),"")</f>
        <v/>
      </c>
      <c r="I563" s="53" t="str">
        <f>IFERROR(IF(LEN(Kanban!G258)=0,"",Kanban!G258),"")</f>
        <v/>
      </c>
      <c r="J563" s="53" t="str">
        <f>IFERROR(IF(LEN(Kanban!H258)=0,"",Kanban!H258),"")</f>
        <v/>
      </c>
    </row>
    <row r="564" spans="2:10" x14ac:dyDescent="0.35">
      <c r="B564" s="18"/>
      <c r="C564" s="18"/>
      <c r="D564" s="18"/>
      <c r="E564" s="52" t="str">
        <f t="shared" ref="E564:J564" si="373">E563</f>
        <v/>
      </c>
      <c r="F564" s="52" t="str">
        <f t="shared" si="373"/>
        <v/>
      </c>
      <c r="G564" s="52" t="str">
        <f t="shared" si="373"/>
        <v/>
      </c>
      <c r="H564" s="52" t="str">
        <f t="shared" si="373"/>
        <v/>
      </c>
      <c r="I564" s="52" t="str">
        <f t="shared" si="373"/>
        <v/>
      </c>
      <c r="J564" s="52" t="str">
        <f t="shared" si="373"/>
        <v/>
      </c>
    </row>
    <row r="565" spans="2:10" x14ac:dyDescent="0.35">
      <c r="B565" s="18"/>
      <c r="C565" s="18"/>
      <c r="D565" s="18"/>
      <c r="E565" s="52" t="str">
        <f t="shared" ref="E565:J565" si="374">E563</f>
        <v/>
      </c>
      <c r="F565" s="52" t="str">
        <f t="shared" si="374"/>
        <v/>
      </c>
      <c r="G565" s="52" t="str">
        <f t="shared" si="374"/>
        <v/>
      </c>
      <c r="H565" s="52" t="str">
        <f t="shared" si="374"/>
        <v/>
      </c>
      <c r="I565" s="52" t="str">
        <f t="shared" si="374"/>
        <v/>
      </c>
      <c r="J565" s="52" t="str">
        <f t="shared" si="374"/>
        <v/>
      </c>
    </row>
    <row r="566" spans="2:10" x14ac:dyDescent="0.35">
      <c r="B566" s="18"/>
      <c r="C566" s="18"/>
      <c r="D566" s="18"/>
      <c r="E566" s="53" t="str">
        <f>IFERROR(IF(LEN(Kanban!C261)=0,"",Kanban!C261),"")</f>
        <v/>
      </c>
      <c r="F566" s="53" t="str">
        <f>IFERROR(IF(LEN(Kanban!D261)=0,"",Kanban!D261),"")</f>
        <v/>
      </c>
      <c r="G566" s="53" t="str">
        <f>IFERROR(IF(LEN(Kanban!E261)=0,"",Kanban!E261),"")</f>
        <v/>
      </c>
      <c r="H566" s="53" t="str">
        <f>IFERROR(IF(LEN(Kanban!F261)=0,"",Kanban!F261),"")</f>
        <v/>
      </c>
      <c r="I566" s="53" t="str">
        <f>IFERROR(IF(LEN(Kanban!G261)=0,"",Kanban!G261),"")</f>
        <v/>
      </c>
      <c r="J566" s="53" t="str">
        <f>IFERROR(IF(LEN(Kanban!H261)=0,"",Kanban!H261),"")</f>
        <v/>
      </c>
    </row>
    <row r="567" spans="2:10" x14ac:dyDescent="0.35">
      <c r="B567" s="18"/>
      <c r="C567" s="18"/>
      <c r="D567" s="18"/>
      <c r="E567" s="52" t="str">
        <f t="shared" ref="E567:J567" si="375">E566</f>
        <v/>
      </c>
      <c r="F567" s="52" t="str">
        <f t="shared" si="375"/>
        <v/>
      </c>
      <c r="G567" s="52" t="str">
        <f t="shared" si="375"/>
        <v/>
      </c>
      <c r="H567" s="52" t="str">
        <f t="shared" si="375"/>
        <v/>
      </c>
      <c r="I567" s="52" t="str">
        <f t="shared" si="375"/>
        <v/>
      </c>
      <c r="J567" s="52" t="str">
        <f t="shared" si="375"/>
        <v/>
      </c>
    </row>
    <row r="568" spans="2:10" x14ac:dyDescent="0.35">
      <c r="B568" s="18"/>
      <c r="C568" s="18"/>
      <c r="D568" s="18"/>
      <c r="E568" s="52" t="str">
        <f t="shared" ref="E568:J568" si="376">E566</f>
        <v/>
      </c>
      <c r="F568" s="52" t="str">
        <f t="shared" si="376"/>
        <v/>
      </c>
      <c r="G568" s="52" t="str">
        <f t="shared" si="376"/>
        <v/>
      </c>
      <c r="H568" s="52" t="str">
        <f t="shared" si="376"/>
        <v/>
      </c>
      <c r="I568" s="52" t="str">
        <f t="shared" si="376"/>
        <v/>
      </c>
      <c r="J568" s="52" t="str">
        <f t="shared" si="376"/>
        <v/>
      </c>
    </row>
    <row r="569" spans="2:10" x14ac:dyDescent="0.35">
      <c r="B569" s="18"/>
      <c r="C569" s="18"/>
      <c r="D569" s="18"/>
      <c r="E569" s="53" t="str">
        <f>IFERROR(IF(LEN(Kanban!C264)=0,"",Kanban!C264),"")</f>
        <v/>
      </c>
      <c r="F569" s="53" t="str">
        <f>IFERROR(IF(LEN(Kanban!D264)=0,"",Kanban!D264),"")</f>
        <v/>
      </c>
      <c r="G569" s="53" t="str">
        <f>IFERROR(IF(LEN(Kanban!E264)=0,"",Kanban!E264),"")</f>
        <v/>
      </c>
      <c r="H569" s="53" t="str">
        <f>IFERROR(IF(LEN(Kanban!F264)=0,"",Kanban!F264),"")</f>
        <v/>
      </c>
      <c r="I569" s="53" t="str">
        <f>IFERROR(IF(LEN(Kanban!G264)=0,"",Kanban!G264),"")</f>
        <v/>
      </c>
      <c r="J569" s="53" t="str">
        <f>IFERROR(IF(LEN(Kanban!H264)=0,"",Kanban!H264),"")</f>
        <v/>
      </c>
    </row>
    <row r="570" spans="2:10" x14ac:dyDescent="0.35">
      <c r="B570" s="18"/>
      <c r="C570" s="18"/>
      <c r="D570" s="18"/>
      <c r="E570" s="52" t="str">
        <f t="shared" ref="E570:J570" si="377">E569</f>
        <v/>
      </c>
      <c r="F570" s="52" t="str">
        <f t="shared" si="377"/>
        <v/>
      </c>
      <c r="G570" s="52" t="str">
        <f t="shared" si="377"/>
        <v/>
      </c>
      <c r="H570" s="52" t="str">
        <f t="shared" si="377"/>
        <v/>
      </c>
      <c r="I570" s="52" t="str">
        <f t="shared" si="377"/>
        <v/>
      </c>
      <c r="J570" s="52" t="str">
        <f t="shared" si="377"/>
        <v/>
      </c>
    </row>
    <row r="571" spans="2:10" x14ac:dyDescent="0.35">
      <c r="B571" s="18"/>
      <c r="C571" s="18"/>
      <c r="D571" s="18"/>
      <c r="E571" s="52" t="str">
        <f t="shared" ref="E571:J571" si="378">E569</f>
        <v/>
      </c>
      <c r="F571" s="52" t="str">
        <f t="shared" si="378"/>
        <v/>
      </c>
      <c r="G571" s="52" t="str">
        <f t="shared" si="378"/>
        <v/>
      </c>
      <c r="H571" s="52" t="str">
        <f t="shared" si="378"/>
        <v/>
      </c>
      <c r="I571" s="52" t="str">
        <f t="shared" si="378"/>
        <v/>
      </c>
      <c r="J571" s="52" t="str">
        <f t="shared" si="378"/>
        <v/>
      </c>
    </row>
    <row r="572" spans="2:10" x14ac:dyDescent="0.35">
      <c r="B572" s="18"/>
      <c r="C572" s="18"/>
      <c r="D572" s="18"/>
      <c r="E572" s="53" t="str">
        <f>IFERROR(IF(LEN(Kanban!C267)=0,"",Kanban!C267),"")</f>
        <v/>
      </c>
      <c r="F572" s="53" t="str">
        <f>IFERROR(IF(LEN(Kanban!D267)=0,"",Kanban!D267),"")</f>
        <v/>
      </c>
      <c r="G572" s="53" t="str">
        <f>IFERROR(IF(LEN(Kanban!E267)=0,"",Kanban!E267),"")</f>
        <v/>
      </c>
      <c r="H572" s="53" t="str">
        <f>IFERROR(IF(LEN(Kanban!F267)=0,"",Kanban!F267),"")</f>
        <v/>
      </c>
      <c r="I572" s="53" t="str">
        <f>IFERROR(IF(LEN(Kanban!G267)=0,"",Kanban!G267),"")</f>
        <v/>
      </c>
      <c r="J572" s="53" t="str">
        <f>IFERROR(IF(LEN(Kanban!H267)=0,"",Kanban!H267),"")</f>
        <v/>
      </c>
    </row>
    <row r="573" spans="2:10" x14ac:dyDescent="0.35">
      <c r="B573" s="18"/>
      <c r="C573" s="18"/>
      <c r="D573" s="18"/>
      <c r="E573" s="52" t="str">
        <f t="shared" ref="E573:J573" si="379">E572</f>
        <v/>
      </c>
      <c r="F573" s="52" t="str">
        <f t="shared" si="379"/>
        <v/>
      </c>
      <c r="G573" s="52" t="str">
        <f t="shared" si="379"/>
        <v/>
      </c>
      <c r="H573" s="52" t="str">
        <f t="shared" si="379"/>
        <v/>
      </c>
      <c r="I573" s="52" t="str">
        <f t="shared" si="379"/>
        <v/>
      </c>
      <c r="J573" s="52" t="str">
        <f t="shared" si="379"/>
        <v/>
      </c>
    </row>
    <row r="574" spans="2:10" x14ac:dyDescent="0.35">
      <c r="B574" s="18"/>
      <c r="C574" s="18"/>
      <c r="D574" s="18"/>
      <c r="E574" s="52" t="str">
        <f t="shared" ref="E574:J574" si="380">E572</f>
        <v/>
      </c>
      <c r="F574" s="52" t="str">
        <f t="shared" si="380"/>
        <v/>
      </c>
      <c r="G574" s="52" t="str">
        <f t="shared" si="380"/>
        <v/>
      </c>
      <c r="H574" s="52" t="str">
        <f t="shared" si="380"/>
        <v/>
      </c>
      <c r="I574" s="52" t="str">
        <f t="shared" si="380"/>
        <v/>
      </c>
      <c r="J574" s="52" t="str">
        <f t="shared" si="380"/>
        <v/>
      </c>
    </row>
    <row r="575" spans="2:10" x14ac:dyDescent="0.35">
      <c r="B575" s="18"/>
      <c r="C575" s="18"/>
      <c r="D575" s="18"/>
      <c r="E575" s="53" t="str">
        <f>IFERROR(IF(LEN(Kanban!C270)=0,"",Kanban!C270),"")</f>
        <v/>
      </c>
      <c r="F575" s="53" t="str">
        <f>IFERROR(IF(LEN(Kanban!D270)=0,"",Kanban!D270),"")</f>
        <v/>
      </c>
      <c r="G575" s="53" t="str">
        <f>IFERROR(IF(LEN(Kanban!E270)=0,"",Kanban!E270),"")</f>
        <v/>
      </c>
      <c r="H575" s="53" t="str">
        <f>IFERROR(IF(LEN(Kanban!F270)=0,"",Kanban!F270),"")</f>
        <v/>
      </c>
      <c r="I575" s="53" t="str">
        <f>IFERROR(IF(LEN(Kanban!G270)=0,"",Kanban!G270),"")</f>
        <v/>
      </c>
      <c r="J575" s="53" t="str">
        <f>IFERROR(IF(LEN(Kanban!H270)=0,"",Kanban!H270),"")</f>
        <v/>
      </c>
    </row>
    <row r="576" spans="2:10" x14ac:dyDescent="0.35">
      <c r="B576" s="18"/>
      <c r="C576" s="18"/>
      <c r="D576" s="18"/>
      <c r="E576" s="52" t="str">
        <f t="shared" ref="E576:J576" si="381">E575</f>
        <v/>
      </c>
      <c r="F576" s="52" t="str">
        <f t="shared" si="381"/>
        <v/>
      </c>
      <c r="G576" s="52" t="str">
        <f t="shared" si="381"/>
        <v/>
      </c>
      <c r="H576" s="52" t="str">
        <f t="shared" si="381"/>
        <v/>
      </c>
      <c r="I576" s="52" t="str">
        <f t="shared" si="381"/>
        <v/>
      </c>
      <c r="J576" s="52" t="str">
        <f t="shared" si="381"/>
        <v/>
      </c>
    </row>
    <row r="577" spans="2:10" x14ac:dyDescent="0.35">
      <c r="B577" s="18"/>
      <c r="C577" s="18"/>
      <c r="D577" s="18"/>
      <c r="E577" s="52" t="str">
        <f t="shared" ref="E577:J577" si="382">E575</f>
        <v/>
      </c>
      <c r="F577" s="52" t="str">
        <f t="shared" si="382"/>
        <v/>
      </c>
      <c r="G577" s="52" t="str">
        <f t="shared" si="382"/>
        <v/>
      </c>
      <c r="H577" s="52" t="str">
        <f t="shared" si="382"/>
        <v/>
      </c>
      <c r="I577" s="52" t="str">
        <f t="shared" si="382"/>
        <v/>
      </c>
      <c r="J577" s="52" t="str">
        <f t="shared" si="382"/>
        <v/>
      </c>
    </row>
    <row r="578" spans="2:10" x14ac:dyDescent="0.35">
      <c r="B578" s="18"/>
      <c r="C578" s="18"/>
      <c r="D578" s="18"/>
      <c r="E578" s="53" t="str">
        <f>IFERROR(IF(LEN(Kanban!C273)=0,"",Kanban!C273),"")</f>
        <v/>
      </c>
      <c r="F578" s="53" t="str">
        <f>IFERROR(IF(LEN(Kanban!D273)=0,"",Kanban!D273),"")</f>
        <v/>
      </c>
      <c r="G578" s="53" t="str">
        <f>IFERROR(IF(LEN(Kanban!E273)=0,"",Kanban!E273),"")</f>
        <v/>
      </c>
      <c r="H578" s="53" t="str">
        <f>IFERROR(IF(LEN(Kanban!F273)=0,"",Kanban!F273),"")</f>
        <v/>
      </c>
      <c r="I578" s="53" t="str">
        <f>IFERROR(IF(LEN(Kanban!G273)=0,"",Kanban!G273),"")</f>
        <v/>
      </c>
      <c r="J578" s="53" t="str">
        <f>IFERROR(IF(LEN(Kanban!H273)=0,"",Kanban!H273),"")</f>
        <v/>
      </c>
    </row>
    <row r="579" spans="2:10" x14ac:dyDescent="0.35">
      <c r="B579" s="18"/>
      <c r="C579" s="18"/>
      <c r="D579" s="18"/>
      <c r="E579" s="52" t="str">
        <f t="shared" ref="E579:J579" si="383">E578</f>
        <v/>
      </c>
      <c r="F579" s="52" t="str">
        <f t="shared" si="383"/>
        <v/>
      </c>
      <c r="G579" s="52" t="str">
        <f t="shared" si="383"/>
        <v/>
      </c>
      <c r="H579" s="52" t="str">
        <f t="shared" si="383"/>
        <v/>
      </c>
      <c r="I579" s="52" t="str">
        <f t="shared" si="383"/>
        <v/>
      </c>
      <c r="J579" s="52" t="str">
        <f t="shared" si="383"/>
        <v/>
      </c>
    </row>
    <row r="580" spans="2:10" x14ac:dyDescent="0.35">
      <c r="B580" s="18"/>
      <c r="C580" s="18"/>
      <c r="D580" s="18"/>
      <c r="E580" s="52" t="str">
        <f t="shared" ref="E580:J580" si="384">E578</f>
        <v/>
      </c>
      <c r="F580" s="52" t="str">
        <f t="shared" si="384"/>
        <v/>
      </c>
      <c r="G580" s="52" t="str">
        <f t="shared" si="384"/>
        <v/>
      </c>
      <c r="H580" s="52" t="str">
        <f t="shared" si="384"/>
        <v/>
      </c>
      <c r="I580" s="52" t="str">
        <f t="shared" si="384"/>
        <v/>
      </c>
      <c r="J580" s="52" t="str">
        <f t="shared" si="384"/>
        <v/>
      </c>
    </row>
    <row r="581" spans="2:10" x14ac:dyDescent="0.35">
      <c r="B581" s="18"/>
      <c r="C581" s="18"/>
      <c r="D581" s="18"/>
      <c r="E581" s="53" t="str">
        <f>IFERROR(IF(LEN(Kanban!C276)=0,"",Kanban!C276),"")</f>
        <v/>
      </c>
      <c r="F581" s="53" t="str">
        <f>IFERROR(IF(LEN(Kanban!D276)=0,"",Kanban!D276),"")</f>
        <v/>
      </c>
      <c r="G581" s="53" t="str">
        <f>IFERROR(IF(LEN(Kanban!E276)=0,"",Kanban!E276),"")</f>
        <v/>
      </c>
      <c r="H581" s="53" t="str">
        <f>IFERROR(IF(LEN(Kanban!F276)=0,"",Kanban!F276),"")</f>
        <v/>
      </c>
      <c r="I581" s="53" t="str">
        <f>IFERROR(IF(LEN(Kanban!G276)=0,"",Kanban!G276),"")</f>
        <v/>
      </c>
      <c r="J581" s="53" t="str">
        <f>IFERROR(IF(LEN(Kanban!H276)=0,"",Kanban!H276),"")</f>
        <v/>
      </c>
    </row>
    <row r="582" spans="2:10" x14ac:dyDescent="0.35">
      <c r="B582" s="18"/>
      <c r="C582" s="18"/>
      <c r="D582" s="18"/>
      <c r="E582" s="52" t="str">
        <f t="shared" ref="E582:J582" si="385">E581</f>
        <v/>
      </c>
      <c r="F582" s="52" t="str">
        <f t="shared" si="385"/>
        <v/>
      </c>
      <c r="G582" s="52" t="str">
        <f t="shared" si="385"/>
        <v/>
      </c>
      <c r="H582" s="52" t="str">
        <f t="shared" si="385"/>
        <v/>
      </c>
      <c r="I582" s="52" t="str">
        <f t="shared" si="385"/>
        <v/>
      </c>
      <c r="J582" s="52" t="str">
        <f t="shared" si="385"/>
        <v/>
      </c>
    </row>
    <row r="583" spans="2:10" x14ac:dyDescent="0.35">
      <c r="B583" s="18"/>
      <c r="C583" s="18"/>
      <c r="D583" s="18"/>
      <c r="E583" s="52" t="str">
        <f t="shared" ref="E583:J583" si="386">E581</f>
        <v/>
      </c>
      <c r="F583" s="52" t="str">
        <f t="shared" si="386"/>
        <v/>
      </c>
      <c r="G583" s="52" t="str">
        <f t="shared" si="386"/>
        <v/>
      </c>
      <c r="H583" s="52" t="str">
        <f t="shared" si="386"/>
        <v/>
      </c>
      <c r="I583" s="52" t="str">
        <f t="shared" si="386"/>
        <v/>
      </c>
      <c r="J583" s="52" t="str">
        <f t="shared" si="386"/>
        <v/>
      </c>
    </row>
    <row r="584" spans="2:10" x14ac:dyDescent="0.35">
      <c r="B584" s="18"/>
      <c r="C584" s="18"/>
      <c r="D584" s="18"/>
      <c r="E584" s="53" t="str">
        <f>IFERROR(IF(LEN(Kanban!C279)=0,"",Kanban!C279),"")</f>
        <v/>
      </c>
      <c r="F584" s="53" t="str">
        <f>IFERROR(IF(LEN(Kanban!D279)=0,"",Kanban!D279),"")</f>
        <v/>
      </c>
      <c r="G584" s="53" t="str">
        <f>IFERROR(IF(LEN(Kanban!E279)=0,"",Kanban!E279),"")</f>
        <v/>
      </c>
      <c r="H584" s="53" t="str">
        <f>IFERROR(IF(LEN(Kanban!F279)=0,"",Kanban!F279),"")</f>
        <v/>
      </c>
      <c r="I584" s="53" t="str">
        <f>IFERROR(IF(LEN(Kanban!G279)=0,"",Kanban!G279),"")</f>
        <v/>
      </c>
      <c r="J584" s="53" t="str">
        <f>IFERROR(IF(LEN(Kanban!H279)=0,"",Kanban!H279),"")</f>
        <v/>
      </c>
    </row>
    <row r="585" spans="2:10" x14ac:dyDescent="0.35">
      <c r="B585" s="18"/>
      <c r="C585" s="18"/>
      <c r="D585" s="18"/>
      <c r="E585" s="52" t="str">
        <f t="shared" ref="E585:J585" si="387">E584</f>
        <v/>
      </c>
      <c r="F585" s="52" t="str">
        <f t="shared" si="387"/>
        <v/>
      </c>
      <c r="G585" s="52" t="str">
        <f t="shared" si="387"/>
        <v/>
      </c>
      <c r="H585" s="52" t="str">
        <f t="shared" si="387"/>
        <v/>
      </c>
      <c r="I585" s="52" t="str">
        <f t="shared" si="387"/>
        <v/>
      </c>
      <c r="J585" s="52" t="str">
        <f t="shared" si="387"/>
        <v/>
      </c>
    </row>
    <row r="586" spans="2:10" x14ac:dyDescent="0.35">
      <c r="B586" s="18"/>
      <c r="C586" s="18"/>
      <c r="D586" s="18"/>
      <c r="E586" s="52" t="str">
        <f t="shared" ref="E586:J586" si="388">E584</f>
        <v/>
      </c>
      <c r="F586" s="52" t="str">
        <f t="shared" si="388"/>
        <v/>
      </c>
      <c r="G586" s="52" t="str">
        <f t="shared" si="388"/>
        <v/>
      </c>
      <c r="H586" s="52" t="str">
        <f t="shared" si="388"/>
        <v/>
      </c>
      <c r="I586" s="52" t="str">
        <f t="shared" si="388"/>
        <v/>
      </c>
      <c r="J586" s="52" t="str">
        <f t="shared" si="388"/>
        <v/>
      </c>
    </row>
    <row r="587" spans="2:10" x14ac:dyDescent="0.35">
      <c r="B587" s="18"/>
      <c r="C587" s="18"/>
      <c r="D587" s="18"/>
      <c r="E587" s="53" t="str">
        <f>IFERROR(IF(LEN(Kanban!C282)=0,"",Kanban!C282),"")</f>
        <v/>
      </c>
      <c r="F587" s="53" t="str">
        <f>IFERROR(IF(LEN(Kanban!D282)=0,"",Kanban!D282),"")</f>
        <v/>
      </c>
      <c r="G587" s="53" t="str">
        <f>IFERROR(IF(LEN(Kanban!E282)=0,"",Kanban!E282),"")</f>
        <v/>
      </c>
      <c r="H587" s="53" t="str">
        <f>IFERROR(IF(LEN(Kanban!F282)=0,"",Kanban!F282),"")</f>
        <v/>
      </c>
      <c r="I587" s="53" t="str">
        <f>IFERROR(IF(LEN(Kanban!G282)=0,"",Kanban!G282),"")</f>
        <v/>
      </c>
      <c r="J587" s="53" t="str">
        <f>IFERROR(IF(LEN(Kanban!H282)=0,"",Kanban!H282),"")</f>
        <v/>
      </c>
    </row>
    <row r="588" spans="2:10" x14ac:dyDescent="0.35">
      <c r="B588" s="18"/>
      <c r="C588" s="18"/>
      <c r="D588" s="18"/>
      <c r="E588" s="52" t="str">
        <f t="shared" ref="E588:J588" si="389">E587</f>
        <v/>
      </c>
      <c r="F588" s="52" t="str">
        <f t="shared" si="389"/>
        <v/>
      </c>
      <c r="G588" s="52" t="str">
        <f t="shared" si="389"/>
        <v/>
      </c>
      <c r="H588" s="52" t="str">
        <f t="shared" si="389"/>
        <v/>
      </c>
      <c r="I588" s="52" t="str">
        <f t="shared" si="389"/>
        <v/>
      </c>
      <c r="J588" s="52" t="str">
        <f t="shared" si="389"/>
        <v/>
      </c>
    </row>
    <row r="589" spans="2:10" x14ac:dyDescent="0.35">
      <c r="B589" s="18"/>
      <c r="C589" s="18"/>
      <c r="D589" s="18"/>
      <c r="E589" s="52" t="str">
        <f t="shared" ref="E589:J589" si="390">E587</f>
        <v/>
      </c>
      <c r="F589" s="52" t="str">
        <f t="shared" si="390"/>
        <v/>
      </c>
      <c r="G589" s="52" t="str">
        <f t="shared" si="390"/>
        <v/>
      </c>
      <c r="H589" s="52" t="str">
        <f t="shared" si="390"/>
        <v/>
      </c>
      <c r="I589" s="52" t="str">
        <f t="shared" si="390"/>
        <v/>
      </c>
      <c r="J589" s="52" t="str">
        <f t="shared" si="390"/>
        <v/>
      </c>
    </row>
    <row r="590" spans="2:10" x14ac:dyDescent="0.35">
      <c r="B590" s="18"/>
      <c r="C590" s="18"/>
      <c r="D590" s="18"/>
      <c r="E590" s="53" t="str">
        <f>IFERROR(IF(LEN(Kanban!C285)=0,"",Kanban!C285),"")</f>
        <v/>
      </c>
      <c r="F590" s="53" t="str">
        <f>IFERROR(IF(LEN(Kanban!D285)=0,"",Kanban!D285),"")</f>
        <v/>
      </c>
      <c r="G590" s="53" t="str">
        <f>IFERROR(IF(LEN(Kanban!E285)=0,"",Kanban!E285),"")</f>
        <v/>
      </c>
      <c r="H590" s="53" t="str">
        <f>IFERROR(IF(LEN(Kanban!F285)=0,"",Kanban!F285),"")</f>
        <v/>
      </c>
      <c r="I590" s="53" t="str">
        <f>IFERROR(IF(LEN(Kanban!G285)=0,"",Kanban!G285),"")</f>
        <v/>
      </c>
      <c r="J590" s="53" t="str">
        <f>IFERROR(IF(LEN(Kanban!H285)=0,"",Kanban!H285),"")</f>
        <v/>
      </c>
    </row>
    <row r="591" spans="2:10" x14ac:dyDescent="0.35">
      <c r="B591" s="18"/>
      <c r="C591" s="18"/>
      <c r="D591" s="18"/>
      <c r="E591" s="52" t="str">
        <f t="shared" ref="E591:J591" si="391">E590</f>
        <v/>
      </c>
      <c r="F591" s="52" t="str">
        <f t="shared" si="391"/>
        <v/>
      </c>
      <c r="G591" s="52" t="str">
        <f t="shared" si="391"/>
        <v/>
      </c>
      <c r="H591" s="52" t="str">
        <f t="shared" si="391"/>
        <v/>
      </c>
      <c r="I591" s="52" t="str">
        <f t="shared" si="391"/>
        <v/>
      </c>
      <c r="J591" s="52" t="str">
        <f t="shared" si="391"/>
        <v/>
      </c>
    </row>
    <row r="592" spans="2:10" x14ac:dyDescent="0.35">
      <c r="B592" s="18"/>
      <c r="C592" s="18"/>
      <c r="D592" s="18"/>
      <c r="E592" s="52" t="str">
        <f t="shared" ref="E592:J592" si="392">E590</f>
        <v/>
      </c>
      <c r="F592" s="52" t="str">
        <f t="shared" si="392"/>
        <v/>
      </c>
      <c r="G592" s="52" t="str">
        <f t="shared" si="392"/>
        <v/>
      </c>
      <c r="H592" s="52" t="str">
        <f t="shared" si="392"/>
        <v/>
      </c>
      <c r="I592" s="52" t="str">
        <f t="shared" si="392"/>
        <v/>
      </c>
      <c r="J592" s="52" t="str">
        <f t="shared" si="392"/>
        <v/>
      </c>
    </row>
    <row r="593" spans="2:10" x14ac:dyDescent="0.35">
      <c r="B593" s="18"/>
      <c r="C593" s="18"/>
      <c r="D593" s="18"/>
      <c r="E593" s="53" t="str">
        <f>IFERROR(IF(LEN(Kanban!C288)=0,"",Kanban!C288),"")</f>
        <v/>
      </c>
      <c r="F593" s="53" t="str">
        <f>IFERROR(IF(LEN(Kanban!D288)=0,"",Kanban!D288),"")</f>
        <v/>
      </c>
      <c r="G593" s="53" t="str">
        <f>IFERROR(IF(LEN(Kanban!E288)=0,"",Kanban!E288),"")</f>
        <v/>
      </c>
      <c r="H593" s="53" t="str">
        <f>IFERROR(IF(LEN(Kanban!F288)=0,"",Kanban!F288),"")</f>
        <v/>
      </c>
      <c r="I593" s="53" t="str">
        <f>IFERROR(IF(LEN(Kanban!G288)=0,"",Kanban!G288),"")</f>
        <v/>
      </c>
      <c r="J593" s="53" t="str">
        <f>IFERROR(IF(LEN(Kanban!H288)=0,"",Kanban!H288),"")</f>
        <v/>
      </c>
    </row>
    <row r="594" spans="2:10" x14ac:dyDescent="0.35">
      <c r="B594" s="18"/>
      <c r="C594" s="18"/>
      <c r="D594" s="18"/>
      <c r="E594" s="52" t="str">
        <f t="shared" ref="E594:J594" si="393">E593</f>
        <v/>
      </c>
      <c r="F594" s="52" t="str">
        <f t="shared" si="393"/>
        <v/>
      </c>
      <c r="G594" s="52" t="str">
        <f t="shared" si="393"/>
        <v/>
      </c>
      <c r="H594" s="52" t="str">
        <f t="shared" si="393"/>
        <v/>
      </c>
      <c r="I594" s="52" t="str">
        <f t="shared" si="393"/>
        <v/>
      </c>
      <c r="J594" s="52" t="str">
        <f t="shared" si="393"/>
        <v/>
      </c>
    </row>
    <row r="595" spans="2:10" x14ac:dyDescent="0.35">
      <c r="B595" s="18"/>
      <c r="C595" s="18"/>
      <c r="D595" s="18"/>
      <c r="E595" s="52" t="str">
        <f t="shared" ref="E595:J595" si="394">E593</f>
        <v/>
      </c>
      <c r="F595" s="52" t="str">
        <f t="shared" si="394"/>
        <v/>
      </c>
      <c r="G595" s="52" t="str">
        <f t="shared" si="394"/>
        <v/>
      </c>
      <c r="H595" s="52" t="str">
        <f t="shared" si="394"/>
        <v/>
      </c>
      <c r="I595" s="52" t="str">
        <f t="shared" si="394"/>
        <v/>
      </c>
      <c r="J595" s="52" t="str">
        <f t="shared" si="394"/>
        <v/>
      </c>
    </row>
    <row r="596" spans="2:10" x14ac:dyDescent="0.35">
      <c r="B596" s="18"/>
      <c r="C596" s="18"/>
      <c r="D596" s="18"/>
      <c r="E596" s="53" t="str">
        <f>IFERROR(IF(LEN(Kanban!C291)=0,"",Kanban!C291),"")</f>
        <v/>
      </c>
      <c r="F596" s="53" t="str">
        <f>IFERROR(IF(LEN(Kanban!D291)=0,"",Kanban!D291),"")</f>
        <v/>
      </c>
      <c r="G596" s="53" t="str">
        <f>IFERROR(IF(LEN(Kanban!E291)=0,"",Kanban!E291),"")</f>
        <v/>
      </c>
      <c r="H596" s="53" t="str">
        <f>IFERROR(IF(LEN(Kanban!F291)=0,"",Kanban!F291),"")</f>
        <v/>
      </c>
      <c r="I596" s="53" t="str">
        <f>IFERROR(IF(LEN(Kanban!G291)=0,"",Kanban!G291),"")</f>
        <v/>
      </c>
      <c r="J596" s="53" t="str">
        <f>IFERROR(IF(LEN(Kanban!H291)=0,"",Kanban!H291),"")</f>
        <v/>
      </c>
    </row>
    <row r="597" spans="2:10" x14ac:dyDescent="0.35">
      <c r="B597" s="18"/>
      <c r="C597" s="18"/>
      <c r="D597" s="18"/>
      <c r="E597" s="52" t="str">
        <f t="shared" ref="E597:J597" si="395">E596</f>
        <v/>
      </c>
      <c r="F597" s="52" t="str">
        <f t="shared" si="395"/>
        <v/>
      </c>
      <c r="G597" s="52" t="str">
        <f t="shared" si="395"/>
        <v/>
      </c>
      <c r="H597" s="52" t="str">
        <f t="shared" si="395"/>
        <v/>
      </c>
      <c r="I597" s="52" t="str">
        <f t="shared" si="395"/>
        <v/>
      </c>
      <c r="J597" s="52" t="str">
        <f t="shared" si="395"/>
        <v/>
      </c>
    </row>
    <row r="598" spans="2:10" x14ac:dyDescent="0.35">
      <c r="B598" s="18"/>
      <c r="C598" s="18"/>
      <c r="D598" s="18"/>
      <c r="E598" s="52" t="str">
        <f t="shared" ref="E598:J598" si="396">E596</f>
        <v/>
      </c>
      <c r="F598" s="52" t="str">
        <f t="shared" si="396"/>
        <v/>
      </c>
      <c r="G598" s="52" t="str">
        <f t="shared" si="396"/>
        <v/>
      </c>
      <c r="H598" s="52" t="str">
        <f t="shared" si="396"/>
        <v/>
      </c>
      <c r="I598" s="52" t="str">
        <f t="shared" si="396"/>
        <v/>
      </c>
      <c r="J598" s="52" t="str">
        <f t="shared" si="396"/>
        <v/>
      </c>
    </row>
    <row r="599" spans="2:10" x14ac:dyDescent="0.35">
      <c r="B599" s="18"/>
      <c r="C599" s="18"/>
      <c r="D599" s="18"/>
      <c r="E599" s="53" t="str">
        <f>IFERROR(IF(LEN(Kanban!C294)=0,"",Kanban!C294),"")</f>
        <v/>
      </c>
      <c r="F599" s="53" t="str">
        <f>IFERROR(IF(LEN(Kanban!D294)=0,"",Kanban!D294),"")</f>
        <v/>
      </c>
      <c r="G599" s="53" t="str">
        <f>IFERROR(IF(LEN(Kanban!E294)=0,"",Kanban!E294),"")</f>
        <v/>
      </c>
      <c r="H599" s="53" t="str">
        <f>IFERROR(IF(LEN(Kanban!F294)=0,"",Kanban!F294),"")</f>
        <v/>
      </c>
      <c r="I599" s="53" t="str">
        <f>IFERROR(IF(LEN(Kanban!G294)=0,"",Kanban!G294),"")</f>
        <v/>
      </c>
      <c r="J599" s="53" t="str">
        <f>IFERROR(IF(LEN(Kanban!H294)=0,"",Kanban!H294),"")</f>
        <v/>
      </c>
    </row>
    <row r="600" spans="2:10" x14ac:dyDescent="0.35">
      <c r="B600" s="18"/>
      <c r="C600" s="18"/>
      <c r="D600" s="18"/>
      <c r="E600" s="52" t="str">
        <f t="shared" ref="E600:J600" si="397">E599</f>
        <v/>
      </c>
      <c r="F600" s="52" t="str">
        <f t="shared" si="397"/>
        <v/>
      </c>
      <c r="G600" s="52" t="str">
        <f t="shared" si="397"/>
        <v/>
      </c>
      <c r="H600" s="52" t="str">
        <f t="shared" si="397"/>
        <v/>
      </c>
      <c r="I600" s="52" t="str">
        <f t="shared" si="397"/>
        <v/>
      </c>
      <c r="J600" s="52" t="str">
        <f t="shared" si="397"/>
        <v/>
      </c>
    </row>
    <row r="601" spans="2:10" x14ac:dyDescent="0.35">
      <c r="B601" s="18"/>
      <c r="C601" s="18"/>
      <c r="D601" s="18"/>
      <c r="E601" s="52" t="str">
        <f t="shared" ref="E601:J601" si="398">E599</f>
        <v/>
      </c>
      <c r="F601" s="52" t="str">
        <f t="shared" si="398"/>
        <v/>
      </c>
      <c r="G601" s="52" t="str">
        <f t="shared" si="398"/>
        <v/>
      </c>
      <c r="H601" s="52" t="str">
        <f t="shared" si="398"/>
        <v/>
      </c>
      <c r="I601" s="52" t="str">
        <f t="shared" si="398"/>
        <v/>
      </c>
      <c r="J601" s="52" t="str">
        <f t="shared" si="398"/>
        <v/>
      </c>
    </row>
    <row r="602" spans="2:10" x14ac:dyDescent="0.35">
      <c r="B602" s="18"/>
      <c r="C602" s="18"/>
      <c r="D602" s="18"/>
      <c r="E602" s="53" t="str">
        <f>IFERROR(IF(LEN(Kanban!C297)=0,"",Kanban!C297),"")</f>
        <v/>
      </c>
      <c r="F602" s="53" t="str">
        <f>IFERROR(IF(LEN(Kanban!D297)=0,"",Kanban!D297),"")</f>
        <v/>
      </c>
      <c r="G602" s="53" t="str">
        <f>IFERROR(IF(LEN(Kanban!E297)=0,"",Kanban!E297),"")</f>
        <v/>
      </c>
      <c r="H602" s="53" t="str">
        <f>IFERROR(IF(LEN(Kanban!F297)=0,"",Kanban!F297),"")</f>
        <v/>
      </c>
      <c r="I602" s="53" t="str">
        <f>IFERROR(IF(LEN(Kanban!G297)=0,"",Kanban!G297),"")</f>
        <v/>
      </c>
      <c r="J602" s="53" t="str">
        <f>IFERROR(IF(LEN(Kanban!H297)=0,"",Kanban!H297),"")</f>
        <v/>
      </c>
    </row>
    <row r="603" spans="2:10" x14ac:dyDescent="0.35">
      <c r="B603" s="18"/>
      <c r="C603" s="18"/>
      <c r="D603" s="18"/>
      <c r="E603" s="52" t="str">
        <f t="shared" ref="E603:J603" si="399">E602</f>
        <v/>
      </c>
      <c r="F603" s="52" t="str">
        <f t="shared" si="399"/>
        <v/>
      </c>
      <c r="G603" s="52" t="str">
        <f t="shared" si="399"/>
        <v/>
      </c>
      <c r="H603" s="52" t="str">
        <f t="shared" si="399"/>
        <v/>
      </c>
      <c r="I603" s="52" t="str">
        <f t="shared" si="399"/>
        <v/>
      </c>
      <c r="J603" s="52" t="str">
        <f t="shared" si="399"/>
        <v/>
      </c>
    </row>
    <row r="604" spans="2:10" x14ac:dyDescent="0.35">
      <c r="B604" s="18"/>
      <c r="C604" s="18"/>
      <c r="D604" s="18"/>
      <c r="E604" s="52" t="str">
        <f t="shared" ref="E604:J604" si="400">E602</f>
        <v/>
      </c>
      <c r="F604" s="52" t="str">
        <f t="shared" si="400"/>
        <v/>
      </c>
      <c r="G604" s="52" t="str">
        <f t="shared" si="400"/>
        <v/>
      </c>
      <c r="H604" s="52" t="str">
        <f t="shared" si="400"/>
        <v/>
      </c>
      <c r="I604" s="52" t="str">
        <f t="shared" si="400"/>
        <v/>
      </c>
      <c r="J604" s="52" t="str">
        <f t="shared" si="400"/>
        <v/>
      </c>
    </row>
    <row r="605" spans="2:10" x14ac:dyDescent="0.35">
      <c r="B605" s="18"/>
      <c r="C605" s="18"/>
      <c r="D605" s="18"/>
      <c r="E605" s="53" t="str">
        <f>IFERROR(IF(LEN(Kanban!C300)=0,"",Kanban!C300),"")</f>
        <v/>
      </c>
      <c r="F605" s="53" t="str">
        <f>IFERROR(IF(LEN(Kanban!D300)=0,"",Kanban!D300),"")</f>
        <v/>
      </c>
      <c r="G605" s="53" t="str">
        <f>IFERROR(IF(LEN(Kanban!E300)=0,"",Kanban!E300),"")</f>
        <v/>
      </c>
      <c r="H605" s="53" t="str">
        <f>IFERROR(IF(LEN(Kanban!F300)=0,"",Kanban!F300),"")</f>
        <v/>
      </c>
      <c r="I605" s="53" t="str">
        <f>IFERROR(IF(LEN(Kanban!G300)=0,"",Kanban!G300),"")</f>
        <v/>
      </c>
      <c r="J605" s="53" t="str">
        <f>IFERROR(IF(LEN(Kanban!H300)=0,"",Kanban!H300),"")</f>
        <v/>
      </c>
    </row>
    <row r="606" spans="2:10" x14ac:dyDescent="0.35">
      <c r="B606" s="18"/>
      <c r="C606" s="18"/>
      <c r="D606" s="18"/>
      <c r="E606" s="52" t="str">
        <f t="shared" ref="E606:J606" si="401">E605</f>
        <v/>
      </c>
      <c r="F606" s="52" t="str">
        <f t="shared" si="401"/>
        <v/>
      </c>
      <c r="G606" s="52" t="str">
        <f t="shared" si="401"/>
        <v/>
      </c>
      <c r="H606" s="52" t="str">
        <f t="shared" si="401"/>
        <v/>
      </c>
      <c r="I606" s="52" t="str">
        <f t="shared" si="401"/>
        <v/>
      </c>
      <c r="J606" s="52" t="str">
        <f t="shared" si="401"/>
        <v/>
      </c>
    </row>
    <row r="607" spans="2:10" x14ac:dyDescent="0.35">
      <c r="B607" s="18"/>
      <c r="C607" s="18"/>
      <c r="D607" s="18"/>
      <c r="E607" s="52" t="str">
        <f t="shared" ref="E607:J607" si="402">E605</f>
        <v/>
      </c>
      <c r="F607" s="52" t="str">
        <f t="shared" si="402"/>
        <v/>
      </c>
      <c r="G607" s="52" t="str">
        <f t="shared" si="402"/>
        <v/>
      </c>
      <c r="H607" s="52" t="str">
        <f t="shared" si="402"/>
        <v/>
      </c>
      <c r="I607" s="52" t="str">
        <f t="shared" si="402"/>
        <v/>
      </c>
      <c r="J607" s="52" t="str">
        <f t="shared" si="402"/>
        <v/>
      </c>
    </row>
    <row r="608" spans="2:10" x14ac:dyDescent="0.35">
      <c r="B608" s="18"/>
      <c r="C608" s="18"/>
      <c r="D608" s="18"/>
      <c r="E608" s="53" t="str">
        <f>IFERROR(IF(LEN(Kanban!C303)=0,"",Kanban!C303),"")</f>
        <v/>
      </c>
      <c r="F608" s="53" t="str">
        <f>IFERROR(IF(LEN(Kanban!D303)=0,"",Kanban!D303),"")</f>
        <v/>
      </c>
      <c r="G608" s="53" t="str">
        <f>IFERROR(IF(LEN(Kanban!E303)=0,"",Kanban!E303),"")</f>
        <v/>
      </c>
      <c r="H608" s="53" t="str">
        <f>IFERROR(IF(LEN(Kanban!F303)=0,"",Kanban!F303),"")</f>
        <v/>
      </c>
      <c r="I608" s="53" t="str">
        <f>IFERROR(IF(LEN(Kanban!G303)=0,"",Kanban!G303),"")</f>
        <v/>
      </c>
      <c r="J608" s="53" t="str">
        <f>IFERROR(IF(LEN(Kanban!H303)=0,"",Kanban!H303),"")</f>
        <v/>
      </c>
    </row>
    <row r="609" spans="2:10" x14ac:dyDescent="0.35">
      <c r="B609" s="18"/>
      <c r="C609" s="18"/>
      <c r="D609" s="18"/>
      <c r="E609" s="52" t="str">
        <f t="shared" ref="E609:J609" si="403">E608</f>
        <v/>
      </c>
      <c r="F609" s="52" t="str">
        <f t="shared" si="403"/>
        <v/>
      </c>
      <c r="G609" s="52" t="str">
        <f t="shared" si="403"/>
        <v/>
      </c>
      <c r="H609" s="52" t="str">
        <f t="shared" si="403"/>
        <v/>
      </c>
      <c r="I609" s="52" t="str">
        <f t="shared" si="403"/>
        <v/>
      </c>
      <c r="J609" s="52" t="str">
        <f t="shared" si="403"/>
        <v/>
      </c>
    </row>
    <row r="610" spans="2:10" x14ac:dyDescent="0.35">
      <c r="B610" s="18"/>
      <c r="C610" s="18"/>
      <c r="D610" s="18"/>
      <c r="E610" s="52" t="str">
        <f t="shared" ref="E610:J610" si="404">E608</f>
        <v/>
      </c>
      <c r="F610" s="52" t="str">
        <f t="shared" si="404"/>
        <v/>
      </c>
      <c r="G610" s="52" t="str">
        <f t="shared" si="404"/>
        <v/>
      </c>
      <c r="H610" s="52" t="str">
        <f t="shared" si="404"/>
        <v/>
      </c>
      <c r="I610" s="52" t="str">
        <f t="shared" si="404"/>
        <v/>
      </c>
      <c r="J610" s="52" t="str">
        <f t="shared" si="404"/>
        <v/>
      </c>
    </row>
    <row r="611" spans="2:10" x14ac:dyDescent="0.35">
      <c r="B611" s="18"/>
      <c r="C611" s="18"/>
      <c r="D611" s="18"/>
      <c r="E611" s="53" t="str">
        <f>IFERROR(IF(LEN(Kanban!C306)=0,"",Kanban!C306),"")</f>
        <v/>
      </c>
      <c r="F611" s="53" t="str">
        <f>IFERROR(IF(LEN(Kanban!D306)=0,"",Kanban!D306),"")</f>
        <v/>
      </c>
      <c r="G611" s="53" t="str">
        <f>IFERROR(IF(LEN(Kanban!E306)=0,"",Kanban!E306),"")</f>
        <v/>
      </c>
      <c r="H611" s="53" t="str">
        <f>IFERROR(IF(LEN(Kanban!F306)=0,"",Kanban!F306),"")</f>
        <v/>
      </c>
      <c r="I611" s="53" t="str">
        <f>IFERROR(IF(LEN(Kanban!G306)=0,"",Kanban!G306),"")</f>
        <v/>
      </c>
      <c r="J611" s="53" t="str">
        <f>IFERROR(IF(LEN(Kanban!H306)=0,"",Kanban!H306),"")</f>
        <v/>
      </c>
    </row>
    <row r="612" spans="2:10" x14ac:dyDescent="0.35">
      <c r="B612" s="18"/>
      <c r="C612" s="18"/>
      <c r="D612" s="18"/>
      <c r="E612" s="52" t="str">
        <f t="shared" ref="E612:J612" si="405">E611</f>
        <v/>
      </c>
      <c r="F612" s="52" t="str">
        <f t="shared" si="405"/>
        <v/>
      </c>
      <c r="G612" s="52" t="str">
        <f t="shared" si="405"/>
        <v/>
      </c>
      <c r="H612" s="52" t="str">
        <f t="shared" si="405"/>
        <v/>
      </c>
      <c r="I612" s="52" t="str">
        <f t="shared" si="405"/>
        <v/>
      </c>
      <c r="J612" s="52" t="str">
        <f t="shared" si="405"/>
        <v/>
      </c>
    </row>
    <row r="613" spans="2:10" x14ac:dyDescent="0.35">
      <c r="B613" s="18"/>
      <c r="C613" s="18"/>
      <c r="D613" s="18"/>
      <c r="E613" s="52" t="str">
        <f t="shared" ref="E613:J613" si="406">E611</f>
        <v/>
      </c>
      <c r="F613" s="52" t="str">
        <f t="shared" si="406"/>
        <v/>
      </c>
      <c r="G613" s="52" t="str">
        <f t="shared" si="406"/>
        <v/>
      </c>
      <c r="H613" s="52" t="str">
        <f t="shared" si="406"/>
        <v/>
      </c>
      <c r="I613" s="52" t="str">
        <f t="shared" si="406"/>
        <v/>
      </c>
      <c r="J613" s="52" t="str">
        <f t="shared" si="406"/>
        <v/>
      </c>
    </row>
    <row r="614" spans="2:10" x14ac:dyDescent="0.35">
      <c r="B614" s="18"/>
      <c r="C614" s="18"/>
      <c r="D614" s="18"/>
      <c r="E614" s="53" t="str">
        <f>IFERROR(IF(LEN(Kanban!C309)=0,"",Kanban!C309),"")</f>
        <v/>
      </c>
      <c r="F614" s="53" t="str">
        <f>IFERROR(IF(LEN(Kanban!D309)=0,"",Kanban!D309),"")</f>
        <v/>
      </c>
      <c r="G614" s="53" t="str">
        <f>IFERROR(IF(LEN(Kanban!E309)=0,"",Kanban!E309),"")</f>
        <v/>
      </c>
      <c r="H614" s="53" t="str">
        <f>IFERROR(IF(LEN(Kanban!F309)=0,"",Kanban!F309),"")</f>
        <v/>
      </c>
      <c r="I614" s="53" t="str">
        <f>IFERROR(IF(LEN(Kanban!G309)=0,"",Kanban!G309),"")</f>
        <v/>
      </c>
      <c r="J614" s="53" t="str">
        <f>IFERROR(IF(LEN(Kanban!H309)=0,"",Kanban!H309),"")</f>
        <v/>
      </c>
    </row>
    <row r="615" spans="2:10" x14ac:dyDescent="0.35">
      <c r="B615" s="18"/>
      <c r="C615" s="18"/>
      <c r="D615" s="18"/>
      <c r="E615" s="52" t="str">
        <f t="shared" ref="E615:J615" si="407">E614</f>
        <v/>
      </c>
      <c r="F615" s="52" t="str">
        <f t="shared" si="407"/>
        <v/>
      </c>
      <c r="G615" s="52" t="str">
        <f t="shared" si="407"/>
        <v/>
      </c>
      <c r="H615" s="52" t="str">
        <f t="shared" si="407"/>
        <v/>
      </c>
      <c r="I615" s="52" t="str">
        <f t="shared" si="407"/>
        <v/>
      </c>
      <c r="J615" s="52" t="str">
        <f t="shared" si="407"/>
        <v/>
      </c>
    </row>
    <row r="616" spans="2:10" x14ac:dyDescent="0.35">
      <c r="B616" s="18"/>
      <c r="C616" s="18"/>
      <c r="D616" s="18"/>
      <c r="E616" s="52" t="str">
        <f t="shared" ref="E616:J616" si="408">E614</f>
        <v/>
      </c>
      <c r="F616" s="52" t="str">
        <f t="shared" si="408"/>
        <v/>
      </c>
      <c r="G616" s="52" t="str">
        <f t="shared" si="408"/>
        <v/>
      </c>
      <c r="H616" s="52" t="str">
        <f t="shared" si="408"/>
        <v/>
      </c>
      <c r="I616" s="52" t="str">
        <f t="shared" si="408"/>
        <v/>
      </c>
      <c r="J616" s="52" t="str">
        <f t="shared" si="408"/>
        <v/>
      </c>
    </row>
    <row r="617" spans="2:10" x14ac:dyDescent="0.35">
      <c r="B617" s="18"/>
      <c r="C617" s="18"/>
      <c r="D617" s="18"/>
      <c r="E617" s="53" t="str">
        <f>IFERROR(IF(LEN(Kanban!C312)=0,"",Kanban!C312),"")</f>
        <v/>
      </c>
      <c r="F617" s="53" t="str">
        <f>IFERROR(IF(LEN(Kanban!D312)=0,"",Kanban!D312),"")</f>
        <v/>
      </c>
      <c r="G617" s="53" t="str">
        <f>IFERROR(IF(LEN(Kanban!E312)=0,"",Kanban!E312),"")</f>
        <v/>
      </c>
      <c r="H617" s="53" t="str">
        <f>IFERROR(IF(LEN(Kanban!F312)=0,"",Kanban!F312),"")</f>
        <v/>
      </c>
      <c r="I617" s="53" t="str">
        <f>IFERROR(IF(LEN(Kanban!G312)=0,"",Kanban!G312),"")</f>
        <v/>
      </c>
      <c r="J617" s="53" t="str">
        <f>IFERROR(IF(LEN(Kanban!H312)=0,"",Kanban!H312),"")</f>
        <v/>
      </c>
    </row>
    <row r="618" spans="2:10" x14ac:dyDescent="0.35">
      <c r="B618" s="18"/>
      <c r="C618" s="18"/>
      <c r="D618" s="18"/>
      <c r="E618" s="52" t="str">
        <f t="shared" ref="E618:J618" si="409">E617</f>
        <v/>
      </c>
      <c r="F618" s="52" t="str">
        <f t="shared" si="409"/>
        <v/>
      </c>
      <c r="G618" s="52" t="str">
        <f t="shared" si="409"/>
        <v/>
      </c>
      <c r="H618" s="52" t="str">
        <f t="shared" si="409"/>
        <v/>
      </c>
      <c r="I618" s="52" t="str">
        <f t="shared" si="409"/>
        <v/>
      </c>
      <c r="J618" s="52" t="str">
        <f t="shared" si="409"/>
        <v/>
      </c>
    </row>
    <row r="619" spans="2:10" x14ac:dyDescent="0.35">
      <c r="B619" s="18"/>
      <c r="C619" s="18"/>
      <c r="D619" s="18"/>
      <c r="E619" s="52" t="str">
        <f t="shared" ref="E619:J619" si="410">E617</f>
        <v/>
      </c>
      <c r="F619" s="52" t="str">
        <f t="shared" si="410"/>
        <v/>
      </c>
      <c r="G619" s="52" t="str">
        <f t="shared" si="410"/>
        <v/>
      </c>
      <c r="H619" s="52" t="str">
        <f t="shared" si="410"/>
        <v/>
      </c>
      <c r="I619" s="52" t="str">
        <f t="shared" si="410"/>
        <v/>
      </c>
      <c r="J619" s="52" t="str">
        <f t="shared" si="410"/>
        <v/>
      </c>
    </row>
    <row r="620" spans="2:10" x14ac:dyDescent="0.35">
      <c r="B620" s="18"/>
      <c r="C620" s="18"/>
      <c r="D620" s="18"/>
      <c r="E620" s="53" t="str">
        <f>IFERROR(IF(LEN(Kanban!C315)=0,"",Kanban!C315),"")</f>
        <v/>
      </c>
      <c r="F620" s="53" t="str">
        <f>IFERROR(IF(LEN(Kanban!D315)=0,"",Kanban!D315),"")</f>
        <v/>
      </c>
      <c r="G620" s="53" t="str">
        <f>IFERROR(IF(LEN(Kanban!E315)=0,"",Kanban!E315),"")</f>
        <v/>
      </c>
      <c r="H620" s="53" t="str">
        <f>IFERROR(IF(LEN(Kanban!F315)=0,"",Kanban!F315),"")</f>
        <v/>
      </c>
      <c r="I620" s="53" t="str">
        <f>IFERROR(IF(LEN(Kanban!G315)=0,"",Kanban!G315),"")</f>
        <v/>
      </c>
      <c r="J620" s="53" t="str">
        <f>IFERROR(IF(LEN(Kanban!H315)=0,"",Kanban!H315),"")</f>
        <v/>
      </c>
    </row>
    <row r="621" spans="2:10" x14ac:dyDescent="0.35">
      <c r="B621" s="18"/>
      <c r="C621" s="18"/>
      <c r="D621" s="18"/>
      <c r="E621" s="52" t="str">
        <f t="shared" ref="E621:J621" si="411">E620</f>
        <v/>
      </c>
      <c r="F621" s="52" t="str">
        <f t="shared" si="411"/>
        <v/>
      </c>
      <c r="G621" s="52" t="str">
        <f t="shared" si="411"/>
        <v/>
      </c>
      <c r="H621" s="52" t="str">
        <f t="shared" si="411"/>
        <v/>
      </c>
      <c r="I621" s="52" t="str">
        <f t="shared" si="411"/>
        <v/>
      </c>
      <c r="J621" s="52" t="str">
        <f t="shared" si="411"/>
        <v/>
      </c>
    </row>
    <row r="622" spans="2:10" x14ac:dyDescent="0.35">
      <c r="B622" s="18"/>
      <c r="C622" s="18"/>
      <c r="D622" s="18"/>
      <c r="E622" s="52" t="str">
        <f t="shared" ref="E622:J622" si="412">E620</f>
        <v/>
      </c>
      <c r="F622" s="52" t="str">
        <f t="shared" si="412"/>
        <v/>
      </c>
      <c r="G622" s="52" t="str">
        <f t="shared" si="412"/>
        <v/>
      </c>
      <c r="H622" s="52" t="str">
        <f t="shared" si="412"/>
        <v/>
      </c>
      <c r="I622" s="52" t="str">
        <f t="shared" si="412"/>
        <v/>
      </c>
      <c r="J622" s="52" t="str">
        <f t="shared" si="412"/>
        <v/>
      </c>
    </row>
    <row r="623" spans="2:10" x14ac:dyDescent="0.35">
      <c r="B623" s="18"/>
      <c r="C623" s="18"/>
      <c r="D623" s="18"/>
      <c r="E623" s="18"/>
      <c r="F623" s="18"/>
      <c r="G623" s="18"/>
      <c r="H623" s="18"/>
      <c r="I623" s="18"/>
      <c r="J623" s="18"/>
    </row>
    <row r="624" spans="2:10" x14ac:dyDescent="0.35">
      <c r="B624" s="18"/>
      <c r="C624" s="18"/>
      <c r="D624" s="18"/>
      <c r="E624" s="18"/>
      <c r="F624" s="18"/>
      <c r="G624" s="18"/>
      <c r="H624" s="18"/>
      <c r="I624" s="18"/>
      <c r="J624" s="18"/>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5</vt:i4>
      </vt:variant>
    </vt:vector>
  </HeadingPairs>
  <TitlesOfParts>
    <vt:vector size="13" baseType="lpstr">
      <vt:lpstr>ToDo</vt:lpstr>
      <vt:lpstr>Kanban</vt:lpstr>
      <vt:lpstr>Dashboard</vt:lpstr>
      <vt:lpstr>Database</vt:lpstr>
      <vt:lpstr>Settings</vt:lpstr>
      <vt:lpstr>Calc</vt:lpstr>
      <vt:lpstr>Charts_Source</vt:lpstr>
      <vt:lpstr>Kanban_Helper</vt:lpstr>
      <vt:lpstr>Calc!Print_Area</vt:lpstr>
      <vt:lpstr>Dashboard!Print_Area</vt:lpstr>
      <vt:lpstr>Database!Print_Area</vt:lpstr>
      <vt:lpstr>Kanban!Print_Area</vt:lpstr>
      <vt:lpstr>Settings!Print_Area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Onur YILMAZ</dc:creator>
  <cp:lastModifiedBy>subbu kandula</cp:lastModifiedBy>
  <cp:lastPrinted>2020-03-23T11:06:36Z</cp:lastPrinted>
  <dcterms:created xsi:type="dcterms:W3CDTF">2018-11-13T14:01:04Z</dcterms:created>
  <dcterms:modified xsi:type="dcterms:W3CDTF">2021-04-11T14:12:29Z</dcterms:modified>
</cp:coreProperties>
</file>